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10" yWindow="-110" windowWidth="19420" windowHeight="11500" tabRatio="600" firstSheet="2" activeTab="3"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Database Claims" sheetId="3" state="visible" r:id="rId3"/>
    <sheet xmlns:r="http://schemas.openxmlformats.org/officeDocument/2006/relationships" name="Database ADP" sheetId="4" state="visible" r:id="rId4"/>
    <sheet xmlns:r="http://schemas.openxmlformats.org/officeDocument/2006/relationships" name="Data World" sheetId="5" state="visible" r:id="rId5"/>
    <sheet xmlns:r="http://schemas.openxmlformats.org/officeDocument/2006/relationships" name="NFP" sheetId="6" state="visible" r:id="rId6"/>
    <sheet xmlns:r="http://schemas.openxmlformats.org/officeDocument/2006/relationships" name="Claims" sheetId="7" state="visible" r:id="rId7"/>
    <sheet xmlns:r="http://schemas.openxmlformats.org/officeDocument/2006/relationships" name="Graphs" sheetId="8" state="visible" r:id="rId8"/>
    <sheet xmlns:r="http://schemas.openxmlformats.org/officeDocument/2006/relationships" name="ADP" sheetId="9" state="visible" r:id="rId9"/>
    <sheet xmlns:r="http://schemas.openxmlformats.org/officeDocument/2006/relationships" name="World" sheetId="10" state="visible" r:id="rId10"/>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yyyy\-mm\-dd"/>
    <numFmt numFmtId="167" formatCode="dd\-mm\-yyyy"/>
    <numFmt numFmtId="168" formatCode="dd-mm-YYYY"/>
    <numFmt numFmtId="169" formatCode="yyyy-mm-dd h:mm:ss"/>
  </numFmts>
  <fonts count="13">
    <font>
      <name val="Calibri"/>
      <family val="2"/>
      <color theme="1"/>
      <sz val="11"/>
      <scheme val="minor"/>
    </font>
    <font>
      <name val="Arial"/>
      <family val="2"/>
      <sz val="10"/>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color theme="1"/>
      <sz val="11"/>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b val="1"/>
      <color indexed="9"/>
      <sz val="11"/>
    </font>
    <font>
      <name val="Calibri"/>
      <family val="2"/>
      <b val="1"/>
      <color rgb="FF00B0F0"/>
      <sz val="11"/>
      <scheme val="minor"/>
    </font>
    <font>
      <name val="Arial"/>
      <family val="2"/>
      <sz val="10"/>
    </font>
  </fonts>
  <fills count="12">
    <fill>
      <patternFill/>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
      </patternFill>
    </fill>
    <fill>
      <patternFill patternType="solid">
        <fgColor theme="4" tint="0.7999816888943144"/>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10">
    <xf numFmtId="0" fontId="5"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9">
    <xf numFmtId="0" fontId="0" fillId="0" borderId="0" pivotButton="0" quotePrefix="0" xfId="0"/>
    <xf numFmtId="0" fontId="4" fillId="0" borderId="0" pivotButton="0" quotePrefix="0" xfId="3"/>
    <xf numFmtId="0" fontId="1" fillId="0" borderId="0" pivotButton="0" quotePrefix="0" xfId="2"/>
    <xf numFmtId="0" fontId="0" fillId="0" borderId="0" applyAlignment="1" pivotButton="0" quotePrefix="0" xfId="0">
      <alignment horizontal="center"/>
    </xf>
    <xf numFmtId="0" fontId="1" fillId="2" borderId="0" pivotButton="0" quotePrefix="0" xfId="2"/>
    <xf numFmtId="0" fontId="0" fillId="3" borderId="0" applyAlignment="1" pivotButton="0" quotePrefix="0" xfId="0">
      <alignment horizontal="center" wrapText="1"/>
    </xf>
    <xf numFmtId="0" fontId="6" fillId="0" borderId="1" pivotButton="0" quotePrefix="0" xfId="0"/>
    <xf numFmtId="0" fontId="7" fillId="4" borderId="1" applyAlignment="1" pivotButton="0" quotePrefix="0" xfId="0">
      <alignment horizontal="center" textRotation="90"/>
    </xf>
    <xf numFmtId="0" fontId="7" fillId="5" borderId="1" applyAlignment="1" pivotButton="0" quotePrefix="0" xfId="0">
      <alignment horizontal="center" textRotation="90"/>
    </xf>
    <xf numFmtId="0" fontId="7" fillId="6" borderId="1" applyAlignment="1" pivotButton="0" quotePrefix="0" xfId="0">
      <alignment horizontal="center" textRotation="90"/>
    </xf>
    <xf numFmtId="0" fontId="7" fillId="7" borderId="1" applyAlignment="1" pivotButton="0" quotePrefix="0" xfId="0">
      <alignment horizontal="center" textRotation="90"/>
    </xf>
    <xf numFmtId="0" fontId="8" fillId="7" borderId="1" applyAlignment="1" pivotButton="0" quotePrefix="0" xfId="0">
      <alignment horizontal="center" vertical="center"/>
    </xf>
    <xf numFmtId="17" fontId="9" fillId="7" borderId="1" applyAlignment="1" pivotButton="0" quotePrefix="0" xfId="0">
      <alignment horizontal="left" vertical="top" wrapText="1"/>
    </xf>
    <xf numFmtId="2" fontId="6" fillId="0" borderId="1" applyAlignment="1" pivotButton="0" quotePrefix="0" xfId="0">
      <alignment horizontal="center" vertical="center"/>
    </xf>
    <xf numFmtId="0" fontId="0" fillId="9" borderId="0" applyAlignment="1" pivotButton="0" quotePrefix="0" xfId="0">
      <alignment horizontal="center" wrapText="1"/>
    </xf>
    <xf numFmtId="0" fontId="0" fillId="2" borderId="0" applyAlignment="1" pivotButton="0" quotePrefix="0" xfId="0">
      <alignment horizontal="center"/>
    </xf>
    <xf numFmtId="0" fontId="4" fillId="2" borderId="0" applyAlignment="1" pivotButton="0" quotePrefix="0" xfId="3">
      <alignment horizontal="center"/>
    </xf>
    <xf numFmtId="0" fontId="4" fillId="2" borderId="0" pivotButton="0" quotePrefix="0" xfId="3"/>
    <xf numFmtId="3" fontId="0" fillId="2" borderId="3" applyAlignment="1" pivotButton="0" quotePrefix="0" xfId="0">
      <alignment horizontal="center"/>
    </xf>
    <xf numFmtId="3" fontId="0" fillId="2" borderId="5" applyAlignment="1" pivotButton="0" quotePrefix="0" xfId="0">
      <alignment horizontal="center"/>
    </xf>
    <xf numFmtId="2" fontId="0" fillId="2" borderId="5" applyAlignment="1" pivotButton="0" quotePrefix="0" xfId="0">
      <alignment horizontal="center"/>
    </xf>
    <xf numFmtId="2" fontId="0" fillId="2" borderId="7" applyAlignment="1" pivotButton="0" quotePrefix="0" xfId="0">
      <alignment horizontal="center"/>
    </xf>
    <xf numFmtId="0" fontId="0" fillId="2" borderId="2" pivotButton="0" quotePrefix="0" xfId="0"/>
    <xf numFmtId="0" fontId="0" fillId="2" borderId="4" pivotButton="0" quotePrefix="0" xfId="0"/>
    <xf numFmtId="0" fontId="0" fillId="2" borderId="6" pivotButton="0" quotePrefix="0" xfId="0"/>
    <xf numFmtId="3" fontId="0" fillId="2" borderId="1" applyAlignment="1" pivotButton="0" quotePrefix="0" xfId="0">
      <alignment horizontal="center"/>
    </xf>
    <xf numFmtId="1" fontId="0" fillId="2" borderId="1" applyAlignment="1" pivotButton="0" quotePrefix="0" xfId="0">
      <alignment horizontal="center"/>
    </xf>
    <xf numFmtId="3" fontId="5" fillId="2" borderId="1" applyAlignment="1" pivotButton="0" quotePrefix="0" xfId="0">
      <alignment horizontal="center"/>
    </xf>
    <xf numFmtId="14" fontId="0" fillId="2" borderId="1" pivotButton="0" quotePrefix="0" xfId="0"/>
    <xf numFmtId="3" fontId="0" fillId="10" borderId="1" applyAlignment="1" pivotButton="0" quotePrefix="0" xfId="0">
      <alignment horizontal="center"/>
    </xf>
    <xf numFmtId="2" fontId="0" fillId="9" borderId="0" applyAlignment="1" pivotButton="0" quotePrefix="0" xfId="0">
      <alignment horizontal="center" wrapText="1"/>
    </xf>
    <xf numFmtId="0" fontId="0" fillId="9" borderId="0" applyAlignment="1" pivotButton="0" quotePrefix="0" xfId="0">
      <alignment horizontal="center"/>
    </xf>
    <xf numFmtId="0" fontId="4" fillId="2" borderId="0" applyAlignment="1" pivotButton="0" quotePrefix="0" xfId="3">
      <alignment horizontal="left"/>
    </xf>
    <xf numFmtId="0" fontId="0" fillId="2" borderId="0" applyAlignment="1" pivotButton="0" quotePrefix="0" xfId="0">
      <alignment vertical="center"/>
    </xf>
    <xf numFmtId="0" fontId="3" fillId="2" borderId="0" pivotButton="0" quotePrefix="0" xfId="0"/>
    <xf numFmtId="0" fontId="0" fillId="0" borderId="0" applyAlignment="1" pivotButton="0" quotePrefix="0" xfId="0">
      <alignment vertical="center"/>
    </xf>
    <xf numFmtId="14" fontId="11" fillId="2" borderId="13" applyAlignment="1" pivotButton="0" quotePrefix="0" xfId="0">
      <alignment horizontal="center"/>
    </xf>
    <xf numFmtId="14" fontId="3" fillId="2" borderId="13" applyAlignment="1" pivotButton="0" quotePrefix="0" xfId="0">
      <alignment horizontal="center"/>
    </xf>
    <xf numFmtId="0" fontId="3" fillId="2" borderId="14" applyAlignment="1" pivotButton="0" quotePrefix="0" xfId="0">
      <alignment horizontal="center"/>
    </xf>
    <xf numFmtId="0" fontId="3" fillId="2" borderId="15" applyAlignment="1" pivotButton="0" quotePrefix="0" xfId="0">
      <alignment horizontal="center"/>
    </xf>
    <xf numFmtId="0" fontId="3" fillId="2" borderId="16" applyAlignment="1" pivotButton="0" quotePrefix="0" xfId="0">
      <alignment horizontal="center"/>
    </xf>
    <xf numFmtId="3" fontId="0" fillId="2" borderId="17" applyAlignment="1" pivotButton="0" quotePrefix="0" xfId="0">
      <alignment horizontal="center"/>
    </xf>
    <xf numFmtId="0" fontId="6" fillId="2" borderId="3" applyAlignment="1" pivotButton="0" quotePrefix="0" xfId="0">
      <alignment horizontal="center"/>
    </xf>
    <xf numFmtId="0" fontId="6" fillId="2" borderId="5" applyAlignment="1" pivotButton="0" quotePrefix="0" xfId="0">
      <alignment horizontal="center"/>
    </xf>
    <xf numFmtId="1" fontId="0" fillId="2" borderId="17" applyAlignment="1" pivotButton="0" quotePrefix="0" xfId="8">
      <alignment horizontal="center"/>
    </xf>
    <xf numFmtId="0" fontId="6" fillId="2" borderId="7" applyAlignment="1" pivotButton="0" quotePrefix="0" xfId="0">
      <alignment horizontal="center" vertical="center"/>
    </xf>
    <xf numFmtId="3" fontId="0" fillId="2" borderId="0" pivotButton="0" quotePrefix="0" xfId="0"/>
    <xf numFmtId="1" fontId="0" fillId="2" borderId="0" pivotButton="0" quotePrefix="0" xfId="0"/>
    <xf numFmtId="0" fontId="0" fillId="0" borderId="0" applyAlignment="1" pivotButton="0" quotePrefix="0" xfId="0">
      <alignment wrapText="1"/>
    </xf>
    <xf numFmtId="0" fontId="0" fillId="0" borderId="0" pivotButton="0" quotePrefix="0" xfId="0"/>
    <xf numFmtId="164" fontId="0" fillId="2" borderId="1" applyAlignment="1" pivotButton="0" quotePrefix="0" xfId="0">
      <alignment horizontal="center"/>
    </xf>
    <xf numFmtId="165" fontId="0" fillId="2" borderId="1" applyAlignment="1" pivotButton="0" quotePrefix="0" xfId="8">
      <alignment horizontal="center"/>
    </xf>
    <xf numFmtId="164" fontId="0" fillId="2" borderId="18" applyAlignment="1" pivotButton="0" quotePrefix="0" xfId="0">
      <alignment horizontal="center"/>
    </xf>
    <xf numFmtId="165" fontId="0" fillId="2" borderId="18" applyAlignment="1" pivotButton="0" quotePrefix="0" xfId="8">
      <alignment horizontal="center"/>
    </xf>
    <xf numFmtId="166" fontId="0" fillId="2" borderId="1" applyAlignment="1" pivotButton="0" quotePrefix="0" xfId="0">
      <alignment horizontal="center"/>
    </xf>
    <xf numFmtId="165" fontId="1" fillId="2" borderId="0" pivotButton="0" quotePrefix="0" xfId="2"/>
    <xf numFmtId="14" fontId="0" fillId="2" borderId="1" applyAlignment="1" pivotButton="0" quotePrefix="0" xfId="0">
      <alignment horizontal="center"/>
    </xf>
    <xf numFmtId="2" fontId="0" fillId="2" borderId="1" applyAlignment="1" pivotButton="0" quotePrefix="0" xfId="0">
      <alignment horizontal="center"/>
    </xf>
    <xf numFmtId="0" fontId="0" fillId="2" borderId="1" applyAlignment="1" pivotButton="0" quotePrefix="0" xfId="0">
      <alignment horizontal="center"/>
    </xf>
    <xf numFmtId="0" fontId="0" fillId="2" borderId="0" pivotButton="0" quotePrefix="0" xfId="0"/>
    <xf numFmtId="0" fontId="0" fillId="2" borderId="0" applyAlignment="1" pivotButton="0" quotePrefix="0" xfId="0">
      <alignment wrapText="1"/>
    </xf>
    <xf numFmtId="167" fontId="0" fillId="0" borderId="0" pivotButton="0" quotePrefix="0" xfId="0"/>
    <xf numFmtId="0" fontId="0" fillId="2" borderId="0" applyAlignment="1" pivotButton="0" quotePrefix="0" xfId="0">
      <alignment wrapText="1"/>
    </xf>
    <xf numFmtId="0" fontId="0" fillId="2" borderId="0" pivotButton="0" quotePrefix="0" xfId="0"/>
    <xf numFmtId="0" fontId="3" fillId="11" borderId="1" applyAlignment="1" pivotButton="0" quotePrefix="0" xfId="0">
      <alignment horizontal="center"/>
    </xf>
    <xf numFmtId="0" fontId="0" fillId="0" borderId="11" pivotButton="0" quotePrefix="0" xfId="0"/>
    <xf numFmtId="0" fontId="0" fillId="0" borderId="12" pivotButton="0" quotePrefix="0" xfId="0"/>
    <xf numFmtId="0" fontId="3" fillId="2" borderId="2" applyAlignment="1" pivotButton="0" quotePrefix="0" xfId="0">
      <alignment wrapText="1"/>
    </xf>
    <xf numFmtId="0" fontId="0" fillId="0" borderId="19" pivotButton="0" quotePrefix="0" xfId="0"/>
    <xf numFmtId="0" fontId="3" fillId="2" borderId="4" applyAlignment="1" pivotButton="0" quotePrefix="0" xfId="0">
      <alignment wrapText="1"/>
    </xf>
    <xf numFmtId="0" fontId="3" fillId="2" borderId="6" applyAlignment="1" pivotButton="0" quotePrefix="0" xfId="0">
      <alignment wrapText="1"/>
    </xf>
    <xf numFmtId="0" fontId="0" fillId="0" borderId="20" pivotButton="0" quotePrefix="0" xfId="0"/>
    <xf numFmtId="0" fontId="3" fillId="2" borderId="8" applyAlignment="1" pivotButton="0" quotePrefix="0" xfId="0">
      <alignment horizontal="center" vertical="center"/>
    </xf>
    <xf numFmtId="0" fontId="0" fillId="0" borderId="8" pivotButton="0" quotePrefix="0" xfId="0"/>
    <xf numFmtId="0" fontId="2" fillId="9" borderId="21" applyAlignment="1" pivotButton="0" quotePrefix="0" xfId="0">
      <alignment horizontal="center"/>
    </xf>
    <xf numFmtId="0" fontId="0" fillId="0" borderId="9" pivotButton="0" quotePrefix="0" xfId="0"/>
    <xf numFmtId="0" fontId="0" fillId="0" borderId="10" pivotButton="0" quotePrefix="0" xfId="0"/>
    <xf numFmtId="168" fontId="0" fillId="0" borderId="0" pivotButton="0" quotePrefix="0" xfId="0"/>
    <xf numFmtId="168" fontId="0" fillId="0" borderId="0" pivotButton="0" quotePrefix="0" xfId="0"/>
  </cellXfs>
  <cellStyles count="10">
    <cellStyle name="Normal" xfId="0" builtinId="0"/>
    <cellStyle name="Normal 2" xfId="1"/>
    <cellStyle name="Normal 3" xfId="2"/>
    <cellStyle name="Hyperlink" xfId="3" builtinId="8"/>
    <cellStyle name="Normal 4" xfId="4"/>
    <cellStyle name="Normal 5" xfId="5"/>
    <cellStyle name="Normal 6" xfId="6"/>
    <cellStyle name="blp_column_header" xfId="7"/>
    <cellStyle name="Percent" xfId="8" builtinId="5"/>
    <cellStyle name="Normal 7" xfId="9"/>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name val="Arial"/>
        <strike val="0"/>
        <outline val="0"/>
        <shadow val="0"/>
        <condense val="0"/>
        <color auto="1"/>
        <extend val="0"/>
        <sz val="10"/>
        <vertAlign val="baseline"/>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11"/>
        <vertAlign val="baseline"/>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NFP!$A$120:$A$1021</f>
              <numCache>
                <formatCode>yyyy\-mm\-dd</formatCode>
                <ptCount val="90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NFP!$E$120:$E$1021</f>
              <numCache>
                <formatCode>General</formatCode>
                <ptCount val="902"/>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3.6</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6.4</v>
                </pt>
                <pt idx="877">
                  <v>6.2</v>
                </pt>
                <pt idx="878">
                  <v>6</v>
                </pt>
                <pt idx="879">
                  <v>6</v>
                </pt>
                <pt idx="880">
                  <v>5.8</v>
                </pt>
                <pt idx="881">
                  <v>5.9</v>
                </pt>
                <pt idx="882">
                  <v>5.4</v>
                </pt>
                <pt idx="883">
                  <v>5.2</v>
                </pt>
                <pt idx="884">
                  <v>4.7</v>
                </pt>
                <pt idx="885">
                  <v>4.6</v>
                </pt>
                <pt idx="886">
                  <v>4.2</v>
                </pt>
                <pt idx="887">
                  <v>3.9</v>
                </pt>
                <pt idx="888">
                  <v>4</v>
                </pt>
                <pt idx="889">
                  <v>3.8</v>
                </pt>
                <pt idx="890">
                  <v>3.6</v>
                </pt>
                <pt idx="891">
                  <v>3.6</v>
                </pt>
                <pt idx="892">
                  <v>3.6</v>
                </pt>
                <pt idx="893">
                  <v>3.6</v>
                </pt>
                <pt idx="894">
                  <v>3.5</v>
                </pt>
                <pt idx="895">
                  <v>3.7</v>
                </pt>
                <pt idx="896">
                  <v>3.5</v>
                </pt>
                <pt idx="897">
                  <v>3.7</v>
                </pt>
                <pt idx="898">
                  <v>3.7</v>
                </pt>
              </numCache>
            </numRef>
          </val>
          <smooth val="0"/>
        </ser>
        <dLbls>
          <showLegendKey val="0"/>
          <showVal val="0"/>
          <showCatName val="0"/>
          <showSerName val="0"/>
          <showPercent val="0"/>
          <showBubbleSize val="0"/>
        </dLbls>
        <smooth val="0"/>
        <axId val="1034260720"/>
        <axId val="1034261112"/>
      </lineChart>
      <dateAx>
        <axId val="1034260720"/>
        <scaling>
          <orientation val="minMax"/>
          <min val="3658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NFP!$A$120:$A$1027</f>
              <numCache>
                <formatCode>yyyy\-mm\-dd</formatCode>
                <ptCount val="90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NFP!$E$120:$E$1027</f>
              <numCache>
                <formatCode>General</formatCode>
                <ptCount val="908"/>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3.6</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6.4</v>
                </pt>
                <pt idx="877">
                  <v>6.2</v>
                </pt>
                <pt idx="878">
                  <v>6</v>
                </pt>
                <pt idx="879">
                  <v>6</v>
                </pt>
                <pt idx="880">
                  <v>5.8</v>
                </pt>
                <pt idx="881">
                  <v>5.9</v>
                </pt>
                <pt idx="882">
                  <v>5.4</v>
                </pt>
                <pt idx="883">
                  <v>5.2</v>
                </pt>
                <pt idx="884">
                  <v>4.7</v>
                </pt>
                <pt idx="885">
                  <v>4.6</v>
                </pt>
                <pt idx="886">
                  <v>4.2</v>
                </pt>
                <pt idx="887">
                  <v>3.9</v>
                </pt>
                <pt idx="888">
                  <v>4</v>
                </pt>
                <pt idx="889">
                  <v>3.8</v>
                </pt>
                <pt idx="890">
                  <v>3.6</v>
                </pt>
                <pt idx="891">
                  <v>3.6</v>
                </pt>
                <pt idx="892">
                  <v>3.6</v>
                </pt>
                <pt idx="893">
                  <v>3.6</v>
                </pt>
                <pt idx="894">
                  <v>3.5</v>
                </pt>
                <pt idx="895">
                  <v>3.7</v>
                </pt>
                <pt idx="896">
                  <v>3.5</v>
                </pt>
                <pt idx="897">
                  <v>3.7</v>
                </pt>
                <pt idx="898">
                  <v>3.7</v>
                </pt>
              </numCache>
            </numRef>
          </val>
          <smooth val="0"/>
        </ser>
        <dLbls>
          <showLegendKey val="0"/>
          <showVal val="0"/>
          <showCatName val="0"/>
          <showSerName val="0"/>
          <showPercent val="0"/>
          <showBubbleSize val="0"/>
        </dLbls>
        <smooth val="0"/>
        <axId val="1034260720"/>
        <axId val="1034261112"/>
      </lineChart>
      <dateAx>
        <axId val="1034260720"/>
        <scaling>
          <orientation val="minMax"/>
          <min val="17593"/>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NFP!$F$11</f>
              <strCache>
                <ptCount val="1"/>
                <pt idx="0">
                  <v>Participation Rate</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NFP!$A$120:$A$1027</f>
              <numCache>
                <formatCode>yyyy\-mm\-dd</formatCode>
                <ptCount val="90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NFP!$F$120:$F$1027</f>
              <numCache>
                <formatCode>General</formatCode>
                <ptCount val="908"/>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62.9</v>
                </pt>
                <pt idx="830">
                  <v>62.9</v>
                </pt>
                <pt idx="831">
                  <v>63</v>
                </pt>
                <pt idx="832">
                  <v>62.8</v>
                </pt>
                <pt idx="833">
                  <v>62.8</v>
                </pt>
                <pt idx="834">
                  <v>62.9</v>
                </pt>
                <pt idx="835">
                  <v>62.9</v>
                </pt>
                <pt idx="836">
                  <v>63.1</v>
                </pt>
                <pt idx="837">
                  <v>62.7</v>
                </pt>
                <pt idx="838">
                  <v>62.7</v>
                </pt>
                <pt idx="839">
                  <v>62.7</v>
                </pt>
                <pt idx="840">
                  <v>62.7</v>
                </pt>
                <pt idx="841">
                  <v>63</v>
                </pt>
                <pt idx="842">
                  <v>62.9</v>
                </pt>
                <pt idx="843">
                  <v>62.9</v>
                </pt>
                <pt idx="844">
                  <v>62.9</v>
                </pt>
                <pt idx="845">
                  <v>62.9</v>
                </pt>
                <pt idx="846">
                  <v>62.9</v>
                </pt>
                <pt idx="847">
                  <v>62.7</v>
                </pt>
                <pt idx="848">
                  <v>62.7</v>
                </pt>
                <pt idx="849">
                  <v>62.9</v>
                </pt>
                <pt idx="850">
                  <v>62.9</v>
                </pt>
                <pt idx="851">
                  <v>63</v>
                </pt>
                <pt idx="852">
                  <v>63.1</v>
                </pt>
                <pt idx="853">
                  <v>63.1</v>
                </pt>
                <pt idx="854">
                  <v>63.1</v>
                </pt>
                <pt idx="855">
                  <v>62.9</v>
                </pt>
                <pt idx="856">
                  <v>62.9</v>
                </pt>
                <pt idx="857">
                  <v>62.9</v>
                </pt>
                <pt idx="858">
                  <v>63.1</v>
                </pt>
                <pt idx="859">
                  <v>63.1</v>
                </pt>
                <pt idx="860">
                  <v>63.2</v>
                </pt>
                <pt idx="861">
                  <v>63.2</v>
                </pt>
                <pt idx="862">
                  <v>63.2</v>
                </pt>
                <pt idx="863">
                  <v>63.3</v>
                </pt>
                <pt idx="864">
                  <v>63.4</v>
                </pt>
                <pt idx="865">
                  <v>63.4</v>
                </pt>
                <pt idx="866">
                  <v>62.7</v>
                </pt>
                <pt idx="867">
                  <v>60.2</v>
                </pt>
                <pt idx="868">
                  <v>60.8</v>
                </pt>
                <pt idx="869">
                  <v>61.4</v>
                </pt>
                <pt idx="870">
                  <v>61.5</v>
                </pt>
                <pt idx="871">
                  <v>61.7</v>
                </pt>
                <pt idx="872">
                  <v>61.4</v>
                </pt>
                <pt idx="873">
                  <v>61.6</v>
                </pt>
                <pt idx="874">
                  <v>61.5</v>
                </pt>
                <pt idx="875">
                  <v>61.5</v>
                </pt>
                <pt idx="876">
                  <v>61.4</v>
                </pt>
                <pt idx="877">
                  <v>61.5</v>
                </pt>
                <pt idx="878">
                  <v>61.5</v>
                </pt>
                <pt idx="879">
                  <v>61.7</v>
                </pt>
                <pt idx="880">
                  <v>61.6</v>
                </pt>
                <pt idx="881">
                  <v>61.6</v>
                </pt>
                <pt idx="882">
                  <v>61.7</v>
                </pt>
                <pt idx="883">
                  <v>61.7</v>
                </pt>
                <pt idx="884">
                  <v>61.7</v>
                </pt>
                <pt idx="885">
                  <v>61.7</v>
                </pt>
                <pt idx="886">
                  <v>61.9</v>
                </pt>
                <pt idx="887">
                  <v>61.9</v>
                </pt>
                <pt idx="888">
                  <v>62.2</v>
                </pt>
                <pt idx="889">
                  <v>62.3</v>
                </pt>
                <pt idx="890">
                  <v>62.4</v>
                </pt>
                <pt idx="891">
                  <v>62.2</v>
                </pt>
                <pt idx="892">
                  <v>62.3</v>
                </pt>
                <pt idx="893">
                  <v>62.2</v>
                </pt>
                <pt idx="894">
                  <v>62.1</v>
                </pt>
                <pt idx="895">
                  <v>62.4</v>
                </pt>
                <pt idx="896">
                  <v>62.3</v>
                </pt>
                <pt idx="897">
                  <v>62.2</v>
                </pt>
                <pt idx="898">
                  <v>62.1</v>
                </pt>
              </numCache>
            </numRef>
          </val>
          <smooth val="0"/>
        </ser>
        <dLbls>
          <showLegendKey val="0"/>
          <showVal val="0"/>
          <showCatName val="0"/>
          <showSerName val="0"/>
          <showPercent val="0"/>
          <showBubbleSize val="0"/>
        </dLbls>
        <smooth val="0"/>
        <axId val="790027088"/>
        <axId val="790026760"/>
      </lineChart>
      <dateAx>
        <axId val="790027088"/>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6760"/>
        <crosses val="autoZero"/>
        <lblOffset val="100"/>
        <baseTimeUnit val="months"/>
        <majorUnit val="12"/>
        <majorTimeUnit val="months"/>
      </dateAx>
      <valAx>
        <axId val="79002676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70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NFP!$A$1</f>
          <strCache>
            <ptCount val="1"/>
            <pt idx="0">
              <v>PAYEMS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NFP!$B$11</f>
              <strCache>
                <ptCount val="1"/>
                <pt idx="0">
                  <v>PAYEMS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NFP!$A$864:$A$1021</f>
              <numCache>
                <formatCode>yyyy\-mm\-dd</formatCode>
                <ptCount val="158"/>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numCache>
            </numRef>
          </cat>
          <val>
            <numRef>
              <f>NFP!$B$864:$B$1021</f>
              <numCache>
                <formatCode>#,##0</formatCode>
                <ptCount val="158"/>
                <pt idx="0">
                  <v>129790</v>
                </pt>
                <pt idx="1">
                  <v>129698</v>
                </pt>
                <pt idx="2">
                  <v>129879</v>
                </pt>
                <pt idx="3">
                  <v>130110</v>
                </pt>
                <pt idx="4">
                  <v>130650</v>
                </pt>
                <pt idx="5">
                  <v>130511</v>
                </pt>
                <pt idx="6">
                  <v>130427</v>
                </pt>
                <pt idx="7">
                  <v>130422</v>
                </pt>
                <pt idx="8">
                  <v>130357</v>
                </pt>
                <pt idx="9">
                  <v>130625</v>
                </pt>
                <pt idx="10">
                  <v>130750</v>
                </pt>
                <pt idx="11">
                  <v>130822</v>
                </pt>
                <pt idx="12">
                  <v>130841</v>
                </pt>
                <pt idx="13">
                  <v>131053</v>
                </pt>
                <pt idx="14">
                  <v>131288</v>
                </pt>
                <pt idx="15">
                  <v>131602</v>
                </pt>
                <pt idx="16">
                  <v>131703</v>
                </pt>
                <pt idx="17">
                  <v>131939</v>
                </pt>
                <pt idx="18">
                  <v>131999</v>
                </pt>
                <pt idx="19">
                  <v>132125</v>
                </pt>
                <pt idx="20">
                  <v>132358</v>
                </pt>
                <pt idx="21">
                  <v>132562</v>
                </pt>
                <pt idx="22">
                  <v>132694</v>
                </pt>
                <pt idx="23">
                  <v>132896</v>
                </pt>
                <pt idx="24">
                  <v>133250</v>
                </pt>
                <pt idx="25">
                  <v>133512</v>
                </pt>
                <pt idx="26">
                  <v>133752</v>
                </pt>
                <pt idx="27">
                  <v>133834</v>
                </pt>
                <pt idx="28">
                  <v>133934</v>
                </pt>
                <pt idx="29">
                  <v>134007</v>
                </pt>
                <pt idx="30">
                  <v>134159</v>
                </pt>
                <pt idx="31">
                  <v>134331</v>
                </pt>
                <pt idx="32">
                  <v>134518</v>
                </pt>
                <pt idx="33">
                  <v>134677</v>
                </pt>
                <pt idx="34">
                  <v>134833</v>
                </pt>
                <pt idx="35">
                  <v>135072</v>
                </pt>
                <pt idx="36">
                  <v>135263</v>
                </pt>
                <pt idx="37">
                  <v>135541</v>
                </pt>
                <pt idx="38">
                  <v>135680</v>
                </pt>
                <pt idx="39">
                  <v>135871</v>
                </pt>
                <pt idx="40">
                  <v>136093</v>
                </pt>
                <pt idx="41">
                  <v>136274</v>
                </pt>
                <pt idx="42">
                  <v>136386</v>
                </pt>
                <pt idx="43">
                  <v>136628</v>
                </pt>
                <pt idx="44">
                  <v>136815</v>
                </pt>
                <pt idx="45">
                  <v>137040</v>
                </pt>
                <pt idx="46">
                  <v>137304</v>
                </pt>
                <pt idx="47">
                  <v>137373</v>
                </pt>
                <pt idx="48">
                  <v>137548</v>
                </pt>
                <pt idx="49">
                  <v>137714</v>
                </pt>
                <pt idx="50">
                  <v>137968</v>
                </pt>
                <pt idx="51">
                  <v>138293</v>
                </pt>
                <pt idx="52">
                  <v>138511</v>
                </pt>
                <pt idx="53">
                  <v>138837</v>
                </pt>
                <pt idx="54">
                  <v>139069</v>
                </pt>
                <pt idx="55">
                  <v>139257</v>
                </pt>
                <pt idx="56">
                  <v>139566</v>
                </pt>
                <pt idx="57">
                  <v>139818</v>
                </pt>
                <pt idx="58">
                  <v>140109</v>
                </pt>
                <pt idx="59">
                  <v>140377</v>
                </pt>
                <pt idx="60">
                  <v>140568</v>
                </pt>
                <pt idx="61">
                  <v>140839</v>
                </pt>
                <pt idx="62">
                  <v>140910</v>
                </pt>
                <pt idx="63">
                  <v>141194</v>
                </pt>
                <pt idx="64">
                  <v>141525</v>
                </pt>
                <pt idx="65">
                  <v>141699</v>
                </pt>
                <pt idx="66">
                  <v>142001</v>
                </pt>
                <pt idx="67">
                  <v>142126</v>
                </pt>
                <pt idx="68">
                  <v>142281</v>
                </pt>
                <pt idx="69">
                  <v>142587</v>
                </pt>
                <pt idx="70">
                  <v>142824</v>
                </pt>
                <pt idx="71">
                  <v>143097</v>
                </pt>
                <pt idx="72">
                  <v>143205</v>
                </pt>
                <pt idx="73">
                  <v>143417</v>
                </pt>
                <pt idx="74">
                  <v>143654</v>
                </pt>
                <pt idx="75">
                  <v>143851</v>
                </pt>
                <pt idx="76">
                  <v>143892</v>
                </pt>
                <pt idx="77">
                  <v>144150</v>
                </pt>
                <pt idx="78">
                  <v>144521</v>
                </pt>
                <pt idx="79">
                  <v>144664</v>
                </pt>
                <pt idx="80">
                  <v>144953</v>
                </pt>
                <pt idx="81">
                  <v>145071</v>
                </pt>
                <pt idx="82">
                  <v>145201</v>
                </pt>
                <pt idx="83">
                  <v>145415</v>
                </pt>
                <pt idx="84">
                  <v>145628</v>
                </pt>
                <pt idx="85">
                  <v>145818</v>
                </pt>
                <pt idx="86">
                  <v>145960</v>
                </pt>
                <pt idx="87">
                  <v>146165</v>
                </pt>
                <pt idx="88">
                  <v>146388</v>
                </pt>
                <pt idx="89">
                  <v>146585</v>
                </pt>
                <pt idx="90">
                  <v>146768</v>
                </pt>
                <pt idx="91">
                  <v>146913</v>
                </pt>
                <pt idx="92">
                  <v>147012</v>
                </pt>
                <pt idx="93">
                  <v>147153</v>
                </pt>
                <pt idx="94">
                  <v>147353</v>
                </pt>
                <pt idx="95">
                  <v>147529</v>
                </pt>
                <pt idx="96">
                  <v>147662</v>
                </pt>
                <pt idx="97">
                  <v>148064</v>
                </pt>
                <pt idx="98">
                  <v>148289</v>
                </pt>
                <pt idx="99">
                  <v>148468</v>
                </pt>
                <pt idx="100">
                  <v>148801</v>
                </pt>
                <pt idx="101">
                  <v>148984</v>
                </pt>
                <pt idx="102">
                  <v>149050</v>
                </pt>
                <pt idx="103">
                  <v>149269</v>
                </pt>
                <pt idx="104">
                  <v>149326</v>
                </pt>
                <pt idx="105">
                  <v>149471</v>
                </pt>
                <pt idx="106">
                  <v>149573</v>
                </pt>
                <pt idx="107">
                  <v>149821</v>
                </pt>
                <pt idx="108">
                  <v>150100</v>
                </pt>
                <pt idx="109">
                  <v>150124</v>
                </pt>
                <pt idx="110">
                  <v>150348</v>
                </pt>
                <pt idx="111">
                  <v>150636</v>
                </pt>
                <pt idx="112">
                  <v>150713</v>
                </pt>
                <pt idx="113">
                  <v>150843</v>
                </pt>
                <pt idx="114">
                  <v>150921</v>
                </pt>
                <pt idx="115">
                  <v>151081</v>
                </pt>
                <pt idx="116">
                  <v>151244</v>
                </pt>
                <pt idx="117">
                  <v>151337</v>
                </pt>
                <pt idx="118">
                  <v>151589</v>
                </pt>
                <pt idx="119">
                  <v>151789</v>
                </pt>
                <pt idx="120">
                  <v>152128</v>
                </pt>
                <pt idx="121">
                  <v>152504</v>
                </pt>
                <pt idx="122">
                  <v>151006</v>
                </pt>
                <pt idx="123">
                  <v>130513</v>
                </pt>
                <pt idx="124">
                  <v>133155</v>
                </pt>
                <pt idx="125">
                  <v>137660</v>
                </pt>
                <pt idx="126">
                  <v>139048</v>
                </pt>
                <pt idx="127">
                  <v>140713</v>
                </pt>
                <pt idx="128">
                  <v>141632</v>
                </pt>
                <pt idx="129">
                  <v>142279</v>
                </pt>
                <pt idx="130">
                  <v>142612</v>
                </pt>
                <pt idx="131">
                  <v>142497</v>
                </pt>
                <pt idx="132">
                  <v>143017</v>
                </pt>
                <pt idx="133">
                  <v>143727</v>
                </pt>
                <pt idx="134">
                  <v>144431</v>
                </pt>
                <pt idx="135">
                  <v>144694</v>
                </pt>
                <pt idx="136">
                  <v>145141</v>
                </pt>
                <pt idx="137">
                  <v>145698</v>
                </pt>
                <pt idx="138">
                  <v>146387</v>
                </pt>
                <pt idx="139">
                  <v>146904</v>
                </pt>
                <pt idx="140">
                  <v>147328</v>
                </pt>
                <pt idx="141">
                  <v>148005</v>
                </pt>
                <pt idx="142">
                  <v>148652</v>
                </pt>
                <pt idx="143">
                  <v>149240</v>
                </pt>
                <pt idx="144">
                  <v>149744</v>
                </pt>
                <pt idx="145">
                  <v>150458</v>
                </pt>
                <pt idx="146">
                  <v>150856</v>
                </pt>
                <pt idx="147">
                  <v>151224</v>
                </pt>
                <pt idx="148">
                  <v>151610</v>
                </pt>
                <pt idx="149">
                  <v>151903</v>
                </pt>
                <pt idx="150">
                  <v>152440</v>
                </pt>
                <pt idx="151">
                  <v>152732</v>
                </pt>
                <pt idx="152">
                  <v>153001</v>
                </pt>
                <pt idx="153">
                  <v>153285</v>
                </pt>
                <pt idx="154">
                  <v>153548</v>
                </pt>
              </numCache>
            </numRef>
          </val>
          <smooth val="0"/>
        </ser>
        <dLbls>
          <showLegendKey val="0"/>
          <showVal val="0"/>
          <showCatName val="0"/>
          <showSerName val="0"/>
          <showPercent val="0"/>
          <showBubbleSize val="0"/>
        </dLbls>
        <smooth val="0"/>
        <axId val="1175556896"/>
        <axId val="1175558640"/>
      </lineChart>
      <dateAx>
        <axId val="1175556896"/>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5558640"/>
        <crosses val="autoZero"/>
        <lblOffset val="100"/>
        <baseTimeUnit val="months"/>
      </dateAx>
      <valAx>
        <axId val="1175558640"/>
        <scaling>
          <orientation val="minMax"/>
          <min val="12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5556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strRef>
          <f>Table1[[#Headers],[Monthly Change in k]]</f>
          <strCache>
            <ptCount val="1"/>
            <pt idx="0">
              <v>Monthly Change in k</v>
            </pt>
          </strCache>
        </strRef>
      </tx>
      <overlay val="0"/>
      <spPr>
        <a:noFill xmlns:a="http://schemas.openxmlformats.org/drawingml/2006/main"/>
        <a:ln xmlns:a="http://schemas.openxmlformats.org/drawingml/2006/main">
          <a:noFill/>
          <a:prstDash val="solid"/>
        </a:ln>
      </spPr>
    </title>
    <plotArea>
      <layout/>
      <lineChart>
        <grouping val="standard"/>
        <varyColors val="0"/>
        <ser>
          <idx val="1"/>
          <order val="0"/>
          <tx>
            <strRef>
              <f>NFP!$C$11</f>
              <strCache>
                <ptCount val="1"/>
                <pt idx="0">
                  <v>Monthly Change in k</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NFP!$A$864:$A$1013</f>
              <numCache>
                <formatCode>yyyy\-mm\-dd</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NFP!$C$864:$C$1013</f>
              <numCache>
                <formatCode>0</formatCode>
                <ptCount val="150"/>
                <pt idx="0">
                  <v>2</v>
                </pt>
                <pt idx="1">
                  <v>-92</v>
                </pt>
                <pt idx="2">
                  <v>181</v>
                </pt>
                <pt idx="3">
                  <v>231</v>
                </pt>
                <pt idx="4">
                  <v>540</v>
                </pt>
                <pt idx="5">
                  <v>-139</v>
                </pt>
                <pt idx="6">
                  <v>-84</v>
                </pt>
                <pt idx="7">
                  <v>-5</v>
                </pt>
                <pt idx="8">
                  <v>-65</v>
                </pt>
                <pt idx="9">
                  <v>268</v>
                </pt>
                <pt idx="10">
                  <v>125</v>
                </pt>
                <pt idx="11">
                  <v>72</v>
                </pt>
                <pt idx="12">
                  <v>19</v>
                </pt>
                <pt idx="13">
                  <v>212</v>
                </pt>
                <pt idx="14">
                  <v>235</v>
                </pt>
                <pt idx="15">
                  <v>314</v>
                </pt>
                <pt idx="16">
                  <v>101</v>
                </pt>
                <pt idx="17">
                  <v>236</v>
                </pt>
                <pt idx="18">
                  <v>60</v>
                </pt>
                <pt idx="19">
                  <v>126</v>
                </pt>
                <pt idx="20">
                  <v>233</v>
                </pt>
                <pt idx="21">
                  <v>204</v>
                </pt>
                <pt idx="22">
                  <v>132</v>
                </pt>
                <pt idx="23">
                  <v>202</v>
                </pt>
                <pt idx="24">
                  <v>354</v>
                </pt>
                <pt idx="25">
                  <v>262</v>
                </pt>
                <pt idx="26">
                  <v>240</v>
                </pt>
                <pt idx="27">
                  <v>82</v>
                </pt>
                <pt idx="28">
                  <v>100</v>
                </pt>
                <pt idx="29">
                  <v>73</v>
                </pt>
                <pt idx="30">
                  <v>152</v>
                </pt>
                <pt idx="31">
                  <v>172</v>
                </pt>
                <pt idx="32">
                  <v>187</v>
                </pt>
                <pt idx="33">
                  <v>159</v>
                </pt>
                <pt idx="34">
                  <v>156</v>
                </pt>
                <pt idx="35">
                  <v>239</v>
                </pt>
                <pt idx="36">
                  <v>191</v>
                </pt>
                <pt idx="37">
                  <v>278</v>
                </pt>
                <pt idx="38">
                  <v>139</v>
                </pt>
                <pt idx="39">
                  <v>191</v>
                </pt>
                <pt idx="40">
                  <v>222</v>
                </pt>
                <pt idx="41">
                  <v>181</v>
                </pt>
                <pt idx="42">
                  <v>112</v>
                </pt>
                <pt idx="43">
                  <v>242</v>
                </pt>
                <pt idx="44">
                  <v>187</v>
                </pt>
                <pt idx="45">
                  <v>225</v>
                </pt>
                <pt idx="46">
                  <v>264</v>
                </pt>
                <pt idx="47">
                  <v>69</v>
                </pt>
                <pt idx="48">
                  <v>175</v>
                </pt>
                <pt idx="49">
                  <v>166</v>
                </pt>
                <pt idx="50">
                  <v>254</v>
                </pt>
                <pt idx="51">
                  <v>325</v>
                </pt>
                <pt idx="52">
                  <v>218</v>
                </pt>
                <pt idx="53">
                  <v>326</v>
                </pt>
                <pt idx="54">
                  <v>232</v>
                </pt>
                <pt idx="55">
                  <v>188</v>
                </pt>
                <pt idx="56">
                  <v>309</v>
                </pt>
                <pt idx="57">
                  <v>252</v>
                </pt>
                <pt idx="58">
                  <v>291</v>
                </pt>
                <pt idx="59">
                  <v>268</v>
                </pt>
                <pt idx="60">
                  <v>191</v>
                </pt>
                <pt idx="61">
                  <v>271</v>
                </pt>
                <pt idx="62">
                  <v>71</v>
                </pt>
                <pt idx="63">
                  <v>284</v>
                </pt>
                <pt idx="64">
                  <v>331</v>
                </pt>
                <pt idx="65">
                  <v>174</v>
                </pt>
                <pt idx="66">
                  <v>302</v>
                </pt>
                <pt idx="67">
                  <v>125</v>
                </pt>
                <pt idx="68">
                  <v>155</v>
                </pt>
                <pt idx="69">
                  <v>306</v>
                </pt>
                <pt idx="70">
                  <v>237</v>
                </pt>
                <pt idx="71">
                  <v>273</v>
                </pt>
                <pt idx="72">
                  <v>108</v>
                </pt>
                <pt idx="73">
                  <v>212</v>
                </pt>
                <pt idx="74">
                  <v>237</v>
                </pt>
                <pt idx="75">
                  <v>197</v>
                </pt>
                <pt idx="76">
                  <v>41</v>
                </pt>
                <pt idx="77">
                  <v>258</v>
                </pt>
                <pt idx="78">
                  <v>371</v>
                </pt>
                <pt idx="79">
                  <v>143</v>
                </pt>
                <pt idx="80">
                  <v>289</v>
                </pt>
                <pt idx="81">
                  <v>118</v>
                </pt>
                <pt idx="82">
                  <v>130</v>
                </pt>
                <pt idx="83">
                  <v>214</v>
                </pt>
                <pt idx="84">
                  <v>213</v>
                </pt>
                <pt idx="85">
                  <v>190</v>
                </pt>
                <pt idx="86">
                  <v>142</v>
                </pt>
                <pt idx="87">
                  <v>205</v>
                </pt>
                <pt idx="88">
                  <v>223</v>
                </pt>
                <pt idx="89">
                  <v>197</v>
                </pt>
                <pt idx="90">
                  <v>183</v>
                </pt>
                <pt idx="91">
                  <v>145</v>
                </pt>
                <pt idx="92">
                  <v>99</v>
                </pt>
                <pt idx="93">
                  <v>141</v>
                </pt>
                <pt idx="94">
                  <v>200</v>
                </pt>
                <pt idx="95">
                  <v>176</v>
                </pt>
                <pt idx="96">
                  <v>133</v>
                </pt>
                <pt idx="97">
                  <v>402</v>
                </pt>
                <pt idx="98">
                  <v>225</v>
                </pt>
                <pt idx="99">
                  <v>179</v>
                </pt>
                <pt idx="100">
                  <v>333</v>
                </pt>
                <pt idx="101">
                  <v>183</v>
                </pt>
                <pt idx="102">
                  <v>66</v>
                </pt>
                <pt idx="103">
                  <v>219</v>
                </pt>
                <pt idx="104">
                  <v>57</v>
                </pt>
                <pt idx="105">
                  <v>145</v>
                </pt>
                <pt idx="106">
                  <v>102</v>
                </pt>
                <pt idx="107">
                  <v>248</v>
                </pt>
                <pt idx="108">
                  <v>279</v>
                </pt>
                <pt idx="109">
                  <v>24</v>
                </pt>
                <pt idx="110">
                  <v>224</v>
                </pt>
                <pt idx="111">
                  <v>288</v>
                </pt>
                <pt idx="112">
                  <v>77</v>
                </pt>
                <pt idx="113">
                  <v>130</v>
                </pt>
                <pt idx="114">
                  <v>78</v>
                </pt>
                <pt idx="115">
                  <v>160</v>
                </pt>
                <pt idx="116">
                  <v>163</v>
                </pt>
                <pt idx="117">
                  <v>93</v>
                </pt>
                <pt idx="118">
                  <v>252</v>
                </pt>
                <pt idx="119">
                  <v>200</v>
                </pt>
                <pt idx="120">
                  <v>339</v>
                </pt>
                <pt idx="121">
                  <v>376</v>
                </pt>
                <pt idx="122">
                  <v>-1498</v>
                </pt>
                <pt idx="123">
                  <v>-20493</v>
                </pt>
                <pt idx="124">
                  <v>2642</v>
                </pt>
                <pt idx="125">
                  <v>4505</v>
                </pt>
                <pt idx="126">
                  <v>1388</v>
                </pt>
                <pt idx="127">
                  <v>1665</v>
                </pt>
                <pt idx="128">
                  <v>919</v>
                </pt>
                <pt idx="129">
                  <v>647</v>
                </pt>
                <pt idx="130">
                  <v>333</v>
                </pt>
                <pt idx="131">
                  <v>-115</v>
                </pt>
                <pt idx="132">
                  <v>520</v>
                </pt>
                <pt idx="133">
                  <v>710</v>
                </pt>
                <pt idx="134">
                  <v>704</v>
                </pt>
                <pt idx="135">
                  <v>263</v>
                </pt>
                <pt idx="136">
                  <v>447</v>
                </pt>
                <pt idx="137">
                  <v>557</v>
                </pt>
                <pt idx="138">
                  <v>689</v>
                </pt>
                <pt idx="139">
                  <v>517</v>
                </pt>
                <pt idx="140">
                  <v>424</v>
                </pt>
                <pt idx="141">
                  <v>677</v>
                </pt>
                <pt idx="142">
                  <v>647</v>
                </pt>
                <pt idx="143">
                  <v>588</v>
                </pt>
                <pt idx="144">
                  <v>504</v>
                </pt>
                <pt idx="145">
                  <v>714</v>
                </pt>
                <pt idx="146">
                  <v>398</v>
                </pt>
                <pt idx="147">
                  <v>368</v>
                </pt>
                <pt idx="148">
                  <v>386</v>
                </pt>
                <pt idx="149">
                  <v>293</v>
                </pt>
              </numCache>
            </numRef>
          </val>
          <smooth val="0"/>
        </ser>
        <dLbls>
          <showLegendKey val="0"/>
          <showVal val="0"/>
          <showCatName val="0"/>
          <showSerName val="0"/>
          <showPercent val="0"/>
          <showBubbleSize val="0"/>
        </dLbls>
        <smooth val="0"/>
        <axId val="1343153840"/>
        <axId val="443648687"/>
      </lineChart>
      <dateAx>
        <axId val="1343153840"/>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3648687"/>
        <crosses val="autoZero"/>
        <lblOffset val="100"/>
        <baseTimeUnit val="months"/>
      </dateAx>
      <valAx>
        <axId val="443648687"/>
        <scaling>
          <orientation val="minMax"/>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low"/>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3431538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strRef>
          <f>Table4[[#Headers],[Initial Claims]]</f>
          <strCache>
            <ptCount val="1"/>
            <pt idx="0">
              <v>Initial Claims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Claims!$B$4</f>
              <strCache>
                <ptCount val="1"/>
                <pt idx="0">
                  <v>Initial Claims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Claims!$A$2670:$A$2917</f>
              <numCache>
                <formatCode>m/d/yyyy</formatCode>
                <ptCount val="248"/>
                <pt idx="0">
                  <v>43134</v>
                </pt>
                <pt idx="1">
                  <v>43141</v>
                </pt>
                <pt idx="2">
                  <v>43148</v>
                </pt>
                <pt idx="3">
                  <v>43155</v>
                </pt>
                <pt idx="4">
                  <v>43162</v>
                </pt>
                <pt idx="5">
                  <v>43169</v>
                </pt>
                <pt idx="6">
                  <v>43176</v>
                </pt>
                <pt idx="7">
                  <v>43183</v>
                </pt>
                <pt idx="8">
                  <v>43190</v>
                </pt>
                <pt idx="9">
                  <v>43197</v>
                </pt>
                <pt idx="10">
                  <v>43204</v>
                </pt>
                <pt idx="11">
                  <v>43211</v>
                </pt>
                <pt idx="12">
                  <v>43218</v>
                </pt>
                <pt idx="13">
                  <v>43225</v>
                </pt>
                <pt idx="14">
                  <v>43232</v>
                </pt>
                <pt idx="15">
                  <v>43239</v>
                </pt>
                <pt idx="16">
                  <v>43246</v>
                </pt>
                <pt idx="17">
                  <v>43253</v>
                </pt>
                <pt idx="18">
                  <v>43260</v>
                </pt>
                <pt idx="19">
                  <v>43267</v>
                </pt>
                <pt idx="20">
                  <v>43274</v>
                </pt>
                <pt idx="21">
                  <v>43281</v>
                </pt>
                <pt idx="22">
                  <v>43288</v>
                </pt>
                <pt idx="23">
                  <v>43295</v>
                </pt>
                <pt idx="24">
                  <v>43302</v>
                </pt>
                <pt idx="25">
                  <v>43309</v>
                </pt>
                <pt idx="26">
                  <v>43316</v>
                </pt>
                <pt idx="27">
                  <v>43323</v>
                </pt>
                <pt idx="28">
                  <v>43330</v>
                </pt>
                <pt idx="29">
                  <v>43337</v>
                </pt>
                <pt idx="30">
                  <v>43344</v>
                </pt>
                <pt idx="31">
                  <v>43351</v>
                </pt>
                <pt idx="32">
                  <v>43358</v>
                </pt>
                <pt idx="33">
                  <v>43365</v>
                </pt>
                <pt idx="34">
                  <v>43372</v>
                </pt>
                <pt idx="35">
                  <v>43379</v>
                </pt>
                <pt idx="36">
                  <v>43386</v>
                </pt>
                <pt idx="37">
                  <v>43393</v>
                </pt>
                <pt idx="38">
                  <v>43400</v>
                </pt>
                <pt idx="39">
                  <v>43407</v>
                </pt>
                <pt idx="40">
                  <v>43414</v>
                </pt>
                <pt idx="41">
                  <v>43421</v>
                </pt>
                <pt idx="42">
                  <v>43428</v>
                </pt>
                <pt idx="43">
                  <v>43435</v>
                </pt>
                <pt idx="44">
                  <v>43442</v>
                </pt>
                <pt idx="45">
                  <v>43449</v>
                </pt>
                <pt idx="46">
                  <v>43456</v>
                </pt>
                <pt idx="47">
                  <v>43463</v>
                </pt>
                <pt idx="48">
                  <v>43470</v>
                </pt>
                <pt idx="49">
                  <v>43477</v>
                </pt>
                <pt idx="50">
                  <v>43484</v>
                </pt>
                <pt idx="51">
                  <v>43491</v>
                </pt>
                <pt idx="52">
                  <v>43498</v>
                </pt>
                <pt idx="53">
                  <v>43505</v>
                </pt>
                <pt idx="54">
                  <v>43512</v>
                </pt>
                <pt idx="55">
                  <v>43519</v>
                </pt>
                <pt idx="56">
                  <v>43526</v>
                </pt>
                <pt idx="57">
                  <v>43533</v>
                </pt>
                <pt idx="58">
                  <v>43540</v>
                </pt>
                <pt idx="59">
                  <v>43547</v>
                </pt>
                <pt idx="60">
                  <v>43554</v>
                </pt>
                <pt idx="61">
                  <v>43561</v>
                </pt>
                <pt idx="62">
                  <v>43568</v>
                </pt>
                <pt idx="63">
                  <v>43575</v>
                </pt>
                <pt idx="64">
                  <v>43582</v>
                </pt>
                <pt idx="65">
                  <v>43589</v>
                </pt>
                <pt idx="66">
                  <v>43596</v>
                </pt>
                <pt idx="67">
                  <v>43603</v>
                </pt>
                <pt idx="68">
                  <v>43610</v>
                </pt>
                <pt idx="69">
                  <v>43617</v>
                </pt>
                <pt idx="70">
                  <v>43624</v>
                </pt>
                <pt idx="71">
                  <v>43631</v>
                </pt>
                <pt idx="72">
                  <v>43638</v>
                </pt>
                <pt idx="73">
                  <v>43645</v>
                </pt>
                <pt idx="74">
                  <v>43652</v>
                </pt>
                <pt idx="75">
                  <v>43659</v>
                </pt>
                <pt idx="76">
                  <v>43666</v>
                </pt>
                <pt idx="77">
                  <v>43673</v>
                </pt>
                <pt idx="78">
                  <v>43680</v>
                </pt>
                <pt idx="79">
                  <v>43687</v>
                </pt>
                <pt idx="80">
                  <v>43694</v>
                </pt>
                <pt idx="81">
                  <v>43701</v>
                </pt>
                <pt idx="82">
                  <v>43708</v>
                </pt>
                <pt idx="83">
                  <v>43715</v>
                </pt>
                <pt idx="84">
                  <v>43722</v>
                </pt>
                <pt idx="85">
                  <v>43729</v>
                </pt>
                <pt idx="86">
                  <v>43736</v>
                </pt>
                <pt idx="87">
                  <v>43743</v>
                </pt>
                <pt idx="88">
                  <v>43750</v>
                </pt>
                <pt idx="89">
                  <v>43757</v>
                </pt>
                <pt idx="90">
                  <v>43764</v>
                </pt>
                <pt idx="91">
                  <v>43771</v>
                </pt>
                <pt idx="92">
                  <v>43778</v>
                </pt>
                <pt idx="93">
                  <v>43785</v>
                </pt>
                <pt idx="94">
                  <v>43792</v>
                </pt>
                <pt idx="95">
                  <v>43799</v>
                </pt>
                <pt idx="96">
                  <v>43806</v>
                </pt>
                <pt idx="97">
                  <v>43813</v>
                </pt>
                <pt idx="98">
                  <v>43820</v>
                </pt>
                <pt idx="99">
                  <v>43827</v>
                </pt>
                <pt idx="100">
                  <v>43834</v>
                </pt>
                <pt idx="101">
                  <v>43841</v>
                </pt>
                <pt idx="102">
                  <v>43848</v>
                </pt>
                <pt idx="103">
                  <v>43855</v>
                </pt>
                <pt idx="104">
                  <v>43862</v>
                </pt>
                <pt idx="105">
                  <v>43869</v>
                </pt>
                <pt idx="106">
                  <v>43876</v>
                </pt>
                <pt idx="107">
                  <v>43883</v>
                </pt>
                <pt idx="108">
                  <v>43890</v>
                </pt>
                <pt idx="109">
                  <v>43897</v>
                </pt>
                <pt idx="110">
                  <v>43904</v>
                </pt>
                <pt idx="111">
                  <v>43911</v>
                </pt>
                <pt idx="112">
                  <v>43918</v>
                </pt>
                <pt idx="113">
                  <v>43925</v>
                </pt>
                <pt idx="114">
                  <v>43932</v>
                </pt>
                <pt idx="115">
                  <v>43939</v>
                </pt>
                <pt idx="116">
                  <v>43946</v>
                </pt>
                <pt idx="117">
                  <v>43953</v>
                </pt>
                <pt idx="118">
                  <v>43960</v>
                </pt>
                <pt idx="119">
                  <v>43967</v>
                </pt>
                <pt idx="120">
                  <v>43974</v>
                </pt>
                <pt idx="121">
                  <v>43981</v>
                </pt>
                <pt idx="122">
                  <v>43988</v>
                </pt>
                <pt idx="123">
                  <v>43995</v>
                </pt>
                <pt idx="124">
                  <v>44002</v>
                </pt>
                <pt idx="125">
                  <v>44009</v>
                </pt>
                <pt idx="126">
                  <v>44016</v>
                </pt>
                <pt idx="127">
                  <v>44023</v>
                </pt>
                <pt idx="128">
                  <v>44030</v>
                </pt>
                <pt idx="129">
                  <v>44037</v>
                </pt>
                <pt idx="130">
                  <v>44044</v>
                </pt>
                <pt idx="131">
                  <v>44051</v>
                </pt>
                <pt idx="132">
                  <v>44058</v>
                </pt>
                <pt idx="133">
                  <v>44065</v>
                </pt>
                <pt idx="134">
                  <v>44072</v>
                </pt>
                <pt idx="135">
                  <v>44079</v>
                </pt>
                <pt idx="136">
                  <v>44086</v>
                </pt>
                <pt idx="137">
                  <v>44093</v>
                </pt>
                <pt idx="138">
                  <v>44100</v>
                </pt>
                <pt idx="139">
                  <v>44107</v>
                </pt>
                <pt idx="140">
                  <v>44114</v>
                </pt>
                <pt idx="141">
                  <v>44121</v>
                </pt>
                <pt idx="142">
                  <v>44128</v>
                </pt>
                <pt idx="143">
                  <v>44135</v>
                </pt>
                <pt idx="144">
                  <v>44142</v>
                </pt>
                <pt idx="145">
                  <v>44149</v>
                </pt>
                <pt idx="146">
                  <v>44156</v>
                </pt>
                <pt idx="147">
                  <v>44163</v>
                </pt>
                <pt idx="148">
                  <v>44170</v>
                </pt>
                <pt idx="149">
                  <v>44177</v>
                </pt>
                <pt idx="150">
                  <v>44184</v>
                </pt>
                <pt idx="151">
                  <v>44191</v>
                </pt>
                <pt idx="152">
                  <v>44198</v>
                </pt>
                <pt idx="153">
                  <v>44205</v>
                </pt>
                <pt idx="154">
                  <v>44212</v>
                </pt>
                <pt idx="155">
                  <v>44219</v>
                </pt>
                <pt idx="156">
                  <v>44226</v>
                </pt>
                <pt idx="157">
                  <v>44233</v>
                </pt>
                <pt idx="158">
                  <v>44240</v>
                </pt>
                <pt idx="159">
                  <v>44247</v>
                </pt>
                <pt idx="160">
                  <v>44254</v>
                </pt>
                <pt idx="161">
                  <v>44261</v>
                </pt>
                <pt idx="162">
                  <v>44268</v>
                </pt>
                <pt idx="163">
                  <v>44275</v>
                </pt>
                <pt idx="164">
                  <v>44282</v>
                </pt>
                <pt idx="165">
                  <v>44289</v>
                </pt>
                <pt idx="166">
                  <v>44296</v>
                </pt>
                <pt idx="167">
                  <v>44303</v>
                </pt>
                <pt idx="168">
                  <v>44310</v>
                </pt>
                <pt idx="169">
                  <v>44317</v>
                </pt>
                <pt idx="170">
                  <v>44324</v>
                </pt>
                <pt idx="171">
                  <v>44331</v>
                </pt>
                <pt idx="172">
                  <v>44338</v>
                </pt>
                <pt idx="173">
                  <v>44345</v>
                </pt>
                <pt idx="174">
                  <v>44352</v>
                </pt>
                <pt idx="175">
                  <v>44359</v>
                </pt>
                <pt idx="176">
                  <v>44366</v>
                </pt>
                <pt idx="177">
                  <v>44373</v>
                </pt>
                <pt idx="178">
                  <v>44380</v>
                </pt>
                <pt idx="179">
                  <v>44387</v>
                </pt>
                <pt idx="180">
                  <v>44394</v>
                </pt>
                <pt idx="181">
                  <v>44401</v>
                </pt>
                <pt idx="182">
                  <v>44408</v>
                </pt>
                <pt idx="183">
                  <v>44415</v>
                </pt>
                <pt idx="184">
                  <v>44422</v>
                </pt>
                <pt idx="185">
                  <v>44429</v>
                </pt>
                <pt idx="186">
                  <v>44436</v>
                </pt>
                <pt idx="187">
                  <v>44443</v>
                </pt>
                <pt idx="188">
                  <v>44450</v>
                </pt>
                <pt idx="189">
                  <v>44457</v>
                </pt>
                <pt idx="190">
                  <v>44464</v>
                </pt>
                <pt idx="191">
                  <v>44471</v>
                </pt>
                <pt idx="192">
                  <v>44478</v>
                </pt>
                <pt idx="193">
                  <v>44485</v>
                </pt>
                <pt idx="194">
                  <v>44492</v>
                </pt>
                <pt idx="195">
                  <v>44499</v>
                </pt>
                <pt idx="196">
                  <v>44506</v>
                </pt>
                <pt idx="197">
                  <v>44513</v>
                </pt>
                <pt idx="198">
                  <v>44520</v>
                </pt>
                <pt idx="199">
                  <v>44527</v>
                </pt>
                <pt idx="200">
                  <v>44534</v>
                </pt>
                <pt idx="201">
                  <v>44541</v>
                </pt>
                <pt idx="202">
                  <v>44548</v>
                </pt>
                <pt idx="203">
                  <v>44555</v>
                </pt>
                <pt idx="204">
                  <v>44562</v>
                </pt>
                <pt idx="205">
                  <v>44569</v>
                </pt>
                <pt idx="206">
                  <v>44576</v>
                </pt>
                <pt idx="207">
                  <v>44583</v>
                </pt>
                <pt idx="208">
                  <v>44590</v>
                </pt>
                <pt idx="209">
                  <v>44597</v>
                </pt>
                <pt idx="210">
                  <v>44604</v>
                </pt>
                <pt idx="211">
                  <v>44611</v>
                </pt>
                <pt idx="212">
                  <v>44618</v>
                </pt>
                <pt idx="213">
                  <v>44625</v>
                </pt>
                <pt idx="214">
                  <v>44632</v>
                </pt>
                <pt idx="215">
                  <v>44639</v>
                </pt>
                <pt idx="216">
                  <v>44646</v>
                </pt>
                <pt idx="217">
                  <v>44653</v>
                </pt>
                <pt idx="218">
                  <v>44660</v>
                </pt>
                <pt idx="219">
                  <v>44667</v>
                </pt>
                <pt idx="220">
                  <v>44674</v>
                </pt>
                <pt idx="221">
                  <v>44681</v>
                </pt>
                <pt idx="222">
                  <v>44688</v>
                </pt>
                <pt idx="223">
                  <v>44695</v>
                </pt>
                <pt idx="224">
                  <v>44702</v>
                </pt>
                <pt idx="225">
                  <v>44709</v>
                </pt>
                <pt idx="226">
                  <v>44716</v>
                </pt>
                <pt idx="227">
                  <v>44723</v>
                </pt>
                <pt idx="228">
                  <v>44730</v>
                </pt>
                <pt idx="229">
                  <v>44737</v>
                </pt>
                <pt idx="230">
                  <v>44744</v>
                </pt>
                <pt idx="231">
                  <v>44751</v>
                </pt>
                <pt idx="232">
                  <v>44758</v>
                </pt>
                <pt idx="233">
                  <v>44765</v>
                </pt>
                <pt idx="234">
                  <v>44772</v>
                </pt>
                <pt idx="235">
                  <v>44779</v>
                </pt>
                <pt idx="236">
                  <v>44786</v>
                </pt>
                <pt idx="237">
                  <v>44793</v>
                </pt>
                <pt idx="238">
                  <v>44800</v>
                </pt>
                <pt idx="239">
                  <v>44807</v>
                </pt>
                <pt idx="240">
                  <v>44814</v>
                </pt>
                <pt idx="241">
                  <v>44821</v>
                </pt>
                <pt idx="242">
                  <v>44828</v>
                </pt>
                <pt idx="243">
                  <v>44835</v>
                </pt>
                <pt idx="244">
                  <v>44842</v>
                </pt>
                <pt idx="245">
                  <v>44849</v>
                </pt>
                <pt idx="246">
                  <v>44856</v>
                </pt>
                <pt idx="247">
                  <v>44863</v>
                </pt>
              </numCache>
            </numRef>
          </cat>
          <val>
            <numRef>
              <f>Claims!$B$2670:$B$2917</f>
              <numCache>
                <formatCode>#,##0</formatCode>
                <ptCount val="248"/>
                <pt idx="0">
                  <v>213000</v>
                </pt>
                <pt idx="1">
                  <v>213000</v>
                </pt>
                <pt idx="2">
                  <v>206000</v>
                </pt>
                <pt idx="3">
                  <v>202000</v>
                </pt>
                <pt idx="4">
                  <v>212000</v>
                </pt>
                <pt idx="5">
                  <v>204000</v>
                </pt>
                <pt idx="6">
                  <v>198000</v>
                </pt>
                <pt idx="7">
                  <v>197000</v>
                </pt>
                <pt idx="8">
                  <v>205000</v>
                </pt>
                <pt idx="9">
                  <v>210000</v>
                </pt>
                <pt idx="10">
                  <v>218000</v>
                </pt>
                <pt idx="11">
                  <v>191000</v>
                </pt>
                <pt idx="12">
                  <v>200000</v>
                </pt>
                <pt idx="13">
                  <v>204000</v>
                </pt>
                <pt idx="14">
                  <v>220000</v>
                </pt>
                <pt idx="15">
                  <v>231000</v>
                </pt>
                <pt idx="16">
                  <v>224000</v>
                </pt>
                <pt idx="17">
                  <v>229000</v>
                </pt>
                <pt idx="18">
                  <v>230000</v>
                </pt>
                <pt idx="19">
                  <v>228000</v>
                </pt>
                <pt idx="20">
                  <v>233000</v>
                </pt>
                <pt idx="21">
                  <v>241000</v>
                </pt>
                <pt idx="22">
                  <v>232000</v>
                </pt>
                <pt idx="23">
                  <v>219000</v>
                </pt>
                <pt idx="24">
                  <v>224000</v>
                </pt>
                <pt idx="25">
                  <v>222000</v>
                </pt>
                <pt idx="26">
                  <v>228000</v>
                </pt>
                <pt idx="27">
                  <v>224000</v>
                </pt>
                <pt idx="28">
                  <v>221000</v>
                </pt>
                <pt idx="29">
                  <v>225000</v>
                </pt>
                <pt idx="30">
                  <v>211000</v>
                </pt>
                <pt idx="31">
                  <v>217000</v>
                </pt>
                <pt idx="32">
                  <v>214000</v>
                </pt>
                <pt idx="33">
                  <v>214000</v>
                </pt>
                <pt idx="34">
                  <v>221000</v>
                </pt>
                <pt idx="35">
                  <v>221000</v>
                </pt>
                <pt idx="36">
                  <v>218000</v>
                </pt>
                <pt idx="37">
                  <v>226000</v>
                </pt>
                <pt idx="38">
                  <v>225000</v>
                </pt>
                <pt idx="39">
                  <v>227000</v>
                </pt>
                <pt idx="40">
                  <v>228000</v>
                </pt>
                <pt idx="41">
                  <v>234000</v>
                </pt>
                <pt idx="42">
                  <v>244000</v>
                </pt>
                <pt idx="43">
                  <v>240000</v>
                </pt>
                <pt idx="44">
                  <v>209000</v>
                </pt>
                <pt idx="45">
                  <v>219000</v>
                </pt>
                <pt idx="46">
                  <v>230000</v>
                </pt>
                <pt idx="47">
                  <v>237000</v>
                </pt>
                <pt idx="48">
                  <v>222000</v>
                </pt>
                <pt idx="49">
                  <v>211000</v>
                </pt>
                <pt idx="50">
                  <v>205000</v>
                </pt>
                <pt idx="51">
                  <v>227000</v>
                </pt>
                <pt idx="52">
                  <v>220000</v>
                </pt>
                <pt idx="53">
                  <v>213000</v>
                </pt>
                <pt idx="54">
                  <v>199000</v>
                </pt>
                <pt idx="55">
                  <v>204000</v>
                </pt>
                <pt idx="56">
                  <v>200000</v>
                </pt>
                <pt idx="57">
                  <v>201000</v>
                </pt>
                <pt idx="58">
                  <v>182000</v>
                </pt>
                <pt idx="59">
                  <v>184000</v>
                </pt>
                <pt idx="60">
                  <v>173000</v>
                </pt>
                <pt idx="61">
                  <v>173000</v>
                </pt>
                <pt idx="62">
                  <v>183000</v>
                </pt>
                <pt idx="63">
                  <v>200000</v>
                </pt>
                <pt idx="64">
                  <v>210000</v>
                </pt>
                <pt idx="65">
                  <v>214000</v>
                </pt>
                <pt idx="66">
                  <v>210000</v>
                </pt>
                <pt idx="67">
                  <v>213000</v>
                </pt>
                <pt idx="68">
                  <v>222000</v>
                </pt>
                <pt idx="69">
                  <v>229000</v>
                </pt>
                <pt idx="70">
                  <v>237000</v>
                </pt>
                <pt idx="71">
                  <v>231000</v>
                </pt>
                <pt idx="72">
                  <v>242000</v>
                </pt>
                <pt idx="73">
                  <v>240000</v>
                </pt>
                <pt idx="74">
                  <v>230000</v>
                </pt>
                <pt idx="75">
                  <v>231000</v>
                </pt>
                <pt idx="76">
                  <v>216000</v>
                </pt>
                <pt idx="77">
                  <v>220000</v>
                </pt>
                <pt idx="78">
                  <v>227000</v>
                </pt>
                <pt idx="79">
                  <v>236000</v>
                </pt>
                <pt idx="80">
                  <v>222000</v>
                </pt>
                <pt idx="81">
                  <v>231000</v>
                </pt>
                <pt idx="82">
                  <v>224000</v>
                </pt>
                <pt idx="83">
                  <v>217000</v>
                </pt>
                <pt idx="84">
                  <v>215000</v>
                </pt>
                <pt idx="85">
                  <v>218000</v>
                </pt>
                <pt idx="86">
                  <v>224000</v>
                </pt>
                <pt idx="87">
                  <v>224000</v>
                </pt>
                <pt idx="88">
                  <v>226000</v>
                </pt>
                <pt idx="89">
                  <v>222000</v>
                </pt>
                <pt idx="90">
                  <v>230000</v>
                </pt>
                <pt idx="91">
                  <v>224000</v>
                </pt>
                <pt idx="92">
                  <v>239000</v>
                </pt>
                <pt idx="93">
                  <v>240000</v>
                </pt>
                <pt idx="94">
                  <v>224000</v>
                </pt>
                <pt idx="95">
                  <v>221000</v>
                </pt>
                <pt idx="96">
                  <v>251000</v>
                </pt>
                <pt idx="97">
                  <v>233000</v>
                </pt>
                <pt idx="98">
                  <v>233000</v>
                </pt>
                <pt idx="99">
                  <v>235000</v>
                </pt>
                <pt idx="100">
                  <v>217000</v>
                </pt>
                <pt idx="101">
                  <v>203000</v>
                </pt>
                <pt idx="102">
                  <v>211000</v>
                </pt>
                <pt idx="103">
                  <v>200000</v>
                </pt>
                <pt idx="104">
                  <v>191000</v>
                </pt>
                <pt idx="105">
                  <v>186000</v>
                </pt>
                <pt idx="106">
                  <v>190000</v>
                </pt>
                <pt idx="107">
                  <v>196000</v>
                </pt>
                <pt idx="108">
                  <v>190000</v>
                </pt>
                <pt idx="109">
                  <v>186000</v>
                </pt>
                <pt idx="110">
                  <v>221000</v>
                </pt>
                <pt idx="111">
                  <v>2914000</v>
                </pt>
                <pt idx="112">
                  <v>5946000</v>
                </pt>
                <pt idx="113">
                  <v>6137000</v>
                </pt>
                <pt idx="114">
                  <v>4869000</v>
                </pt>
                <pt idx="115">
                  <v>4201000</v>
                </pt>
                <pt idx="116">
                  <v>3446000</v>
                </pt>
                <pt idx="117">
                  <v>2796000</v>
                </pt>
                <pt idx="118">
                  <v>2335000</v>
                </pt>
                <pt idx="119">
                  <v>2176000</v>
                </pt>
                <pt idx="120">
                  <v>1921000</v>
                </pt>
                <pt idx="121">
                  <v>1639000</v>
                </pt>
                <pt idx="122">
                  <v>1575000</v>
                </pt>
                <pt idx="123">
                  <v>1473000</v>
                </pt>
                <pt idx="124">
                  <v>1467000</v>
                </pt>
                <pt idx="125">
                  <v>1446000</v>
                </pt>
                <pt idx="126">
                  <v>1413000</v>
                </pt>
                <pt idx="127">
                  <v>1468000</v>
                </pt>
                <pt idx="128">
                  <v>1393000</v>
                </pt>
                <pt idx="129">
                  <v>1260000</v>
                </pt>
                <pt idx="130">
                  <v>1044000</v>
                </pt>
                <pt idx="131">
                  <v>884000</v>
                </pt>
                <pt idx="132">
                  <v>927000</v>
                </pt>
                <pt idx="133">
                  <v>876000</v>
                </pt>
                <pt idx="134">
                  <v>881000</v>
                </pt>
                <pt idx="135">
                  <v>892000</v>
                </pt>
                <pt idx="136">
                  <v>861000</v>
                </pt>
                <pt idx="137">
                  <v>859000</v>
                </pt>
                <pt idx="138">
                  <v>795000</v>
                </pt>
                <pt idx="139">
                  <v>785000</v>
                </pt>
                <pt idx="140">
                  <v>839000</v>
                </pt>
                <pt idx="141">
                  <v>804000</v>
                </pt>
                <pt idx="142">
                  <v>776000</v>
                </pt>
                <pt idx="143">
                  <v>773000</v>
                </pt>
                <pt idx="144">
                  <v>737000</v>
                </pt>
                <pt idx="145">
                  <v>738000</v>
                </pt>
                <pt idx="146">
                  <v>793000</v>
                </pt>
                <pt idx="147">
                  <v>737000</v>
                </pt>
                <pt idx="148">
                  <v>873000</v>
                </pt>
                <pt idx="149">
                  <v>886000</v>
                </pt>
                <pt idx="150">
                  <v>815000</v>
                </pt>
                <pt idx="151">
                  <v>773000</v>
                </pt>
                <pt idx="152">
                  <v>803000</v>
                </pt>
                <pt idx="153">
                  <v>890000</v>
                </pt>
                <pt idx="154">
                  <v>844000</v>
                </pt>
                <pt idx="155">
                  <v>799000</v>
                </pt>
                <pt idx="156">
                  <v>803000</v>
                </pt>
                <pt idx="157">
                  <v>812000</v>
                </pt>
                <pt idx="158">
                  <v>802000</v>
                </pt>
                <pt idx="159">
                  <v>702000</v>
                </pt>
                <pt idx="160">
                  <v>704000</v>
                </pt>
                <pt idx="161">
                  <v>693000</v>
                </pt>
                <pt idx="162">
                  <v>699000</v>
                </pt>
                <pt idx="163">
                  <v>627000</v>
                </pt>
                <pt idx="164">
                  <v>658000</v>
                </pt>
                <pt idx="165">
                  <v>645000</v>
                </pt>
                <pt idx="166">
                  <v>571000</v>
                </pt>
                <pt idx="167">
                  <v>566000</v>
                </pt>
                <pt idx="168">
                  <v>574000</v>
                </pt>
                <pt idx="169">
                  <v>517000</v>
                </pt>
                <pt idx="170">
                  <v>494000</v>
                </pt>
                <pt idx="171">
                  <v>467000</v>
                </pt>
                <pt idx="172">
                  <v>441000</v>
                </pt>
                <pt idx="173">
                  <v>427000</v>
                </pt>
                <pt idx="174">
                  <v>420000</v>
                </pt>
                <pt idx="175">
                  <v>429000</v>
                </pt>
                <pt idx="176">
                  <v>424000</v>
                </pt>
                <pt idx="177">
                  <v>405000</v>
                </pt>
                <pt idx="178">
                  <v>403000</v>
                </pt>
                <pt idx="179">
                  <v>391000</v>
                </pt>
                <pt idx="180">
                  <v>424000</v>
                </pt>
                <pt idx="181">
                  <v>411000</v>
                </pt>
                <pt idx="182">
                  <v>414000</v>
                </pt>
                <pt idx="183">
                  <v>416000</v>
                </pt>
                <pt idx="184">
                  <v>405000</v>
                </pt>
                <pt idx="185">
                  <v>395000</v>
                </pt>
                <pt idx="186">
                  <v>381000</v>
                </pt>
                <pt idx="187">
                  <v>361000</v>
                </pt>
                <pt idx="188">
                  <v>363000</v>
                </pt>
                <pt idx="189">
                  <v>380000</v>
                </pt>
                <pt idx="190">
                  <v>376000</v>
                </pt>
                <pt idx="191">
                  <v>340000</v>
                </pt>
                <pt idx="192">
                  <v>317000</v>
                </pt>
                <pt idx="193">
                  <v>310000</v>
                </pt>
                <pt idx="194">
                  <v>294000</v>
                </pt>
                <pt idx="195">
                  <v>280000</v>
                </pt>
                <pt idx="196">
                  <v>279000</v>
                </pt>
                <pt idx="197">
                  <v>265000</v>
                </pt>
                <pt idx="198">
                  <v>244000</v>
                </pt>
                <pt idx="199">
                  <v>240000</v>
                </pt>
                <pt idx="200">
                  <v>228000</v>
                </pt>
                <pt idx="201">
                  <v>228000</v>
                </pt>
                <pt idx="202">
                  <v>220000</v>
                </pt>
                <pt idx="203">
                  <v>211000</v>
                </pt>
                <pt idx="204">
                  <v>224000</v>
                </pt>
                <pt idx="205">
                  <v>238000</v>
                </pt>
                <pt idx="206">
                  <v>240000</v>
                </pt>
                <pt idx="207">
                  <v>222000</v>
                </pt>
                <pt idx="208">
                  <v>214000</v>
                </pt>
                <pt idx="209">
                  <v>191000</v>
                </pt>
                <pt idx="210">
                  <v>209000</v>
                </pt>
                <pt idx="211">
                  <v>198000</v>
                </pt>
                <pt idx="212">
                  <v>182000</v>
                </pt>
                <pt idx="213">
                  <v>198000</v>
                </pt>
                <pt idx="214">
                  <v>177000</v>
                </pt>
                <pt idx="215">
                  <v>166000</v>
                </pt>
                <pt idx="216">
                  <v>171000</v>
                </pt>
                <pt idx="217">
                  <v>168000</v>
                </pt>
                <pt idx="218">
                  <v>186000</v>
                </pt>
                <pt idx="219">
                  <v>185000</v>
                </pt>
                <pt idx="220">
                  <v>181000</v>
                </pt>
                <pt idx="221">
                  <v>202000</v>
                </pt>
                <pt idx="222">
                  <v>197000</v>
                </pt>
                <pt idx="223">
                  <v>218000</v>
                </pt>
                <pt idx="224">
                  <v>211000</v>
                </pt>
                <pt idx="225">
                  <v>202000</v>
                </pt>
                <pt idx="226">
                  <v>232000</v>
                </pt>
                <pt idx="227">
                  <v>231000</v>
                </pt>
                <pt idx="228">
                  <v>233000</v>
                </pt>
                <pt idx="229">
                  <v>231000</v>
                </pt>
                <pt idx="230">
                  <v>236000</v>
                </pt>
                <pt idx="231">
                  <v>244000</v>
                </pt>
                <pt idx="232">
                  <v>261000</v>
                </pt>
                <pt idx="233">
                  <v>237000</v>
                </pt>
                <pt idx="234">
                  <v>248000</v>
                </pt>
                <pt idx="235">
                  <v>252000</v>
                </pt>
                <pt idx="236">
                  <v>245000</v>
                </pt>
                <pt idx="237">
                  <v>237000</v>
                </pt>
                <pt idx="238">
                  <v>228000</v>
                </pt>
                <pt idx="239">
                  <v>218000</v>
                </pt>
                <pt idx="240">
                  <v>208000</v>
                </pt>
                <pt idx="241">
                  <v>209000</v>
                </pt>
                <pt idx="242">
                  <v>190000</v>
                </pt>
                <pt idx="243">
                  <v>219000</v>
                </pt>
                <pt idx="244">
                  <v>226000</v>
                </pt>
                <pt idx="245">
                  <v>214000</v>
                </pt>
                <pt idx="246">
                  <v>218000</v>
                </pt>
                <pt idx="247">
                  <v>218000</v>
                </pt>
              </numCache>
            </numRef>
          </val>
          <smooth val="0"/>
        </ser>
        <dLbls>
          <showLegendKey val="0"/>
          <showVal val="0"/>
          <showCatName val="0"/>
          <showSerName val="0"/>
          <showPercent val="0"/>
          <showBubbleSize val="0"/>
        </dLbls>
        <smooth val="0"/>
        <axId val="1717239216"/>
        <axId val="1717239544"/>
      </lineChart>
      <dateAx>
        <axId val="1717239216"/>
        <scaling>
          <orientation val="minMax"/>
          <max val="4488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544"/>
        <crosses val="autoZero"/>
        <lblOffset val="100"/>
        <baseTimeUnit val="days"/>
      </dateAx>
      <valAx>
        <axId val="17172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216"/>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NFP!$A$300:$A$1036</f>
              <numCache>
                <formatCode>yyyy\-mm\-dd</formatCode>
                <ptCount val="737"/>
                <pt idx="0">
                  <v>23012</v>
                </pt>
                <pt idx="1">
                  <v>23043</v>
                </pt>
                <pt idx="2">
                  <v>23071</v>
                </pt>
                <pt idx="3">
                  <v>23102</v>
                </pt>
                <pt idx="4">
                  <v>23132</v>
                </pt>
                <pt idx="5">
                  <v>23163</v>
                </pt>
                <pt idx="6">
                  <v>23193</v>
                </pt>
                <pt idx="7">
                  <v>23224</v>
                </pt>
                <pt idx="8">
                  <v>23255</v>
                </pt>
                <pt idx="9">
                  <v>23285</v>
                </pt>
                <pt idx="10">
                  <v>23316</v>
                </pt>
                <pt idx="11">
                  <v>23346</v>
                </pt>
                <pt idx="12">
                  <v>23377</v>
                </pt>
                <pt idx="13">
                  <v>23408</v>
                </pt>
                <pt idx="14">
                  <v>23437</v>
                </pt>
                <pt idx="15">
                  <v>23468</v>
                </pt>
                <pt idx="16">
                  <v>23498</v>
                </pt>
                <pt idx="17">
                  <v>23529</v>
                </pt>
                <pt idx="18">
                  <v>23559</v>
                </pt>
                <pt idx="19">
                  <v>23590</v>
                </pt>
                <pt idx="20">
                  <v>23621</v>
                </pt>
                <pt idx="21">
                  <v>23651</v>
                </pt>
                <pt idx="22">
                  <v>23682</v>
                </pt>
                <pt idx="23">
                  <v>23712</v>
                </pt>
                <pt idx="24">
                  <v>23743</v>
                </pt>
                <pt idx="25">
                  <v>23774</v>
                </pt>
                <pt idx="26">
                  <v>23802</v>
                </pt>
                <pt idx="27">
                  <v>23833</v>
                </pt>
                <pt idx="28">
                  <v>23863</v>
                </pt>
                <pt idx="29">
                  <v>23894</v>
                </pt>
                <pt idx="30">
                  <v>23924</v>
                </pt>
                <pt idx="31">
                  <v>23955</v>
                </pt>
                <pt idx="32">
                  <v>23986</v>
                </pt>
                <pt idx="33">
                  <v>24016</v>
                </pt>
                <pt idx="34">
                  <v>24047</v>
                </pt>
                <pt idx="35">
                  <v>24077</v>
                </pt>
                <pt idx="36">
                  <v>24108</v>
                </pt>
                <pt idx="37">
                  <v>24139</v>
                </pt>
                <pt idx="38">
                  <v>24167</v>
                </pt>
                <pt idx="39">
                  <v>24198</v>
                </pt>
                <pt idx="40">
                  <v>24228</v>
                </pt>
                <pt idx="41">
                  <v>24259</v>
                </pt>
                <pt idx="42">
                  <v>24289</v>
                </pt>
                <pt idx="43">
                  <v>24320</v>
                </pt>
                <pt idx="44">
                  <v>24351</v>
                </pt>
                <pt idx="45">
                  <v>24381</v>
                </pt>
                <pt idx="46">
                  <v>24412</v>
                </pt>
                <pt idx="47">
                  <v>24442</v>
                </pt>
                <pt idx="48">
                  <v>24473</v>
                </pt>
                <pt idx="49">
                  <v>24504</v>
                </pt>
                <pt idx="50">
                  <v>24532</v>
                </pt>
                <pt idx="51">
                  <v>24563</v>
                </pt>
                <pt idx="52">
                  <v>24593</v>
                </pt>
                <pt idx="53">
                  <v>24624</v>
                </pt>
                <pt idx="54">
                  <v>24654</v>
                </pt>
                <pt idx="55">
                  <v>24685</v>
                </pt>
                <pt idx="56">
                  <v>24716</v>
                </pt>
                <pt idx="57">
                  <v>24746</v>
                </pt>
                <pt idx="58">
                  <v>24777</v>
                </pt>
                <pt idx="59">
                  <v>24807</v>
                </pt>
                <pt idx="60">
                  <v>24838</v>
                </pt>
                <pt idx="61">
                  <v>24869</v>
                </pt>
                <pt idx="62">
                  <v>24898</v>
                </pt>
                <pt idx="63">
                  <v>24929</v>
                </pt>
                <pt idx="64">
                  <v>24959</v>
                </pt>
                <pt idx="65">
                  <v>24990</v>
                </pt>
                <pt idx="66">
                  <v>25020</v>
                </pt>
                <pt idx="67">
                  <v>25051</v>
                </pt>
                <pt idx="68">
                  <v>25082</v>
                </pt>
                <pt idx="69">
                  <v>25112</v>
                </pt>
                <pt idx="70">
                  <v>25143</v>
                </pt>
                <pt idx="71">
                  <v>25173</v>
                </pt>
                <pt idx="72">
                  <v>25204</v>
                </pt>
                <pt idx="73">
                  <v>25235</v>
                </pt>
                <pt idx="74">
                  <v>25263</v>
                </pt>
                <pt idx="75">
                  <v>25294</v>
                </pt>
                <pt idx="76">
                  <v>25324</v>
                </pt>
                <pt idx="77">
                  <v>25355</v>
                </pt>
                <pt idx="78">
                  <v>25385</v>
                </pt>
                <pt idx="79">
                  <v>25416</v>
                </pt>
                <pt idx="80">
                  <v>25447</v>
                </pt>
                <pt idx="81">
                  <v>25477</v>
                </pt>
                <pt idx="82">
                  <v>25508</v>
                </pt>
                <pt idx="83">
                  <v>25538</v>
                </pt>
                <pt idx="84">
                  <v>25569</v>
                </pt>
                <pt idx="85">
                  <v>25600</v>
                </pt>
                <pt idx="86">
                  <v>25628</v>
                </pt>
                <pt idx="87">
                  <v>25659</v>
                </pt>
                <pt idx="88">
                  <v>25689</v>
                </pt>
                <pt idx="89">
                  <v>25720</v>
                </pt>
                <pt idx="90">
                  <v>25750</v>
                </pt>
                <pt idx="91">
                  <v>25781</v>
                </pt>
                <pt idx="92">
                  <v>25812</v>
                </pt>
                <pt idx="93">
                  <v>25842</v>
                </pt>
                <pt idx="94">
                  <v>25873</v>
                </pt>
                <pt idx="95">
                  <v>25903</v>
                </pt>
                <pt idx="96">
                  <v>25934</v>
                </pt>
                <pt idx="97">
                  <v>25965</v>
                </pt>
                <pt idx="98">
                  <v>25993</v>
                </pt>
                <pt idx="99">
                  <v>26024</v>
                </pt>
                <pt idx="100">
                  <v>26054</v>
                </pt>
                <pt idx="101">
                  <v>26085</v>
                </pt>
                <pt idx="102">
                  <v>26115</v>
                </pt>
                <pt idx="103">
                  <v>26146</v>
                </pt>
                <pt idx="104">
                  <v>26177</v>
                </pt>
                <pt idx="105">
                  <v>26207</v>
                </pt>
                <pt idx="106">
                  <v>26238</v>
                </pt>
                <pt idx="107">
                  <v>26268</v>
                </pt>
                <pt idx="108">
                  <v>26299</v>
                </pt>
                <pt idx="109">
                  <v>26330</v>
                </pt>
                <pt idx="110">
                  <v>26359</v>
                </pt>
                <pt idx="111">
                  <v>26390</v>
                </pt>
                <pt idx="112">
                  <v>26420</v>
                </pt>
                <pt idx="113">
                  <v>26451</v>
                </pt>
                <pt idx="114">
                  <v>26481</v>
                </pt>
                <pt idx="115">
                  <v>26512</v>
                </pt>
                <pt idx="116">
                  <v>26543</v>
                </pt>
                <pt idx="117">
                  <v>26573</v>
                </pt>
                <pt idx="118">
                  <v>26604</v>
                </pt>
                <pt idx="119">
                  <v>26634</v>
                </pt>
                <pt idx="120">
                  <v>26665</v>
                </pt>
                <pt idx="121">
                  <v>26696</v>
                </pt>
                <pt idx="122">
                  <v>26724</v>
                </pt>
                <pt idx="123">
                  <v>26755</v>
                </pt>
                <pt idx="124">
                  <v>26785</v>
                </pt>
                <pt idx="125">
                  <v>26816</v>
                </pt>
                <pt idx="126">
                  <v>26846</v>
                </pt>
                <pt idx="127">
                  <v>26877</v>
                </pt>
                <pt idx="128">
                  <v>26908</v>
                </pt>
                <pt idx="129">
                  <v>26938</v>
                </pt>
                <pt idx="130">
                  <v>26969</v>
                </pt>
                <pt idx="131">
                  <v>26999</v>
                </pt>
                <pt idx="132">
                  <v>27030</v>
                </pt>
                <pt idx="133">
                  <v>27061</v>
                </pt>
                <pt idx="134">
                  <v>27089</v>
                </pt>
                <pt idx="135">
                  <v>27120</v>
                </pt>
                <pt idx="136">
                  <v>27150</v>
                </pt>
                <pt idx="137">
                  <v>27181</v>
                </pt>
                <pt idx="138">
                  <v>27211</v>
                </pt>
                <pt idx="139">
                  <v>27242</v>
                </pt>
                <pt idx="140">
                  <v>27273</v>
                </pt>
                <pt idx="141">
                  <v>27303</v>
                </pt>
                <pt idx="142">
                  <v>27334</v>
                </pt>
                <pt idx="143">
                  <v>27364</v>
                </pt>
                <pt idx="144">
                  <v>27395</v>
                </pt>
                <pt idx="145">
                  <v>27426</v>
                </pt>
                <pt idx="146">
                  <v>27454</v>
                </pt>
                <pt idx="147">
                  <v>27485</v>
                </pt>
                <pt idx="148">
                  <v>27515</v>
                </pt>
                <pt idx="149">
                  <v>27546</v>
                </pt>
                <pt idx="150">
                  <v>27576</v>
                </pt>
                <pt idx="151">
                  <v>27607</v>
                </pt>
                <pt idx="152">
                  <v>27638</v>
                </pt>
                <pt idx="153">
                  <v>27668</v>
                </pt>
                <pt idx="154">
                  <v>27699</v>
                </pt>
                <pt idx="155">
                  <v>27729</v>
                </pt>
                <pt idx="156">
                  <v>27760</v>
                </pt>
                <pt idx="157">
                  <v>27791</v>
                </pt>
                <pt idx="158">
                  <v>27820</v>
                </pt>
                <pt idx="159">
                  <v>27851</v>
                </pt>
                <pt idx="160">
                  <v>27881</v>
                </pt>
                <pt idx="161">
                  <v>27912</v>
                </pt>
                <pt idx="162">
                  <v>27942</v>
                </pt>
                <pt idx="163">
                  <v>27973</v>
                </pt>
                <pt idx="164">
                  <v>28004</v>
                </pt>
                <pt idx="165">
                  <v>28034</v>
                </pt>
                <pt idx="166">
                  <v>28065</v>
                </pt>
                <pt idx="167">
                  <v>28095</v>
                </pt>
                <pt idx="168">
                  <v>28126</v>
                </pt>
                <pt idx="169">
                  <v>28157</v>
                </pt>
                <pt idx="170">
                  <v>28185</v>
                </pt>
                <pt idx="171">
                  <v>28216</v>
                </pt>
                <pt idx="172">
                  <v>28246</v>
                </pt>
                <pt idx="173">
                  <v>28277</v>
                </pt>
                <pt idx="174">
                  <v>28307</v>
                </pt>
                <pt idx="175">
                  <v>28338</v>
                </pt>
                <pt idx="176">
                  <v>28369</v>
                </pt>
                <pt idx="177">
                  <v>28399</v>
                </pt>
                <pt idx="178">
                  <v>28430</v>
                </pt>
                <pt idx="179">
                  <v>28460</v>
                </pt>
                <pt idx="180">
                  <v>28491</v>
                </pt>
                <pt idx="181">
                  <v>28522</v>
                </pt>
                <pt idx="182">
                  <v>28550</v>
                </pt>
                <pt idx="183">
                  <v>28581</v>
                </pt>
                <pt idx="184">
                  <v>28611</v>
                </pt>
                <pt idx="185">
                  <v>28642</v>
                </pt>
                <pt idx="186">
                  <v>28672</v>
                </pt>
                <pt idx="187">
                  <v>28703</v>
                </pt>
                <pt idx="188">
                  <v>28734</v>
                </pt>
                <pt idx="189">
                  <v>28764</v>
                </pt>
                <pt idx="190">
                  <v>28795</v>
                </pt>
                <pt idx="191">
                  <v>28825</v>
                </pt>
                <pt idx="192">
                  <v>28856</v>
                </pt>
                <pt idx="193">
                  <v>28887</v>
                </pt>
                <pt idx="194">
                  <v>28915</v>
                </pt>
                <pt idx="195">
                  <v>28946</v>
                </pt>
                <pt idx="196">
                  <v>28976</v>
                </pt>
                <pt idx="197">
                  <v>29007</v>
                </pt>
                <pt idx="198">
                  <v>29037</v>
                </pt>
                <pt idx="199">
                  <v>29068</v>
                </pt>
                <pt idx="200">
                  <v>29099</v>
                </pt>
                <pt idx="201">
                  <v>29129</v>
                </pt>
                <pt idx="202">
                  <v>29160</v>
                </pt>
                <pt idx="203">
                  <v>29190</v>
                </pt>
                <pt idx="204">
                  <v>29221</v>
                </pt>
                <pt idx="205">
                  <v>29252</v>
                </pt>
                <pt idx="206">
                  <v>29281</v>
                </pt>
                <pt idx="207">
                  <v>29312</v>
                </pt>
                <pt idx="208">
                  <v>29342</v>
                </pt>
                <pt idx="209">
                  <v>29373</v>
                </pt>
                <pt idx="210">
                  <v>29403</v>
                </pt>
                <pt idx="211">
                  <v>29434</v>
                </pt>
                <pt idx="212">
                  <v>29465</v>
                </pt>
                <pt idx="213">
                  <v>29495</v>
                </pt>
                <pt idx="214">
                  <v>29526</v>
                </pt>
                <pt idx="215">
                  <v>29556</v>
                </pt>
                <pt idx="216">
                  <v>29587</v>
                </pt>
                <pt idx="217">
                  <v>29618</v>
                </pt>
                <pt idx="218">
                  <v>29646</v>
                </pt>
                <pt idx="219">
                  <v>29677</v>
                </pt>
                <pt idx="220">
                  <v>29707</v>
                </pt>
                <pt idx="221">
                  <v>29738</v>
                </pt>
                <pt idx="222">
                  <v>29768</v>
                </pt>
                <pt idx="223">
                  <v>29799</v>
                </pt>
                <pt idx="224">
                  <v>29830</v>
                </pt>
                <pt idx="225">
                  <v>29860</v>
                </pt>
                <pt idx="226">
                  <v>29891</v>
                </pt>
                <pt idx="227">
                  <v>29921</v>
                </pt>
                <pt idx="228">
                  <v>29952</v>
                </pt>
                <pt idx="229">
                  <v>29983</v>
                </pt>
                <pt idx="230">
                  <v>30011</v>
                </pt>
                <pt idx="231">
                  <v>30042</v>
                </pt>
                <pt idx="232">
                  <v>30072</v>
                </pt>
                <pt idx="233">
                  <v>30103</v>
                </pt>
                <pt idx="234">
                  <v>30133</v>
                </pt>
                <pt idx="235">
                  <v>30164</v>
                </pt>
                <pt idx="236">
                  <v>30195</v>
                </pt>
                <pt idx="237">
                  <v>30225</v>
                </pt>
                <pt idx="238">
                  <v>30256</v>
                </pt>
                <pt idx="239">
                  <v>30286</v>
                </pt>
                <pt idx="240">
                  <v>30317</v>
                </pt>
                <pt idx="241">
                  <v>30348</v>
                </pt>
                <pt idx="242">
                  <v>30376</v>
                </pt>
                <pt idx="243">
                  <v>30407</v>
                </pt>
                <pt idx="244">
                  <v>30437</v>
                </pt>
                <pt idx="245">
                  <v>30468</v>
                </pt>
                <pt idx="246">
                  <v>30498</v>
                </pt>
                <pt idx="247">
                  <v>30529</v>
                </pt>
                <pt idx="248">
                  <v>30560</v>
                </pt>
                <pt idx="249">
                  <v>30590</v>
                </pt>
                <pt idx="250">
                  <v>30621</v>
                </pt>
                <pt idx="251">
                  <v>30651</v>
                </pt>
                <pt idx="252">
                  <v>30682</v>
                </pt>
                <pt idx="253">
                  <v>30713</v>
                </pt>
                <pt idx="254">
                  <v>30742</v>
                </pt>
                <pt idx="255">
                  <v>30773</v>
                </pt>
                <pt idx="256">
                  <v>30803</v>
                </pt>
                <pt idx="257">
                  <v>30834</v>
                </pt>
                <pt idx="258">
                  <v>30864</v>
                </pt>
                <pt idx="259">
                  <v>30895</v>
                </pt>
                <pt idx="260">
                  <v>30926</v>
                </pt>
                <pt idx="261">
                  <v>30956</v>
                </pt>
                <pt idx="262">
                  <v>30987</v>
                </pt>
                <pt idx="263">
                  <v>31017</v>
                </pt>
                <pt idx="264">
                  <v>31048</v>
                </pt>
                <pt idx="265">
                  <v>31079</v>
                </pt>
                <pt idx="266">
                  <v>31107</v>
                </pt>
                <pt idx="267">
                  <v>31138</v>
                </pt>
                <pt idx="268">
                  <v>31168</v>
                </pt>
                <pt idx="269">
                  <v>31199</v>
                </pt>
                <pt idx="270">
                  <v>31229</v>
                </pt>
                <pt idx="271">
                  <v>31260</v>
                </pt>
                <pt idx="272">
                  <v>31291</v>
                </pt>
                <pt idx="273">
                  <v>31321</v>
                </pt>
                <pt idx="274">
                  <v>31352</v>
                </pt>
                <pt idx="275">
                  <v>31382</v>
                </pt>
                <pt idx="276">
                  <v>31413</v>
                </pt>
                <pt idx="277">
                  <v>31444</v>
                </pt>
                <pt idx="278">
                  <v>31472</v>
                </pt>
                <pt idx="279">
                  <v>31503</v>
                </pt>
                <pt idx="280">
                  <v>31533</v>
                </pt>
                <pt idx="281">
                  <v>31564</v>
                </pt>
                <pt idx="282">
                  <v>31594</v>
                </pt>
                <pt idx="283">
                  <v>31625</v>
                </pt>
                <pt idx="284">
                  <v>31656</v>
                </pt>
                <pt idx="285">
                  <v>31686</v>
                </pt>
                <pt idx="286">
                  <v>31717</v>
                </pt>
                <pt idx="287">
                  <v>31747</v>
                </pt>
                <pt idx="288">
                  <v>31778</v>
                </pt>
                <pt idx="289">
                  <v>31809</v>
                </pt>
                <pt idx="290">
                  <v>31837</v>
                </pt>
                <pt idx="291">
                  <v>31868</v>
                </pt>
                <pt idx="292">
                  <v>31898</v>
                </pt>
                <pt idx="293">
                  <v>31929</v>
                </pt>
                <pt idx="294">
                  <v>31959</v>
                </pt>
                <pt idx="295">
                  <v>31990</v>
                </pt>
                <pt idx="296">
                  <v>32021</v>
                </pt>
                <pt idx="297">
                  <v>32051</v>
                </pt>
                <pt idx="298">
                  <v>32082</v>
                </pt>
                <pt idx="299">
                  <v>32112</v>
                </pt>
                <pt idx="300">
                  <v>32143</v>
                </pt>
                <pt idx="301">
                  <v>32174</v>
                </pt>
                <pt idx="302">
                  <v>32203</v>
                </pt>
                <pt idx="303">
                  <v>32234</v>
                </pt>
                <pt idx="304">
                  <v>32264</v>
                </pt>
                <pt idx="305">
                  <v>32295</v>
                </pt>
                <pt idx="306">
                  <v>32325</v>
                </pt>
                <pt idx="307">
                  <v>32356</v>
                </pt>
                <pt idx="308">
                  <v>32387</v>
                </pt>
                <pt idx="309">
                  <v>32417</v>
                </pt>
                <pt idx="310">
                  <v>32448</v>
                </pt>
                <pt idx="311">
                  <v>32478</v>
                </pt>
                <pt idx="312">
                  <v>32509</v>
                </pt>
                <pt idx="313">
                  <v>32540</v>
                </pt>
                <pt idx="314">
                  <v>32568</v>
                </pt>
                <pt idx="315">
                  <v>32599</v>
                </pt>
                <pt idx="316">
                  <v>32629</v>
                </pt>
                <pt idx="317">
                  <v>32660</v>
                </pt>
                <pt idx="318">
                  <v>32690</v>
                </pt>
                <pt idx="319">
                  <v>32721</v>
                </pt>
                <pt idx="320">
                  <v>32752</v>
                </pt>
                <pt idx="321">
                  <v>32782</v>
                </pt>
                <pt idx="322">
                  <v>32813</v>
                </pt>
                <pt idx="323">
                  <v>32843</v>
                </pt>
                <pt idx="324">
                  <v>32874</v>
                </pt>
                <pt idx="325">
                  <v>32905</v>
                </pt>
                <pt idx="326">
                  <v>32933</v>
                </pt>
                <pt idx="327">
                  <v>32964</v>
                </pt>
                <pt idx="328">
                  <v>32994</v>
                </pt>
                <pt idx="329">
                  <v>33025</v>
                </pt>
                <pt idx="330">
                  <v>33055</v>
                </pt>
                <pt idx="331">
                  <v>33086</v>
                </pt>
                <pt idx="332">
                  <v>33117</v>
                </pt>
                <pt idx="333">
                  <v>33147</v>
                </pt>
                <pt idx="334">
                  <v>33178</v>
                </pt>
                <pt idx="335">
                  <v>33208</v>
                </pt>
                <pt idx="336">
                  <v>33239</v>
                </pt>
                <pt idx="337">
                  <v>33270</v>
                </pt>
                <pt idx="338">
                  <v>33298</v>
                </pt>
                <pt idx="339">
                  <v>33329</v>
                </pt>
                <pt idx="340">
                  <v>33359</v>
                </pt>
                <pt idx="341">
                  <v>33390</v>
                </pt>
                <pt idx="342">
                  <v>33420</v>
                </pt>
                <pt idx="343">
                  <v>33451</v>
                </pt>
                <pt idx="344">
                  <v>33482</v>
                </pt>
                <pt idx="345">
                  <v>33512</v>
                </pt>
                <pt idx="346">
                  <v>33543</v>
                </pt>
                <pt idx="347">
                  <v>33573</v>
                </pt>
                <pt idx="348">
                  <v>33604</v>
                </pt>
                <pt idx="349">
                  <v>33635</v>
                </pt>
                <pt idx="350">
                  <v>33664</v>
                </pt>
                <pt idx="351">
                  <v>33695</v>
                </pt>
                <pt idx="352">
                  <v>33725</v>
                </pt>
                <pt idx="353">
                  <v>33756</v>
                </pt>
                <pt idx="354">
                  <v>33786</v>
                </pt>
                <pt idx="355">
                  <v>33817</v>
                </pt>
                <pt idx="356">
                  <v>33848</v>
                </pt>
                <pt idx="357">
                  <v>33878</v>
                </pt>
                <pt idx="358">
                  <v>33909</v>
                </pt>
                <pt idx="359">
                  <v>33939</v>
                </pt>
                <pt idx="360">
                  <v>33970</v>
                </pt>
                <pt idx="361">
                  <v>34001</v>
                </pt>
                <pt idx="362">
                  <v>34029</v>
                </pt>
                <pt idx="363">
                  <v>34060</v>
                </pt>
                <pt idx="364">
                  <v>34090</v>
                </pt>
                <pt idx="365">
                  <v>34121</v>
                </pt>
                <pt idx="366">
                  <v>34151</v>
                </pt>
                <pt idx="367">
                  <v>34182</v>
                </pt>
                <pt idx="368">
                  <v>34213</v>
                </pt>
                <pt idx="369">
                  <v>34243</v>
                </pt>
                <pt idx="370">
                  <v>34274</v>
                </pt>
                <pt idx="371">
                  <v>34304</v>
                </pt>
                <pt idx="372">
                  <v>34335</v>
                </pt>
                <pt idx="373">
                  <v>34366</v>
                </pt>
                <pt idx="374">
                  <v>34394</v>
                </pt>
                <pt idx="375">
                  <v>34425</v>
                </pt>
                <pt idx="376">
                  <v>34455</v>
                </pt>
                <pt idx="377">
                  <v>34486</v>
                </pt>
                <pt idx="378">
                  <v>34516</v>
                </pt>
                <pt idx="379">
                  <v>34547</v>
                </pt>
                <pt idx="380">
                  <v>34578</v>
                </pt>
                <pt idx="381">
                  <v>34608</v>
                </pt>
                <pt idx="382">
                  <v>34639</v>
                </pt>
                <pt idx="383">
                  <v>34669</v>
                </pt>
                <pt idx="384">
                  <v>34700</v>
                </pt>
                <pt idx="385">
                  <v>34731</v>
                </pt>
                <pt idx="386">
                  <v>34759</v>
                </pt>
                <pt idx="387">
                  <v>34790</v>
                </pt>
                <pt idx="388">
                  <v>34820</v>
                </pt>
                <pt idx="389">
                  <v>34851</v>
                </pt>
                <pt idx="390">
                  <v>34881</v>
                </pt>
                <pt idx="391">
                  <v>34912</v>
                </pt>
                <pt idx="392">
                  <v>34943</v>
                </pt>
                <pt idx="393">
                  <v>34973</v>
                </pt>
                <pt idx="394">
                  <v>35004</v>
                </pt>
                <pt idx="395">
                  <v>35034</v>
                </pt>
                <pt idx="396">
                  <v>35065</v>
                </pt>
                <pt idx="397">
                  <v>35096</v>
                </pt>
                <pt idx="398">
                  <v>35125</v>
                </pt>
                <pt idx="399">
                  <v>35156</v>
                </pt>
                <pt idx="400">
                  <v>35186</v>
                </pt>
                <pt idx="401">
                  <v>35217</v>
                </pt>
                <pt idx="402">
                  <v>35247</v>
                </pt>
                <pt idx="403">
                  <v>35278</v>
                </pt>
                <pt idx="404">
                  <v>35309</v>
                </pt>
                <pt idx="405">
                  <v>35339</v>
                </pt>
                <pt idx="406">
                  <v>35370</v>
                </pt>
                <pt idx="407">
                  <v>35400</v>
                </pt>
                <pt idx="408">
                  <v>35431</v>
                </pt>
                <pt idx="409">
                  <v>35462</v>
                </pt>
                <pt idx="410">
                  <v>35490</v>
                </pt>
                <pt idx="411">
                  <v>35521</v>
                </pt>
                <pt idx="412">
                  <v>35551</v>
                </pt>
                <pt idx="413">
                  <v>35582</v>
                </pt>
                <pt idx="414">
                  <v>35612</v>
                </pt>
                <pt idx="415">
                  <v>35643</v>
                </pt>
                <pt idx="416">
                  <v>35674</v>
                </pt>
                <pt idx="417">
                  <v>35704</v>
                </pt>
                <pt idx="418">
                  <v>35735</v>
                </pt>
                <pt idx="419">
                  <v>35765</v>
                </pt>
                <pt idx="420">
                  <v>35796</v>
                </pt>
                <pt idx="421">
                  <v>35827</v>
                </pt>
                <pt idx="422">
                  <v>35855</v>
                </pt>
                <pt idx="423">
                  <v>35886</v>
                </pt>
                <pt idx="424">
                  <v>35916</v>
                </pt>
                <pt idx="425">
                  <v>35947</v>
                </pt>
                <pt idx="426">
                  <v>35977</v>
                </pt>
                <pt idx="427">
                  <v>36008</v>
                </pt>
                <pt idx="428">
                  <v>36039</v>
                </pt>
                <pt idx="429">
                  <v>36069</v>
                </pt>
                <pt idx="430">
                  <v>36100</v>
                </pt>
                <pt idx="431">
                  <v>36130</v>
                </pt>
                <pt idx="432">
                  <v>36161</v>
                </pt>
                <pt idx="433">
                  <v>36192</v>
                </pt>
                <pt idx="434">
                  <v>36220</v>
                </pt>
                <pt idx="435">
                  <v>36251</v>
                </pt>
                <pt idx="436">
                  <v>36281</v>
                </pt>
                <pt idx="437">
                  <v>36312</v>
                </pt>
                <pt idx="438">
                  <v>36342</v>
                </pt>
                <pt idx="439">
                  <v>36373</v>
                </pt>
                <pt idx="440">
                  <v>36404</v>
                </pt>
                <pt idx="441">
                  <v>36434</v>
                </pt>
                <pt idx="442">
                  <v>36465</v>
                </pt>
                <pt idx="443">
                  <v>36495</v>
                </pt>
                <pt idx="444">
                  <v>36526</v>
                </pt>
                <pt idx="445">
                  <v>36557</v>
                </pt>
                <pt idx="446">
                  <v>36586</v>
                </pt>
                <pt idx="447">
                  <v>36617</v>
                </pt>
                <pt idx="448">
                  <v>36647</v>
                </pt>
                <pt idx="449">
                  <v>36678</v>
                </pt>
                <pt idx="450">
                  <v>36708</v>
                </pt>
                <pt idx="451">
                  <v>36739</v>
                </pt>
                <pt idx="452">
                  <v>36770</v>
                </pt>
                <pt idx="453">
                  <v>36800</v>
                </pt>
                <pt idx="454">
                  <v>36831</v>
                </pt>
                <pt idx="455">
                  <v>36861</v>
                </pt>
                <pt idx="456">
                  <v>36892</v>
                </pt>
                <pt idx="457">
                  <v>36923</v>
                </pt>
                <pt idx="458">
                  <v>36951</v>
                </pt>
                <pt idx="459">
                  <v>36982</v>
                </pt>
                <pt idx="460">
                  <v>37012</v>
                </pt>
                <pt idx="461">
                  <v>37043</v>
                </pt>
                <pt idx="462">
                  <v>37073</v>
                </pt>
                <pt idx="463">
                  <v>37104</v>
                </pt>
                <pt idx="464">
                  <v>37135</v>
                </pt>
                <pt idx="465">
                  <v>37165</v>
                </pt>
                <pt idx="466">
                  <v>37196</v>
                </pt>
                <pt idx="467">
                  <v>37226</v>
                </pt>
                <pt idx="468">
                  <v>37257</v>
                </pt>
                <pt idx="469">
                  <v>37288</v>
                </pt>
                <pt idx="470">
                  <v>37316</v>
                </pt>
                <pt idx="471">
                  <v>37347</v>
                </pt>
                <pt idx="472">
                  <v>37377</v>
                </pt>
                <pt idx="473">
                  <v>37408</v>
                </pt>
                <pt idx="474">
                  <v>37438</v>
                </pt>
                <pt idx="475">
                  <v>37469</v>
                </pt>
                <pt idx="476">
                  <v>37500</v>
                </pt>
                <pt idx="477">
                  <v>37530</v>
                </pt>
                <pt idx="478">
                  <v>37561</v>
                </pt>
                <pt idx="479">
                  <v>37591</v>
                </pt>
                <pt idx="480">
                  <v>37622</v>
                </pt>
                <pt idx="481">
                  <v>37653</v>
                </pt>
                <pt idx="482">
                  <v>37681</v>
                </pt>
                <pt idx="483">
                  <v>37712</v>
                </pt>
                <pt idx="484">
                  <v>37742</v>
                </pt>
                <pt idx="485">
                  <v>37773</v>
                </pt>
                <pt idx="486">
                  <v>37803</v>
                </pt>
                <pt idx="487">
                  <v>37834</v>
                </pt>
                <pt idx="488">
                  <v>37865</v>
                </pt>
                <pt idx="489">
                  <v>37895</v>
                </pt>
                <pt idx="490">
                  <v>37926</v>
                </pt>
                <pt idx="491">
                  <v>37956</v>
                </pt>
                <pt idx="492">
                  <v>37987</v>
                </pt>
                <pt idx="493">
                  <v>38018</v>
                </pt>
                <pt idx="494">
                  <v>38047</v>
                </pt>
                <pt idx="495">
                  <v>38078</v>
                </pt>
                <pt idx="496">
                  <v>38108</v>
                </pt>
                <pt idx="497">
                  <v>38139</v>
                </pt>
                <pt idx="498">
                  <v>38169</v>
                </pt>
                <pt idx="499">
                  <v>38200</v>
                </pt>
                <pt idx="500">
                  <v>38231</v>
                </pt>
                <pt idx="501">
                  <v>38261</v>
                </pt>
                <pt idx="502">
                  <v>38292</v>
                </pt>
                <pt idx="503">
                  <v>38322</v>
                </pt>
                <pt idx="504">
                  <v>38353</v>
                </pt>
                <pt idx="505">
                  <v>38384</v>
                </pt>
                <pt idx="506">
                  <v>38412</v>
                </pt>
                <pt idx="507">
                  <v>38443</v>
                </pt>
                <pt idx="508">
                  <v>38473</v>
                </pt>
                <pt idx="509">
                  <v>38504</v>
                </pt>
                <pt idx="510">
                  <v>38534</v>
                </pt>
                <pt idx="511">
                  <v>38565</v>
                </pt>
                <pt idx="512">
                  <v>38596</v>
                </pt>
                <pt idx="513">
                  <v>38626</v>
                </pt>
                <pt idx="514">
                  <v>38657</v>
                </pt>
                <pt idx="515">
                  <v>38687</v>
                </pt>
                <pt idx="516">
                  <v>38718</v>
                </pt>
                <pt idx="517">
                  <v>38749</v>
                </pt>
                <pt idx="518">
                  <v>38777</v>
                </pt>
                <pt idx="519">
                  <v>38808</v>
                </pt>
                <pt idx="520">
                  <v>38838</v>
                </pt>
                <pt idx="521">
                  <v>38869</v>
                </pt>
                <pt idx="522">
                  <v>38899</v>
                </pt>
                <pt idx="523">
                  <v>38930</v>
                </pt>
                <pt idx="524">
                  <v>38961</v>
                </pt>
                <pt idx="525">
                  <v>38991</v>
                </pt>
                <pt idx="526">
                  <v>39022</v>
                </pt>
                <pt idx="527">
                  <v>39052</v>
                </pt>
                <pt idx="528">
                  <v>39083</v>
                </pt>
                <pt idx="529">
                  <v>39114</v>
                </pt>
                <pt idx="530">
                  <v>39142</v>
                </pt>
                <pt idx="531">
                  <v>39173</v>
                </pt>
                <pt idx="532">
                  <v>39203</v>
                </pt>
                <pt idx="533">
                  <v>39234</v>
                </pt>
                <pt idx="534">
                  <v>39264</v>
                </pt>
                <pt idx="535">
                  <v>39295</v>
                </pt>
                <pt idx="536">
                  <v>39326</v>
                </pt>
                <pt idx="537">
                  <v>39356</v>
                </pt>
                <pt idx="538">
                  <v>39387</v>
                </pt>
                <pt idx="539">
                  <v>39417</v>
                </pt>
                <pt idx="540">
                  <v>39448</v>
                </pt>
                <pt idx="541">
                  <v>39479</v>
                </pt>
                <pt idx="542">
                  <v>39508</v>
                </pt>
                <pt idx="543">
                  <v>39539</v>
                </pt>
                <pt idx="544">
                  <v>39569</v>
                </pt>
                <pt idx="545">
                  <v>39600</v>
                </pt>
                <pt idx="546">
                  <v>39630</v>
                </pt>
                <pt idx="547">
                  <v>39661</v>
                </pt>
                <pt idx="548">
                  <v>39692</v>
                </pt>
                <pt idx="549">
                  <v>39722</v>
                </pt>
                <pt idx="550">
                  <v>39753</v>
                </pt>
                <pt idx="551">
                  <v>39783</v>
                </pt>
                <pt idx="552">
                  <v>39814</v>
                </pt>
                <pt idx="553">
                  <v>39845</v>
                </pt>
                <pt idx="554">
                  <v>39873</v>
                </pt>
                <pt idx="555">
                  <v>39904</v>
                </pt>
                <pt idx="556">
                  <v>39934</v>
                </pt>
                <pt idx="557">
                  <v>39965</v>
                </pt>
                <pt idx="558">
                  <v>39995</v>
                </pt>
                <pt idx="559">
                  <v>40026</v>
                </pt>
                <pt idx="560">
                  <v>40057</v>
                </pt>
                <pt idx="561">
                  <v>40087</v>
                </pt>
                <pt idx="562">
                  <v>40118</v>
                </pt>
                <pt idx="563">
                  <v>40148</v>
                </pt>
                <pt idx="564">
                  <v>40179</v>
                </pt>
                <pt idx="565">
                  <v>40210</v>
                </pt>
                <pt idx="566">
                  <v>40238</v>
                </pt>
                <pt idx="567">
                  <v>40269</v>
                </pt>
                <pt idx="568">
                  <v>40299</v>
                </pt>
                <pt idx="569">
                  <v>40330</v>
                </pt>
                <pt idx="570">
                  <v>40360</v>
                </pt>
                <pt idx="571">
                  <v>40391</v>
                </pt>
                <pt idx="572">
                  <v>40422</v>
                </pt>
                <pt idx="573">
                  <v>40452</v>
                </pt>
                <pt idx="574">
                  <v>40483</v>
                </pt>
                <pt idx="575">
                  <v>40513</v>
                </pt>
                <pt idx="576">
                  <v>40544</v>
                </pt>
                <pt idx="577">
                  <v>40575</v>
                </pt>
                <pt idx="578">
                  <v>40603</v>
                </pt>
                <pt idx="579">
                  <v>40634</v>
                </pt>
                <pt idx="580">
                  <v>40664</v>
                </pt>
                <pt idx="581">
                  <v>40695</v>
                </pt>
                <pt idx="582">
                  <v>40725</v>
                </pt>
                <pt idx="583">
                  <v>40756</v>
                </pt>
                <pt idx="584">
                  <v>40787</v>
                </pt>
                <pt idx="585">
                  <v>40817</v>
                </pt>
                <pt idx="586">
                  <v>40848</v>
                </pt>
                <pt idx="587">
                  <v>40878</v>
                </pt>
                <pt idx="588">
                  <v>40909</v>
                </pt>
                <pt idx="589">
                  <v>40940</v>
                </pt>
                <pt idx="590">
                  <v>40969</v>
                </pt>
                <pt idx="591">
                  <v>41000</v>
                </pt>
                <pt idx="592">
                  <v>41030</v>
                </pt>
                <pt idx="593">
                  <v>41061</v>
                </pt>
                <pt idx="594">
                  <v>41091</v>
                </pt>
                <pt idx="595">
                  <v>41122</v>
                </pt>
                <pt idx="596">
                  <v>41153</v>
                </pt>
                <pt idx="597">
                  <v>41183</v>
                </pt>
                <pt idx="598">
                  <v>41214</v>
                </pt>
                <pt idx="599">
                  <v>41244</v>
                </pt>
                <pt idx="600">
                  <v>41275</v>
                </pt>
                <pt idx="601">
                  <v>41306</v>
                </pt>
                <pt idx="602">
                  <v>41334</v>
                </pt>
                <pt idx="603">
                  <v>41365</v>
                </pt>
                <pt idx="604">
                  <v>41395</v>
                </pt>
                <pt idx="605">
                  <v>41426</v>
                </pt>
                <pt idx="606">
                  <v>41456</v>
                </pt>
                <pt idx="607">
                  <v>41487</v>
                </pt>
                <pt idx="608">
                  <v>41518</v>
                </pt>
                <pt idx="609">
                  <v>41548</v>
                </pt>
                <pt idx="610">
                  <v>41579</v>
                </pt>
                <pt idx="611">
                  <v>41609</v>
                </pt>
                <pt idx="612">
                  <v>41640</v>
                </pt>
                <pt idx="613">
                  <v>41671</v>
                </pt>
                <pt idx="614">
                  <v>41699</v>
                </pt>
                <pt idx="615">
                  <v>41730</v>
                </pt>
                <pt idx="616">
                  <v>41760</v>
                </pt>
                <pt idx="617">
                  <v>41791</v>
                </pt>
                <pt idx="618">
                  <v>41821</v>
                </pt>
                <pt idx="619">
                  <v>41852</v>
                </pt>
                <pt idx="620">
                  <v>41883</v>
                </pt>
                <pt idx="621">
                  <v>41913</v>
                </pt>
                <pt idx="622">
                  <v>41944</v>
                </pt>
                <pt idx="623">
                  <v>41974</v>
                </pt>
                <pt idx="624">
                  <v>42005</v>
                </pt>
                <pt idx="625">
                  <v>42036</v>
                </pt>
                <pt idx="626">
                  <v>42064</v>
                </pt>
                <pt idx="627">
                  <v>42095</v>
                </pt>
                <pt idx="628">
                  <v>42125</v>
                </pt>
                <pt idx="629">
                  <v>42156</v>
                </pt>
                <pt idx="630">
                  <v>42186</v>
                </pt>
                <pt idx="631">
                  <v>42217</v>
                </pt>
                <pt idx="632">
                  <v>42248</v>
                </pt>
                <pt idx="633">
                  <v>42278</v>
                </pt>
                <pt idx="634">
                  <v>42309</v>
                </pt>
                <pt idx="635">
                  <v>42339</v>
                </pt>
                <pt idx="636">
                  <v>42370</v>
                </pt>
                <pt idx="637">
                  <v>42401</v>
                </pt>
                <pt idx="638">
                  <v>42430</v>
                </pt>
                <pt idx="639">
                  <v>42461</v>
                </pt>
                <pt idx="640">
                  <v>42491</v>
                </pt>
                <pt idx="641">
                  <v>42522</v>
                </pt>
                <pt idx="642">
                  <v>42552</v>
                </pt>
                <pt idx="643">
                  <v>42583</v>
                </pt>
                <pt idx="644">
                  <v>42614</v>
                </pt>
                <pt idx="645">
                  <v>42644</v>
                </pt>
                <pt idx="646">
                  <v>42675</v>
                </pt>
                <pt idx="647">
                  <v>42705</v>
                </pt>
                <pt idx="648">
                  <v>42736</v>
                </pt>
                <pt idx="649">
                  <v>42767</v>
                </pt>
                <pt idx="650">
                  <v>42795</v>
                </pt>
                <pt idx="651">
                  <v>42826</v>
                </pt>
                <pt idx="652">
                  <v>42856</v>
                </pt>
                <pt idx="653">
                  <v>42887</v>
                </pt>
                <pt idx="654">
                  <v>42917</v>
                </pt>
                <pt idx="655">
                  <v>42948</v>
                </pt>
                <pt idx="656">
                  <v>42979</v>
                </pt>
                <pt idx="657">
                  <v>43009</v>
                </pt>
                <pt idx="658">
                  <v>43040</v>
                </pt>
                <pt idx="659">
                  <v>43070</v>
                </pt>
                <pt idx="660">
                  <v>43101</v>
                </pt>
                <pt idx="661">
                  <v>43132</v>
                </pt>
                <pt idx="662">
                  <v>43160</v>
                </pt>
                <pt idx="663">
                  <v>43191</v>
                </pt>
                <pt idx="664">
                  <v>43221</v>
                </pt>
                <pt idx="665">
                  <v>43252</v>
                </pt>
                <pt idx="666">
                  <v>43282</v>
                </pt>
                <pt idx="667">
                  <v>43313</v>
                </pt>
                <pt idx="668">
                  <v>43344</v>
                </pt>
                <pt idx="669">
                  <v>43374</v>
                </pt>
                <pt idx="670">
                  <v>43405</v>
                </pt>
                <pt idx="671">
                  <v>43435</v>
                </pt>
                <pt idx="672">
                  <v>43466</v>
                </pt>
                <pt idx="673">
                  <v>43497</v>
                </pt>
                <pt idx="674">
                  <v>43525</v>
                </pt>
                <pt idx="675">
                  <v>43556</v>
                </pt>
                <pt idx="676">
                  <v>43586</v>
                </pt>
                <pt idx="677">
                  <v>43617</v>
                </pt>
                <pt idx="678">
                  <v>43647</v>
                </pt>
                <pt idx="679">
                  <v>43678</v>
                </pt>
                <pt idx="680">
                  <v>43709</v>
                </pt>
                <pt idx="681">
                  <v>43739</v>
                </pt>
                <pt idx="682">
                  <v>43770</v>
                </pt>
                <pt idx="683">
                  <v>43800</v>
                </pt>
                <pt idx="684">
                  <v>43831</v>
                </pt>
                <pt idx="685">
                  <v>43862</v>
                </pt>
                <pt idx="686">
                  <v>43891</v>
                </pt>
                <pt idx="687">
                  <v>43922</v>
                </pt>
                <pt idx="688">
                  <v>43952</v>
                </pt>
                <pt idx="689">
                  <v>43983</v>
                </pt>
                <pt idx="690">
                  <v>44013</v>
                </pt>
                <pt idx="691">
                  <v>44044</v>
                </pt>
                <pt idx="692">
                  <v>44075</v>
                </pt>
                <pt idx="693">
                  <v>44105</v>
                </pt>
                <pt idx="694">
                  <v>44136</v>
                </pt>
                <pt idx="695">
                  <v>44166</v>
                </pt>
                <pt idx="696">
                  <v>44197</v>
                </pt>
                <pt idx="697">
                  <v>44228</v>
                </pt>
                <pt idx="698">
                  <v>44256</v>
                </pt>
                <pt idx="699">
                  <v>44287</v>
                </pt>
                <pt idx="700">
                  <v>44317</v>
                </pt>
                <pt idx="701">
                  <v>44348</v>
                </pt>
                <pt idx="702">
                  <v>44378</v>
                </pt>
                <pt idx="703">
                  <v>44409</v>
                </pt>
                <pt idx="704">
                  <v>44440</v>
                </pt>
                <pt idx="705">
                  <v>44470</v>
                </pt>
                <pt idx="706">
                  <v>44501</v>
                </pt>
                <pt idx="707">
                  <v>44531</v>
                </pt>
                <pt idx="708">
                  <v>44562</v>
                </pt>
                <pt idx="709">
                  <v>44593</v>
                </pt>
                <pt idx="710">
                  <v>44621</v>
                </pt>
                <pt idx="711">
                  <v>44652</v>
                </pt>
                <pt idx="712">
                  <v>44682</v>
                </pt>
                <pt idx="713">
                  <v>44713</v>
                </pt>
                <pt idx="714">
                  <v>44743</v>
                </pt>
                <pt idx="715">
                  <v>44774</v>
                </pt>
                <pt idx="716">
                  <v>44805</v>
                </pt>
                <pt idx="717">
                  <v>44835</v>
                </pt>
                <pt idx="718">
                  <v>44866</v>
                </pt>
              </numCache>
            </numRef>
          </cat>
          <val>
            <numRef>
              <f>NFP!$C$300:$C$1036</f>
              <numCache>
                <formatCode>0</formatCode>
                <ptCount val="737"/>
                <pt idx="0">
                  <v>87</v>
                </pt>
                <pt idx="1">
                  <v>115</v>
                </pt>
                <pt idx="2">
                  <v>90</v>
                </pt>
                <pt idx="3">
                  <v>260</v>
                </pt>
                <pt idx="4">
                  <v>36</v>
                </pt>
                <pt idx="5">
                  <v>43</v>
                </pt>
                <pt idx="6">
                  <v>135</v>
                </pt>
                <pt idx="7">
                  <v>116</v>
                </pt>
                <pt idx="8">
                  <v>168</v>
                </pt>
                <pt idx="9">
                  <v>205</v>
                </pt>
                <pt idx="10">
                  <v>-28</v>
                </pt>
                <pt idx="11">
                  <v>106</v>
                </pt>
                <pt idx="12">
                  <v>126</v>
                </pt>
                <pt idx="13">
                  <v>266</v>
                </pt>
                <pt idx="14">
                  <v>144</v>
                </pt>
                <pt idx="15">
                  <v>25</v>
                </pt>
                <pt idx="16">
                  <v>167</v>
                </pt>
                <pt idx="17">
                  <v>130</v>
                </pt>
                <pt idx="18">
                  <v>193</v>
                </pt>
                <pt idx="19">
                  <v>207</v>
                </pt>
                <pt idx="20">
                  <v>284</v>
                </pt>
                <pt idx="21">
                  <v>-110</v>
                </pt>
                <pt idx="22">
                  <v>425</v>
                </pt>
                <pt idx="23">
                  <v>203</v>
                </pt>
                <pt idx="24">
                  <v>161</v>
                </pt>
                <pt idx="25">
                  <v>218</v>
                </pt>
                <pt idx="26">
                  <v>203</v>
                </pt>
                <pt idx="27">
                  <v>256</v>
                </pt>
                <pt idx="28">
                  <v>232</v>
                </pt>
                <pt idx="29">
                  <v>199</v>
                </pt>
                <pt idx="30">
                  <v>275</v>
                </pt>
                <pt idx="31">
                  <v>263</v>
                </pt>
                <pt idx="32">
                  <v>262</v>
                </pt>
                <pt idx="33">
                  <v>229</v>
                </pt>
                <pt idx="34">
                  <v>277</v>
                </pt>
                <pt idx="35">
                  <v>326</v>
                </pt>
                <pt idx="36">
                  <v>207</v>
                </pt>
                <pt idx="37">
                  <v>267</v>
                </pt>
                <pt idx="38">
                  <v>396</v>
                </pt>
                <pt idx="39">
                  <v>245</v>
                </pt>
                <pt idx="40">
                  <v>275</v>
                </pt>
                <pt idx="41">
                  <v>399</v>
                </pt>
                <pt idx="42">
                  <v>190</v>
                </pt>
                <pt idx="43">
                  <v>206</v>
                </pt>
                <pt idx="44">
                  <v>136</v>
                </pt>
                <pt idx="45">
                  <v>211</v>
                </pt>
                <pt idx="46">
                  <v>165</v>
                </pt>
                <pt idx="47">
                  <v>180</v>
                </pt>
                <pt idx="48">
                  <v>208</v>
                </pt>
                <pt idx="49">
                  <v>22</v>
                </pt>
                <pt idx="50">
                  <v>101</v>
                </pt>
                <pt idx="51">
                  <v>-64</v>
                </pt>
                <pt idx="52">
                  <v>154</v>
                </pt>
                <pt idx="53">
                  <v>130</v>
                </pt>
                <pt idx="54">
                  <v>138</v>
                </pt>
                <pt idx="55">
                  <v>255</v>
                </pt>
                <pt idx="56">
                  <v>21</v>
                </pt>
                <pt idx="57">
                  <v>61</v>
                </pt>
                <pt idx="58">
                  <v>478</v>
                </pt>
                <pt idx="59">
                  <v>197</v>
                </pt>
                <pt idx="60">
                  <v>-96</v>
                </pt>
                <pt idx="61">
                  <v>411</v>
                </pt>
                <pt idx="62">
                  <v>80</v>
                </pt>
                <pt idx="63">
                  <v>261</v>
                </pt>
                <pt idx="64">
                  <v>96</v>
                </pt>
                <pt idx="65">
                  <v>253</v>
                </pt>
                <pt idx="66">
                  <v>221</v>
                </pt>
                <pt idx="67">
                  <v>204</v>
                </pt>
                <pt idx="68">
                  <v>154</v>
                </pt>
                <pt idx="69">
                  <v>237</v>
                </pt>
                <pt idx="70">
                  <v>263</v>
                </pt>
                <pt idx="71">
                  <v>264</v>
                </pt>
                <pt idx="72">
                  <v>191</v>
                </pt>
                <pt idx="73">
                  <v>260</v>
                </pt>
                <pt idx="74">
                  <v>206</v>
                </pt>
                <pt idx="75">
                  <v>167</v>
                </pt>
                <pt idx="76">
                  <v>256</v>
                </pt>
                <pt idx="77">
                  <v>308</v>
                </pt>
                <pt idx="78">
                  <v>93</v>
                </pt>
                <pt idx="79">
                  <v>279</v>
                </pt>
                <pt idx="80">
                  <v>-94</v>
                </pt>
                <pt idx="81">
                  <v>207</v>
                </pt>
                <pt idx="82">
                  <v>-35</v>
                </pt>
                <pt idx="83">
                  <v>155</v>
                </pt>
                <pt idx="84">
                  <v>-65</v>
                </pt>
                <pt idx="85">
                  <v>129</v>
                </pt>
                <pt idx="86">
                  <v>146</v>
                </pt>
                <pt idx="87">
                  <v>-103</v>
                </pt>
                <pt idx="88">
                  <v>-224</v>
                </pt>
                <pt idx="89">
                  <v>-95</v>
                </pt>
                <pt idx="90">
                  <v>24</v>
                </pt>
                <pt idx="91">
                  <v>-116</v>
                </pt>
                <pt idx="92">
                  <v>7</v>
                </pt>
                <pt idx="93">
                  <v>-423</v>
                </pt>
                <pt idx="94">
                  <v>-112</v>
                </pt>
                <pt idx="95">
                  <v>383</v>
                </pt>
                <pt idx="96">
                  <v>73</v>
                </pt>
                <pt idx="97">
                  <v>-58</v>
                </pt>
                <pt idx="98">
                  <v>53</v>
                </pt>
                <pt idx="99">
                  <v>176</v>
                </pt>
                <pt idx="100">
                  <v>211</v>
                </pt>
                <pt idx="101">
                  <v>7</v>
                </pt>
                <pt idx="102">
                  <v>61</v>
                </pt>
                <pt idx="103">
                  <v>58</v>
                </pt>
                <pt idx="104">
                  <v>241</v>
                </pt>
                <pt idx="105">
                  <v>28</v>
                </pt>
                <pt idx="106">
                  <v>205</v>
                </pt>
                <pt idx="107">
                  <v>262</v>
                </pt>
                <pt idx="108">
                  <v>332</v>
                </pt>
                <pt idx="109">
                  <v>207</v>
                </pt>
                <pt idx="110">
                  <v>296</v>
                </pt>
                <pt idx="111">
                  <v>218</v>
                </pt>
                <pt idx="112">
                  <v>307</v>
                </pt>
                <pt idx="113">
                  <v>289</v>
                </pt>
                <pt idx="114">
                  <v>-49</v>
                </pt>
                <pt idx="115">
                  <v>432</v>
                </pt>
                <pt idx="116">
                  <v>123</v>
                </pt>
                <pt idx="117">
                  <v>410</v>
                </pt>
                <pt idx="118">
                  <v>299</v>
                </pt>
                <pt idx="119">
                  <v>295</v>
                </pt>
                <pt idx="120">
                  <v>349</v>
                </pt>
                <pt idx="121">
                  <v>397</v>
                </pt>
                <pt idx="122">
                  <v>270</v>
                </pt>
                <pt idx="123">
                  <v>171</v>
                </pt>
                <pt idx="124">
                  <v>193</v>
                </pt>
                <pt idx="125">
                  <v>239</v>
                </pt>
                <pt idx="126">
                  <v>26</v>
                </pt>
                <pt idx="127">
                  <v>255</v>
                </pt>
                <pt idx="128">
                  <v>108</v>
                </pt>
                <pt idx="129">
                  <v>331</v>
                </pt>
                <pt idx="130">
                  <v>313</v>
                </pt>
                <pt idx="131">
                  <v>111</v>
                </pt>
                <pt idx="132">
                  <v>69</v>
                </pt>
                <pt idx="133">
                  <v>154</v>
                </pt>
                <pt idx="134">
                  <v>42</v>
                </pt>
                <pt idx="135">
                  <v>86</v>
                </pt>
                <pt idx="136">
                  <v>167</v>
                </pt>
                <pt idx="137">
                  <v>55</v>
                </pt>
                <pt idx="138">
                  <v>32</v>
                </pt>
                <pt idx="139">
                  <v>-17</v>
                </pt>
                <pt idx="140">
                  <v>-9</v>
                </pt>
                <pt idx="141">
                  <v>20</v>
                </pt>
                <pt idx="142">
                  <v>-365</v>
                </pt>
                <pt idx="143">
                  <v>-613</v>
                </pt>
                <pt idx="144">
                  <v>-359</v>
                </pt>
                <pt idx="145">
                  <v>-375</v>
                </pt>
                <pt idx="146">
                  <v>-270</v>
                </pt>
                <pt idx="147">
                  <v>-188</v>
                </pt>
                <pt idx="148">
                  <v>164</v>
                </pt>
                <pt idx="149">
                  <v>-103</v>
                </pt>
                <pt idx="150">
                  <v>249</v>
                </pt>
                <pt idx="151">
                  <v>383</v>
                </pt>
                <pt idx="152">
                  <v>75</v>
                </pt>
                <pt idx="153">
                  <v>312</v>
                </pt>
                <pt idx="154">
                  <v>145</v>
                </pt>
                <pt idx="155">
                  <v>332</v>
                </pt>
                <pt idx="156">
                  <v>486</v>
                </pt>
                <pt idx="157">
                  <v>313</v>
                </pt>
                <pt idx="158">
                  <v>232</v>
                </pt>
                <pt idx="159">
                  <v>244</v>
                </pt>
                <pt idx="160">
                  <v>20</v>
                </pt>
                <pt idx="161">
                  <v>64</v>
                </pt>
                <pt idx="162">
                  <v>171</v>
                </pt>
                <pt idx="163">
                  <v>157</v>
                </pt>
                <pt idx="164">
                  <v>188</v>
                </pt>
                <pt idx="165">
                  <v>19</v>
                </pt>
                <pt idx="166">
                  <v>329</v>
                </pt>
                <pt idx="167">
                  <v>208</v>
                </pt>
                <pt idx="168">
                  <v>242</v>
                </pt>
                <pt idx="169">
                  <v>298</v>
                </pt>
                <pt idx="170">
                  <v>403</v>
                </pt>
                <pt idx="171">
                  <v>337</v>
                </pt>
                <pt idx="172">
                  <v>360</v>
                </pt>
                <pt idx="173">
                  <v>400</v>
                </pt>
                <pt idx="174">
                  <v>346</v>
                </pt>
                <pt idx="175">
                  <v>241</v>
                </pt>
                <pt idx="176">
                  <v>457</v>
                </pt>
                <pt idx="177">
                  <v>268</v>
                </pt>
                <pt idx="178">
                  <v>373</v>
                </pt>
                <pt idx="179">
                  <v>237</v>
                </pt>
                <pt idx="180">
                  <v>184</v>
                </pt>
                <pt idx="181">
                  <v>354</v>
                </pt>
                <pt idx="182">
                  <v>512</v>
                </pt>
                <pt idx="183">
                  <v>702</v>
                </pt>
                <pt idx="184">
                  <v>347</v>
                </pt>
                <pt idx="185">
                  <v>441</v>
                </pt>
                <pt idx="186">
                  <v>254</v>
                </pt>
                <pt idx="187">
                  <v>279</v>
                </pt>
                <pt idx="188">
                  <v>138</v>
                </pt>
                <pt idx="189">
                  <v>335</v>
                </pt>
                <pt idx="190">
                  <v>435</v>
                </pt>
                <pt idx="191">
                  <v>280</v>
                </pt>
                <pt idx="192">
                  <v>137</v>
                </pt>
                <pt idx="193">
                  <v>247</v>
                </pt>
                <pt idx="194">
                  <v>424</v>
                </pt>
                <pt idx="195">
                  <v>-62</v>
                </pt>
                <pt idx="196">
                  <v>372</v>
                </pt>
                <pt idx="197">
                  <v>319</v>
                </pt>
                <pt idx="198">
                  <v>109</v>
                </pt>
                <pt idx="199">
                  <v>83</v>
                </pt>
                <pt idx="200">
                  <v>27</v>
                </pt>
                <pt idx="201">
                  <v>154</v>
                </pt>
                <pt idx="202">
                  <v>92</v>
                </pt>
                <pt idx="203">
                  <v>99</v>
                </pt>
                <pt idx="204">
                  <v>128</v>
                </pt>
                <pt idx="205">
                  <v>83</v>
                </pt>
                <pt idx="206">
                  <v>111</v>
                </pt>
                <pt idx="207">
                  <v>-145</v>
                </pt>
                <pt idx="208">
                  <v>-429</v>
                </pt>
                <pt idx="209">
                  <v>-319</v>
                </pt>
                <pt idx="210">
                  <v>-261</v>
                </pt>
                <pt idx="211">
                  <v>259</v>
                </pt>
                <pt idx="212">
                  <v>114</v>
                </pt>
                <pt idx="213">
                  <v>277</v>
                </pt>
                <pt idx="214">
                  <v>257</v>
                </pt>
                <pt idx="215">
                  <v>196</v>
                </pt>
                <pt idx="216">
                  <v>90</v>
                </pt>
                <pt idx="217">
                  <v>72</v>
                </pt>
                <pt idx="218">
                  <v>105</v>
                </pt>
                <pt idx="219">
                  <v>73</v>
                </pt>
                <pt idx="220">
                  <v>13</v>
                </pt>
                <pt idx="221">
                  <v>194</v>
                </pt>
                <pt idx="222">
                  <v>111</v>
                </pt>
                <pt idx="223">
                  <v>-36</v>
                </pt>
                <pt idx="224">
                  <v>-88</v>
                </pt>
                <pt idx="225">
                  <v>-97</v>
                </pt>
                <pt idx="226">
                  <v>-209</v>
                </pt>
                <pt idx="227">
                  <v>-276</v>
                </pt>
                <pt idx="228">
                  <v>-330</v>
                </pt>
                <pt idx="229">
                  <v>-2</v>
                </pt>
                <pt idx="230">
                  <v>-129</v>
                </pt>
                <pt idx="231">
                  <v>-284</v>
                </pt>
                <pt idx="232">
                  <v>-43</v>
                </pt>
                <pt idx="233">
                  <v>-242</v>
                </pt>
                <pt idx="234">
                  <v>-344</v>
                </pt>
                <pt idx="235">
                  <v>-158</v>
                </pt>
                <pt idx="236">
                  <v>-180</v>
                </pt>
                <pt idx="237">
                  <v>-276</v>
                </pt>
                <pt idx="238">
                  <v>-121</v>
                </pt>
                <pt idx="239">
                  <v>-15</v>
                </pt>
                <pt idx="240">
                  <v>219</v>
                </pt>
                <pt idx="241">
                  <v>-73</v>
                </pt>
                <pt idx="242">
                  <v>173</v>
                </pt>
                <pt idx="243">
                  <v>274</v>
                </pt>
                <pt idx="244">
                  <v>280</v>
                </pt>
                <pt idx="245">
                  <v>377</v>
                </pt>
                <pt idx="246">
                  <v>416</v>
                </pt>
                <pt idx="247">
                  <v>-308</v>
                </pt>
                <pt idx="248">
                  <v>1118</v>
                </pt>
                <pt idx="249">
                  <v>273</v>
                </pt>
                <pt idx="250">
                  <v>355</v>
                </pt>
                <pt idx="251">
                  <v>355</v>
                </pt>
                <pt idx="252">
                  <v>443</v>
                </pt>
                <pt idx="253">
                  <v>484</v>
                </pt>
                <pt idx="254">
                  <v>272</v>
                </pt>
                <pt idx="255">
                  <v>363</v>
                </pt>
                <pt idx="256">
                  <v>306</v>
                </pt>
                <pt idx="257">
                  <v>381</v>
                </pt>
                <pt idx="258">
                  <v>310</v>
                </pt>
                <pt idx="259">
                  <v>243</v>
                </pt>
                <pt idx="260">
                  <v>312</v>
                </pt>
                <pt idx="261">
                  <v>285</v>
                </pt>
                <pt idx="262">
                  <v>353</v>
                </pt>
                <pt idx="263">
                  <v>125</v>
                </pt>
                <pt idx="264">
                  <v>265</v>
                </pt>
                <pt idx="265">
                  <v>131</v>
                </pt>
                <pt idx="266">
                  <v>339</v>
                </pt>
                <pt idx="267">
                  <v>196</v>
                </pt>
                <pt idx="268">
                  <v>274</v>
                </pt>
                <pt idx="269">
                  <v>147</v>
                </pt>
                <pt idx="270">
                  <v>189</v>
                </pt>
                <pt idx="271">
                  <v>192</v>
                </pt>
                <pt idx="272">
                  <v>205</v>
                </pt>
                <pt idx="273">
                  <v>188</v>
                </pt>
                <pt idx="274">
                  <v>210</v>
                </pt>
                <pt idx="275">
                  <v>166</v>
                </pt>
                <pt idx="276">
                  <v>123</v>
                </pt>
                <pt idx="277">
                  <v>115</v>
                </pt>
                <pt idx="278">
                  <v>87</v>
                </pt>
                <pt idx="279">
                  <v>187</v>
                </pt>
                <pt idx="280">
                  <v>127</v>
                </pt>
                <pt idx="281">
                  <v>-93</v>
                </pt>
                <pt idx="282">
                  <v>318</v>
                </pt>
                <pt idx="283">
                  <v>115</v>
                </pt>
                <pt idx="284">
                  <v>346</v>
                </pt>
                <pt idx="285">
                  <v>187</v>
                </pt>
                <pt idx="286">
                  <v>187</v>
                </pt>
                <pt idx="287">
                  <v>201</v>
                </pt>
                <pt idx="288">
                  <v>169</v>
                </pt>
                <pt idx="289">
                  <v>241</v>
                </pt>
                <pt idx="290">
                  <v>245</v>
                </pt>
                <pt idx="291">
                  <v>335</v>
                </pt>
                <pt idx="292">
                  <v>229</v>
                </pt>
                <pt idx="293">
                  <v>172</v>
                </pt>
                <pt idx="294">
                  <v>347</v>
                </pt>
                <pt idx="295">
                  <v>173</v>
                </pt>
                <pt idx="296">
                  <v>227</v>
                </pt>
                <pt idx="297">
                  <v>491</v>
                </pt>
                <pt idx="298">
                  <v>234</v>
                </pt>
                <pt idx="299">
                  <v>289</v>
                </pt>
                <pt idx="300">
                  <v>92</v>
                </pt>
                <pt idx="301">
                  <v>461</v>
                </pt>
                <pt idx="302">
                  <v>275</v>
                </pt>
                <pt idx="303">
                  <v>243</v>
                </pt>
                <pt idx="304">
                  <v>230</v>
                </pt>
                <pt idx="305">
                  <v>364</v>
                </pt>
                <pt idx="306">
                  <v>224</v>
                </pt>
                <pt idx="307">
                  <v>124</v>
                </pt>
                <pt idx="308">
                  <v>339</v>
                </pt>
                <pt idx="309">
                  <v>263</v>
                </pt>
                <pt idx="310">
                  <v>341</v>
                </pt>
                <pt idx="311">
                  <v>281</v>
                </pt>
                <pt idx="312">
                  <v>263</v>
                </pt>
                <pt idx="313">
                  <v>266</v>
                </pt>
                <pt idx="314">
                  <v>194</v>
                </pt>
                <pt idx="315">
                  <v>170</v>
                </pt>
                <pt idx="316">
                  <v>122</v>
                </pt>
                <pt idx="317">
                  <v>114</v>
                </pt>
                <pt idx="318">
                  <v>42</v>
                </pt>
                <pt idx="319">
                  <v>51</v>
                </pt>
                <pt idx="320">
                  <v>249</v>
                </pt>
                <pt idx="321">
                  <v>107</v>
                </pt>
                <pt idx="322">
                  <v>276</v>
                </pt>
                <pt idx="323">
                  <v>84</v>
                </pt>
                <pt idx="324">
                  <v>363</v>
                </pt>
                <pt idx="325">
                  <v>236</v>
                </pt>
                <pt idx="326">
                  <v>209</v>
                </pt>
                <pt idx="327">
                  <v>42</v>
                </pt>
                <pt idx="328">
                  <v>153</v>
                </pt>
                <pt idx="329">
                  <v>17</v>
                </pt>
                <pt idx="330">
                  <v>-32</v>
                </pt>
                <pt idx="331">
                  <v>-208</v>
                </pt>
                <pt idx="332">
                  <v>-98</v>
                </pt>
                <pt idx="333">
                  <v>-151</v>
                </pt>
                <pt idx="334">
                  <v>-153</v>
                </pt>
                <pt idx="335">
                  <v>-48</v>
                </pt>
                <pt idx="336">
                  <v>-111</v>
                </pt>
                <pt idx="337">
                  <v>-321</v>
                </pt>
                <pt idx="338">
                  <v>-160</v>
                </pt>
                <pt idx="339">
                  <v>-210</v>
                </pt>
                <pt idx="340">
                  <v>-115</v>
                </pt>
                <pt idx="341">
                  <v>85</v>
                </pt>
                <pt idx="342">
                  <v>-42</v>
                </pt>
                <pt idx="343">
                  <v>18</v>
                </pt>
                <pt idx="344">
                  <v>26</v>
                </pt>
                <pt idx="345">
                  <v>21</v>
                </pt>
                <pt idx="346">
                  <v>-61</v>
                </pt>
                <pt idx="347">
                  <v>32</v>
                </pt>
                <pt idx="348">
                  <v>41</v>
                </pt>
                <pt idx="349">
                  <v>-58</v>
                </pt>
                <pt idx="350">
                  <v>54</v>
                </pt>
                <pt idx="351">
                  <v>154</v>
                </pt>
                <pt idx="352">
                  <v>130</v>
                </pt>
                <pt idx="353">
                  <v>66</v>
                </pt>
                <pt idx="354">
                  <v>78</v>
                </pt>
                <pt idx="355">
                  <v>132</v>
                </pt>
                <pt idx="356">
                  <v>34</v>
                </pt>
                <pt idx="357">
                  <v>180</v>
                </pt>
                <pt idx="358">
                  <v>133</v>
                </pt>
                <pt idx="359">
                  <v>223</v>
                </pt>
                <pt idx="360">
                  <v>299</v>
                </pt>
                <pt idx="361">
                  <v>250</v>
                </pt>
                <pt idx="362">
                  <v>-50</v>
                </pt>
                <pt idx="363">
                  <v>302</v>
                </pt>
                <pt idx="364">
                  <v>272</v>
                </pt>
                <pt idx="365">
                  <v>181</v>
                </pt>
                <pt idx="366">
                  <v>306</v>
                </pt>
                <pt idx="367">
                  <v>151</v>
                </pt>
                <pt idx="368">
                  <v>242</v>
                </pt>
                <pt idx="369">
                  <v>285</v>
                </pt>
                <pt idx="370">
                  <v>251</v>
                </pt>
                <pt idx="371">
                  <v>330</v>
                </pt>
                <pt idx="372">
                  <v>281</v>
                </pt>
                <pt idx="373">
                  <v>186</v>
                </pt>
                <pt idx="374">
                  <v>461</v>
                </pt>
                <pt idx="375">
                  <v>344</v>
                </pt>
                <pt idx="376">
                  <v>335</v>
                </pt>
                <pt idx="377">
                  <v>317</v>
                </pt>
                <pt idx="378">
                  <v>372</v>
                </pt>
                <pt idx="379">
                  <v>286</v>
                </pt>
                <pt idx="380">
                  <v>351</v>
                </pt>
                <pt idx="381">
                  <v>211</v>
                </pt>
                <pt idx="382">
                  <v>411</v>
                </pt>
                <pt idx="383">
                  <v>296</v>
                </pt>
                <pt idx="384">
                  <v>336</v>
                </pt>
                <pt idx="385">
                  <v>196</v>
                </pt>
                <pt idx="386">
                  <v>210</v>
                </pt>
                <pt idx="387">
                  <v>162</v>
                </pt>
                <pt idx="388">
                  <v>-20</v>
                </pt>
                <pt idx="389">
                  <v>237</v>
                </pt>
                <pt idx="390">
                  <v>94</v>
                </pt>
                <pt idx="391">
                  <v>254</v>
                </pt>
                <pt idx="392">
                  <v>241</v>
                </pt>
                <pt idx="393">
                  <v>156</v>
                </pt>
                <pt idx="394">
                  <v>144</v>
                </pt>
                <pt idx="395">
                  <v>145</v>
                </pt>
                <pt idx="396">
                  <v>-4</v>
                </pt>
                <pt idx="397">
                  <v>423</v>
                </pt>
                <pt idx="398">
                  <v>254</v>
                </pt>
                <pt idx="399">
                  <v>165</v>
                </pt>
                <pt idx="400">
                  <v>328</v>
                </pt>
                <pt idx="401">
                  <v>283</v>
                </pt>
                <pt idx="402">
                  <v>246</v>
                </pt>
                <pt idx="403">
                  <v>184</v>
                </pt>
                <pt idx="404">
                  <v>211</v>
                </pt>
                <pt idx="405">
                  <v>255</v>
                </pt>
                <pt idx="406">
                  <v>296</v>
                </pt>
                <pt idx="407">
                  <v>182</v>
                </pt>
                <pt idx="408">
                  <v>220</v>
                </pt>
                <pt idx="409">
                  <v>312</v>
                </pt>
                <pt idx="410">
                  <v>315</v>
                </pt>
                <pt idx="411">
                  <v>296</v>
                </pt>
                <pt idx="412">
                  <v>260</v>
                </pt>
                <pt idx="413">
                  <v>268</v>
                </pt>
                <pt idx="414">
                  <v>297</v>
                </pt>
                <pt idx="415">
                  <v>-18</v>
                </pt>
                <pt idx="416">
                  <v>492</v>
                </pt>
                <pt idx="417">
                  <v>344</v>
                </pt>
                <pt idx="418">
                  <v>306</v>
                </pt>
                <pt idx="419">
                  <v>314</v>
                </pt>
                <pt idx="420">
                  <v>263</v>
                </pt>
                <pt idx="421">
                  <v>204</v>
                </pt>
                <pt idx="422">
                  <v>148</v>
                </pt>
                <pt idx="423">
                  <v>278</v>
                </pt>
                <pt idx="424">
                  <v>402</v>
                </pt>
                <pt idx="425">
                  <v>232</v>
                </pt>
                <pt idx="426">
                  <v>129</v>
                </pt>
                <pt idx="427">
                  <v>339</v>
                </pt>
                <pt idx="428">
                  <v>208</v>
                </pt>
                <pt idx="429">
                  <v>202</v>
                </pt>
                <pt idx="430">
                  <v>277</v>
                </pt>
                <pt idx="431">
                  <v>365</v>
                </pt>
                <pt idx="432">
                  <v>106</v>
                </pt>
                <pt idx="433">
                  <v>418</v>
                </pt>
                <pt idx="434">
                  <v>107</v>
                </pt>
                <pt idx="435">
                  <v>370</v>
                </pt>
                <pt idx="436">
                  <v>211</v>
                </pt>
                <pt idx="437">
                  <v>281</v>
                </pt>
                <pt idx="438">
                  <v>325</v>
                </pt>
                <pt idx="439">
                  <v>155</v>
                </pt>
                <pt idx="440">
                  <v>203</v>
                </pt>
                <pt idx="441">
                  <v>405</v>
                </pt>
                <pt idx="442">
                  <v>289</v>
                </pt>
                <pt idx="443">
                  <v>306</v>
                </pt>
                <pt idx="444">
                  <v>233</v>
                </pt>
                <pt idx="445">
                  <v>119</v>
                </pt>
                <pt idx="446">
                  <v>472</v>
                </pt>
                <pt idx="447">
                  <v>292</v>
                </pt>
                <pt idx="448">
                  <v>217</v>
                </pt>
                <pt idx="449">
                  <v>-44</v>
                </pt>
                <pt idx="450">
                  <v>175</v>
                </pt>
                <pt idx="451">
                  <v>-6</v>
                </pt>
                <pt idx="452">
                  <v>123</v>
                </pt>
                <pt idx="453">
                  <v>-2</v>
                </pt>
                <pt idx="454">
                  <v>205</v>
                </pt>
                <pt idx="455">
                  <v>153</v>
                </pt>
                <pt idx="456">
                  <v>-11</v>
                </pt>
                <pt idx="457">
                  <v>91</v>
                </pt>
                <pt idx="458">
                  <v>-42</v>
                </pt>
                <pt idx="459">
                  <v>-284</v>
                </pt>
                <pt idx="460">
                  <v>-53</v>
                </pt>
                <pt idx="461">
                  <v>-111</v>
                </pt>
                <pt idx="462">
                  <v>-122</v>
                </pt>
                <pt idx="463">
                  <v>-149</v>
                </pt>
                <pt idx="464">
                  <v>-257</v>
                </pt>
                <pt idx="465">
                  <v>-317</v>
                </pt>
                <pt idx="466">
                  <v>-312</v>
                </pt>
                <pt idx="467">
                  <v>-160</v>
                </pt>
                <pt idx="468">
                  <v>-130</v>
                </pt>
                <pt idx="469">
                  <v>-116</v>
                </pt>
                <pt idx="470">
                  <v>-19</v>
                </pt>
                <pt idx="471">
                  <v>-94</v>
                </pt>
                <pt idx="472">
                  <v>11</v>
                </pt>
                <pt idx="473">
                  <v>50</v>
                </pt>
                <pt idx="474">
                  <v>-94</v>
                </pt>
                <pt idx="475">
                  <v>-3</v>
                </pt>
                <pt idx="476">
                  <v>-86</v>
                </pt>
                <pt idx="477">
                  <v>127</v>
                </pt>
                <pt idx="478">
                  <v>-13</v>
                </pt>
                <pt idx="479">
                  <v>-143</v>
                </pt>
                <pt idx="480">
                  <v>108</v>
                </pt>
                <pt idx="481">
                  <v>-136</v>
                </pt>
                <pt idx="482">
                  <v>-212</v>
                </pt>
                <pt idx="483">
                  <v>-55</v>
                </pt>
                <pt idx="484">
                  <v>19</v>
                </pt>
                <pt idx="485">
                  <v>-2</v>
                </pt>
                <pt idx="486">
                  <v>-3</v>
                </pt>
                <pt idx="487">
                  <v>-42</v>
                </pt>
                <pt idx="488">
                  <v>105</v>
                </pt>
                <pt idx="489">
                  <v>200</v>
                </pt>
                <pt idx="490">
                  <v>20</v>
                </pt>
                <pt idx="491">
                  <v>114</v>
                </pt>
                <pt idx="492">
                  <v>181</v>
                </pt>
                <pt idx="493">
                  <v>56</v>
                </pt>
                <pt idx="494">
                  <v>317</v>
                </pt>
                <pt idx="495">
                  <v>269</v>
                </pt>
                <pt idx="496">
                  <v>283</v>
                </pt>
                <pt idx="497">
                  <v>99</v>
                </pt>
                <pt idx="498">
                  <v>55</v>
                </pt>
                <pt idx="499">
                  <v>89</v>
                </pt>
                <pt idx="500">
                  <v>156</v>
                </pt>
                <pt idx="501">
                  <v>354</v>
                </pt>
                <pt idx="502">
                  <v>56</v>
                </pt>
                <pt idx="503">
                  <v>121</v>
                </pt>
                <pt idx="504">
                  <v>150</v>
                </pt>
                <pt idx="505">
                  <v>258</v>
                </pt>
                <pt idx="506">
                  <v>124</v>
                </pt>
                <pt idx="507">
                  <v>362</v>
                </pt>
                <pt idx="508">
                  <v>172</v>
                </pt>
                <pt idx="509">
                  <v>252</v>
                </pt>
                <pt idx="510">
                  <v>354</v>
                </pt>
                <pt idx="511">
                  <v>202</v>
                </pt>
                <pt idx="512">
                  <v>68</v>
                </pt>
                <pt idx="513">
                  <v>89</v>
                </pt>
                <pt idx="514">
                  <v>338</v>
                </pt>
                <pt idx="515">
                  <v>156</v>
                </pt>
                <pt idx="516">
                  <v>280</v>
                </pt>
                <pt idx="517">
                  <v>308</v>
                </pt>
                <pt idx="518">
                  <v>310</v>
                </pt>
                <pt idx="519">
                  <v>158</v>
                </pt>
                <pt idx="520">
                  <v>39</v>
                </pt>
                <pt idx="521">
                  <v>81</v>
                </pt>
                <pt idx="522">
                  <v>195</v>
                </pt>
                <pt idx="523">
                  <v>174</v>
                </pt>
                <pt idx="524">
                  <v>149</v>
                </pt>
                <pt idx="525">
                  <v>9</v>
                </pt>
                <pt idx="526">
                  <v>211</v>
                </pt>
                <pt idx="527">
                  <v>186</v>
                </pt>
                <pt idx="528">
                  <v>228</v>
                </pt>
                <pt idx="529">
                  <v>81</v>
                </pt>
                <pt idx="530">
                  <v>235</v>
                </pt>
                <pt idx="531">
                  <v>49</v>
                </pt>
                <pt idx="532">
                  <v>151</v>
                </pt>
                <pt idx="533">
                  <v>76</v>
                </pt>
                <pt idx="534">
                  <v>-31</v>
                </pt>
                <pt idx="535">
                  <v>-23</v>
                </pt>
                <pt idx="536">
                  <v>80</v>
                </pt>
                <pt idx="537">
                  <v>79</v>
                </pt>
                <pt idx="538">
                  <v>110</v>
                </pt>
                <pt idx="539">
                  <v>108</v>
                </pt>
                <pt idx="540">
                  <v>11</v>
                </pt>
                <pt idx="541">
                  <v>-79</v>
                </pt>
                <pt idx="542">
                  <v>-49</v>
                </pt>
                <pt idx="543">
                  <v>-240</v>
                </pt>
                <pt idx="544">
                  <v>-177</v>
                </pt>
                <pt idx="545">
                  <v>-171</v>
                </pt>
                <pt idx="546">
                  <v>-196</v>
                </pt>
                <pt idx="547">
                  <v>-278</v>
                </pt>
                <pt idx="548">
                  <v>-460</v>
                </pt>
                <pt idx="549">
                  <v>-481</v>
                </pt>
                <pt idx="550">
                  <v>-727</v>
                </pt>
                <pt idx="551">
                  <v>-706</v>
                </pt>
                <pt idx="552">
                  <v>-784</v>
                </pt>
                <pt idx="553">
                  <v>-743</v>
                </pt>
                <pt idx="554">
                  <v>-800</v>
                </pt>
                <pt idx="555">
                  <v>-695</v>
                </pt>
                <pt idx="556">
                  <v>-342</v>
                </pt>
                <pt idx="557">
                  <v>-467</v>
                </pt>
                <pt idx="558">
                  <v>-340</v>
                </pt>
                <pt idx="559">
                  <v>-183</v>
                </pt>
                <pt idx="560">
                  <v>-241</v>
                </pt>
                <pt idx="561">
                  <v>-199</v>
                </pt>
                <pt idx="562">
                  <v>12</v>
                </pt>
                <pt idx="563">
                  <v>-269</v>
                </pt>
                <pt idx="564">
                  <v>2</v>
                </pt>
                <pt idx="565">
                  <v>-92</v>
                </pt>
                <pt idx="566">
                  <v>181</v>
                </pt>
                <pt idx="567">
                  <v>231</v>
                </pt>
                <pt idx="568">
                  <v>540</v>
                </pt>
                <pt idx="569">
                  <v>-139</v>
                </pt>
                <pt idx="570">
                  <v>-84</v>
                </pt>
                <pt idx="571">
                  <v>-5</v>
                </pt>
                <pt idx="572">
                  <v>-65</v>
                </pt>
                <pt idx="573">
                  <v>268</v>
                </pt>
                <pt idx="574">
                  <v>125</v>
                </pt>
                <pt idx="575">
                  <v>72</v>
                </pt>
                <pt idx="576">
                  <v>19</v>
                </pt>
                <pt idx="577">
                  <v>212</v>
                </pt>
                <pt idx="578">
                  <v>235</v>
                </pt>
                <pt idx="579">
                  <v>314</v>
                </pt>
                <pt idx="580">
                  <v>101</v>
                </pt>
                <pt idx="581">
                  <v>236</v>
                </pt>
                <pt idx="582">
                  <v>60</v>
                </pt>
                <pt idx="583">
                  <v>126</v>
                </pt>
                <pt idx="584">
                  <v>233</v>
                </pt>
                <pt idx="585">
                  <v>204</v>
                </pt>
                <pt idx="586">
                  <v>132</v>
                </pt>
                <pt idx="587">
                  <v>202</v>
                </pt>
                <pt idx="588">
                  <v>354</v>
                </pt>
                <pt idx="589">
                  <v>262</v>
                </pt>
                <pt idx="590">
                  <v>240</v>
                </pt>
                <pt idx="591">
                  <v>82</v>
                </pt>
                <pt idx="592">
                  <v>100</v>
                </pt>
                <pt idx="593">
                  <v>73</v>
                </pt>
                <pt idx="594">
                  <v>152</v>
                </pt>
                <pt idx="595">
                  <v>172</v>
                </pt>
                <pt idx="596">
                  <v>187</v>
                </pt>
                <pt idx="597">
                  <v>159</v>
                </pt>
                <pt idx="598">
                  <v>156</v>
                </pt>
                <pt idx="599">
                  <v>239</v>
                </pt>
                <pt idx="600">
                  <v>191</v>
                </pt>
                <pt idx="601">
                  <v>278</v>
                </pt>
                <pt idx="602">
                  <v>139</v>
                </pt>
                <pt idx="603">
                  <v>191</v>
                </pt>
                <pt idx="604">
                  <v>222</v>
                </pt>
                <pt idx="605">
                  <v>181</v>
                </pt>
                <pt idx="606">
                  <v>112</v>
                </pt>
                <pt idx="607">
                  <v>242</v>
                </pt>
                <pt idx="608">
                  <v>187</v>
                </pt>
                <pt idx="609">
                  <v>225</v>
                </pt>
                <pt idx="610">
                  <v>264</v>
                </pt>
                <pt idx="611">
                  <v>69</v>
                </pt>
                <pt idx="612">
                  <v>175</v>
                </pt>
                <pt idx="613">
                  <v>166</v>
                </pt>
                <pt idx="614">
                  <v>254</v>
                </pt>
                <pt idx="615">
                  <v>325</v>
                </pt>
                <pt idx="616">
                  <v>218</v>
                </pt>
                <pt idx="617">
                  <v>326</v>
                </pt>
                <pt idx="618">
                  <v>232</v>
                </pt>
                <pt idx="619">
                  <v>188</v>
                </pt>
                <pt idx="620">
                  <v>309</v>
                </pt>
                <pt idx="621">
                  <v>252</v>
                </pt>
                <pt idx="622">
                  <v>291</v>
                </pt>
                <pt idx="623">
                  <v>268</v>
                </pt>
                <pt idx="624">
                  <v>191</v>
                </pt>
                <pt idx="625">
                  <v>271</v>
                </pt>
                <pt idx="626">
                  <v>71</v>
                </pt>
                <pt idx="627">
                  <v>284</v>
                </pt>
                <pt idx="628">
                  <v>331</v>
                </pt>
                <pt idx="629">
                  <v>174</v>
                </pt>
                <pt idx="630">
                  <v>302</v>
                </pt>
                <pt idx="631">
                  <v>125</v>
                </pt>
                <pt idx="632">
                  <v>155</v>
                </pt>
                <pt idx="633">
                  <v>306</v>
                </pt>
                <pt idx="634">
                  <v>237</v>
                </pt>
                <pt idx="635">
                  <v>273</v>
                </pt>
                <pt idx="636">
                  <v>108</v>
                </pt>
                <pt idx="637">
                  <v>212</v>
                </pt>
                <pt idx="638">
                  <v>237</v>
                </pt>
                <pt idx="639">
                  <v>197</v>
                </pt>
                <pt idx="640">
                  <v>41</v>
                </pt>
                <pt idx="641">
                  <v>258</v>
                </pt>
                <pt idx="642">
                  <v>371</v>
                </pt>
                <pt idx="643">
                  <v>143</v>
                </pt>
                <pt idx="644">
                  <v>289</v>
                </pt>
                <pt idx="645">
                  <v>118</v>
                </pt>
                <pt idx="646">
                  <v>130</v>
                </pt>
                <pt idx="647">
                  <v>214</v>
                </pt>
                <pt idx="648">
                  <v>213</v>
                </pt>
                <pt idx="649">
                  <v>190</v>
                </pt>
                <pt idx="650">
                  <v>142</v>
                </pt>
                <pt idx="651">
                  <v>205</v>
                </pt>
                <pt idx="652">
                  <v>223</v>
                </pt>
                <pt idx="653">
                  <v>197</v>
                </pt>
                <pt idx="654">
                  <v>183</v>
                </pt>
                <pt idx="655">
                  <v>145</v>
                </pt>
                <pt idx="656">
                  <v>99</v>
                </pt>
                <pt idx="657">
                  <v>141</v>
                </pt>
                <pt idx="658">
                  <v>200</v>
                </pt>
                <pt idx="659">
                  <v>176</v>
                </pt>
                <pt idx="660">
                  <v>133</v>
                </pt>
                <pt idx="661">
                  <v>402</v>
                </pt>
                <pt idx="662">
                  <v>225</v>
                </pt>
                <pt idx="663">
                  <v>179</v>
                </pt>
                <pt idx="664">
                  <v>333</v>
                </pt>
                <pt idx="665">
                  <v>183</v>
                </pt>
                <pt idx="666">
                  <v>66</v>
                </pt>
                <pt idx="667">
                  <v>219</v>
                </pt>
                <pt idx="668">
                  <v>57</v>
                </pt>
                <pt idx="669">
                  <v>145</v>
                </pt>
                <pt idx="670">
                  <v>102</v>
                </pt>
                <pt idx="671">
                  <v>248</v>
                </pt>
                <pt idx="672">
                  <v>279</v>
                </pt>
                <pt idx="673">
                  <v>24</v>
                </pt>
                <pt idx="674">
                  <v>224</v>
                </pt>
                <pt idx="675">
                  <v>288</v>
                </pt>
                <pt idx="676">
                  <v>77</v>
                </pt>
                <pt idx="677">
                  <v>130</v>
                </pt>
                <pt idx="678">
                  <v>78</v>
                </pt>
                <pt idx="679">
                  <v>160</v>
                </pt>
                <pt idx="680">
                  <v>163</v>
                </pt>
                <pt idx="681">
                  <v>93</v>
                </pt>
                <pt idx="682">
                  <v>252</v>
                </pt>
                <pt idx="683">
                  <v>200</v>
                </pt>
                <pt idx="684">
                  <v>339</v>
                </pt>
                <pt idx="685">
                  <v>376</v>
                </pt>
                <pt idx="686">
                  <v>-1498</v>
                </pt>
                <pt idx="687">
                  <v>-20493</v>
                </pt>
                <pt idx="688">
                  <v>2642</v>
                </pt>
                <pt idx="689">
                  <v>4505</v>
                </pt>
                <pt idx="690">
                  <v>1388</v>
                </pt>
                <pt idx="691">
                  <v>1665</v>
                </pt>
                <pt idx="692">
                  <v>919</v>
                </pt>
                <pt idx="693">
                  <v>647</v>
                </pt>
                <pt idx="694">
                  <v>333</v>
                </pt>
                <pt idx="695">
                  <v>-115</v>
                </pt>
                <pt idx="696">
                  <v>520</v>
                </pt>
                <pt idx="697">
                  <v>710</v>
                </pt>
                <pt idx="698">
                  <v>704</v>
                </pt>
                <pt idx="699">
                  <v>263</v>
                </pt>
                <pt idx="700">
                  <v>447</v>
                </pt>
                <pt idx="701">
                  <v>557</v>
                </pt>
                <pt idx="702">
                  <v>689</v>
                </pt>
                <pt idx="703">
                  <v>517</v>
                </pt>
                <pt idx="704">
                  <v>424</v>
                </pt>
                <pt idx="705">
                  <v>677</v>
                </pt>
                <pt idx="706">
                  <v>647</v>
                </pt>
                <pt idx="707">
                  <v>588</v>
                </pt>
                <pt idx="708">
                  <v>504</v>
                </pt>
                <pt idx="709">
                  <v>714</v>
                </pt>
                <pt idx="710">
                  <v>398</v>
                </pt>
                <pt idx="711">
                  <v>368</v>
                </pt>
                <pt idx="712">
                  <v>386</v>
                </pt>
                <pt idx="713">
                  <v>293</v>
                </pt>
                <pt idx="714">
                  <v>537</v>
                </pt>
                <pt idx="715">
                  <v>292</v>
                </pt>
                <pt idx="716">
                  <v>269</v>
                </pt>
                <pt idx="717">
                  <v>284</v>
                </pt>
                <pt idx="718">
                  <v>263</v>
                </pt>
              </numCache>
            </numRef>
          </val>
          <smooth val="0"/>
        </ser>
        <dLbls>
          <showLegendKey val="0"/>
          <showVal val="0"/>
          <showCatName val="0"/>
          <showSerName val="0"/>
          <showPercent val="0"/>
          <showBubbleSize val="0"/>
        </dLbls>
        <smooth val="0"/>
        <axId val="1034261896"/>
        <axId val="1034262288"/>
      </lineChart>
      <dateAx>
        <axId val="1034261896"/>
        <scaling>
          <orientation val="minMax"/>
          <max val="44835"/>
          <min val="2301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2288"/>
        <crosses val="autoZero"/>
        <lblOffset val="100"/>
        <baseTimeUnit val="months"/>
      </dateAx>
      <valAx>
        <axId val="1034262288"/>
        <scaling>
          <orientation val="minMax"/>
          <max val="5000"/>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NFP!$A$800:$A$1036</f>
              <numCache>
                <formatCode>yyyy\-mm\-dd</formatCode>
                <ptCount val="237"/>
                <pt idx="0">
                  <v>38231</v>
                </pt>
                <pt idx="1">
                  <v>38261</v>
                </pt>
                <pt idx="2">
                  <v>38292</v>
                </pt>
                <pt idx="3">
                  <v>38322</v>
                </pt>
                <pt idx="4">
                  <v>38353</v>
                </pt>
                <pt idx="5">
                  <v>38384</v>
                </pt>
                <pt idx="6">
                  <v>38412</v>
                </pt>
                <pt idx="7">
                  <v>38443</v>
                </pt>
                <pt idx="8">
                  <v>38473</v>
                </pt>
                <pt idx="9">
                  <v>38504</v>
                </pt>
                <pt idx="10">
                  <v>38534</v>
                </pt>
                <pt idx="11">
                  <v>38565</v>
                </pt>
                <pt idx="12">
                  <v>38596</v>
                </pt>
                <pt idx="13">
                  <v>38626</v>
                </pt>
                <pt idx="14">
                  <v>38657</v>
                </pt>
                <pt idx="15">
                  <v>38687</v>
                </pt>
                <pt idx="16">
                  <v>38718</v>
                </pt>
                <pt idx="17">
                  <v>38749</v>
                </pt>
                <pt idx="18">
                  <v>38777</v>
                </pt>
                <pt idx="19">
                  <v>38808</v>
                </pt>
                <pt idx="20">
                  <v>38838</v>
                </pt>
                <pt idx="21">
                  <v>38869</v>
                </pt>
                <pt idx="22">
                  <v>38899</v>
                </pt>
                <pt idx="23">
                  <v>38930</v>
                </pt>
                <pt idx="24">
                  <v>38961</v>
                </pt>
                <pt idx="25">
                  <v>38991</v>
                </pt>
                <pt idx="26">
                  <v>39022</v>
                </pt>
                <pt idx="27">
                  <v>39052</v>
                </pt>
                <pt idx="28">
                  <v>39083</v>
                </pt>
                <pt idx="29">
                  <v>39114</v>
                </pt>
                <pt idx="30">
                  <v>39142</v>
                </pt>
                <pt idx="31">
                  <v>39173</v>
                </pt>
                <pt idx="32">
                  <v>39203</v>
                </pt>
                <pt idx="33">
                  <v>39234</v>
                </pt>
                <pt idx="34">
                  <v>39264</v>
                </pt>
                <pt idx="35">
                  <v>39295</v>
                </pt>
                <pt idx="36">
                  <v>39326</v>
                </pt>
                <pt idx="37">
                  <v>39356</v>
                </pt>
                <pt idx="38">
                  <v>39387</v>
                </pt>
                <pt idx="39">
                  <v>39417</v>
                </pt>
                <pt idx="40">
                  <v>39448</v>
                </pt>
                <pt idx="41">
                  <v>39479</v>
                </pt>
                <pt idx="42">
                  <v>39508</v>
                </pt>
                <pt idx="43">
                  <v>39539</v>
                </pt>
                <pt idx="44">
                  <v>39569</v>
                </pt>
                <pt idx="45">
                  <v>39600</v>
                </pt>
                <pt idx="46">
                  <v>39630</v>
                </pt>
                <pt idx="47">
                  <v>39661</v>
                </pt>
                <pt idx="48">
                  <v>39692</v>
                </pt>
                <pt idx="49">
                  <v>39722</v>
                </pt>
                <pt idx="50">
                  <v>39753</v>
                </pt>
                <pt idx="51">
                  <v>39783</v>
                </pt>
                <pt idx="52">
                  <v>39814</v>
                </pt>
                <pt idx="53">
                  <v>39845</v>
                </pt>
                <pt idx="54">
                  <v>39873</v>
                </pt>
                <pt idx="55">
                  <v>39904</v>
                </pt>
                <pt idx="56">
                  <v>39934</v>
                </pt>
                <pt idx="57">
                  <v>39965</v>
                </pt>
                <pt idx="58">
                  <v>39995</v>
                </pt>
                <pt idx="59">
                  <v>40026</v>
                </pt>
                <pt idx="60">
                  <v>40057</v>
                </pt>
                <pt idx="61">
                  <v>40087</v>
                </pt>
                <pt idx="62">
                  <v>40118</v>
                </pt>
                <pt idx="63">
                  <v>40148</v>
                </pt>
                <pt idx="64">
                  <v>40179</v>
                </pt>
                <pt idx="65">
                  <v>40210</v>
                </pt>
                <pt idx="66">
                  <v>40238</v>
                </pt>
                <pt idx="67">
                  <v>40269</v>
                </pt>
                <pt idx="68">
                  <v>40299</v>
                </pt>
                <pt idx="69">
                  <v>40330</v>
                </pt>
                <pt idx="70">
                  <v>40360</v>
                </pt>
                <pt idx="71">
                  <v>40391</v>
                </pt>
                <pt idx="72">
                  <v>40422</v>
                </pt>
                <pt idx="73">
                  <v>40452</v>
                </pt>
                <pt idx="74">
                  <v>40483</v>
                </pt>
                <pt idx="75">
                  <v>40513</v>
                </pt>
                <pt idx="76">
                  <v>40544</v>
                </pt>
                <pt idx="77">
                  <v>40575</v>
                </pt>
                <pt idx="78">
                  <v>40603</v>
                </pt>
                <pt idx="79">
                  <v>40634</v>
                </pt>
                <pt idx="80">
                  <v>40664</v>
                </pt>
                <pt idx="81">
                  <v>40695</v>
                </pt>
                <pt idx="82">
                  <v>40725</v>
                </pt>
                <pt idx="83">
                  <v>40756</v>
                </pt>
                <pt idx="84">
                  <v>40787</v>
                </pt>
                <pt idx="85">
                  <v>40817</v>
                </pt>
                <pt idx="86">
                  <v>40848</v>
                </pt>
                <pt idx="87">
                  <v>40878</v>
                </pt>
                <pt idx="88">
                  <v>40909</v>
                </pt>
                <pt idx="89">
                  <v>40940</v>
                </pt>
                <pt idx="90">
                  <v>40969</v>
                </pt>
                <pt idx="91">
                  <v>41000</v>
                </pt>
                <pt idx="92">
                  <v>41030</v>
                </pt>
                <pt idx="93">
                  <v>41061</v>
                </pt>
                <pt idx="94">
                  <v>41091</v>
                </pt>
                <pt idx="95">
                  <v>41122</v>
                </pt>
                <pt idx="96">
                  <v>41153</v>
                </pt>
                <pt idx="97">
                  <v>41183</v>
                </pt>
                <pt idx="98">
                  <v>41214</v>
                </pt>
                <pt idx="99">
                  <v>41244</v>
                </pt>
                <pt idx="100">
                  <v>41275</v>
                </pt>
                <pt idx="101">
                  <v>41306</v>
                </pt>
                <pt idx="102">
                  <v>41334</v>
                </pt>
                <pt idx="103">
                  <v>41365</v>
                </pt>
                <pt idx="104">
                  <v>41395</v>
                </pt>
                <pt idx="105">
                  <v>41426</v>
                </pt>
                <pt idx="106">
                  <v>41456</v>
                </pt>
                <pt idx="107">
                  <v>41487</v>
                </pt>
                <pt idx="108">
                  <v>41518</v>
                </pt>
                <pt idx="109">
                  <v>41548</v>
                </pt>
                <pt idx="110">
                  <v>41579</v>
                </pt>
                <pt idx="111">
                  <v>41609</v>
                </pt>
                <pt idx="112">
                  <v>41640</v>
                </pt>
                <pt idx="113">
                  <v>41671</v>
                </pt>
                <pt idx="114">
                  <v>41699</v>
                </pt>
                <pt idx="115">
                  <v>41730</v>
                </pt>
                <pt idx="116">
                  <v>41760</v>
                </pt>
                <pt idx="117">
                  <v>41791</v>
                </pt>
                <pt idx="118">
                  <v>41821</v>
                </pt>
                <pt idx="119">
                  <v>41852</v>
                </pt>
                <pt idx="120">
                  <v>41883</v>
                </pt>
                <pt idx="121">
                  <v>41913</v>
                </pt>
                <pt idx="122">
                  <v>41944</v>
                </pt>
                <pt idx="123">
                  <v>41974</v>
                </pt>
                <pt idx="124">
                  <v>42005</v>
                </pt>
                <pt idx="125">
                  <v>42036</v>
                </pt>
                <pt idx="126">
                  <v>42064</v>
                </pt>
                <pt idx="127">
                  <v>42095</v>
                </pt>
                <pt idx="128">
                  <v>42125</v>
                </pt>
                <pt idx="129">
                  <v>42156</v>
                </pt>
                <pt idx="130">
                  <v>42186</v>
                </pt>
                <pt idx="131">
                  <v>42217</v>
                </pt>
                <pt idx="132">
                  <v>42248</v>
                </pt>
                <pt idx="133">
                  <v>42278</v>
                </pt>
                <pt idx="134">
                  <v>42309</v>
                </pt>
                <pt idx="135">
                  <v>42339</v>
                </pt>
                <pt idx="136">
                  <v>42370</v>
                </pt>
                <pt idx="137">
                  <v>42401</v>
                </pt>
                <pt idx="138">
                  <v>42430</v>
                </pt>
                <pt idx="139">
                  <v>42461</v>
                </pt>
                <pt idx="140">
                  <v>42491</v>
                </pt>
                <pt idx="141">
                  <v>42522</v>
                </pt>
                <pt idx="142">
                  <v>42552</v>
                </pt>
                <pt idx="143">
                  <v>42583</v>
                </pt>
                <pt idx="144">
                  <v>42614</v>
                </pt>
                <pt idx="145">
                  <v>42644</v>
                </pt>
                <pt idx="146">
                  <v>42675</v>
                </pt>
                <pt idx="147">
                  <v>42705</v>
                </pt>
                <pt idx="148">
                  <v>42736</v>
                </pt>
                <pt idx="149">
                  <v>42767</v>
                </pt>
                <pt idx="150">
                  <v>42795</v>
                </pt>
                <pt idx="151">
                  <v>42826</v>
                </pt>
                <pt idx="152">
                  <v>42856</v>
                </pt>
                <pt idx="153">
                  <v>42887</v>
                </pt>
                <pt idx="154">
                  <v>42917</v>
                </pt>
                <pt idx="155">
                  <v>42948</v>
                </pt>
                <pt idx="156">
                  <v>42979</v>
                </pt>
                <pt idx="157">
                  <v>43009</v>
                </pt>
                <pt idx="158">
                  <v>43040</v>
                </pt>
                <pt idx="159">
                  <v>43070</v>
                </pt>
                <pt idx="160">
                  <v>43101</v>
                </pt>
                <pt idx="161">
                  <v>43132</v>
                </pt>
                <pt idx="162">
                  <v>43160</v>
                </pt>
                <pt idx="163">
                  <v>43191</v>
                </pt>
                <pt idx="164">
                  <v>43221</v>
                </pt>
                <pt idx="165">
                  <v>43252</v>
                </pt>
                <pt idx="166">
                  <v>43282</v>
                </pt>
                <pt idx="167">
                  <v>43313</v>
                </pt>
                <pt idx="168">
                  <v>43344</v>
                </pt>
                <pt idx="169">
                  <v>43374</v>
                </pt>
                <pt idx="170">
                  <v>43405</v>
                </pt>
                <pt idx="171">
                  <v>43435</v>
                </pt>
                <pt idx="172">
                  <v>43466</v>
                </pt>
                <pt idx="173">
                  <v>43497</v>
                </pt>
                <pt idx="174">
                  <v>43525</v>
                </pt>
                <pt idx="175">
                  <v>43556</v>
                </pt>
                <pt idx="176">
                  <v>43586</v>
                </pt>
                <pt idx="177">
                  <v>43617</v>
                </pt>
                <pt idx="178">
                  <v>43647</v>
                </pt>
                <pt idx="179">
                  <v>43678</v>
                </pt>
                <pt idx="180">
                  <v>43709</v>
                </pt>
                <pt idx="181">
                  <v>43739</v>
                </pt>
                <pt idx="182">
                  <v>43770</v>
                </pt>
                <pt idx="183">
                  <v>43800</v>
                </pt>
                <pt idx="184">
                  <v>43831</v>
                </pt>
                <pt idx="185">
                  <v>43862</v>
                </pt>
                <pt idx="186">
                  <v>43891</v>
                </pt>
                <pt idx="187">
                  <v>43922</v>
                </pt>
                <pt idx="188">
                  <v>43952</v>
                </pt>
                <pt idx="189">
                  <v>43983</v>
                </pt>
                <pt idx="190">
                  <v>44013</v>
                </pt>
                <pt idx="191">
                  <v>44044</v>
                </pt>
                <pt idx="192">
                  <v>44075</v>
                </pt>
                <pt idx="193">
                  <v>44105</v>
                </pt>
                <pt idx="194">
                  <v>44136</v>
                </pt>
                <pt idx="195">
                  <v>44166</v>
                </pt>
                <pt idx="196">
                  <v>44197</v>
                </pt>
                <pt idx="197">
                  <v>44228</v>
                </pt>
                <pt idx="198">
                  <v>44256</v>
                </pt>
                <pt idx="199">
                  <v>44287</v>
                </pt>
                <pt idx="200">
                  <v>44317</v>
                </pt>
                <pt idx="201">
                  <v>44348</v>
                </pt>
                <pt idx="202">
                  <v>44378</v>
                </pt>
                <pt idx="203">
                  <v>44409</v>
                </pt>
                <pt idx="204">
                  <v>44440</v>
                </pt>
                <pt idx="205">
                  <v>44470</v>
                </pt>
                <pt idx="206">
                  <v>44501</v>
                </pt>
                <pt idx="207">
                  <v>44531</v>
                </pt>
                <pt idx="208">
                  <v>44562</v>
                </pt>
                <pt idx="209">
                  <v>44593</v>
                </pt>
                <pt idx="210">
                  <v>44621</v>
                </pt>
                <pt idx="211">
                  <v>44652</v>
                </pt>
                <pt idx="212">
                  <v>44682</v>
                </pt>
                <pt idx="213">
                  <v>44713</v>
                </pt>
                <pt idx="214">
                  <v>44743</v>
                </pt>
                <pt idx="215">
                  <v>44774</v>
                </pt>
                <pt idx="216">
                  <v>44805</v>
                </pt>
                <pt idx="217">
                  <v>44835</v>
                </pt>
                <pt idx="218">
                  <v>44866</v>
                </pt>
              </numCache>
            </numRef>
          </cat>
          <val>
            <numRef>
              <f>NFP!$C$800:$C$1036</f>
              <numCache>
                <formatCode>0</formatCode>
                <ptCount val="237"/>
                <pt idx="0">
                  <v>156</v>
                </pt>
                <pt idx="1">
                  <v>354</v>
                </pt>
                <pt idx="2">
                  <v>56</v>
                </pt>
                <pt idx="3">
                  <v>121</v>
                </pt>
                <pt idx="4">
                  <v>150</v>
                </pt>
                <pt idx="5">
                  <v>258</v>
                </pt>
                <pt idx="6">
                  <v>124</v>
                </pt>
                <pt idx="7">
                  <v>362</v>
                </pt>
                <pt idx="8">
                  <v>172</v>
                </pt>
                <pt idx="9">
                  <v>252</v>
                </pt>
                <pt idx="10">
                  <v>354</v>
                </pt>
                <pt idx="11">
                  <v>202</v>
                </pt>
                <pt idx="12">
                  <v>68</v>
                </pt>
                <pt idx="13">
                  <v>89</v>
                </pt>
                <pt idx="14">
                  <v>338</v>
                </pt>
                <pt idx="15">
                  <v>156</v>
                </pt>
                <pt idx="16">
                  <v>280</v>
                </pt>
                <pt idx="17">
                  <v>308</v>
                </pt>
                <pt idx="18">
                  <v>310</v>
                </pt>
                <pt idx="19">
                  <v>158</v>
                </pt>
                <pt idx="20">
                  <v>39</v>
                </pt>
                <pt idx="21">
                  <v>81</v>
                </pt>
                <pt idx="22">
                  <v>195</v>
                </pt>
                <pt idx="23">
                  <v>174</v>
                </pt>
                <pt idx="24">
                  <v>149</v>
                </pt>
                <pt idx="25">
                  <v>9</v>
                </pt>
                <pt idx="26">
                  <v>211</v>
                </pt>
                <pt idx="27">
                  <v>186</v>
                </pt>
                <pt idx="28">
                  <v>228</v>
                </pt>
                <pt idx="29">
                  <v>81</v>
                </pt>
                <pt idx="30">
                  <v>235</v>
                </pt>
                <pt idx="31">
                  <v>49</v>
                </pt>
                <pt idx="32">
                  <v>151</v>
                </pt>
                <pt idx="33">
                  <v>76</v>
                </pt>
                <pt idx="34">
                  <v>-31</v>
                </pt>
                <pt idx="35">
                  <v>-23</v>
                </pt>
                <pt idx="36">
                  <v>80</v>
                </pt>
                <pt idx="37">
                  <v>79</v>
                </pt>
                <pt idx="38">
                  <v>110</v>
                </pt>
                <pt idx="39">
                  <v>108</v>
                </pt>
                <pt idx="40">
                  <v>11</v>
                </pt>
                <pt idx="41">
                  <v>-79</v>
                </pt>
                <pt idx="42">
                  <v>-49</v>
                </pt>
                <pt idx="43">
                  <v>-240</v>
                </pt>
                <pt idx="44">
                  <v>-177</v>
                </pt>
                <pt idx="45">
                  <v>-171</v>
                </pt>
                <pt idx="46">
                  <v>-196</v>
                </pt>
                <pt idx="47">
                  <v>-278</v>
                </pt>
                <pt idx="48">
                  <v>-460</v>
                </pt>
                <pt idx="49">
                  <v>-481</v>
                </pt>
                <pt idx="50">
                  <v>-727</v>
                </pt>
                <pt idx="51">
                  <v>-706</v>
                </pt>
                <pt idx="52">
                  <v>-784</v>
                </pt>
                <pt idx="53">
                  <v>-743</v>
                </pt>
                <pt idx="54">
                  <v>-800</v>
                </pt>
                <pt idx="55">
                  <v>-695</v>
                </pt>
                <pt idx="56">
                  <v>-342</v>
                </pt>
                <pt idx="57">
                  <v>-467</v>
                </pt>
                <pt idx="58">
                  <v>-340</v>
                </pt>
                <pt idx="59">
                  <v>-183</v>
                </pt>
                <pt idx="60">
                  <v>-241</v>
                </pt>
                <pt idx="61">
                  <v>-199</v>
                </pt>
                <pt idx="62">
                  <v>12</v>
                </pt>
                <pt idx="63">
                  <v>-269</v>
                </pt>
                <pt idx="64">
                  <v>2</v>
                </pt>
                <pt idx="65">
                  <v>-92</v>
                </pt>
                <pt idx="66">
                  <v>181</v>
                </pt>
                <pt idx="67">
                  <v>231</v>
                </pt>
                <pt idx="68">
                  <v>540</v>
                </pt>
                <pt idx="69">
                  <v>-139</v>
                </pt>
                <pt idx="70">
                  <v>-84</v>
                </pt>
                <pt idx="71">
                  <v>-5</v>
                </pt>
                <pt idx="72">
                  <v>-65</v>
                </pt>
                <pt idx="73">
                  <v>268</v>
                </pt>
                <pt idx="74">
                  <v>125</v>
                </pt>
                <pt idx="75">
                  <v>72</v>
                </pt>
                <pt idx="76">
                  <v>19</v>
                </pt>
                <pt idx="77">
                  <v>212</v>
                </pt>
                <pt idx="78">
                  <v>235</v>
                </pt>
                <pt idx="79">
                  <v>314</v>
                </pt>
                <pt idx="80">
                  <v>101</v>
                </pt>
                <pt idx="81">
                  <v>236</v>
                </pt>
                <pt idx="82">
                  <v>60</v>
                </pt>
                <pt idx="83">
                  <v>126</v>
                </pt>
                <pt idx="84">
                  <v>233</v>
                </pt>
                <pt idx="85">
                  <v>204</v>
                </pt>
                <pt idx="86">
                  <v>132</v>
                </pt>
                <pt idx="87">
                  <v>202</v>
                </pt>
                <pt idx="88">
                  <v>354</v>
                </pt>
                <pt idx="89">
                  <v>262</v>
                </pt>
                <pt idx="90">
                  <v>240</v>
                </pt>
                <pt idx="91">
                  <v>82</v>
                </pt>
                <pt idx="92">
                  <v>100</v>
                </pt>
                <pt idx="93">
                  <v>73</v>
                </pt>
                <pt idx="94">
                  <v>152</v>
                </pt>
                <pt idx="95">
                  <v>172</v>
                </pt>
                <pt idx="96">
                  <v>187</v>
                </pt>
                <pt idx="97">
                  <v>159</v>
                </pt>
                <pt idx="98">
                  <v>156</v>
                </pt>
                <pt idx="99">
                  <v>239</v>
                </pt>
                <pt idx="100">
                  <v>191</v>
                </pt>
                <pt idx="101">
                  <v>278</v>
                </pt>
                <pt idx="102">
                  <v>139</v>
                </pt>
                <pt idx="103">
                  <v>191</v>
                </pt>
                <pt idx="104">
                  <v>222</v>
                </pt>
                <pt idx="105">
                  <v>181</v>
                </pt>
                <pt idx="106">
                  <v>112</v>
                </pt>
                <pt idx="107">
                  <v>242</v>
                </pt>
                <pt idx="108">
                  <v>187</v>
                </pt>
                <pt idx="109">
                  <v>225</v>
                </pt>
                <pt idx="110">
                  <v>264</v>
                </pt>
                <pt idx="111">
                  <v>69</v>
                </pt>
                <pt idx="112">
                  <v>175</v>
                </pt>
                <pt idx="113">
                  <v>166</v>
                </pt>
                <pt idx="114">
                  <v>254</v>
                </pt>
                <pt idx="115">
                  <v>325</v>
                </pt>
                <pt idx="116">
                  <v>218</v>
                </pt>
                <pt idx="117">
                  <v>326</v>
                </pt>
                <pt idx="118">
                  <v>232</v>
                </pt>
                <pt idx="119">
                  <v>188</v>
                </pt>
                <pt idx="120">
                  <v>309</v>
                </pt>
                <pt idx="121">
                  <v>252</v>
                </pt>
                <pt idx="122">
                  <v>291</v>
                </pt>
                <pt idx="123">
                  <v>268</v>
                </pt>
                <pt idx="124">
                  <v>191</v>
                </pt>
                <pt idx="125">
                  <v>271</v>
                </pt>
                <pt idx="126">
                  <v>71</v>
                </pt>
                <pt idx="127">
                  <v>284</v>
                </pt>
                <pt idx="128">
                  <v>331</v>
                </pt>
                <pt idx="129">
                  <v>174</v>
                </pt>
                <pt idx="130">
                  <v>302</v>
                </pt>
                <pt idx="131">
                  <v>125</v>
                </pt>
                <pt idx="132">
                  <v>155</v>
                </pt>
                <pt idx="133">
                  <v>306</v>
                </pt>
                <pt idx="134">
                  <v>237</v>
                </pt>
                <pt idx="135">
                  <v>273</v>
                </pt>
                <pt idx="136">
                  <v>108</v>
                </pt>
                <pt idx="137">
                  <v>212</v>
                </pt>
                <pt idx="138">
                  <v>237</v>
                </pt>
                <pt idx="139">
                  <v>197</v>
                </pt>
                <pt idx="140">
                  <v>41</v>
                </pt>
                <pt idx="141">
                  <v>258</v>
                </pt>
                <pt idx="142">
                  <v>371</v>
                </pt>
                <pt idx="143">
                  <v>143</v>
                </pt>
                <pt idx="144">
                  <v>289</v>
                </pt>
                <pt idx="145">
                  <v>118</v>
                </pt>
                <pt idx="146">
                  <v>130</v>
                </pt>
                <pt idx="147">
                  <v>214</v>
                </pt>
                <pt idx="148">
                  <v>213</v>
                </pt>
                <pt idx="149">
                  <v>190</v>
                </pt>
                <pt idx="150">
                  <v>142</v>
                </pt>
                <pt idx="151">
                  <v>205</v>
                </pt>
                <pt idx="152">
                  <v>223</v>
                </pt>
                <pt idx="153">
                  <v>197</v>
                </pt>
                <pt idx="154">
                  <v>183</v>
                </pt>
                <pt idx="155">
                  <v>145</v>
                </pt>
                <pt idx="156">
                  <v>99</v>
                </pt>
                <pt idx="157">
                  <v>141</v>
                </pt>
                <pt idx="158">
                  <v>200</v>
                </pt>
                <pt idx="159">
                  <v>176</v>
                </pt>
                <pt idx="160">
                  <v>133</v>
                </pt>
                <pt idx="161">
                  <v>402</v>
                </pt>
                <pt idx="162">
                  <v>225</v>
                </pt>
                <pt idx="163">
                  <v>179</v>
                </pt>
                <pt idx="164">
                  <v>333</v>
                </pt>
                <pt idx="165">
                  <v>183</v>
                </pt>
                <pt idx="166">
                  <v>66</v>
                </pt>
                <pt idx="167">
                  <v>219</v>
                </pt>
                <pt idx="168">
                  <v>57</v>
                </pt>
                <pt idx="169">
                  <v>145</v>
                </pt>
                <pt idx="170">
                  <v>102</v>
                </pt>
                <pt idx="171">
                  <v>248</v>
                </pt>
                <pt idx="172">
                  <v>279</v>
                </pt>
                <pt idx="173">
                  <v>24</v>
                </pt>
                <pt idx="174">
                  <v>224</v>
                </pt>
                <pt idx="175">
                  <v>288</v>
                </pt>
                <pt idx="176">
                  <v>77</v>
                </pt>
                <pt idx="177">
                  <v>130</v>
                </pt>
                <pt idx="178">
                  <v>78</v>
                </pt>
                <pt idx="179">
                  <v>160</v>
                </pt>
                <pt idx="180">
                  <v>163</v>
                </pt>
                <pt idx="181">
                  <v>93</v>
                </pt>
                <pt idx="182">
                  <v>252</v>
                </pt>
                <pt idx="183">
                  <v>200</v>
                </pt>
                <pt idx="184">
                  <v>339</v>
                </pt>
                <pt idx="185">
                  <v>376</v>
                </pt>
                <pt idx="186">
                  <v>-1498</v>
                </pt>
                <pt idx="187">
                  <v>-20493</v>
                </pt>
                <pt idx="188">
                  <v>2642</v>
                </pt>
                <pt idx="189">
                  <v>4505</v>
                </pt>
                <pt idx="190">
                  <v>1388</v>
                </pt>
                <pt idx="191">
                  <v>1665</v>
                </pt>
                <pt idx="192">
                  <v>919</v>
                </pt>
                <pt idx="193">
                  <v>647</v>
                </pt>
                <pt idx="194">
                  <v>333</v>
                </pt>
                <pt idx="195">
                  <v>-115</v>
                </pt>
                <pt idx="196">
                  <v>520</v>
                </pt>
                <pt idx="197">
                  <v>710</v>
                </pt>
                <pt idx="198">
                  <v>704</v>
                </pt>
                <pt idx="199">
                  <v>263</v>
                </pt>
                <pt idx="200">
                  <v>447</v>
                </pt>
                <pt idx="201">
                  <v>557</v>
                </pt>
                <pt idx="202">
                  <v>689</v>
                </pt>
                <pt idx="203">
                  <v>517</v>
                </pt>
                <pt idx="204">
                  <v>424</v>
                </pt>
                <pt idx="205">
                  <v>677</v>
                </pt>
                <pt idx="206">
                  <v>647</v>
                </pt>
                <pt idx="207">
                  <v>588</v>
                </pt>
                <pt idx="208">
                  <v>504</v>
                </pt>
                <pt idx="209">
                  <v>714</v>
                </pt>
                <pt idx="210">
                  <v>398</v>
                </pt>
                <pt idx="211">
                  <v>368</v>
                </pt>
                <pt idx="212">
                  <v>386</v>
                </pt>
                <pt idx="213">
                  <v>293</v>
                </pt>
                <pt idx="214">
                  <v>537</v>
                </pt>
                <pt idx="215">
                  <v>292</v>
                </pt>
                <pt idx="216">
                  <v>269</v>
                </pt>
                <pt idx="217">
                  <v>284</v>
                </pt>
                <pt idx="218">
                  <v>263</v>
                </pt>
              </numCache>
            </numRef>
          </val>
          <smooth val="0"/>
        </ser>
        <dLbls>
          <showLegendKey val="0"/>
          <showVal val="0"/>
          <showCatName val="0"/>
          <showSerName val="0"/>
          <showPercent val="0"/>
          <showBubbleSize val="0"/>
        </dLbls>
        <smooth val="0"/>
        <axId val="1034263072"/>
        <axId val="1034263464"/>
      </lineChart>
      <dateAx>
        <axId val="1034263072"/>
        <scaling>
          <orientation val="minMax"/>
          <max val="44835"/>
          <min val="44075"/>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464"/>
        <crosses val="autoZero"/>
        <lblOffset val="100"/>
        <baseTimeUnit val="months"/>
      </dateAx>
      <valAx>
        <axId val="1034263464"/>
        <scaling>
          <orientation val="minMax"/>
          <max val="1000"/>
          <min val="-2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0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xml:space="preserve"> since 1939</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NFP!$A$13:$A$1036</f>
              <numCache>
                <formatCode>yyyy\-mm\-dd</formatCode>
                <ptCount val="1024"/>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pt idx="998">
                  <v>44652</v>
                </pt>
                <pt idx="999">
                  <v>44682</v>
                </pt>
                <pt idx="1000">
                  <v>44713</v>
                </pt>
                <pt idx="1001">
                  <v>44743</v>
                </pt>
                <pt idx="1002">
                  <v>44774</v>
                </pt>
                <pt idx="1003">
                  <v>44805</v>
                </pt>
                <pt idx="1004">
                  <v>44835</v>
                </pt>
                <pt idx="1005">
                  <v>44866</v>
                </pt>
              </numCache>
            </numRef>
          </cat>
          <val>
            <numRef>
              <f>NFP!$C$13:$C$1036</f>
              <numCache>
                <formatCode>0</formatCode>
                <ptCount val="1024"/>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213</v>
                </pt>
                <pt idx="936">
                  <v>190</v>
                </pt>
                <pt idx="937">
                  <v>142</v>
                </pt>
                <pt idx="938">
                  <v>205</v>
                </pt>
                <pt idx="939">
                  <v>223</v>
                </pt>
                <pt idx="940">
                  <v>197</v>
                </pt>
                <pt idx="941">
                  <v>183</v>
                </pt>
                <pt idx="942">
                  <v>145</v>
                </pt>
                <pt idx="943">
                  <v>99</v>
                </pt>
                <pt idx="944">
                  <v>141</v>
                </pt>
                <pt idx="945">
                  <v>200</v>
                </pt>
                <pt idx="946">
                  <v>176</v>
                </pt>
                <pt idx="947">
                  <v>133</v>
                </pt>
                <pt idx="948">
                  <v>402</v>
                </pt>
                <pt idx="949">
                  <v>225</v>
                </pt>
                <pt idx="950">
                  <v>179</v>
                </pt>
                <pt idx="951">
                  <v>333</v>
                </pt>
                <pt idx="952">
                  <v>183</v>
                </pt>
                <pt idx="953">
                  <v>66</v>
                </pt>
                <pt idx="954">
                  <v>219</v>
                </pt>
                <pt idx="955">
                  <v>57</v>
                </pt>
                <pt idx="956">
                  <v>145</v>
                </pt>
                <pt idx="957">
                  <v>102</v>
                </pt>
                <pt idx="958">
                  <v>248</v>
                </pt>
                <pt idx="959">
                  <v>279</v>
                </pt>
                <pt idx="960">
                  <v>24</v>
                </pt>
                <pt idx="961">
                  <v>224</v>
                </pt>
                <pt idx="962">
                  <v>288</v>
                </pt>
                <pt idx="963">
                  <v>77</v>
                </pt>
                <pt idx="964">
                  <v>130</v>
                </pt>
                <pt idx="965">
                  <v>78</v>
                </pt>
                <pt idx="966">
                  <v>160</v>
                </pt>
                <pt idx="967">
                  <v>163</v>
                </pt>
                <pt idx="968">
                  <v>93</v>
                </pt>
                <pt idx="969">
                  <v>252</v>
                </pt>
                <pt idx="970">
                  <v>200</v>
                </pt>
                <pt idx="971">
                  <v>339</v>
                </pt>
                <pt idx="972">
                  <v>376</v>
                </pt>
                <pt idx="973">
                  <v>-1498</v>
                </pt>
                <pt idx="974">
                  <v>-20493</v>
                </pt>
                <pt idx="975">
                  <v>2642</v>
                </pt>
                <pt idx="976">
                  <v>4505</v>
                </pt>
                <pt idx="977">
                  <v>1388</v>
                </pt>
                <pt idx="978">
                  <v>1665</v>
                </pt>
                <pt idx="979">
                  <v>919</v>
                </pt>
                <pt idx="980">
                  <v>647</v>
                </pt>
                <pt idx="981">
                  <v>333</v>
                </pt>
                <pt idx="982">
                  <v>-115</v>
                </pt>
                <pt idx="983">
                  <v>520</v>
                </pt>
                <pt idx="984">
                  <v>710</v>
                </pt>
                <pt idx="985">
                  <v>704</v>
                </pt>
                <pt idx="986">
                  <v>263</v>
                </pt>
                <pt idx="987">
                  <v>447</v>
                </pt>
                <pt idx="988">
                  <v>557</v>
                </pt>
                <pt idx="989">
                  <v>689</v>
                </pt>
                <pt idx="990">
                  <v>517</v>
                </pt>
                <pt idx="991">
                  <v>424</v>
                </pt>
                <pt idx="992">
                  <v>677</v>
                </pt>
                <pt idx="993">
                  <v>647</v>
                </pt>
                <pt idx="994">
                  <v>588</v>
                </pt>
                <pt idx="995">
                  <v>504</v>
                </pt>
                <pt idx="996">
                  <v>714</v>
                </pt>
                <pt idx="997">
                  <v>398</v>
                </pt>
                <pt idx="998">
                  <v>368</v>
                </pt>
                <pt idx="999">
                  <v>386</v>
                </pt>
                <pt idx="1000">
                  <v>293</v>
                </pt>
                <pt idx="1001">
                  <v>537</v>
                </pt>
                <pt idx="1002">
                  <v>292</v>
                </pt>
                <pt idx="1003">
                  <v>269</v>
                </pt>
                <pt idx="1004">
                  <v>284</v>
                </pt>
                <pt idx="1005">
                  <v>263</v>
                </pt>
              </numCache>
            </numRef>
          </val>
        </ser>
        <dLbls>
          <showLegendKey val="0"/>
          <showVal val="0"/>
          <showCatName val="0"/>
          <showSerName val="0"/>
          <showPercent val="0"/>
          <showBubbleSize val="0"/>
        </dLbls>
        <gapWidth val="150"/>
        <axId val="827929136"/>
        <axId val="827929792"/>
      </barChart>
      <dateAx>
        <axId val="827929136"/>
        <scaling>
          <orientation val="minMax"/>
          <max val="44835"/>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NFP!$A$13:$A$1036</f>
              <numCache>
                <formatCode>yyyy\-mm\-dd</formatCode>
                <ptCount val="1024"/>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pt idx="998">
                  <v>44652</v>
                </pt>
                <pt idx="999">
                  <v>44682</v>
                </pt>
                <pt idx="1000">
                  <v>44713</v>
                </pt>
                <pt idx="1001">
                  <v>44743</v>
                </pt>
                <pt idx="1002">
                  <v>44774</v>
                </pt>
                <pt idx="1003">
                  <v>44805</v>
                </pt>
                <pt idx="1004">
                  <v>44835</v>
                </pt>
                <pt idx="1005">
                  <v>44866</v>
                </pt>
              </numCache>
            </numRef>
          </cat>
          <val>
            <numRef>
              <f>NFP!$C$13:$C$1036</f>
              <numCache>
                <formatCode>0</formatCode>
                <ptCount val="1024"/>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213</v>
                </pt>
                <pt idx="936">
                  <v>190</v>
                </pt>
                <pt idx="937">
                  <v>142</v>
                </pt>
                <pt idx="938">
                  <v>205</v>
                </pt>
                <pt idx="939">
                  <v>223</v>
                </pt>
                <pt idx="940">
                  <v>197</v>
                </pt>
                <pt idx="941">
                  <v>183</v>
                </pt>
                <pt idx="942">
                  <v>145</v>
                </pt>
                <pt idx="943">
                  <v>99</v>
                </pt>
                <pt idx="944">
                  <v>141</v>
                </pt>
                <pt idx="945">
                  <v>200</v>
                </pt>
                <pt idx="946">
                  <v>176</v>
                </pt>
                <pt idx="947">
                  <v>133</v>
                </pt>
                <pt idx="948">
                  <v>402</v>
                </pt>
                <pt idx="949">
                  <v>225</v>
                </pt>
                <pt idx="950">
                  <v>179</v>
                </pt>
                <pt idx="951">
                  <v>333</v>
                </pt>
                <pt idx="952">
                  <v>183</v>
                </pt>
                <pt idx="953">
                  <v>66</v>
                </pt>
                <pt idx="954">
                  <v>219</v>
                </pt>
                <pt idx="955">
                  <v>57</v>
                </pt>
                <pt idx="956">
                  <v>145</v>
                </pt>
                <pt idx="957">
                  <v>102</v>
                </pt>
                <pt idx="958">
                  <v>248</v>
                </pt>
                <pt idx="959">
                  <v>279</v>
                </pt>
                <pt idx="960">
                  <v>24</v>
                </pt>
                <pt idx="961">
                  <v>224</v>
                </pt>
                <pt idx="962">
                  <v>288</v>
                </pt>
                <pt idx="963">
                  <v>77</v>
                </pt>
                <pt idx="964">
                  <v>130</v>
                </pt>
                <pt idx="965">
                  <v>78</v>
                </pt>
                <pt idx="966">
                  <v>160</v>
                </pt>
                <pt idx="967">
                  <v>163</v>
                </pt>
                <pt idx="968">
                  <v>93</v>
                </pt>
                <pt idx="969">
                  <v>252</v>
                </pt>
                <pt idx="970">
                  <v>200</v>
                </pt>
                <pt idx="971">
                  <v>339</v>
                </pt>
                <pt idx="972">
                  <v>376</v>
                </pt>
                <pt idx="973">
                  <v>-1498</v>
                </pt>
                <pt idx="974">
                  <v>-20493</v>
                </pt>
                <pt idx="975">
                  <v>2642</v>
                </pt>
                <pt idx="976">
                  <v>4505</v>
                </pt>
                <pt idx="977">
                  <v>1388</v>
                </pt>
                <pt idx="978">
                  <v>1665</v>
                </pt>
                <pt idx="979">
                  <v>919</v>
                </pt>
                <pt idx="980">
                  <v>647</v>
                </pt>
                <pt idx="981">
                  <v>333</v>
                </pt>
                <pt idx="982">
                  <v>-115</v>
                </pt>
                <pt idx="983">
                  <v>520</v>
                </pt>
                <pt idx="984">
                  <v>710</v>
                </pt>
                <pt idx="985">
                  <v>704</v>
                </pt>
                <pt idx="986">
                  <v>263</v>
                </pt>
                <pt idx="987">
                  <v>447</v>
                </pt>
                <pt idx="988">
                  <v>557</v>
                </pt>
                <pt idx="989">
                  <v>689</v>
                </pt>
                <pt idx="990">
                  <v>517</v>
                </pt>
                <pt idx="991">
                  <v>424</v>
                </pt>
                <pt idx="992">
                  <v>677</v>
                </pt>
                <pt idx="993">
                  <v>647</v>
                </pt>
                <pt idx="994">
                  <v>588</v>
                </pt>
                <pt idx="995">
                  <v>504</v>
                </pt>
                <pt idx="996">
                  <v>714</v>
                </pt>
                <pt idx="997">
                  <v>398</v>
                </pt>
                <pt idx="998">
                  <v>368</v>
                </pt>
                <pt idx="999">
                  <v>386</v>
                </pt>
                <pt idx="1000">
                  <v>293</v>
                </pt>
                <pt idx="1001">
                  <v>537</v>
                </pt>
                <pt idx="1002">
                  <v>292</v>
                </pt>
                <pt idx="1003">
                  <v>269</v>
                </pt>
                <pt idx="1004">
                  <v>284</v>
                </pt>
                <pt idx="1005">
                  <v>263</v>
                </pt>
              </numCache>
            </numRef>
          </val>
        </ser>
        <dLbls>
          <showLegendKey val="0"/>
          <showVal val="0"/>
          <showCatName val="0"/>
          <showSerName val="0"/>
          <showPercent val="0"/>
          <showBubbleSize val="0"/>
        </dLbls>
        <gapWidth val="150"/>
        <axId val="827929136"/>
        <axId val="827929792"/>
      </barChart>
      <dateAx>
        <axId val="827929136"/>
        <scaling>
          <orientation val="minMax"/>
          <min val="36526"/>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8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xml:space="preserve"> Rate</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Database!$D$110:$D$999</f>
              <numCache>
                <formatCode>General</formatCode>
                <ptCount val="89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3.6</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6.4</v>
                </pt>
                <pt idx="877">
                  <v>6.2</v>
                </pt>
                <pt idx="878">
                  <v>6</v>
                </pt>
                <pt idx="879">
                  <v>6</v>
                </pt>
                <pt idx="880">
                  <v>5.8</v>
                </pt>
                <pt idx="881">
                  <v>5.9</v>
                </pt>
                <pt idx="882">
                  <v>5.4</v>
                </pt>
                <pt idx="883">
                  <v>5.2</v>
                </pt>
                <pt idx="884">
                  <v>4.7</v>
                </pt>
                <pt idx="885">
                  <v>4.6</v>
                </pt>
                <pt idx="886">
                  <v>4.2</v>
                </pt>
                <pt idx="887">
                  <v>3.9</v>
                </pt>
                <pt idx="888">
                  <v>4</v>
                </pt>
                <pt idx="889">
                  <v>3.8</v>
                </pt>
              </numCache>
            </numRef>
          </val>
          <smooth val="0"/>
        </ser>
        <dLbls>
          <showLegendKey val="0"/>
          <showVal val="0"/>
          <showCatName val="0"/>
          <showSerName val="0"/>
          <showPercent val="0"/>
          <showBubbleSize val="0"/>
        </dLbls>
        <smooth val="0"/>
        <axId val="1052641016"/>
        <axId val="971633608"/>
      </lineChart>
      <dateAx>
        <axId val="1052641016"/>
        <scaling>
          <orientation val="minMax"/>
          <max val="44866"/>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71633608"/>
        <crosses val="autoZero"/>
        <lblOffset val="100"/>
        <baseTimeUnit val="months"/>
        <majorUnit val="2"/>
        <majorTimeUnit val="years"/>
      </dateAx>
      <valAx>
        <axId val="971633608"/>
        <scaling>
          <orientation val="minMax"/>
          <max val="16"/>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52641016"/>
        <crosses val="autoZero"/>
        <crossBetween val="between"/>
      </valAx>
    </plotArea>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Database!$B$110:$B$999</f>
              <numCache>
                <formatCode>General</formatCode>
                <ptCount val="89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62.9</v>
                </pt>
                <pt idx="830">
                  <v>62.9</v>
                </pt>
                <pt idx="831">
                  <v>63</v>
                </pt>
                <pt idx="832">
                  <v>62.8</v>
                </pt>
                <pt idx="833">
                  <v>62.8</v>
                </pt>
                <pt idx="834">
                  <v>62.9</v>
                </pt>
                <pt idx="835">
                  <v>62.9</v>
                </pt>
                <pt idx="836">
                  <v>63.1</v>
                </pt>
                <pt idx="837">
                  <v>62.7</v>
                </pt>
                <pt idx="838">
                  <v>62.7</v>
                </pt>
                <pt idx="839">
                  <v>62.7</v>
                </pt>
                <pt idx="840">
                  <v>62.7</v>
                </pt>
                <pt idx="841">
                  <v>63</v>
                </pt>
                <pt idx="842">
                  <v>62.9</v>
                </pt>
                <pt idx="843">
                  <v>62.9</v>
                </pt>
                <pt idx="844">
                  <v>62.9</v>
                </pt>
                <pt idx="845">
                  <v>62.9</v>
                </pt>
                <pt idx="846">
                  <v>62.9</v>
                </pt>
                <pt idx="847">
                  <v>62.7</v>
                </pt>
                <pt idx="848">
                  <v>62.7</v>
                </pt>
                <pt idx="849">
                  <v>62.9</v>
                </pt>
                <pt idx="850">
                  <v>62.9</v>
                </pt>
                <pt idx="851">
                  <v>63</v>
                </pt>
                <pt idx="852">
                  <v>63.1</v>
                </pt>
                <pt idx="853">
                  <v>63.1</v>
                </pt>
                <pt idx="854">
                  <v>63.1</v>
                </pt>
                <pt idx="855">
                  <v>62.9</v>
                </pt>
                <pt idx="856">
                  <v>62.9</v>
                </pt>
                <pt idx="857">
                  <v>62.9</v>
                </pt>
                <pt idx="858">
                  <v>63.1</v>
                </pt>
                <pt idx="859">
                  <v>63.1</v>
                </pt>
                <pt idx="860">
                  <v>63.2</v>
                </pt>
                <pt idx="861">
                  <v>63.2</v>
                </pt>
                <pt idx="862">
                  <v>63.2</v>
                </pt>
                <pt idx="863">
                  <v>63.3</v>
                </pt>
                <pt idx="864">
                  <v>63.4</v>
                </pt>
                <pt idx="865">
                  <v>63.4</v>
                </pt>
                <pt idx="866">
                  <v>62.7</v>
                </pt>
                <pt idx="867">
                  <v>60.2</v>
                </pt>
                <pt idx="868">
                  <v>60.8</v>
                </pt>
                <pt idx="869">
                  <v>61.4</v>
                </pt>
                <pt idx="870">
                  <v>61.5</v>
                </pt>
                <pt idx="871">
                  <v>61.7</v>
                </pt>
                <pt idx="872">
                  <v>61.4</v>
                </pt>
                <pt idx="873">
                  <v>61.6</v>
                </pt>
                <pt idx="874">
                  <v>61.5</v>
                </pt>
                <pt idx="875">
                  <v>61.5</v>
                </pt>
                <pt idx="876">
                  <v>61.4</v>
                </pt>
                <pt idx="877">
                  <v>61.5</v>
                </pt>
                <pt idx="878">
                  <v>61.5</v>
                </pt>
                <pt idx="879">
                  <v>61.7</v>
                </pt>
                <pt idx="880">
                  <v>61.6</v>
                </pt>
                <pt idx="881">
                  <v>61.6</v>
                </pt>
                <pt idx="882">
                  <v>61.7</v>
                </pt>
                <pt idx="883">
                  <v>61.7</v>
                </pt>
                <pt idx="884">
                  <v>61.7</v>
                </pt>
                <pt idx="885">
                  <v>61.7</v>
                </pt>
                <pt idx="886">
                  <v>61.9</v>
                </pt>
                <pt idx="887">
                  <v>61.9</v>
                </pt>
                <pt idx="888">
                  <v>62.2</v>
                </pt>
                <pt idx="889">
                  <v>62.3</v>
                </pt>
              </numCache>
            </numRef>
          </val>
          <smooth val="0"/>
        </ser>
        <dLbls>
          <showLegendKey val="0"/>
          <showVal val="0"/>
          <showCatName val="0"/>
          <showSerName val="0"/>
          <showPercent val="0"/>
          <showBubbleSize val="0"/>
        </dLbls>
        <smooth val="0"/>
        <axId val="1046199384"/>
        <axId val="1018478600"/>
      </lineChart>
      <dateAx>
        <axId val="1046199384"/>
        <scaling>
          <orientation val="minMax"/>
          <max val="44866"/>
          <min val="17288"/>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8478600"/>
        <crosses val="autoZero"/>
        <lblOffset val="100"/>
        <baseTimeUnit val="months"/>
        <majorUnit val="2"/>
        <majorTimeUnit val="years"/>
      </dateAx>
      <valAx>
        <axId val="101847860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6199384"/>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ADP VS NFP</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ADP!$B$5</f>
              <strCache>
                <ptCount val="1"/>
                <pt idx="0">
                  <v xml:space="preserve">ADP </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ADP!$A$6:$A$264</f>
              <numCache>
                <formatCode>m/d/yyyy</formatCode>
                <ptCount val="259"/>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pt idx="250">
                  <v>44652</v>
                </pt>
                <pt idx="251">
                  <v>44682</v>
                </pt>
                <pt idx="252">
                  <v>44713</v>
                </pt>
                <pt idx="253">
                  <v>44743</v>
                </pt>
                <pt idx="254">
                  <v>44774</v>
                </pt>
                <pt idx="255">
                  <v>44805</v>
                </pt>
                <pt idx="256">
                  <v>44835</v>
                </pt>
                <pt idx="257">
                  <v>44866</v>
                </pt>
                <pt idx="258">
                  <v>44896</v>
                </pt>
              </numCache>
            </numRef>
          </cat>
          <val>
            <numRef>
              <f>ADP!$B$6:$B$264</f>
              <numCache>
                <formatCode>0.00</formatCode>
                <ptCount val="259"/>
                <pt idx="0">
                  <v>-175</v>
                </pt>
                <pt idx="1">
                  <v>-230</v>
                </pt>
                <pt idx="2">
                  <v>-203</v>
                </pt>
                <pt idx="3">
                  <v>-246</v>
                </pt>
                <pt idx="4">
                  <v>-261</v>
                </pt>
                <pt idx="5">
                  <v>-380</v>
                </pt>
                <pt idx="6">
                  <v>-361</v>
                </pt>
                <pt idx="7">
                  <v>-223</v>
                </pt>
                <pt idx="8">
                  <v>-69</v>
                </pt>
                <pt idx="9">
                  <v>-91</v>
                </pt>
                <pt idx="10">
                  <v>-70</v>
                </pt>
                <pt idx="11">
                  <v>-70</v>
                </pt>
                <pt idx="12">
                  <v>-138</v>
                </pt>
                <pt idx="13">
                  <v>-41</v>
                </pt>
                <pt idx="14">
                  <v>-21</v>
                </pt>
                <pt idx="15">
                  <v>12</v>
                </pt>
                <pt idx="16">
                  <v>-150</v>
                </pt>
                <pt idx="17">
                  <v>47</v>
                </pt>
                <pt idx="18">
                  <v>-11</v>
                </pt>
                <pt idx="19">
                  <v>-79</v>
                </pt>
                <pt idx="20">
                  <v>-113</v>
                </pt>
                <pt idx="21">
                  <v>26</v>
                </pt>
                <pt idx="22">
                  <v>-42</v>
                </pt>
                <pt idx="23">
                  <v>-8</v>
                </pt>
                <pt idx="24">
                  <v>-75</v>
                </pt>
                <pt idx="25">
                  <v>-25</v>
                </pt>
                <pt idx="26">
                  <v>28</v>
                </pt>
                <pt idx="27">
                  <v>-66</v>
                </pt>
                <pt idx="28">
                  <v>69</v>
                </pt>
                <pt idx="29">
                  <v>174</v>
                </pt>
                <pt idx="30">
                  <v>247</v>
                </pt>
                <pt idx="31">
                  <v>167</v>
                </pt>
                <pt idx="32">
                  <v>68</v>
                </pt>
                <pt idx="33">
                  <v>166</v>
                </pt>
                <pt idx="34">
                  <v>188</v>
                </pt>
                <pt idx="35">
                  <v>170</v>
                </pt>
                <pt idx="36">
                  <v>54</v>
                </pt>
                <pt idx="37">
                  <v>169</v>
                </pt>
                <pt idx="38">
                  <v>80</v>
                </pt>
                <pt idx="39">
                  <v>187</v>
                </pt>
                <pt idx="40">
                  <v>170</v>
                </pt>
                <pt idx="41">
                  <v>136</v>
                </pt>
                <pt idx="42">
                  <v>178</v>
                </pt>
                <pt idx="43">
                  <v>254</v>
                </pt>
                <pt idx="44">
                  <v>158</v>
                </pt>
                <pt idx="45">
                  <v>145</v>
                </pt>
                <pt idx="46">
                  <v>164</v>
                </pt>
                <pt idx="47">
                  <v>300</v>
                </pt>
                <pt idx="48">
                  <v>243</v>
                </pt>
                <pt idx="49">
                  <v>273</v>
                </pt>
                <pt idx="50">
                  <v>281</v>
                </pt>
                <pt idx="51">
                  <v>190</v>
                </pt>
                <pt idx="52">
                  <v>-35</v>
                </pt>
                <pt idx="53">
                  <v>134</v>
                </pt>
                <pt idx="54">
                  <v>253</v>
                </pt>
                <pt idx="55">
                  <v>225</v>
                </pt>
                <pt idx="56">
                  <v>296</v>
                </pt>
                <pt idx="57">
                  <v>360</v>
                </pt>
                <pt idx="58">
                  <v>208</v>
                </pt>
                <pt idx="59">
                  <v>80</v>
                </pt>
                <pt idx="60">
                  <v>175</v>
                </pt>
                <pt idx="61">
                  <v>106</v>
                </pt>
                <pt idx="62">
                  <v>123</v>
                </pt>
                <pt idx="63">
                  <v>185</v>
                </pt>
                <pt idx="64">
                  <v>58</v>
                </pt>
                <pt idx="65">
                  <v>109</v>
                </pt>
                <pt idx="66">
                  <v>-13</v>
                </pt>
                <pt idx="67">
                  <v>171</v>
                </pt>
                <pt idx="68">
                  <v>241</v>
                </pt>
                <pt idx="69">
                  <v>111</v>
                </pt>
                <pt idx="70">
                  <v>154</v>
                </pt>
                <pt idx="71">
                  <v>39</v>
                </pt>
                <pt idx="72">
                  <v>82</v>
                </pt>
                <pt idx="73">
                  <v>15</v>
                </pt>
                <pt idx="74">
                  <v>47</v>
                </pt>
                <pt idx="75">
                  <v>-27</v>
                </pt>
                <pt idx="76">
                  <v>23</v>
                </pt>
                <pt idx="77">
                  <v>44</v>
                </pt>
                <pt idx="78">
                  <v>58</v>
                </pt>
                <pt idx="79">
                  <v>47</v>
                </pt>
                <pt idx="80">
                  <v>118</v>
                </pt>
                <pt idx="81">
                  <v>-78</v>
                </pt>
                <pt idx="82">
                  <v>-181</v>
                </pt>
                <pt idx="83">
                  <v>-406</v>
                </pt>
                <pt idx="84">
                  <v>-409</v>
                </pt>
                <pt idx="85">
                  <v>-465</v>
                </pt>
                <pt idx="86">
                  <v>-416</v>
                </pt>
                <pt idx="87">
                  <v>-430</v>
                </pt>
                <pt idx="88">
                  <v>-489</v>
                </pt>
                <pt idx="89">
                  <v>-430</v>
                </pt>
                <pt idx="90">
                  <v>-620</v>
                </pt>
                <pt idx="91">
                  <v>-510</v>
                </pt>
                <pt idx="92">
                  <v>-584</v>
                </pt>
                <pt idx="93">
                  <v>-706</v>
                </pt>
                <pt idx="94">
                  <v>-417</v>
                </pt>
                <pt idx="95">
                  <v>-325</v>
                </pt>
                <pt idx="96">
                  <v>-244</v>
                </pt>
                <pt idx="97">
                  <v>-334</v>
                </pt>
                <pt idx="98">
                  <v>-180</v>
                </pt>
                <pt idx="99">
                  <v>-212</v>
                </pt>
                <pt idx="100">
                  <v>-126</v>
                </pt>
                <pt idx="101">
                  <v>-114</v>
                </pt>
                <pt idx="102">
                  <v>-374</v>
                </pt>
                <pt idx="103">
                  <v>-212</v>
                </pt>
                <pt idx="104">
                  <v>-137</v>
                </pt>
                <pt idx="105">
                  <v>-219</v>
                </pt>
                <pt idx="106">
                  <v>-113</v>
                </pt>
                <pt idx="107">
                  <v>147</v>
                </pt>
                <pt idx="108">
                  <v>152</v>
                </pt>
                <pt idx="109">
                  <v>102</v>
                </pt>
                <pt idx="110">
                  <v>159</v>
                </pt>
                <pt idx="111">
                  <v>99</v>
                </pt>
                <pt idx="112">
                  <v>117</v>
                </pt>
                <pt idx="113">
                  <v>219</v>
                </pt>
                <pt idx="114">
                  <v>141</v>
                </pt>
                <pt idx="115">
                  <v>85</v>
                </pt>
                <pt idx="116">
                  <v>137</v>
                </pt>
                <pt idx="117">
                  <v>164</v>
                </pt>
                <pt idx="118">
                  <v>213</v>
                </pt>
                <pt idx="119">
                  <v>299</v>
                </pt>
                <pt idx="120">
                  <v>254</v>
                </pt>
                <pt idx="121">
                  <v>263</v>
                </pt>
                <pt idx="122">
                  <v>213</v>
                </pt>
                <pt idx="123">
                  <v>216</v>
                </pt>
                <pt idx="124">
                  <v>227</v>
                </pt>
                <pt idx="125">
                  <v>191</v>
                </pt>
                <pt idx="126">
                  <v>127</v>
                </pt>
                <pt idx="127">
                  <v>194</v>
                </pt>
                <pt idx="128">
                  <v>199</v>
                </pt>
                <pt idx="129">
                  <v>281</v>
                </pt>
                <pt idx="130">
                  <v>250</v>
                </pt>
                <pt idx="131">
                  <v>83</v>
                </pt>
                <pt idx="132">
                  <v>153</v>
                </pt>
                <pt idx="133">
                  <v>79</v>
                </pt>
                <pt idx="134">
                  <v>142</v>
                </pt>
                <pt idx="135">
                  <v>184</v>
                </pt>
                <pt idx="136">
                  <v>150</v>
                </pt>
                <pt idx="137">
                  <v>227</v>
                </pt>
                <pt idx="138">
                  <v>159</v>
                </pt>
                <pt idx="139">
                  <v>231</v>
                </pt>
                <pt idx="140">
                  <v>208</v>
                </pt>
                <pt idx="141">
                  <v>203</v>
                </pt>
                <pt idx="142">
                  <v>181</v>
                </pt>
                <pt idx="143">
                  <v>126</v>
                </pt>
                <pt idx="144">
                  <v>210</v>
                </pt>
                <pt idx="145">
                  <v>217</v>
                </pt>
                <pt idx="146">
                  <v>157</v>
                </pt>
                <pt idx="147">
                  <v>206</v>
                </pt>
                <pt idx="148">
                  <v>243</v>
                </pt>
                <pt idx="149">
                  <v>211</v>
                </pt>
                <pt idx="150">
                  <v>195</v>
                </pt>
                <pt idx="151">
                  <v>178</v>
                </pt>
                <pt idx="152">
                  <v>212</v>
                </pt>
                <pt idx="153">
                  <v>190</v>
                </pt>
                <pt idx="154">
                  <v>179</v>
                </pt>
                <pt idx="155">
                  <v>278</v>
                </pt>
                <pt idx="156">
                  <v>202</v>
                </pt>
                <pt idx="157">
                  <v>292</v>
                </pt>
                <pt idx="158">
                  <v>223</v>
                </pt>
                <pt idx="159">
                  <v>230</v>
                </pt>
                <pt idx="160">
                  <v>251</v>
                </pt>
                <pt idx="161">
                  <v>252</v>
                </pt>
                <pt idx="162">
                  <v>195</v>
                </pt>
                <pt idx="163">
                  <v>292</v>
                </pt>
                <pt idx="164">
                  <v>191</v>
                </pt>
                <pt idx="165">
                  <v>226</v>
                </pt>
                <pt idx="166">
                  <v>178</v>
                </pt>
                <pt idx="167">
                  <v>179</v>
                </pt>
                <pt idx="168">
                  <v>296</v>
                </pt>
                <pt idx="169">
                  <v>219</v>
                </pt>
                <pt idx="170">
                  <v>190</v>
                </pt>
                <pt idx="171">
                  <v>190</v>
                </pt>
                <pt idx="172">
                  <v>204</v>
                </pt>
                <pt idx="173">
                  <v>186</v>
                </pt>
                <pt idx="174">
                  <v>223</v>
                </pt>
                <pt idx="175">
                  <v>271</v>
                </pt>
                <pt idx="176">
                  <v>130</v>
                </pt>
                <pt idx="177">
                  <v>241</v>
                </pt>
                <pt idx="178">
                  <v>205</v>
                </pt>
                <pt idx="179">
                  <v>170</v>
                </pt>
                <pt idx="180">
                  <v>84</v>
                </pt>
                <pt idx="181">
                  <v>255</v>
                </pt>
                <pt idx="182">
                  <v>152</v>
                </pt>
                <pt idx="183">
                  <v>192</v>
                </pt>
                <pt idx="184">
                  <v>181</v>
                </pt>
                <pt idx="185">
                  <v>91</v>
                </pt>
                <pt idx="186">
                  <v>236</v>
                </pt>
                <pt idx="187">
                  <v>105</v>
                </pt>
                <pt idx="188">
                  <v>224</v>
                </pt>
                <pt idx="189">
                  <v>237</v>
                </pt>
                <pt idx="190">
                  <v>209</v>
                </pt>
                <pt idx="191">
                  <v>173</v>
                </pt>
                <pt idx="192">
                  <v>170</v>
                </pt>
                <pt idx="193">
                  <v>135</v>
                </pt>
                <pt idx="194">
                  <v>183</v>
                </pt>
                <pt idx="195">
                  <v>174</v>
                </pt>
                <pt idx="196">
                  <v>111</v>
                </pt>
                <pt idx="197">
                  <v>158</v>
                </pt>
                <pt idx="198">
                  <v>207</v>
                </pt>
                <pt idx="199">
                  <v>241</v>
                </pt>
                <pt idx="200">
                  <v>252</v>
                </pt>
                <pt idx="201">
                  <v>219</v>
                </pt>
                <pt idx="202">
                  <v>213</v>
                </pt>
                <pt idx="203">
                  <v>178</v>
                </pt>
                <pt idx="204">
                  <v>276</v>
                </pt>
                <pt idx="205">
                  <v>221</v>
                </pt>
                <pt idx="206">
                  <v>284</v>
                </pt>
                <pt idx="207">
                  <v>159</v>
                </pt>
                <pt idx="208">
                  <v>199</v>
                </pt>
                <pt idx="209">
                  <v>238</v>
                </pt>
                <pt idx="210">
                  <v>136</v>
                </pt>
                <pt idx="211">
                  <v>249</v>
                </pt>
                <pt idx="212">
                  <v>264</v>
                </pt>
                <pt idx="213">
                  <v>220</v>
                </pt>
                <pt idx="214">
                  <v>158</v>
                </pt>
                <pt idx="215">
                  <v>255</v>
                </pt>
                <pt idx="216">
                  <v>46</v>
                </pt>
                <pt idx="217">
                  <v>107</v>
                </pt>
                <pt idx="218">
                  <v>143</v>
                </pt>
                <pt idx="219">
                  <v>159</v>
                </pt>
                <pt idx="220">
                  <v>124</v>
                </pt>
                <pt idx="221">
                  <v>151</v>
                </pt>
                <pt idx="222">
                  <v>124</v>
                </pt>
                <pt idx="223">
                  <v>199</v>
                </pt>
                <pt idx="224">
                  <v>209</v>
                </pt>
                <pt idx="225">
                  <v>183</v>
                </pt>
                <pt idx="226">
                  <v>-149</v>
                </pt>
                <pt idx="227">
                  <v>-19557</v>
                </pt>
                <pt idx="228">
                  <v>3065</v>
                </pt>
                <pt idx="229">
                  <v>2369</v>
                </pt>
                <pt idx="230">
                  <v>167</v>
                </pt>
                <pt idx="231">
                  <v>428</v>
                </pt>
                <pt idx="232">
                  <v>749</v>
                </pt>
                <pt idx="233">
                  <v>365</v>
                </pt>
                <pt idx="234">
                  <v>307</v>
                </pt>
                <pt idx="235">
                  <v>-123</v>
                </pt>
                <pt idx="236">
                  <v>174</v>
                </pt>
                <pt idx="237">
                  <v>117</v>
                </pt>
                <pt idx="238">
                  <v>517</v>
                </pt>
                <pt idx="239">
                  <v>742</v>
                </pt>
                <pt idx="240">
                  <v>978</v>
                </pt>
                <pt idx="241">
                  <v>692</v>
                </pt>
                <pt idx="242">
                  <v>330</v>
                </pt>
                <pt idx="243">
                  <v>374</v>
                </pt>
                <pt idx="244">
                  <v>568</v>
                </pt>
                <pt idx="245">
                  <v>568</v>
                </pt>
                <pt idx="246">
                  <v>534</v>
                </pt>
                <pt idx="247">
                  <v>534</v>
                </pt>
                <pt idx="248">
                  <v>807</v>
                </pt>
                <pt idx="249">
                  <v>-30</v>
                </pt>
                <pt idx="250">
                  <v>455</v>
                </pt>
                <pt idx="251">
                  <v>455</v>
                </pt>
                <pt idx="252">
                  <v>247</v>
                </pt>
                <pt idx="253">
                  <v>128</v>
                </pt>
                <pt idx="254">
                  <v>128</v>
                </pt>
                <pt idx="255">
                  <v>380</v>
                </pt>
                <pt idx="256">
                  <v>380</v>
                </pt>
                <pt idx="257">
                  <v>208</v>
                </pt>
                <pt idx="258">
                  <v>127</v>
                </pt>
              </numCache>
            </numRef>
          </val>
          <smooth val="0"/>
        </ser>
        <ser>
          <idx val="2"/>
          <order val="1"/>
          <tx>
            <strRef>
              <f>ADP!$C$5</f>
              <strCache>
                <ptCount val="1"/>
                <pt idx="0">
                  <v>NFP</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ADP!$A$6:$A$264</f>
              <numCache>
                <formatCode>m/d/yyyy</formatCode>
                <ptCount val="259"/>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pt idx="250">
                  <v>44652</v>
                </pt>
                <pt idx="251">
                  <v>44682</v>
                </pt>
                <pt idx="252">
                  <v>44713</v>
                </pt>
                <pt idx="253">
                  <v>44743</v>
                </pt>
                <pt idx="254">
                  <v>44774</v>
                </pt>
                <pt idx="255">
                  <v>44805</v>
                </pt>
                <pt idx="256">
                  <v>44835</v>
                </pt>
                <pt idx="257">
                  <v>44866</v>
                </pt>
                <pt idx="258">
                  <v>44896</v>
                </pt>
              </numCache>
            </numRef>
          </cat>
          <val>
            <numRef>
              <f>ADP!$C$6:$C$264</f>
              <numCache>
                <formatCode>0.00</formatCode>
                <ptCount val="259"/>
                <pt idx="0">
                  <v>-111</v>
                </pt>
                <pt idx="1">
                  <v>-122</v>
                </pt>
                <pt idx="2">
                  <v>-149</v>
                </pt>
                <pt idx="3">
                  <v>-257</v>
                </pt>
                <pt idx="4">
                  <v>-317</v>
                </pt>
                <pt idx="5">
                  <v>-312</v>
                </pt>
                <pt idx="6">
                  <v>-160</v>
                </pt>
                <pt idx="7">
                  <v>-130</v>
                </pt>
                <pt idx="8">
                  <v>-116</v>
                </pt>
                <pt idx="9">
                  <v>-19</v>
                </pt>
                <pt idx="10">
                  <v>-94</v>
                </pt>
                <pt idx="11">
                  <v>11</v>
                </pt>
                <pt idx="12">
                  <v>50</v>
                </pt>
                <pt idx="13">
                  <v>-94</v>
                </pt>
                <pt idx="14">
                  <v>-3</v>
                </pt>
                <pt idx="15">
                  <v>-86</v>
                </pt>
                <pt idx="16">
                  <v>127</v>
                </pt>
                <pt idx="17">
                  <v>-13</v>
                </pt>
                <pt idx="18">
                  <v>-143</v>
                </pt>
                <pt idx="19">
                  <v>108</v>
                </pt>
                <pt idx="20">
                  <v>-136</v>
                </pt>
                <pt idx="21">
                  <v>-212</v>
                </pt>
                <pt idx="22">
                  <v>-55</v>
                </pt>
                <pt idx="23">
                  <v>19</v>
                </pt>
                <pt idx="24">
                  <v>-2</v>
                </pt>
                <pt idx="25">
                  <v>-3</v>
                </pt>
                <pt idx="26">
                  <v>-42</v>
                </pt>
                <pt idx="27">
                  <v>105</v>
                </pt>
                <pt idx="28">
                  <v>200</v>
                </pt>
                <pt idx="29">
                  <v>20</v>
                </pt>
                <pt idx="30">
                  <v>114</v>
                </pt>
                <pt idx="31">
                  <v>181</v>
                </pt>
                <pt idx="32">
                  <v>56</v>
                </pt>
                <pt idx="33">
                  <v>317</v>
                </pt>
                <pt idx="34">
                  <v>269</v>
                </pt>
                <pt idx="35">
                  <v>283</v>
                </pt>
                <pt idx="36">
                  <v>99</v>
                </pt>
                <pt idx="37">
                  <v>55</v>
                </pt>
                <pt idx="38">
                  <v>89</v>
                </pt>
                <pt idx="39">
                  <v>156</v>
                </pt>
                <pt idx="40">
                  <v>354</v>
                </pt>
                <pt idx="41">
                  <v>56</v>
                </pt>
                <pt idx="42">
                  <v>121</v>
                </pt>
                <pt idx="43">
                  <v>150</v>
                </pt>
                <pt idx="44">
                  <v>258</v>
                </pt>
                <pt idx="45">
                  <v>124</v>
                </pt>
                <pt idx="46">
                  <v>362</v>
                </pt>
                <pt idx="47">
                  <v>172</v>
                </pt>
                <pt idx="48">
                  <v>252</v>
                </pt>
                <pt idx="49">
                  <v>354</v>
                </pt>
                <pt idx="50">
                  <v>202</v>
                </pt>
                <pt idx="51">
                  <v>68</v>
                </pt>
                <pt idx="52">
                  <v>89</v>
                </pt>
                <pt idx="53">
                  <v>338</v>
                </pt>
                <pt idx="54">
                  <v>156</v>
                </pt>
                <pt idx="55">
                  <v>280</v>
                </pt>
                <pt idx="56">
                  <v>308</v>
                </pt>
                <pt idx="57">
                  <v>310</v>
                </pt>
                <pt idx="58">
                  <v>158</v>
                </pt>
                <pt idx="59">
                  <v>39</v>
                </pt>
                <pt idx="60">
                  <v>81</v>
                </pt>
                <pt idx="61">
                  <v>195</v>
                </pt>
                <pt idx="62">
                  <v>174</v>
                </pt>
                <pt idx="63">
                  <v>149</v>
                </pt>
                <pt idx="64">
                  <v>9</v>
                </pt>
                <pt idx="65">
                  <v>211</v>
                </pt>
                <pt idx="66">
                  <v>186</v>
                </pt>
                <pt idx="67">
                  <v>228</v>
                </pt>
                <pt idx="68">
                  <v>81</v>
                </pt>
                <pt idx="69">
                  <v>235</v>
                </pt>
                <pt idx="70">
                  <v>49</v>
                </pt>
                <pt idx="71">
                  <v>151</v>
                </pt>
                <pt idx="72">
                  <v>76</v>
                </pt>
                <pt idx="73">
                  <v>-31</v>
                </pt>
                <pt idx="74">
                  <v>-23</v>
                </pt>
                <pt idx="75">
                  <v>80</v>
                </pt>
                <pt idx="76">
                  <v>79</v>
                </pt>
                <pt idx="77">
                  <v>110</v>
                </pt>
                <pt idx="78">
                  <v>108</v>
                </pt>
                <pt idx="79">
                  <v>11</v>
                </pt>
                <pt idx="80">
                  <v>-79</v>
                </pt>
                <pt idx="81">
                  <v>-49</v>
                </pt>
                <pt idx="82">
                  <v>-240</v>
                </pt>
                <pt idx="83">
                  <v>-177</v>
                </pt>
                <pt idx="84">
                  <v>-171</v>
                </pt>
                <pt idx="85">
                  <v>-196</v>
                </pt>
                <pt idx="86">
                  <v>-278</v>
                </pt>
                <pt idx="87">
                  <v>-460</v>
                </pt>
                <pt idx="88">
                  <v>-481</v>
                </pt>
                <pt idx="89">
                  <v>-727</v>
                </pt>
                <pt idx="90">
                  <v>-706</v>
                </pt>
                <pt idx="91">
                  <v>-784</v>
                </pt>
                <pt idx="92">
                  <v>-743</v>
                </pt>
                <pt idx="93">
                  <v>-800</v>
                </pt>
                <pt idx="94">
                  <v>-695</v>
                </pt>
                <pt idx="95">
                  <v>-342</v>
                </pt>
                <pt idx="96">
                  <v>-467</v>
                </pt>
                <pt idx="97">
                  <v>-340</v>
                </pt>
                <pt idx="98">
                  <v>-183</v>
                </pt>
                <pt idx="99">
                  <v>-241</v>
                </pt>
                <pt idx="100">
                  <v>-199</v>
                </pt>
                <pt idx="101">
                  <v>12</v>
                </pt>
                <pt idx="102">
                  <v>-269</v>
                </pt>
                <pt idx="103">
                  <v>2</v>
                </pt>
                <pt idx="104">
                  <v>-92</v>
                </pt>
                <pt idx="105">
                  <v>181</v>
                </pt>
                <pt idx="106">
                  <v>231</v>
                </pt>
                <pt idx="107">
                  <v>540</v>
                </pt>
                <pt idx="108">
                  <v>-139</v>
                </pt>
                <pt idx="109">
                  <v>-84</v>
                </pt>
                <pt idx="110">
                  <v>-5</v>
                </pt>
                <pt idx="111">
                  <v>-65</v>
                </pt>
                <pt idx="112">
                  <v>268</v>
                </pt>
                <pt idx="113">
                  <v>125</v>
                </pt>
                <pt idx="114">
                  <v>72</v>
                </pt>
                <pt idx="115">
                  <v>19</v>
                </pt>
                <pt idx="116">
                  <v>212</v>
                </pt>
                <pt idx="117">
                  <v>235</v>
                </pt>
                <pt idx="118">
                  <v>314</v>
                </pt>
                <pt idx="119">
                  <v>101</v>
                </pt>
                <pt idx="120">
                  <v>236</v>
                </pt>
                <pt idx="121">
                  <v>60</v>
                </pt>
                <pt idx="122">
                  <v>126</v>
                </pt>
                <pt idx="123">
                  <v>233</v>
                </pt>
                <pt idx="124">
                  <v>204</v>
                </pt>
                <pt idx="125">
                  <v>132</v>
                </pt>
                <pt idx="126">
                  <v>202</v>
                </pt>
                <pt idx="127">
                  <v>354</v>
                </pt>
                <pt idx="128">
                  <v>262</v>
                </pt>
                <pt idx="129">
                  <v>240</v>
                </pt>
                <pt idx="130">
                  <v>82</v>
                </pt>
                <pt idx="131">
                  <v>100</v>
                </pt>
                <pt idx="132">
                  <v>73</v>
                </pt>
                <pt idx="133">
                  <v>152</v>
                </pt>
                <pt idx="134">
                  <v>172</v>
                </pt>
                <pt idx="135">
                  <v>187</v>
                </pt>
                <pt idx="136">
                  <v>159</v>
                </pt>
                <pt idx="137">
                  <v>156</v>
                </pt>
                <pt idx="138">
                  <v>239</v>
                </pt>
                <pt idx="139">
                  <v>191</v>
                </pt>
                <pt idx="140">
                  <v>278</v>
                </pt>
                <pt idx="141">
                  <v>139</v>
                </pt>
                <pt idx="142">
                  <v>191</v>
                </pt>
                <pt idx="143">
                  <v>222</v>
                </pt>
                <pt idx="144">
                  <v>181</v>
                </pt>
                <pt idx="145">
                  <v>112</v>
                </pt>
                <pt idx="146">
                  <v>242</v>
                </pt>
                <pt idx="147">
                  <v>187</v>
                </pt>
                <pt idx="148">
                  <v>225</v>
                </pt>
                <pt idx="149">
                  <v>264</v>
                </pt>
                <pt idx="150">
                  <v>69</v>
                </pt>
                <pt idx="151">
                  <v>175</v>
                </pt>
                <pt idx="152">
                  <v>166</v>
                </pt>
                <pt idx="153">
                  <v>254</v>
                </pt>
                <pt idx="154">
                  <v>325</v>
                </pt>
                <pt idx="155">
                  <v>218</v>
                </pt>
                <pt idx="156">
                  <v>326</v>
                </pt>
                <pt idx="157">
                  <v>232</v>
                </pt>
                <pt idx="158">
                  <v>188</v>
                </pt>
                <pt idx="159">
                  <v>309</v>
                </pt>
                <pt idx="160">
                  <v>252</v>
                </pt>
                <pt idx="161">
                  <v>291</v>
                </pt>
                <pt idx="162">
                  <v>268</v>
                </pt>
                <pt idx="163">
                  <v>191</v>
                </pt>
                <pt idx="164">
                  <v>271</v>
                </pt>
                <pt idx="165">
                  <v>71</v>
                </pt>
                <pt idx="166">
                  <v>284</v>
                </pt>
                <pt idx="167">
                  <v>331</v>
                </pt>
                <pt idx="168">
                  <v>174</v>
                </pt>
                <pt idx="169">
                  <v>302</v>
                </pt>
                <pt idx="170">
                  <v>125</v>
                </pt>
                <pt idx="171">
                  <v>155</v>
                </pt>
                <pt idx="172">
                  <v>306</v>
                </pt>
                <pt idx="173">
                  <v>237</v>
                </pt>
                <pt idx="174">
                  <v>273</v>
                </pt>
                <pt idx="175">
                  <v>108</v>
                </pt>
                <pt idx="176">
                  <v>212</v>
                </pt>
                <pt idx="177">
                  <v>237</v>
                </pt>
                <pt idx="178">
                  <v>197</v>
                </pt>
                <pt idx="179">
                  <v>41</v>
                </pt>
                <pt idx="180">
                  <v>258</v>
                </pt>
                <pt idx="181">
                  <v>371</v>
                </pt>
                <pt idx="182">
                  <v>143</v>
                </pt>
                <pt idx="183">
                  <v>289</v>
                </pt>
                <pt idx="184">
                  <v>118</v>
                </pt>
                <pt idx="185">
                  <v>130</v>
                </pt>
                <pt idx="186">
                  <v>214</v>
                </pt>
                <pt idx="187">
                  <v>213</v>
                </pt>
                <pt idx="188">
                  <v>190</v>
                </pt>
                <pt idx="189">
                  <v>142</v>
                </pt>
                <pt idx="190">
                  <v>205</v>
                </pt>
                <pt idx="191">
                  <v>223</v>
                </pt>
                <pt idx="192">
                  <v>197</v>
                </pt>
                <pt idx="193">
                  <v>183</v>
                </pt>
                <pt idx="194">
                  <v>145</v>
                </pt>
                <pt idx="195">
                  <v>99</v>
                </pt>
                <pt idx="196">
                  <v>141</v>
                </pt>
                <pt idx="197">
                  <v>200</v>
                </pt>
                <pt idx="198">
                  <v>176</v>
                </pt>
                <pt idx="199">
                  <v>133</v>
                </pt>
                <pt idx="200">
                  <v>402</v>
                </pt>
                <pt idx="201">
                  <v>225</v>
                </pt>
                <pt idx="202">
                  <v>179</v>
                </pt>
                <pt idx="203">
                  <v>333</v>
                </pt>
                <pt idx="204">
                  <v>183</v>
                </pt>
                <pt idx="205">
                  <v>66</v>
                </pt>
                <pt idx="206">
                  <v>219</v>
                </pt>
                <pt idx="207">
                  <v>57</v>
                </pt>
                <pt idx="208">
                  <v>145</v>
                </pt>
                <pt idx="209">
                  <v>102</v>
                </pt>
                <pt idx="210">
                  <v>248</v>
                </pt>
                <pt idx="211">
                  <v>279</v>
                </pt>
                <pt idx="212">
                  <v>24</v>
                </pt>
                <pt idx="213">
                  <v>224</v>
                </pt>
                <pt idx="214">
                  <v>288</v>
                </pt>
                <pt idx="215">
                  <v>77</v>
                </pt>
                <pt idx="216">
                  <v>130</v>
                </pt>
                <pt idx="217">
                  <v>78</v>
                </pt>
                <pt idx="218">
                  <v>160</v>
                </pt>
                <pt idx="219">
                  <v>163</v>
                </pt>
                <pt idx="220">
                  <v>93</v>
                </pt>
                <pt idx="221">
                  <v>252</v>
                </pt>
                <pt idx="222">
                  <v>200</v>
                </pt>
                <pt idx="223">
                  <v>339</v>
                </pt>
                <pt idx="224">
                  <v>376</v>
                </pt>
                <pt idx="225">
                  <v>-1498</v>
                </pt>
                <pt idx="226">
                  <v>-20493</v>
                </pt>
                <pt idx="227">
                  <v>2642</v>
                </pt>
                <pt idx="228">
                  <v>4505</v>
                </pt>
                <pt idx="229">
                  <v>1388</v>
                </pt>
                <pt idx="230">
                  <v>1665</v>
                </pt>
                <pt idx="231">
                  <v>919</v>
                </pt>
                <pt idx="232">
                  <v>647</v>
                </pt>
                <pt idx="233">
                  <v>333</v>
                </pt>
                <pt idx="234">
                  <v>-115</v>
                </pt>
                <pt idx="235">
                  <v>520</v>
                </pt>
                <pt idx="236">
                  <v>710</v>
                </pt>
                <pt idx="237">
                  <v>704</v>
                </pt>
                <pt idx="238">
                  <v>263</v>
                </pt>
                <pt idx="239">
                  <v>447</v>
                </pt>
                <pt idx="240">
                  <v>557</v>
                </pt>
                <pt idx="241">
                  <v>689</v>
                </pt>
                <pt idx="242">
                  <v>517</v>
                </pt>
                <pt idx="243">
                  <v>424</v>
                </pt>
                <pt idx="244">
                  <v>677</v>
                </pt>
                <pt idx="245">
                  <v>647</v>
                </pt>
                <pt idx="246">
                  <v>588</v>
                </pt>
                <pt idx="247">
                  <v>504</v>
                </pt>
                <pt idx="248">
                  <v>714</v>
                </pt>
                <pt idx="249">
                  <v>398</v>
                </pt>
                <pt idx="250">
                  <v>368</v>
                </pt>
                <pt idx="251">
                  <v>386</v>
                </pt>
                <pt idx="252">
                  <v>293</v>
                </pt>
                <pt idx="253">
                  <v>537</v>
                </pt>
                <pt idx="254">
                  <v>292</v>
                </pt>
                <pt idx="255">
                  <v>269</v>
                </pt>
                <pt idx="256">
                  <v>284</v>
                </pt>
                <pt idx="257">
                  <v>263</v>
                </pt>
                <pt idx="258">
                  <v>263</v>
                </pt>
              </numCache>
            </numRef>
          </val>
          <smooth val="0"/>
        </ser>
        <dLbls>
          <showLegendKey val="0"/>
          <showVal val="0"/>
          <showCatName val="0"/>
          <showSerName val="0"/>
          <showPercent val="0"/>
          <showBubbleSize val="0"/>
        </dLbls>
        <smooth val="0"/>
        <axId val="896756728"/>
        <axId val="896754432"/>
      </lineChart>
      <dateAx>
        <axId val="896756728"/>
        <scaling>
          <orientation val="minMax"/>
          <min val="44044"/>
        </scaling>
        <delete val="0"/>
        <axPos val="b"/>
        <numFmt formatCode="m/d/yyyy" sourceLinked="1"/>
        <majorTickMark val="none"/>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4432"/>
        <crosses val="autoZero"/>
        <lblOffset val="100"/>
        <baseTimeUnit val="months"/>
      </dateAx>
      <valAx>
        <axId val="896754432"/>
        <scaling>
          <orientation val="minMax"/>
          <max val="2000"/>
          <min val="-5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67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s>
</file>

<file path=xl/drawings/_rels/drawing3.xml.rels><Relationships xmlns="http://schemas.openxmlformats.org/package/2006/relationships"><Relationship Type="http://schemas.openxmlformats.org/officeDocument/2006/relationships/chart" Target="/xl/charts/chart6.xml" Id="rId1"/></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 Type="http://schemas.openxmlformats.org/officeDocument/2006/relationships/chart" Target="/xl/charts/chart10.xml" Id="rId4"/><Relationship Type="http://schemas.openxmlformats.org/officeDocument/2006/relationships/chart" Target="/xl/charts/chart11.xml" Id="rId5"/><Relationship Type="http://schemas.openxmlformats.org/officeDocument/2006/relationships/chart" Target="/xl/charts/chart12.xml" Id="rId6"/></Relationships>
</file>

<file path=xl/drawings/_rels/drawing5.xml.rels><Relationships xmlns="http://schemas.openxmlformats.org/package/2006/relationships"><Relationship Type="http://schemas.openxmlformats.org/officeDocument/2006/relationships/chart" Target="/xl/charts/chart13.xml" Id="rId1"/></Relationships>
</file>

<file path=xl/drawings/drawing1.xml><?xml version="1.0" encoding="utf-8"?>
<wsDr xmlns="http://schemas.openxmlformats.org/drawingml/2006/spreadsheetDrawing">
  <twoCellAnchor>
    <from>
      <col>13</col>
      <colOff>38099</colOff>
      <row>1</row>
      <rowOff>152400</rowOff>
    </from>
    <to>
      <col>18</col>
      <colOff>695325</colOff>
      <row>6</row>
      <rowOff>2905125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6</col>
      <colOff>210608</colOff>
      <row>940</row>
      <rowOff>137584</rowOff>
    </from>
    <to>
      <col>23</col>
      <colOff>179918</colOff>
      <row>975</row>
      <rowOff>148167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214839</colOff>
      <row>976</row>
      <rowOff>52916</rowOff>
    </from>
    <to>
      <col>23</col>
      <colOff>190500</colOff>
      <row>1006</row>
      <rowOff>169334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190500</colOff>
      <row>1007</row>
      <rowOff>162983</rowOff>
    </from>
    <to>
      <col>21</col>
      <colOff>381000</colOff>
      <row>1043</row>
      <rowOff>52916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6</col>
      <colOff>179915</colOff>
      <row>1044</row>
      <rowOff>14818</rowOff>
    </from>
    <to>
      <col>21</col>
      <colOff>370416</colOff>
      <row>1076</row>
      <rowOff>10584</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5</col>
      <colOff>245938</colOff>
      <row>2875</row>
      <rowOff>6591</rowOff>
    </from>
    <to>
      <col>19</col>
      <colOff>332154</colOff>
      <row>2903</row>
      <rowOff>166077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0</col>
      <colOff>81641</colOff>
      <row>14</row>
      <rowOff>23091</rowOff>
    </from>
    <to>
      <col>10</col>
      <colOff>138545</colOff>
      <row>31</row>
      <rowOff>187779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10</col>
      <colOff>476248</colOff>
      <row>13</row>
      <rowOff>150091</rowOff>
    </from>
    <to>
      <col>20</col>
      <colOff>669635</colOff>
      <row>32</row>
      <rowOff>40821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0</col>
      <colOff>72118</colOff>
      <row>32</row>
      <rowOff>176892</rowOff>
    </from>
    <to>
      <col>10</col>
      <colOff>91169</colOff>
      <row>51</row>
      <rowOff>129267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462643</colOff>
      <row>32</row>
      <rowOff>176893</rowOff>
    </from>
    <to>
      <col>20</col>
      <colOff>658090</colOff>
      <row>51</row>
      <rowOff>129268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70757</colOff>
      <row>52</row>
      <rowOff>54428</rowOff>
    </from>
    <to>
      <col>10</col>
      <colOff>108857</colOff>
      <row>71</row>
      <rowOff>121104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10</col>
      <colOff>470806</colOff>
      <row>52</row>
      <rowOff>88445</rowOff>
    </from>
    <to>
      <col>20</col>
      <colOff>658090</colOff>
      <row>72</row>
      <rowOff>150090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wsDr>
</file>

<file path=xl/drawings/drawing5.xml><?xml version="1.0" encoding="utf-8"?>
<wsDr xmlns="http://schemas.openxmlformats.org/drawingml/2006/spreadsheetDrawing">
  <twoCellAnchor>
    <from>
      <col>3</col>
      <colOff>196606</colOff>
      <row>242</row>
      <rowOff>15019</rowOff>
    </from>
    <to>
      <col>14</col>
      <colOff>282332</colOff>
      <row>264</row>
      <rowOff>111856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11:F1018" headerRowCount="1" totalsRowShown="0" headerRowDxfId="21" dataDxfId="20">
  <autoFilter ref="A11:F1018"/>
  <tableColumns count="6">
    <tableColumn id="1" name="Date" dataDxfId="19"/>
    <tableColumn id="2" name="PAYEMS" dataDxfId="18">
      <calculatedColumnFormula>VLOOKUP(Table1[[#This Row],[Date]],Database!A:D,3,)</calculatedColumnFormula>
    </tableColumn>
    <tableColumn id="4" name="Monthly Change in k" dataDxfId="17">
      <calculatedColumnFormula>B12-B11</calculatedColumnFormula>
    </tableColumn>
    <tableColumn id="8" name="3 months average" dataDxfId="16">
      <calculatedColumnFormula>AVERAGE(C10:C12)</calculatedColumnFormula>
    </tableColumn>
    <tableColumn id="9" name="Unemployment Rate" dataDxfId="15">
      <calculatedColumnFormula>VLOOKUP(Table1[[#This Row],[Date]],#REF!,2,)</calculatedColumnFormula>
    </tableColumn>
    <tableColumn id="5"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4" displayName="Table4" ref="A4:E5" headerRowCount="1" totalsRowShown="0" headerRowDxfId="13" dataDxfId="12">
  <autoFilter ref="A4:E5"/>
  <tableColumns count="5">
    <tableColumn id="1" name="Date" dataDxfId="11"/>
    <tableColumn id="2" name="Initial Claims" dataDxfId="10">
      <calculatedColumnFormula>VLOOKUP(A5,'Database Claims'!$A:$C,3,)</calculatedColumnFormula>
    </tableColumn>
    <tableColumn id="3" name="Var." dataDxfId="9"/>
    <tableColumn id="4" name="Continued Claims" dataDxfId="8">
      <calculatedColumnFormula>VLOOKUP(A5,'Database Claims'!$A:$C,2,)</calculatedColumnFormula>
    </tableColumn>
    <tableColumn id="5" name="Var. " dataDxfId="7"/>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5:C264" headerRowCount="1" totalsRowShown="0" headerRowDxfId="6" dataDxfId="5">
  <autoFilter ref="A5:C264"/>
  <tableColumns count="3">
    <tableColumn id="1" name="Date" dataDxfId="4"/>
    <tableColumn id="4" name="ADP " dataDxfId="3">
      <calculatedColumnFormula>VLOOKUP(A6,'Database ADP'!A:B,2)</calculatedColumnFormula>
    </tableColumn>
    <tableColumn id="5"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hyperlink" Target="http://www.adpemploymentreport.com/" TargetMode="External" Id="rId1"/><Relationship Type="http://schemas.openxmlformats.org/officeDocument/2006/relationships/hyperlink" Target="https://tradingeconomics.com/united-states/adp-employment-change" TargetMode="External" Id="rId2"/><Relationship Type="http://schemas.openxmlformats.org/officeDocument/2006/relationships/hyperlink" Target="https://uk.investing.com/economic-calendar/adp-nonfarm-employment-change-1" TargetMode="External" Id="rId3"/><Relationship Type="http://schemas.openxmlformats.org/officeDocument/2006/relationships/drawing" Target="/xl/drawings/drawing5.xml" Id="rId4"/><Relationship Type="http://schemas.openxmlformats.org/officeDocument/2006/relationships/table" Target="/xl/tables/table3.xml" Id="rId5"/></Relationships>
</file>

<file path=xl/worksheets/sheet1.xml><?xml version="1.0" encoding="utf-8"?>
<worksheet xmlns="http://schemas.openxmlformats.org/spreadsheetml/2006/main">
  <sheetPr>
    <tabColor rgb="FFFFFF00"/>
    <outlinePr summaryBelow="1" summaryRight="1"/>
    <pageSetUpPr/>
  </sheetPr>
  <dimension ref="B1:S34"/>
  <sheetViews>
    <sheetView topLeftCell="D7" zoomScale="140" zoomScaleNormal="140" workbookViewId="0">
      <selection activeCell="P15" sqref="P15"/>
    </sheetView>
  </sheetViews>
  <sheetFormatPr baseColWidth="8" defaultColWidth="9.1796875" defaultRowHeight="14.5"/>
  <cols>
    <col width="14.453125" customWidth="1" style="63" min="1" max="1"/>
    <col width="12.81640625" customWidth="1" style="63" min="2" max="10"/>
    <col width="3.6328125" customWidth="1" style="63" min="11" max="13"/>
    <col width="14" customWidth="1" style="63" min="14" max="15"/>
    <col width="11" customWidth="1" style="63" min="16" max="19"/>
    <col width="9.1796875" customWidth="1" style="63" min="20" max="51"/>
    <col width="9.1796875" customWidth="1" style="63" min="52" max="16384"/>
  </cols>
  <sheetData>
    <row r="1">
      <c r="B1" s="72" t="n"/>
    </row>
    <row r="2" ht="16" customHeight="1" s="49" thickBot="1">
      <c r="B2" s="73" t="n"/>
      <c r="C2" s="73" t="n"/>
      <c r="D2" s="73" t="n"/>
      <c r="E2" s="73" t="n"/>
      <c r="F2" s="73" t="n"/>
      <c r="G2" s="73" t="n"/>
      <c r="H2" s="73" t="n"/>
      <c r="I2" s="73" t="n"/>
      <c r="J2" s="73" t="n"/>
    </row>
    <row r="3" ht="16" customHeight="1" s="49" thickBot="1">
      <c r="B3" s="74" t="inlineStr">
        <is>
          <t>Job Market</t>
        </is>
      </c>
      <c r="C3" s="75" t="n"/>
      <c r="D3" s="75" t="n"/>
      <c r="E3" s="75" t="n"/>
      <c r="F3" s="75" t="n"/>
      <c r="G3" s="75" t="n"/>
      <c r="H3" s="75" t="n"/>
      <c r="I3" s="75" t="n"/>
      <c r="J3" s="76" t="n"/>
    </row>
    <row r="5">
      <c r="B5" s="64" t="inlineStr">
        <is>
          <t>Definition</t>
        </is>
      </c>
      <c r="C5" s="65" t="n"/>
      <c r="D5" s="65" t="n"/>
      <c r="E5" s="65" t="n"/>
      <c r="F5" s="65" t="n"/>
      <c r="G5" s="65" t="n"/>
      <c r="H5" s="65" t="n"/>
      <c r="I5" s="65" t="n"/>
      <c r="J5" s="66" t="n"/>
    </row>
    <row r="7" ht="237.75" customHeight="1" s="49">
      <c r="B7" s="62" t="inlineStr">
        <is>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is>
      </c>
    </row>
    <row r="8">
      <c r="B8" s="33" t="n"/>
      <c r="C8" s="33" t="n"/>
      <c r="D8" s="33" t="n"/>
      <c r="E8" s="33" t="n"/>
    </row>
    <row r="9">
      <c r="B9" s="64" t="inlineStr">
        <is>
          <t>Process / TO DO LIST</t>
        </is>
      </c>
      <c r="C9" s="65" t="n"/>
      <c r="D9" s="65" t="n"/>
      <c r="E9" s="65" t="n"/>
      <c r="F9" s="65" t="n"/>
      <c r="G9" s="65" t="n"/>
      <c r="H9" s="65" t="n"/>
      <c r="I9" s="65" t="n"/>
      <c r="J9" s="66" t="n"/>
      <c r="N9" s="64" t="inlineStr">
        <is>
          <t>Summary</t>
        </is>
      </c>
      <c r="O9" s="65" t="n"/>
      <c r="P9" s="65" t="n"/>
      <c r="Q9" s="65" t="n"/>
      <c r="R9" s="65" t="n"/>
      <c r="S9" s="66" t="n"/>
    </row>
    <row r="11">
      <c r="B11" s="64" t="inlineStr">
        <is>
          <t>TO DO LIST</t>
        </is>
      </c>
      <c r="C11" s="65" t="n"/>
      <c r="D11" s="65" t="n"/>
      <c r="E11" s="65" t="n"/>
      <c r="F11" s="66" t="n"/>
      <c r="G11" s="64" t="inlineStr">
        <is>
          <t>Comments</t>
        </is>
      </c>
      <c r="H11" s="65" t="n"/>
      <c r="I11" s="65" t="n"/>
      <c r="J11" s="66" t="n"/>
    </row>
    <row r="13" ht="16" customHeight="1" s="49" thickBot="1">
      <c r="B13" s="63" t="inlineStr">
        <is>
          <t>Database</t>
        </is>
      </c>
      <c r="G13" s="63" t="inlineStr">
        <is>
          <t>U.S. Job Market</t>
        </is>
      </c>
    </row>
    <row r="14">
      <c r="B14" s="63" t="inlineStr">
        <is>
          <t>Create data on Fred</t>
        </is>
      </c>
      <c r="G14" s="63" t="n"/>
      <c r="P14" s="36" t="n">
        <v>44805</v>
      </c>
      <c r="Q14" s="37">
        <f>DATE(YEAR(P14),MONTH(P14)-1,DAY(P14))</f>
        <v/>
      </c>
      <c r="R14" s="38" t="n"/>
    </row>
    <row r="15" ht="16" customHeight="1" s="49" thickBot="1">
      <c r="B15" s="63" t="inlineStr">
        <is>
          <t>https://research.stlouisfed.org/useraccount/datalists</t>
        </is>
      </c>
      <c r="G15" s="63" t="n"/>
      <c r="P15" s="39" t="inlineStr">
        <is>
          <t>Last</t>
        </is>
      </c>
      <c r="Q15" s="39" t="inlineStr">
        <is>
          <t>Last</t>
        </is>
      </c>
      <c r="R15" s="40" t="inlineStr">
        <is>
          <t>Var.</t>
        </is>
      </c>
    </row>
    <row r="16">
      <c r="B16" s="4" t="inlineStr">
        <is>
          <t>CIVPART</t>
        </is>
      </c>
      <c r="G16" s="63" t="inlineStr">
        <is>
          <t>Civilian Labor Force Participation Rate</t>
        </is>
      </c>
      <c r="N16" s="67" t="inlineStr">
        <is>
          <t>NFP</t>
        </is>
      </c>
      <c r="O16" s="68" t="n"/>
      <c r="P16" s="41">
        <f>VLOOKUP($P$14,Database!A:D,MATCH(Note!S16,Database!A1:D1,),)</f>
        <v/>
      </c>
      <c r="Q16" s="41">
        <f>VLOOKUP($Q$14,Database!A:D,MATCH(Note!S16,Database!A1:D1,),)</f>
        <v/>
      </c>
      <c r="R16" s="44">
        <f>P16-Q16</f>
        <v/>
      </c>
      <c r="S16" s="42" t="inlineStr">
        <is>
          <t>PAYEMS</t>
        </is>
      </c>
    </row>
    <row r="17">
      <c r="B17" s="4" t="inlineStr">
        <is>
          <t>PAYEMS</t>
        </is>
      </c>
      <c r="G17" s="63" t="inlineStr">
        <is>
          <t>All Employees: Total Nonfarm Payrolls</t>
        </is>
      </c>
      <c r="N17" s="69" t="inlineStr">
        <is>
          <t>Unemployment Rate</t>
        </is>
      </c>
      <c r="O17" s="66" t="n"/>
      <c r="P17" s="50">
        <f>VLOOKUP($P$14,Database!A:D,MATCH(Note!S17,Database!A1:D1,),)</f>
        <v/>
      </c>
      <c r="Q17" s="50">
        <f>VLOOKUP($Q$14,Database!A:D,MATCH(Note!S17,Database!A1:D1,),)</f>
        <v/>
      </c>
      <c r="R17" s="51">
        <f>P17-Q17</f>
        <v/>
      </c>
      <c r="S17" s="43" t="inlineStr">
        <is>
          <t>UNRATE</t>
        </is>
      </c>
    </row>
    <row r="18" ht="16" customHeight="1" s="49" thickBot="1">
      <c r="B18" s="4" t="inlineStr">
        <is>
          <t>UNRATE</t>
        </is>
      </c>
      <c r="G18" s="63" t="inlineStr">
        <is>
          <t>Civilian Unemployment Rate</t>
        </is>
      </c>
      <c r="N18" s="70" t="inlineStr">
        <is>
          <t>Participation Rate</t>
        </is>
      </c>
      <c r="O18" s="71" t="n"/>
      <c r="P18" s="52">
        <f>VLOOKUP($P$14,Database!A:D,MATCH(Note!S18,Database!A1:D1,),)</f>
        <v/>
      </c>
      <c r="Q18" s="52">
        <f>VLOOKUP($Q$14,Database!A:D,MATCH(Note!S18,Database!A1:D1,),)</f>
        <v/>
      </c>
      <c r="R18" s="53">
        <f>P18-Q18</f>
        <v/>
      </c>
      <c r="S18" s="45" t="inlineStr">
        <is>
          <t>CIVPART</t>
        </is>
      </c>
    </row>
    <row r="19">
      <c r="B19" s="4" t="inlineStr">
        <is>
          <t>CCSA</t>
        </is>
      </c>
      <c r="G19" s="63" t="inlineStr">
        <is>
          <t>Continued Claims (Insured Unemployment)</t>
        </is>
      </c>
    </row>
    <row r="20">
      <c r="B20" s="2" t="inlineStr">
        <is>
          <t>ICSA</t>
        </is>
      </c>
      <c r="G20" s="63" t="inlineStr">
        <is>
          <t>Initial Claims</t>
        </is>
      </c>
    </row>
    <row r="21">
      <c r="B21" s="63" t="inlineStr">
        <is>
          <t>Copy Monthly in Database A:C</t>
        </is>
      </c>
      <c r="G21" s="63" t="n"/>
    </row>
    <row r="22">
      <c r="B22" s="63" t="inlineStr">
        <is>
          <t>Copy Weekly, Ending Saturday in Database F:H</t>
        </is>
      </c>
    </row>
    <row r="24" ht="33" customHeight="1" s="49">
      <c r="B24" s="62" t="inlineStr">
        <is>
          <t>https://data.oecd.org/unemp/harmonised-unemployment-rate-hur.htm#indicator-chart</t>
        </is>
      </c>
      <c r="G24" s="63" t="inlineStr">
        <is>
          <t>World Job data</t>
        </is>
      </c>
    </row>
    <row r="25">
      <c r="B25" s="63" t="inlineStr">
        <is>
          <t>Table</t>
        </is>
      </c>
    </row>
    <row r="26">
      <c r="B26" s="63" t="inlineStr">
        <is>
          <t>monthly</t>
        </is>
      </c>
    </row>
    <row r="27">
      <c r="B27" s="63" t="inlineStr">
        <is>
          <t>from beginning</t>
        </is>
      </c>
    </row>
    <row r="28">
      <c r="B28" s="63" t="inlineStr">
        <is>
          <t>download</t>
        </is>
      </c>
      <c r="G28" s="63" t="n"/>
    </row>
    <row r="30">
      <c r="B30" t="inlineStr">
        <is>
          <t>https://tradingeconomics.com/country-list/unemployment-rate</t>
        </is>
      </c>
      <c r="G30" s="63" t="inlineStr">
        <is>
          <t>Other data</t>
        </is>
      </c>
    </row>
    <row r="31">
      <c r="G31" s="63" t="n"/>
    </row>
    <row r="32">
      <c r="B32" s="34" t="n"/>
    </row>
    <row r="33" ht="30" customHeight="1" s="49">
      <c r="B33" s="62" t="n"/>
    </row>
    <row r="34">
      <c r="B34" s="35" t="n"/>
    </row>
  </sheetData>
  <mergeCells count="19">
    <mergeCell ref="N16:O16"/>
    <mergeCell ref="N17:O17"/>
    <mergeCell ref="N18:O18"/>
    <mergeCell ref="B1:J2"/>
    <mergeCell ref="B3:J3"/>
    <mergeCell ref="B5:J5"/>
    <mergeCell ref="N9:S9"/>
    <mergeCell ref="B33:J33"/>
    <mergeCell ref="B7:J7"/>
    <mergeCell ref="B24:F24"/>
    <mergeCell ref="G13:J13"/>
    <mergeCell ref="G14:J14"/>
    <mergeCell ref="G15:J15"/>
    <mergeCell ref="G21:J21"/>
    <mergeCell ref="G28:J28"/>
    <mergeCell ref="G31:J31"/>
    <mergeCell ref="B9:J9"/>
    <mergeCell ref="B11:F11"/>
    <mergeCell ref="G11:J11"/>
  </mergeCells>
  <conditionalFormatting sqref="R16:R18">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5">
    <tabColor theme="1" tint="0.499984740745262"/>
    <outlinePr summaryBelow="1" summaryRight="1"/>
    <pageSetUpPr/>
  </sheetPr>
  <dimension ref="A1:D1008"/>
  <sheetViews>
    <sheetView zoomScale="160" zoomScaleNormal="160" workbookViewId="0">
      <pane ySplit="1" topLeftCell="A1003" activePane="bottomLeft" state="frozen"/>
      <selection pane="bottomLeft" activeCell="L124" sqref="L124"/>
    </sheetView>
  </sheetViews>
  <sheetFormatPr baseColWidth="8" defaultColWidth="8.81640625" defaultRowHeight="14.5"/>
  <cols>
    <col width="12.6328125" customWidth="1" style="49" min="1" max="1"/>
    <col width="7.6328125" customWidth="1" style="49" min="2" max="2"/>
    <col width="9.6328125" customWidth="1" style="49" min="3" max="3"/>
    <col width="7.6328125" customWidth="1" style="49" min="4" max="4"/>
  </cols>
  <sheetData>
    <row r="1">
      <c r="A1" t="inlineStr">
        <is>
          <t>DATE</t>
        </is>
      </c>
      <c r="B1" t="inlineStr">
        <is>
          <t>CIVPART</t>
        </is>
      </c>
      <c r="C1" t="inlineStr">
        <is>
          <t>PAYEMS</t>
        </is>
      </c>
      <c r="D1" t="inlineStr">
        <is>
          <t>UNRATE</t>
        </is>
      </c>
    </row>
    <row r="2">
      <c r="A2" s="78" t="n">
        <v>14246</v>
      </c>
      <c r="C2" t="n">
        <v>29923</v>
      </c>
    </row>
    <row r="3">
      <c r="A3" s="78" t="n">
        <v>14277</v>
      </c>
      <c r="C3" t="n">
        <v>30100</v>
      </c>
    </row>
    <row r="4">
      <c r="A4" s="78" t="n">
        <v>14305</v>
      </c>
      <c r="C4" t="n">
        <v>30280</v>
      </c>
    </row>
    <row r="5">
      <c r="A5" s="78" t="n">
        <v>14336</v>
      </c>
      <c r="C5" t="n">
        <v>30094</v>
      </c>
    </row>
    <row r="6">
      <c r="A6" s="78" t="n">
        <v>14366</v>
      </c>
      <c r="C6" t="n">
        <v>30299</v>
      </c>
    </row>
    <row r="7">
      <c r="A7" s="78" t="n">
        <v>14397</v>
      </c>
      <c r="C7" t="n">
        <v>30502</v>
      </c>
    </row>
    <row r="8">
      <c r="A8" s="78" t="n">
        <v>14427</v>
      </c>
      <c r="C8" t="n">
        <v>30419</v>
      </c>
    </row>
    <row r="9">
      <c r="A9" s="78" t="n">
        <v>14458</v>
      </c>
      <c r="C9" t="n">
        <v>30663</v>
      </c>
    </row>
    <row r="10">
      <c r="A10" s="78" t="n">
        <v>14489</v>
      </c>
      <c r="C10" t="n">
        <v>31031</v>
      </c>
    </row>
    <row r="11">
      <c r="A11" s="78" t="n">
        <v>14519</v>
      </c>
      <c r="C11" t="n">
        <v>31411</v>
      </c>
    </row>
    <row r="12">
      <c r="A12" s="78" t="n">
        <v>14550</v>
      </c>
      <c r="C12" t="n">
        <v>31470</v>
      </c>
    </row>
    <row r="13">
      <c r="A13" s="78" t="n">
        <v>14580</v>
      </c>
      <c r="C13" t="n">
        <v>31542</v>
      </c>
    </row>
    <row r="14">
      <c r="A14" s="78" t="n">
        <v>14611</v>
      </c>
      <c r="C14" t="n">
        <v>31603</v>
      </c>
    </row>
    <row r="15">
      <c r="A15" s="78" t="n">
        <v>14642</v>
      </c>
      <c r="C15" t="n">
        <v>31715</v>
      </c>
    </row>
    <row r="16">
      <c r="A16" s="78" t="n">
        <v>14671</v>
      </c>
      <c r="C16" t="n">
        <v>31825</v>
      </c>
    </row>
    <row r="17">
      <c r="A17" s="78" t="n">
        <v>14702</v>
      </c>
      <c r="C17" t="n">
        <v>31701</v>
      </c>
    </row>
    <row r="18">
      <c r="A18" s="78" t="n">
        <v>14732</v>
      </c>
      <c r="C18" t="n">
        <v>31879</v>
      </c>
    </row>
    <row r="19">
      <c r="A19" s="78" t="n">
        <v>14763</v>
      </c>
      <c r="C19" t="n">
        <v>31977</v>
      </c>
    </row>
    <row r="20">
      <c r="A20" s="78" t="n">
        <v>14793</v>
      </c>
      <c r="C20" t="n">
        <v>31942</v>
      </c>
    </row>
    <row r="21">
      <c r="A21" s="78" t="n">
        <v>14824</v>
      </c>
      <c r="C21" t="n">
        <v>32352</v>
      </c>
    </row>
    <row r="22">
      <c r="A22" s="78" t="n">
        <v>14855</v>
      </c>
      <c r="C22" t="n">
        <v>32810</v>
      </c>
    </row>
    <row r="23">
      <c r="A23" s="78" t="n">
        <v>14885</v>
      </c>
      <c r="C23" t="n">
        <v>33267</v>
      </c>
    </row>
    <row r="24">
      <c r="A24" s="78" t="n">
        <v>14916</v>
      </c>
      <c r="C24" t="n">
        <v>33669</v>
      </c>
    </row>
    <row r="25">
      <c r="A25" s="78" t="n">
        <v>14946</v>
      </c>
      <c r="C25" t="n">
        <v>34174</v>
      </c>
    </row>
    <row r="26">
      <c r="A26" s="78" t="n">
        <v>14977</v>
      </c>
      <c r="C26" t="n">
        <v>34481</v>
      </c>
    </row>
    <row r="27">
      <c r="A27" s="78" t="n">
        <v>15008</v>
      </c>
      <c r="C27" t="n">
        <v>34843</v>
      </c>
    </row>
    <row r="28">
      <c r="A28" s="78" t="n">
        <v>15036</v>
      </c>
      <c r="C28" t="n">
        <v>35092</v>
      </c>
    </row>
    <row r="29">
      <c r="A29" s="78" t="n">
        <v>15067</v>
      </c>
      <c r="C29" t="n">
        <v>35468</v>
      </c>
    </row>
    <row r="30">
      <c r="A30" s="78" t="n">
        <v>15097</v>
      </c>
      <c r="C30" t="n">
        <v>36182</v>
      </c>
    </row>
    <row r="31">
      <c r="A31" s="78" t="n">
        <v>15128</v>
      </c>
      <c r="C31" t="n">
        <v>36650</v>
      </c>
    </row>
    <row r="32">
      <c r="A32" s="78" t="n">
        <v>15158</v>
      </c>
      <c r="C32" t="n">
        <v>37137</v>
      </c>
    </row>
    <row r="33">
      <c r="A33" s="78" t="n">
        <v>15189</v>
      </c>
      <c r="C33" t="n">
        <v>37544</v>
      </c>
    </row>
    <row r="34">
      <c r="A34" s="78" t="n">
        <v>15220</v>
      </c>
      <c r="C34" t="n">
        <v>37835</v>
      </c>
    </row>
    <row r="35">
      <c r="A35" s="78" t="n">
        <v>15250</v>
      </c>
      <c r="C35" t="n">
        <v>37949</v>
      </c>
    </row>
    <row r="36">
      <c r="A36" s="78" t="n">
        <v>15281</v>
      </c>
      <c r="C36" t="n">
        <v>38024</v>
      </c>
    </row>
    <row r="37">
      <c r="A37" s="78" t="n">
        <v>15311</v>
      </c>
      <c r="C37" t="n">
        <v>38104</v>
      </c>
    </row>
    <row r="38">
      <c r="A38" s="78" t="n">
        <v>15342</v>
      </c>
      <c r="C38" t="n">
        <v>38347</v>
      </c>
    </row>
    <row r="39">
      <c r="A39" s="78" t="n">
        <v>15373</v>
      </c>
      <c r="C39" t="n">
        <v>38512</v>
      </c>
    </row>
    <row r="40">
      <c r="A40" s="78" t="n">
        <v>15401</v>
      </c>
      <c r="C40" t="n">
        <v>38935</v>
      </c>
    </row>
    <row r="41">
      <c r="A41" s="78" t="n">
        <v>15432</v>
      </c>
      <c r="C41" t="n">
        <v>39352</v>
      </c>
    </row>
    <row r="42">
      <c r="A42" s="78" t="n">
        <v>15462</v>
      </c>
      <c r="C42" t="n">
        <v>39771</v>
      </c>
    </row>
    <row r="43">
      <c r="A43" s="78" t="n">
        <v>15493</v>
      </c>
      <c r="C43" t="n">
        <v>40029</v>
      </c>
    </row>
    <row r="44">
      <c r="A44" s="78" t="n">
        <v>15523</v>
      </c>
      <c r="C44" t="n">
        <v>40472</v>
      </c>
    </row>
    <row r="45">
      <c r="A45" s="78" t="n">
        <v>15554</v>
      </c>
      <c r="C45" t="n">
        <v>40988</v>
      </c>
    </row>
    <row r="46">
      <c r="A46" s="78" t="n">
        <v>15585</v>
      </c>
      <c r="C46" t="n">
        <v>41259</v>
      </c>
    </row>
    <row r="47">
      <c r="A47" s="78" t="n">
        <v>15615</v>
      </c>
      <c r="C47" t="n">
        <v>41515</v>
      </c>
    </row>
    <row r="48">
      <c r="A48" s="78" t="n">
        <v>15646</v>
      </c>
      <c r="C48" t="n">
        <v>41674</v>
      </c>
    </row>
    <row r="49">
      <c r="A49" s="78" t="n">
        <v>15676</v>
      </c>
      <c r="C49" t="n">
        <v>41915</v>
      </c>
    </row>
    <row r="50">
      <c r="A50" s="78" t="n">
        <v>15707</v>
      </c>
      <c r="C50" t="n">
        <v>42172</v>
      </c>
    </row>
    <row r="51">
      <c r="A51" s="78" t="n">
        <v>15738</v>
      </c>
      <c r="C51" t="n">
        <v>42393</v>
      </c>
    </row>
    <row r="52">
      <c r="A52" s="78" t="n">
        <v>15766</v>
      </c>
      <c r="C52" t="n">
        <v>42552</v>
      </c>
    </row>
    <row r="53">
      <c r="A53" s="78" t="n">
        <v>15797</v>
      </c>
      <c r="C53" t="n">
        <v>42647</v>
      </c>
    </row>
    <row r="54">
      <c r="A54" s="78" t="n">
        <v>15827</v>
      </c>
      <c r="C54" t="n">
        <v>42596</v>
      </c>
    </row>
    <row r="55">
      <c r="A55" s="78" t="n">
        <v>15858</v>
      </c>
      <c r="C55" t="n">
        <v>42781</v>
      </c>
    </row>
    <row r="56">
      <c r="A56" s="78" t="n">
        <v>15888</v>
      </c>
      <c r="C56" t="n">
        <v>42700</v>
      </c>
    </row>
    <row r="57">
      <c r="A57" s="78" t="n">
        <v>15919</v>
      </c>
      <c r="C57" t="n">
        <v>42546</v>
      </c>
    </row>
    <row r="58">
      <c r="A58" s="78" t="n">
        <v>15950</v>
      </c>
      <c r="C58" t="n">
        <v>42492</v>
      </c>
    </row>
    <row r="59">
      <c r="A59" s="78" t="n">
        <v>15980</v>
      </c>
      <c r="C59" t="n">
        <v>42675</v>
      </c>
    </row>
    <row r="60">
      <c r="A60" s="78" t="n">
        <v>16011</v>
      </c>
      <c r="C60" t="n">
        <v>42821</v>
      </c>
    </row>
    <row r="61">
      <c r="A61" s="78" t="n">
        <v>16041</v>
      </c>
      <c r="C61" t="n">
        <v>42746</v>
      </c>
    </row>
    <row r="62">
      <c r="A62" s="78" t="n">
        <v>16072</v>
      </c>
      <c r="C62" t="n">
        <v>42654</v>
      </c>
    </row>
    <row r="63">
      <c r="A63" s="78" t="n">
        <v>16103</v>
      </c>
      <c r="C63" t="n">
        <v>42538</v>
      </c>
    </row>
    <row r="64">
      <c r="A64" s="78" t="n">
        <v>16132</v>
      </c>
      <c r="C64" t="n">
        <v>42294</v>
      </c>
    </row>
    <row r="65">
      <c r="A65" s="78" t="n">
        <v>16163</v>
      </c>
      <c r="C65" t="n">
        <v>42063</v>
      </c>
    </row>
    <row r="66">
      <c r="A66" s="78" t="n">
        <v>16193</v>
      </c>
      <c r="C66" t="n">
        <v>41985</v>
      </c>
    </row>
    <row r="67">
      <c r="A67" s="78" t="n">
        <v>16224</v>
      </c>
      <c r="C67" t="n">
        <v>41947</v>
      </c>
    </row>
    <row r="68">
      <c r="A68" s="78" t="n">
        <v>16254</v>
      </c>
      <c r="C68" t="n">
        <v>41904</v>
      </c>
    </row>
    <row r="69">
      <c r="A69" s="78" t="n">
        <v>16285</v>
      </c>
      <c r="C69" t="n">
        <v>41850</v>
      </c>
    </row>
    <row r="70">
      <c r="A70" s="78" t="n">
        <v>16316</v>
      </c>
      <c r="C70" t="n">
        <v>41679</v>
      </c>
    </row>
    <row r="71">
      <c r="A71" s="78" t="n">
        <v>16346</v>
      </c>
      <c r="C71" t="n">
        <v>41708</v>
      </c>
    </row>
    <row r="72">
      <c r="A72" s="78" t="n">
        <v>16377</v>
      </c>
      <c r="C72" t="n">
        <v>41711</v>
      </c>
    </row>
    <row r="73">
      <c r="A73" s="78" t="n">
        <v>16407</v>
      </c>
      <c r="C73" t="n">
        <v>41860</v>
      </c>
    </row>
    <row r="74">
      <c r="A74" s="78" t="n">
        <v>16438</v>
      </c>
      <c r="C74" t="n">
        <v>41895</v>
      </c>
    </row>
    <row r="75">
      <c r="A75" s="78" t="n">
        <v>16469</v>
      </c>
      <c r="C75" t="n">
        <v>41897</v>
      </c>
    </row>
    <row r="76">
      <c r="A76" s="78" t="n">
        <v>16497</v>
      </c>
      <c r="C76" t="n">
        <v>41798</v>
      </c>
    </row>
    <row r="77">
      <c r="A77" s="78" t="n">
        <v>16528</v>
      </c>
      <c r="C77" t="n">
        <v>41446</v>
      </c>
    </row>
    <row r="78">
      <c r="A78" s="78" t="n">
        <v>16558</v>
      </c>
      <c r="C78" t="n">
        <v>41304</v>
      </c>
    </row>
    <row r="79">
      <c r="A79" s="78" t="n">
        <v>16589</v>
      </c>
      <c r="C79" t="n">
        <v>41149</v>
      </c>
    </row>
    <row r="80">
      <c r="A80" s="78" t="n">
        <v>16619</v>
      </c>
      <c r="C80" t="n">
        <v>40874</v>
      </c>
    </row>
    <row r="81">
      <c r="A81" s="78" t="n">
        <v>16650</v>
      </c>
      <c r="C81" t="n">
        <v>40466</v>
      </c>
    </row>
    <row r="82">
      <c r="A82" s="78" t="n">
        <v>16681</v>
      </c>
      <c r="C82" t="n">
        <v>38507</v>
      </c>
    </row>
    <row r="83">
      <c r="A83" s="78" t="n">
        <v>16711</v>
      </c>
      <c r="C83" t="n">
        <v>38600</v>
      </c>
    </row>
    <row r="84">
      <c r="A84" s="78" t="n">
        <v>16742</v>
      </c>
      <c r="C84" t="n">
        <v>38996</v>
      </c>
    </row>
    <row r="85">
      <c r="A85" s="78" t="n">
        <v>16772</v>
      </c>
      <c r="C85" t="n">
        <v>39110</v>
      </c>
    </row>
    <row r="86">
      <c r="A86" s="78" t="n">
        <v>16803</v>
      </c>
      <c r="C86" t="n">
        <v>39829</v>
      </c>
    </row>
    <row r="87">
      <c r="A87" s="78" t="n">
        <v>16834</v>
      </c>
      <c r="C87" t="n">
        <v>39244</v>
      </c>
    </row>
    <row r="88">
      <c r="A88" s="78" t="n">
        <v>16862</v>
      </c>
      <c r="C88" t="n">
        <v>40195</v>
      </c>
    </row>
    <row r="89">
      <c r="A89" s="78" t="n">
        <v>16893</v>
      </c>
      <c r="C89" t="n">
        <v>40913</v>
      </c>
    </row>
    <row r="90">
      <c r="A90" s="78" t="n">
        <v>16923</v>
      </c>
      <c r="C90" t="n">
        <v>41349</v>
      </c>
    </row>
    <row r="91">
      <c r="A91" s="78" t="n">
        <v>16954</v>
      </c>
      <c r="C91" t="n">
        <v>41735</v>
      </c>
    </row>
    <row r="92">
      <c r="A92" s="78" t="n">
        <v>16984</v>
      </c>
      <c r="C92" t="n">
        <v>42153</v>
      </c>
    </row>
    <row r="93">
      <c r="A93" s="78" t="n">
        <v>17015</v>
      </c>
      <c r="C93" t="n">
        <v>42642</v>
      </c>
    </row>
    <row r="94">
      <c r="A94" s="78" t="n">
        <v>17046</v>
      </c>
      <c r="C94" t="n">
        <v>42915</v>
      </c>
    </row>
    <row r="95">
      <c r="A95" s="78" t="n">
        <v>17076</v>
      </c>
      <c r="C95" t="n">
        <v>43093</v>
      </c>
    </row>
    <row r="96">
      <c r="A96" s="78" t="n">
        <v>17107</v>
      </c>
      <c r="C96" t="n">
        <v>43395</v>
      </c>
    </row>
    <row r="97">
      <c r="A97" s="78" t="n">
        <v>17137</v>
      </c>
      <c r="C97" t="n">
        <v>43379</v>
      </c>
    </row>
    <row r="98">
      <c r="A98" s="78" t="n">
        <v>17168</v>
      </c>
      <c r="C98" t="n">
        <v>43535</v>
      </c>
    </row>
    <row r="99">
      <c r="A99" s="78" t="n">
        <v>17199</v>
      </c>
      <c r="C99" t="n">
        <v>43557</v>
      </c>
    </row>
    <row r="100">
      <c r="A100" s="78" t="n">
        <v>17227</v>
      </c>
      <c r="C100" t="n">
        <v>43607</v>
      </c>
    </row>
    <row r="101">
      <c r="A101" s="78" t="n">
        <v>17258</v>
      </c>
      <c r="C101" t="n">
        <v>43499</v>
      </c>
    </row>
    <row r="102">
      <c r="A102" s="78" t="n">
        <v>17288</v>
      </c>
      <c r="C102" t="n">
        <v>43638</v>
      </c>
    </row>
    <row r="103">
      <c r="A103" s="78" t="n">
        <v>17319</v>
      </c>
      <c r="C103" t="n">
        <v>43810</v>
      </c>
    </row>
    <row r="104">
      <c r="A104" s="78" t="n">
        <v>17349</v>
      </c>
      <c r="C104" t="n">
        <v>43743</v>
      </c>
    </row>
    <row r="105">
      <c r="A105" s="78" t="n">
        <v>17380</v>
      </c>
      <c r="C105" t="n">
        <v>43960</v>
      </c>
    </row>
    <row r="106">
      <c r="A106" s="78" t="n">
        <v>17411</v>
      </c>
      <c r="C106" t="n">
        <v>44203</v>
      </c>
    </row>
    <row r="107">
      <c r="A107" s="78" t="n">
        <v>17441</v>
      </c>
      <c r="C107" t="n">
        <v>44411</v>
      </c>
    </row>
    <row r="108">
      <c r="A108" s="78" t="n">
        <v>17472</v>
      </c>
      <c r="C108" t="n">
        <v>44484</v>
      </c>
    </row>
    <row r="109">
      <c r="A109" s="78" t="n">
        <v>17502</v>
      </c>
      <c r="C109" t="n">
        <v>44581</v>
      </c>
    </row>
    <row r="110">
      <c r="A110" s="78" t="n">
        <v>17533</v>
      </c>
      <c r="B110" t="n">
        <v>58.6</v>
      </c>
      <c r="C110" t="n">
        <v>44679</v>
      </c>
      <c r="D110" t="n">
        <v>3.4</v>
      </c>
    </row>
    <row r="111">
      <c r="A111" s="78" t="n">
        <v>17564</v>
      </c>
      <c r="B111" t="n">
        <v>58.9</v>
      </c>
      <c r="C111" t="n">
        <v>44533</v>
      </c>
      <c r="D111" t="n">
        <v>3.8</v>
      </c>
    </row>
    <row r="112">
      <c r="A112" s="78" t="n">
        <v>17593</v>
      </c>
      <c r="B112" t="n">
        <v>58.5</v>
      </c>
      <c r="C112" t="n">
        <v>44683</v>
      </c>
      <c r="D112" t="n">
        <v>4</v>
      </c>
    </row>
    <row r="113">
      <c r="A113" s="78" t="n">
        <v>17624</v>
      </c>
      <c r="B113" t="n">
        <v>59</v>
      </c>
      <c r="C113" t="n">
        <v>44379</v>
      </c>
      <c r="D113" t="n">
        <v>3.9</v>
      </c>
    </row>
    <row r="114">
      <c r="A114" s="78" t="n">
        <v>17654</v>
      </c>
      <c r="B114" t="n">
        <v>58.3</v>
      </c>
      <c r="C114" t="n">
        <v>44796</v>
      </c>
      <c r="D114" t="n">
        <v>3.5</v>
      </c>
    </row>
    <row r="115">
      <c r="A115" s="78" t="n">
        <v>17685</v>
      </c>
      <c r="B115" t="n">
        <v>59.2</v>
      </c>
      <c r="C115" t="n">
        <v>45034</v>
      </c>
      <c r="D115" t="n">
        <v>3.6</v>
      </c>
    </row>
    <row r="116">
      <c r="A116" s="78" t="n">
        <v>17715</v>
      </c>
      <c r="B116" t="n">
        <v>59.3</v>
      </c>
      <c r="C116" t="n">
        <v>45160</v>
      </c>
      <c r="D116" t="n">
        <v>3.6</v>
      </c>
    </row>
    <row r="117">
      <c r="A117" s="78" t="n">
        <v>17746</v>
      </c>
      <c r="B117" t="n">
        <v>58.9</v>
      </c>
      <c r="C117" t="n">
        <v>45178</v>
      </c>
      <c r="D117" t="n">
        <v>3.9</v>
      </c>
    </row>
    <row r="118">
      <c r="A118" s="78" t="n">
        <v>17777</v>
      </c>
      <c r="B118" t="n">
        <v>58.9</v>
      </c>
      <c r="C118" t="n">
        <v>45294</v>
      </c>
      <c r="D118" t="n">
        <v>3.8</v>
      </c>
    </row>
    <row r="119">
      <c r="A119" s="78" t="n">
        <v>17807</v>
      </c>
      <c r="B119" t="n">
        <v>58.7</v>
      </c>
      <c r="C119" t="n">
        <v>45245</v>
      </c>
      <c r="D119" t="n">
        <v>3.7</v>
      </c>
    </row>
    <row r="120">
      <c r="A120" s="78" t="n">
        <v>17838</v>
      </c>
      <c r="B120" t="n">
        <v>58.7</v>
      </c>
      <c r="C120" t="n">
        <v>45192</v>
      </c>
      <c r="D120" t="n">
        <v>3.8</v>
      </c>
    </row>
    <row r="121">
      <c r="A121" s="78" t="n">
        <v>17868</v>
      </c>
      <c r="B121" t="n">
        <v>59.1</v>
      </c>
      <c r="C121" t="n">
        <v>45032</v>
      </c>
      <c r="D121" t="n">
        <v>4</v>
      </c>
    </row>
    <row r="122">
      <c r="A122" s="78" t="n">
        <v>17899</v>
      </c>
      <c r="B122" t="n">
        <v>58.7</v>
      </c>
      <c r="C122" t="n">
        <v>44668</v>
      </c>
      <c r="D122" t="n">
        <v>4.3</v>
      </c>
    </row>
    <row r="123">
      <c r="A123" s="78" t="n">
        <v>17930</v>
      </c>
      <c r="B123" t="n">
        <v>59</v>
      </c>
      <c r="C123" t="n">
        <v>44497</v>
      </c>
      <c r="D123" t="n">
        <v>4.7</v>
      </c>
    </row>
    <row r="124">
      <c r="A124" s="78" t="n">
        <v>17958</v>
      </c>
      <c r="B124" t="n">
        <v>58.9</v>
      </c>
      <c r="C124" t="n">
        <v>44240</v>
      </c>
      <c r="D124" t="n">
        <v>5</v>
      </c>
    </row>
    <row r="125">
      <c r="A125" s="78" t="n">
        <v>17989</v>
      </c>
      <c r="B125" t="n">
        <v>58.8</v>
      </c>
      <c r="C125" t="n">
        <v>44236</v>
      </c>
      <c r="D125" t="n">
        <v>5.3</v>
      </c>
    </row>
    <row r="126">
      <c r="A126" s="78" t="n">
        <v>18019</v>
      </c>
      <c r="B126" t="n">
        <v>59</v>
      </c>
      <c r="C126" t="n">
        <v>43984</v>
      </c>
      <c r="D126" t="n">
        <v>6.1</v>
      </c>
    </row>
    <row r="127">
      <c r="A127" s="78" t="n">
        <v>18050</v>
      </c>
      <c r="B127" t="n">
        <v>58.6</v>
      </c>
      <c r="C127" t="n">
        <v>43739</v>
      </c>
      <c r="D127" t="n">
        <v>6.2</v>
      </c>
    </row>
    <row r="128">
      <c r="A128" s="78" t="n">
        <v>18080</v>
      </c>
      <c r="B128" t="n">
        <v>58.9</v>
      </c>
      <c r="C128" t="n">
        <v>43531</v>
      </c>
      <c r="D128" t="n">
        <v>6.7</v>
      </c>
    </row>
    <row r="129">
      <c r="A129" s="78" t="n">
        <v>18111</v>
      </c>
      <c r="B129" t="n">
        <v>59.2</v>
      </c>
      <c r="C129" t="n">
        <v>43624</v>
      </c>
      <c r="D129" t="n">
        <v>6.8</v>
      </c>
    </row>
    <row r="130">
      <c r="A130" s="78" t="n">
        <v>18142</v>
      </c>
      <c r="B130" t="n">
        <v>59.1</v>
      </c>
      <c r="C130" t="n">
        <v>43780</v>
      </c>
      <c r="D130" t="n">
        <v>6.6</v>
      </c>
    </row>
    <row r="131">
      <c r="A131" s="78" t="n">
        <v>18172</v>
      </c>
      <c r="B131" t="n">
        <v>59.6</v>
      </c>
      <c r="C131" t="n">
        <v>42942</v>
      </c>
      <c r="D131" t="n">
        <v>7.9</v>
      </c>
    </row>
    <row r="132">
      <c r="A132" s="78" t="n">
        <v>18203</v>
      </c>
      <c r="B132" t="n">
        <v>59.4</v>
      </c>
      <c r="C132" t="n">
        <v>43242</v>
      </c>
      <c r="D132" t="n">
        <v>6.4</v>
      </c>
    </row>
    <row r="133">
      <c r="A133" s="78" t="n">
        <v>18233</v>
      </c>
      <c r="B133" t="n">
        <v>59.2</v>
      </c>
      <c r="C133" t="n">
        <v>43522</v>
      </c>
      <c r="D133" t="n">
        <v>6.6</v>
      </c>
    </row>
    <row r="134">
      <c r="A134" s="78" t="n">
        <v>18264</v>
      </c>
      <c r="B134" t="n">
        <v>58.9</v>
      </c>
      <c r="C134" t="n">
        <v>43526</v>
      </c>
      <c r="D134" t="n">
        <v>6.5</v>
      </c>
    </row>
    <row r="135">
      <c r="A135" s="78" t="n">
        <v>18295</v>
      </c>
      <c r="B135" t="n">
        <v>58.9</v>
      </c>
      <c r="C135" t="n">
        <v>43297</v>
      </c>
      <c r="D135" t="n">
        <v>6.4</v>
      </c>
    </row>
    <row r="136">
      <c r="A136" s="78" t="n">
        <v>18323</v>
      </c>
      <c r="B136" t="n">
        <v>58.8</v>
      </c>
      <c r="C136" t="n">
        <v>43954</v>
      </c>
      <c r="D136" t="n">
        <v>6.3</v>
      </c>
    </row>
    <row r="137">
      <c r="A137" s="78" t="n">
        <v>18354</v>
      </c>
      <c r="B137" t="n">
        <v>59.2</v>
      </c>
      <c r="C137" t="n">
        <v>44382</v>
      </c>
      <c r="D137" t="n">
        <v>5.8</v>
      </c>
    </row>
    <row r="138">
      <c r="A138" s="78" t="n">
        <v>18384</v>
      </c>
      <c r="B138" t="n">
        <v>59.1</v>
      </c>
      <c r="C138" t="n">
        <v>44718</v>
      </c>
      <c r="D138" t="n">
        <v>5.5</v>
      </c>
    </row>
    <row r="139">
      <c r="A139" s="78" t="n">
        <v>18415</v>
      </c>
      <c r="B139" t="n">
        <v>59.4</v>
      </c>
      <c r="C139" t="n">
        <v>45083</v>
      </c>
      <c r="D139" t="n">
        <v>5.4</v>
      </c>
    </row>
    <row r="140">
      <c r="A140" s="78" t="n">
        <v>18445</v>
      </c>
      <c r="B140" t="n">
        <v>59.1</v>
      </c>
      <c r="C140" t="n">
        <v>45454</v>
      </c>
      <c r="D140" t="n">
        <v>5</v>
      </c>
    </row>
    <row r="141">
      <c r="A141" s="78" t="n">
        <v>18476</v>
      </c>
      <c r="B141" t="n">
        <v>59.5</v>
      </c>
      <c r="C141" t="n">
        <v>46192</v>
      </c>
      <c r="D141" t="n">
        <v>4.5</v>
      </c>
    </row>
    <row r="142">
      <c r="A142" s="78" t="n">
        <v>18507</v>
      </c>
      <c r="B142" t="n">
        <v>59.2</v>
      </c>
      <c r="C142" t="n">
        <v>46438</v>
      </c>
      <c r="D142" t="n">
        <v>4.4</v>
      </c>
    </row>
    <row r="143">
      <c r="A143" s="78" t="n">
        <v>18537</v>
      </c>
      <c r="B143" t="n">
        <v>59.4</v>
      </c>
      <c r="C143" t="n">
        <v>46706</v>
      </c>
      <c r="D143" t="n">
        <v>4.2</v>
      </c>
    </row>
    <row r="144">
      <c r="A144" s="78" t="n">
        <v>18568</v>
      </c>
      <c r="B144" t="n">
        <v>59.3</v>
      </c>
      <c r="C144" t="n">
        <v>46776</v>
      </c>
      <c r="D144" t="n">
        <v>4.2</v>
      </c>
    </row>
    <row r="145">
      <c r="A145" s="78" t="n">
        <v>18598</v>
      </c>
      <c r="B145" t="n">
        <v>59.2</v>
      </c>
      <c r="C145" t="n">
        <v>46861</v>
      </c>
      <c r="D145" t="n">
        <v>4.3</v>
      </c>
    </row>
    <row r="146">
      <c r="A146" s="78" t="n">
        <v>18629</v>
      </c>
      <c r="B146" t="n">
        <v>59.1</v>
      </c>
      <c r="C146" t="n">
        <v>47288</v>
      </c>
      <c r="D146" t="n">
        <v>3.7</v>
      </c>
    </row>
    <row r="147">
      <c r="A147" s="78" t="n">
        <v>18660</v>
      </c>
      <c r="B147" t="n">
        <v>59.1</v>
      </c>
      <c r="C147" t="n">
        <v>47577</v>
      </c>
      <c r="D147" t="n">
        <v>3.4</v>
      </c>
    </row>
    <row r="148">
      <c r="A148" s="78" t="n">
        <v>18688</v>
      </c>
      <c r="B148" t="n">
        <v>59.8</v>
      </c>
      <c r="C148" t="n">
        <v>47873</v>
      </c>
      <c r="D148" t="n">
        <v>3.4</v>
      </c>
    </row>
    <row r="149">
      <c r="A149" s="78" t="n">
        <v>18719</v>
      </c>
      <c r="B149" t="n">
        <v>59.1</v>
      </c>
      <c r="C149" t="n">
        <v>47861</v>
      </c>
      <c r="D149" t="n">
        <v>3.1</v>
      </c>
    </row>
    <row r="150">
      <c r="A150" s="78" t="n">
        <v>18749</v>
      </c>
      <c r="B150" t="n">
        <v>59.4</v>
      </c>
      <c r="C150" t="n">
        <v>47952</v>
      </c>
      <c r="D150" t="n">
        <v>3</v>
      </c>
    </row>
    <row r="151">
      <c r="A151" s="78" t="n">
        <v>18780</v>
      </c>
      <c r="B151" t="n">
        <v>59</v>
      </c>
      <c r="C151" t="n">
        <v>48064</v>
      </c>
      <c r="D151" t="n">
        <v>3.2</v>
      </c>
    </row>
    <row r="152">
      <c r="A152" s="78" t="n">
        <v>18810</v>
      </c>
      <c r="B152" t="n">
        <v>59.4</v>
      </c>
      <c r="C152" t="n">
        <v>48061</v>
      </c>
      <c r="D152" t="n">
        <v>3.1</v>
      </c>
    </row>
    <row r="153">
      <c r="A153" s="78" t="n">
        <v>18841</v>
      </c>
      <c r="B153" t="n">
        <v>59.2</v>
      </c>
      <c r="C153" t="n">
        <v>48012</v>
      </c>
      <c r="D153" t="n">
        <v>3.1</v>
      </c>
    </row>
    <row r="154">
      <c r="A154" s="78" t="n">
        <v>18872</v>
      </c>
      <c r="B154" t="n">
        <v>59.1</v>
      </c>
      <c r="C154" t="n">
        <v>47954</v>
      </c>
      <c r="D154" t="n">
        <v>3.3</v>
      </c>
    </row>
    <row r="155">
      <c r="A155" s="78" t="n">
        <v>18902</v>
      </c>
      <c r="B155" t="n">
        <v>59.4</v>
      </c>
      <c r="C155" t="n">
        <v>48006</v>
      </c>
      <c r="D155" t="n">
        <v>3.5</v>
      </c>
    </row>
    <row r="156">
      <c r="A156" s="78" t="n">
        <v>18933</v>
      </c>
      <c r="B156" t="n">
        <v>59.2</v>
      </c>
      <c r="C156" t="n">
        <v>48147</v>
      </c>
      <c r="D156" t="n">
        <v>3.5</v>
      </c>
    </row>
    <row r="157">
      <c r="A157" s="78" t="n">
        <v>18963</v>
      </c>
      <c r="B157" t="n">
        <v>59.6</v>
      </c>
      <c r="C157" t="n">
        <v>48314</v>
      </c>
      <c r="D157" t="n">
        <v>3.1</v>
      </c>
    </row>
    <row r="158">
      <c r="A158" s="78" t="n">
        <v>18994</v>
      </c>
      <c r="B158" t="n">
        <v>59.5</v>
      </c>
      <c r="C158" t="n">
        <v>48296</v>
      </c>
      <c r="D158" t="n">
        <v>3.2</v>
      </c>
    </row>
    <row r="159">
      <c r="A159" s="78" t="n">
        <v>19025</v>
      </c>
      <c r="B159" t="n">
        <v>59.5</v>
      </c>
      <c r="C159" t="n">
        <v>48522</v>
      </c>
      <c r="D159" t="n">
        <v>3.1</v>
      </c>
    </row>
    <row r="160">
      <c r="A160" s="78" t="n">
        <v>19054</v>
      </c>
      <c r="B160" t="n">
        <v>58.9</v>
      </c>
      <c r="C160" t="n">
        <v>48504</v>
      </c>
      <c r="D160" t="n">
        <v>2.9</v>
      </c>
    </row>
    <row r="161">
      <c r="A161" s="78" t="n">
        <v>19085</v>
      </c>
      <c r="B161" t="n">
        <v>58.8</v>
      </c>
      <c r="C161" t="n">
        <v>48620</v>
      </c>
      <c r="D161" t="n">
        <v>2.9</v>
      </c>
    </row>
    <row r="162">
      <c r="A162" s="78" t="n">
        <v>19115</v>
      </c>
      <c r="B162" t="n">
        <v>59.1</v>
      </c>
      <c r="C162" t="n">
        <v>48642</v>
      </c>
      <c r="D162" t="n">
        <v>3</v>
      </c>
    </row>
    <row r="163">
      <c r="A163" s="78" t="n">
        <v>19146</v>
      </c>
      <c r="B163" t="n">
        <v>59.1</v>
      </c>
      <c r="C163" t="n">
        <v>48282</v>
      </c>
      <c r="D163" t="n">
        <v>3</v>
      </c>
    </row>
    <row r="164">
      <c r="A164" s="78" t="n">
        <v>19176</v>
      </c>
      <c r="B164" t="n">
        <v>58.9</v>
      </c>
      <c r="C164" t="n">
        <v>48143</v>
      </c>
      <c r="D164" t="n">
        <v>3.2</v>
      </c>
    </row>
    <row r="165">
      <c r="A165" s="78" t="n">
        <v>19207</v>
      </c>
      <c r="B165" t="n">
        <v>58.7</v>
      </c>
      <c r="C165" t="n">
        <v>48924</v>
      </c>
      <c r="D165" t="n">
        <v>3.4</v>
      </c>
    </row>
    <row r="166">
      <c r="A166" s="78" t="n">
        <v>19238</v>
      </c>
      <c r="B166" t="n">
        <v>59.2</v>
      </c>
      <c r="C166" t="n">
        <v>49320</v>
      </c>
      <c r="D166" t="n">
        <v>3.1</v>
      </c>
    </row>
    <row r="167">
      <c r="A167" s="78" t="n">
        <v>19268</v>
      </c>
      <c r="B167" t="n">
        <v>58.7</v>
      </c>
      <c r="C167" t="n">
        <v>49597</v>
      </c>
      <c r="D167" t="n">
        <v>3</v>
      </c>
    </row>
    <row r="168">
      <c r="A168" s="78" t="n">
        <v>19299</v>
      </c>
      <c r="B168" t="n">
        <v>59.1</v>
      </c>
      <c r="C168" t="n">
        <v>49816</v>
      </c>
      <c r="D168" t="n">
        <v>2.8</v>
      </c>
    </row>
    <row r="169">
      <c r="A169" s="78" t="n">
        <v>19329</v>
      </c>
      <c r="B169" t="n">
        <v>59.2</v>
      </c>
      <c r="C169" t="n">
        <v>50166</v>
      </c>
      <c r="D169" t="n">
        <v>2.7</v>
      </c>
    </row>
    <row r="170">
      <c r="A170" s="78" t="n">
        <v>19360</v>
      </c>
      <c r="B170" t="n">
        <v>59.5</v>
      </c>
      <c r="C170" t="n">
        <v>50144</v>
      </c>
      <c r="D170" t="n">
        <v>2.9</v>
      </c>
    </row>
    <row r="171">
      <c r="A171" s="78" t="n">
        <v>19391</v>
      </c>
      <c r="B171" t="n">
        <v>59.5</v>
      </c>
      <c r="C171" t="n">
        <v>50339</v>
      </c>
      <c r="D171" t="n">
        <v>2.6</v>
      </c>
    </row>
    <row r="172">
      <c r="A172" s="78" t="n">
        <v>19419</v>
      </c>
      <c r="B172" t="n">
        <v>59.6</v>
      </c>
      <c r="C172" t="n">
        <v>50473</v>
      </c>
      <c r="D172" t="n">
        <v>2.6</v>
      </c>
    </row>
    <row r="173">
      <c r="A173" s="78" t="n">
        <v>19450</v>
      </c>
      <c r="B173" t="n">
        <v>59.1</v>
      </c>
      <c r="C173" t="n">
        <v>50435</v>
      </c>
      <c r="D173" t="n">
        <v>2.7</v>
      </c>
    </row>
    <row r="174">
      <c r="A174" s="78" t="n">
        <v>19480</v>
      </c>
      <c r="B174" t="n">
        <v>58.6</v>
      </c>
      <c r="C174" t="n">
        <v>50490</v>
      </c>
      <c r="D174" t="n">
        <v>2.5</v>
      </c>
    </row>
    <row r="175">
      <c r="A175" s="78" t="n">
        <v>19511</v>
      </c>
      <c r="B175" t="n">
        <v>58.9</v>
      </c>
      <c r="C175" t="n">
        <v>50519</v>
      </c>
      <c r="D175" t="n">
        <v>2.5</v>
      </c>
    </row>
    <row r="176">
      <c r="A176" s="78" t="n">
        <v>19541</v>
      </c>
      <c r="B176" t="n">
        <v>58.9</v>
      </c>
      <c r="C176" t="n">
        <v>50536</v>
      </c>
      <c r="D176" t="n">
        <v>2.6</v>
      </c>
    </row>
    <row r="177">
      <c r="A177" s="78" t="n">
        <v>19572</v>
      </c>
      <c r="B177" t="n">
        <v>58.6</v>
      </c>
      <c r="C177" t="n">
        <v>50489</v>
      </c>
      <c r="D177" t="n">
        <v>2.7</v>
      </c>
    </row>
    <row r="178">
      <c r="A178" s="78" t="n">
        <v>19603</v>
      </c>
      <c r="B178" t="n">
        <v>58.5</v>
      </c>
      <c r="C178" t="n">
        <v>50368</v>
      </c>
      <c r="D178" t="n">
        <v>2.9</v>
      </c>
    </row>
    <row r="179">
      <c r="A179" s="78" t="n">
        <v>19633</v>
      </c>
      <c r="B179" t="n">
        <v>58.5</v>
      </c>
      <c r="C179" t="n">
        <v>50240</v>
      </c>
      <c r="D179" t="n">
        <v>3.1</v>
      </c>
    </row>
    <row r="180">
      <c r="A180" s="78" t="n">
        <v>19664</v>
      </c>
      <c r="B180" t="n">
        <v>58.6</v>
      </c>
      <c r="C180" t="n">
        <v>49908</v>
      </c>
      <c r="D180" t="n">
        <v>3.5</v>
      </c>
    </row>
    <row r="181">
      <c r="A181" s="78" t="n">
        <v>19694</v>
      </c>
      <c r="B181" t="n">
        <v>58.3</v>
      </c>
      <c r="C181" t="n">
        <v>49703</v>
      </c>
      <c r="D181" t="n">
        <v>4.5</v>
      </c>
    </row>
    <row r="182">
      <c r="A182" s="78" t="n">
        <v>19725</v>
      </c>
      <c r="B182" t="n">
        <v>58.6</v>
      </c>
      <c r="C182" t="n">
        <v>49469</v>
      </c>
      <c r="D182" t="n">
        <v>4.9</v>
      </c>
    </row>
    <row r="183">
      <c r="A183" s="78" t="n">
        <v>19756</v>
      </c>
      <c r="B183" t="n">
        <v>59.3</v>
      </c>
      <c r="C183" t="n">
        <v>49382</v>
      </c>
      <c r="D183" t="n">
        <v>5.2</v>
      </c>
    </row>
    <row r="184">
      <c r="A184" s="78" t="n">
        <v>19784</v>
      </c>
      <c r="B184" t="n">
        <v>59.1</v>
      </c>
      <c r="C184" t="n">
        <v>49157</v>
      </c>
      <c r="D184" t="n">
        <v>5.7</v>
      </c>
    </row>
    <row r="185">
      <c r="A185" s="78" t="n">
        <v>19815</v>
      </c>
      <c r="B185" t="n">
        <v>59.2</v>
      </c>
      <c r="C185" t="n">
        <v>49179</v>
      </c>
      <c r="D185" t="n">
        <v>5.9</v>
      </c>
    </row>
    <row r="186">
      <c r="A186" s="78" t="n">
        <v>19845</v>
      </c>
      <c r="B186" t="n">
        <v>58.9</v>
      </c>
      <c r="C186" t="n">
        <v>48965</v>
      </c>
      <c r="D186" t="n">
        <v>5.9</v>
      </c>
    </row>
    <row r="187">
      <c r="A187" s="78" t="n">
        <v>19876</v>
      </c>
      <c r="B187" t="n">
        <v>58.5</v>
      </c>
      <c r="C187" t="n">
        <v>48895</v>
      </c>
      <c r="D187" t="n">
        <v>5.6</v>
      </c>
    </row>
    <row r="188">
      <c r="A188" s="78" t="n">
        <v>19906</v>
      </c>
      <c r="B188" t="n">
        <v>58.4</v>
      </c>
      <c r="C188" t="n">
        <v>48835</v>
      </c>
      <c r="D188" t="n">
        <v>5.8</v>
      </c>
    </row>
    <row r="189">
      <c r="A189" s="78" t="n">
        <v>19937</v>
      </c>
      <c r="B189" t="n">
        <v>58.7</v>
      </c>
      <c r="C189" t="n">
        <v>48826</v>
      </c>
      <c r="D189" t="n">
        <v>6</v>
      </c>
    </row>
    <row r="190">
      <c r="A190" s="78" t="n">
        <v>19968</v>
      </c>
      <c r="B190" t="n">
        <v>59.2</v>
      </c>
      <c r="C190" t="n">
        <v>48886</v>
      </c>
      <c r="D190" t="n">
        <v>6.1</v>
      </c>
    </row>
    <row r="191">
      <c r="A191" s="78" t="n">
        <v>19998</v>
      </c>
      <c r="B191" t="n">
        <v>58.8</v>
      </c>
      <c r="C191" t="n">
        <v>48942</v>
      </c>
      <c r="D191" t="n">
        <v>5.7</v>
      </c>
    </row>
    <row r="192">
      <c r="A192" s="78" t="n">
        <v>20029</v>
      </c>
      <c r="B192" t="n">
        <v>58.6</v>
      </c>
      <c r="C192" t="n">
        <v>49180</v>
      </c>
      <c r="D192" t="n">
        <v>5.3</v>
      </c>
    </row>
    <row r="193">
      <c r="A193" s="78" t="n">
        <v>20059</v>
      </c>
      <c r="B193" t="n">
        <v>58.1</v>
      </c>
      <c r="C193" t="n">
        <v>49331</v>
      </c>
      <c r="D193" t="n">
        <v>5</v>
      </c>
    </row>
    <row r="194">
      <c r="A194" s="78" t="n">
        <v>20090</v>
      </c>
      <c r="B194" t="n">
        <v>58.6</v>
      </c>
      <c r="C194" t="n">
        <v>49496</v>
      </c>
      <c r="D194" t="n">
        <v>4.9</v>
      </c>
    </row>
    <row r="195">
      <c r="A195" s="78" t="n">
        <v>20121</v>
      </c>
      <c r="B195" t="n">
        <v>58.4</v>
      </c>
      <c r="C195" t="n">
        <v>49644</v>
      </c>
      <c r="D195" t="n">
        <v>4.7</v>
      </c>
    </row>
    <row r="196">
      <c r="A196" s="78" t="n">
        <v>20149</v>
      </c>
      <c r="B196" t="n">
        <v>58.5</v>
      </c>
      <c r="C196" t="n">
        <v>49962</v>
      </c>
      <c r="D196" t="n">
        <v>4.6</v>
      </c>
    </row>
    <row r="197">
      <c r="A197" s="78" t="n">
        <v>20180</v>
      </c>
      <c r="B197" t="n">
        <v>59</v>
      </c>
      <c r="C197" t="n">
        <v>50248</v>
      </c>
      <c r="D197" t="n">
        <v>4.7</v>
      </c>
    </row>
    <row r="198">
      <c r="A198" s="78" t="n">
        <v>20210</v>
      </c>
      <c r="B198" t="n">
        <v>58.8</v>
      </c>
      <c r="C198" t="n">
        <v>50512</v>
      </c>
      <c r="D198" t="n">
        <v>4.3</v>
      </c>
    </row>
    <row r="199">
      <c r="A199" s="78" t="n">
        <v>20241</v>
      </c>
      <c r="B199" t="n">
        <v>58.8</v>
      </c>
      <c r="C199" t="n">
        <v>50790</v>
      </c>
      <c r="D199" t="n">
        <v>4.2</v>
      </c>
    </row>
    <row r="200">
      <c r="A200" s="78" t="n">
        <v>20271</v>
      </c>
      <c r="B200" t="n">
        <v>59.3</v>
      </c>
      <c r="C200" t="n">
        <v>50987</v>
      </c>
      <c r="D200" t="n">
        <v>4</v>
      </c>
    </row>
    <row r="201">
      <c r="A201" s="78" t="n">
        <v>20302</v>
      </c>
      <c r="B201" t="n">
        <v>59.7</v>
      </c>
      <c r="C201" t="n">
        <v>51111</v>
      </c>
      <c r="D201" t="n">
        <v>4.2</v>
      </c>
    </row>
    <row r="202">
      <c r="A202" s="78" t="n">
        <v>20333</v>
      </c>
      <c r="B202" t="n">
        <v>59.7</v>
      </c>
      <c r="C202" t="n">
        <v>51266</v>
      </c>
      <c r="D202" t="n">
        <v>4.1</v>
      </c>
    </row>
    <row r="203">
      <c r="A203" s="78" t="n">
        <v>20363</v>
      </c>
      <c r="B203" t="n">
        <v>59.8</v>
      </c>
      <c r="C203" t="n">
        <v>51429</v>
      </c>
      <c r="D203" t="n">
        <v>4.3</v>
      </c>
    </row>
    <row r="204">
      <c r="A204" s="78" t="n">
        <v>20394</v>
      </c>
      <c r="B204" t="n">
        <v>59.9</v>
      </c>
      <c r="C204" t="n">
        <v>51592</v>
      </c>
      <c r="D204" t="n">
        <v>4.2</v>
      </c>
    </row>
    <row r="205">
      <c r="A205" s="78" t="n">
        <v>20424</v>
      </c>
      <c r="B205" t="n">
        <v>60.2</v>
      </c>
      <c r="C205" t="n">
        <v>51805</v>
      </c>
      <c r="D205" t="n">
        <v>4.2</v>
      </c>
    </row>
    <row r="206">
      <c r="A206" s="78" t="n">
        <v>20455</v>
      </c>
      <c r="B206" t="n">
        <v>60.2</v>
      </c>
      <c r="C206" t="n">
        <v>51975</v>
      </c>
      <c r="D206" t="n">
        <v>4</v>
      </c>
    </row>
    <row r="207">
      <c r="A207" s="78" t="n">
        <v>20486</v>
      </c>
      <c r="B207" t="n">
        <v>59.9</v>
      </c>
      <c r="C207" t="n">
        <v>52167</v>
      </c>
      <c r="D207" t="n">
        <v>3.9</v>
      </c>
    </row>
    <row r="208">
      <c r="A208" s="78" t="n">
        <v>20515</v>
      </c>
      <c r="B208" t="n">
        <v>59.8</v>
      </c>
      <c r="C208" t="n">
        <v>52294</v>
      </c>
      <c r="D208" t="n">
        <v>4.2</v>
      </c>
    </row>
    <row r="209">
      <c r="A209" s="78" t="n">
        <v>20546</v>
      </c>
      <c r="B209" t="n">
        <v>59.9</v>
      </c>
      <c r="C209" t="n">
        <v>52375</v>
      </c>
      <c r="D209" t="n">
        <v>4</v>
      </c>
    </row>
    <row r="210">
      <c r="A210" s="78" t="n">
        <v>20576</v>
      </c>
      <c r="B210" t="n">
        <v>60.2</v>
      </c>
      <c r="C210" t="n">
        <v>52506</v>
      </c>
      <c r="D210" t="n">
        <v>4.3</v>
      </c>
    </row>
    <row r="211">
      <c r="A211" s="78" t="n">
        <v>20607</v>
      </c>
      <c r="B211" t="n">
        <v>60.1</v>
      </c>
      <c r="C211" t="n">
        <v>52586</v>
      </c>
      <c r="D211" t="n">
        <v>4.3</v>
      </c>
    </row>
    <row r="212">
      <c r="A212" s="78" t="n">
        <v>20637</v>
      </c>
      <c r="B212" t="n">
        <v>60.1</v>
      </c>
      <c r="C212" t="n">
        <v>51955</v>
      </c>
      <c r="D212" t="n">
        <v>4.4</v>
      </c>
    </row>
    <row r="213">
      <c r="A213" s="78" t="n">
        <v>20668</v>
      </c>
      <c r="B213" t="n">
        <v>60</v>
      </c>
      <c r="C213" t="n">
        <v>52631</v>
      </c>
      <c r="D213" t="n">
        <v>4.1</v>
      </c>
    </row>
    <row r="214">
      <c r="A214" s="78" t="n">
        <v>20699</v>
      </c>
      <c r="B214" t="n">
        <v>60</v>
      </c>
      <c r="C214" t="n">
        <v>52604</v>
      </c>
      <c r="D214" t="n">
        <v>3.9</v>
      </c>
    </row>
    <row r="215">
      <c r="A215" s="78" t="n">
        <v>20729</v>
      </c>
      <c r="B215" t="n">
        <v>59.8</v>
      </c>
      <c r="C215" t="n">
        <v>52777</v>
      </c>
      <c r="D215" t="n">
        <v>3.9</v>
      </c>
    </row>
    <row r="216">
      <c r="A216" s="78" t="n">
        <v>20760</v>
      </c>
      <c r="B216" t="n">
        <v>59.8</v>
      </c>
      <c r="C216" t="n">
        <v>52821</v>
      </c>
      <c r="D216" t="n">
        <v>4.3</v>
      </c>
    </row>
    <row r="217">
      <c r="A217" s="78" t="n">
        <v>20790</v>
      </c>
      <c r="B217" t="n">
        <v>59.8</v>
      </c>
      <c r="C217" t="n">
        <v>52929</v>
      </c>
      <c r="D217" t="n">
        <v>4.2</v>
      </c>
    </row>
    <row r="218">
      <c r="A218" s="78" t="n">
        <v>20821</v>
      </c>
      <c r="B218" t="n">
        <v>59.5</v>
      </c>
      <c r="C218" t="n">
        <v>52887</v>
      </c>
      <c r="D218" t="n">
        <v>4.2</v>
      </c>
    </row>
    <row r="219">
      <c r="A219" s="78" t="n">
        <v>20852</v>
      </c>
      <c r="B219" t="n">
        <v>59.9</v>
      </c>
      <c r="C219" t="n">
        <v>53097</v>
      </c>
      <c r="D219" t="n">
        <v>3.9</v>
      </c>
    </row>
    <row r="220">
      <c r="A220" s="78" t="n">
        <v>20880</v>
      </c>
      <c r="B220" t="n">
        <v>59.8</v>
      </c>
      <c r="C220" t="n">
        <v>53156</v>
      </c>
      <c r="D220" t="n">
        <v>3.7</v>
      </c>
    </row>
    <row r="221">
      <c r="A221" s="78" t="n">
        <v>20911</v>
      </c>
      <c r="B221" t="n">
        <v>59.5</v>
      </c>
      <c r="C221" t="n">
        <v>53238</v>
      </c>
      <c r="D221" t="n">
        <v>3.9</v>
      </c>
    </row>
    <row r="222">
      <c r="A222" s="78" t="n">
        <v>20941</v>
      </c>
      <c r="B222" t="n">
        <v>59.5</v>
      </c>
      <c r="C222" t="n">
        <v>53150</v>
      </c>
      <c r="D222" t="n">
        <v>4.1</v>
      </c>
    </row>
    <row r="223">
      <c r="A223" s="78" t="n">
        <v>20972</v>
      </c>
      <c r="B223" t="n">
        <v>59.8</v>
      </c>
      <c r="C223" t="n">
        <v>53067</v>
      </c>
      <c r="D223" t="n">
        <v>4.3</v>
      </c>
    </row>
    <row r="224">
      <c r="A224" s="78" t="n">
        <v>21002</v>
      </c>
      <c r="B224" t="n">
        <v>60</v>
      </c>
      <c r="C224" t="n">
        <v>53123</v>
      </c>
      <c r="D224" t="n">
        <v>4.2</v>
      </c>
    </row>
    <row r="225">
      <c r="A225" s="78" t="n">
        <v>21033</v>
      </c>
      <c r="B225" t="n">
        <v>59.3</v>
      </c>
      <c r="C225" t="n">
        <v>53128</v>
      </c>
      <c r="D225" t="n">
        <v>4.1</v>
      </c>
    </row>
    <row r="226">
      <c r="A226" s="78" t="n">
        <v>21064</v>
      </c>
      <c r="B226" t="n">
        <v>59.6</v>
      </c>
      <c r="C226" t="n">
        <v>52934</v>
      </c>
      <c r="D226" t="n">
        <v>4.4</v>
      </c>
    </row>
    <row r="227">
      <c r="A227" s="78" t="n">
        <v>21094</v>
      </c>
      <c r="B227" t="n">
        <v>59.5</v>
      </c>
      <c r="C227" t="n">
        <v>52763</v>
      </c>
      <c r="D227" t="n">
        <v>4.5</v>
      </c>
    </row>
    <row r="228">
      <c r="A228" s="78" t="n">
        <v>21125</v>
      </c>
      <c r="B228" t="n">
        <v>59.5</v>
      </c>
      <c r="C228" t="n">
        <v>52558</v>
      </c>
      <c r="D228" t="n">
        <v>5.1</v>
      </c>
    </row>
    <row r="229">
      <c r="A229" s="78" t="n">
        <v>21155</v>
      </c>
      <c r="B229" t="n">
        <v>59.6</v>
      </c>
      <c r="C229" t="n">
        <v>52384</v>
      </c>
      <c r="D229" t="n">
        <v>5.2</v>
      </c>
    </row>
    <row r="230">
      <c r="A230" s="78" t="n">
        <v>21186</v>
      </c>
      <c r="B230" t="n">
        <v>59.3</v>
      </c>
      <c r="C230" t="n">
        <v>52076</v>
      </c>
      <c r="D230" t="n">
        <v>5.8</v>
      </c>
    </row>
    <row r="231">
      <c r="A231" s="78" t="n">
        <v>21217</v>
      </c>
      <c r="B231" t="n">
        <v>59.3</v>
      </c>
      <c r="C231" t="n">
        <v>51576</v>
      </c>
      <c r="D231" t="n">
        <v>6.4</v>
      </c>
    </row>
    <row r="232">
      <c r="A232" s="78" t="n">
        <v>21245</v>
      </c>
      <c r="B232" t="n">
        <v>59.3</v>
      </c>
      <c r="C232" t="n">
        <v>51299</v>
      </c>
      <c r="D232" t="n">
        <v>6.7</v>
      </c>
    </row>
    <row r="233">
      <c r="A233" s="78" t="n">
        <v>21276</v>
      </c>
      <c r="B233" t="n">
        <v>59.6</v>
      </c>
      <c r="C233" t="n">
        <v>51027</v>
      </c>
      <c r="D233" t="n">
        <v>7.4</v>
      </c>
    </row>
    <row r="234">
      <c r="A234" s="78" t="n">
        <v>21306</v>
      </c>
      <c r="B234" t="n">
        <v>59.8</v>
      </c>
      <c r="C234" t="n">
        <v>50914</v>
      </c>
      <c r="D234" t="n">
        <v>7.4</v>
      </c>
    </row>
    <row r="235">
      <c r="A235" s="78" t="n">
        <v>21337</v>
      </c>
      <c r="B235" t="n">
        <v>59.5</v>
      </c>
      <c r="C235" t="n">
        <v>50914</v>
      </c>
      <c r="D235" t="n">
        <v>7.3</v>
      </c>
    </row>
    <row r="236">
      <c r="A236" s="78" t="n">
        <v>21367</v>
      </c>
      <c r="B236" t="n">
        <v>59.6</v>
      </c>
      <c r="C236" t="n">
        <v>51039</v>
      </c>
      <c r="D236" t="n">
        <v>7.5</v>
      </c>
    </row>
    <row r="237">
      <c r="A237" s="78" t="n">
        <v>21398</v>
      </c>
      <c r="B237" t="n">
        <v>59.8</v>
      </c>
      <c r="C237" t="n">
        <v>51233</v>
      </c>
      <c r="D237" t="n">
        <v>7.4</v>
      </c>
    </row>
    <row r="238">
      <c r="A238" s="78" t="n">
        <v>21429</v>
      </c>
      <c r="B238" t="n">
        <v>59.7</v>
      </c>
      <c r="C238" t="n">
        <v>51506</v>
      </c>
      <c r="D238" t="n">
        <v>7.1</v>
      </c>
    </row>
    <row r="239">
      <c r="A239" s="78" t="n">
        <v>21459</v>
      </c>
      <c r="B239" t="n">
        <v>59.6</v>
      </c>
      <c r="C239" t="n">
        <v>51485</v>
      </c>
      <c r="D239" t="n">
        <v>6.7</v>
      </c>
    </row>
    <row r="240">
      <c r="A240" s="78" t="n">
        <v>21490</v>
      </c>
      <c r="B240" t="n">
        <v>59.2</v>
      </c>
      <c r="C240" t="n">
        <v>51944</v>
      </c>
      <c r="D240" t="n">
        <v>6.2</v>
      </c>
    </row>
    <row r="241">
      <c r="A241" s="78" t="n">
        <v>21520</v>
      </c>
      <c r="B241" t="n">
        <v>59.2</v>
      </c>
      <c r="C241" t="n">
        <v>52085</v>
      </c>
      <c r="D241" t="n">
        <v>6.2</v>
      </c>
    </row>
    <row r="242">
      <c r="A242" s="78" t="n">
        <v>21551</v>
      </c>
      <c r="B242" t="n">
        <v>59.3</v>
      </c>
      <c r="C242" t="n">
        <v>52478</v>
      </c>
      <c r="D242" t="n">
        <v>6</v>
      </c>
    </row>
    <row r="243">
      <c r="A243" s="78" t="n">
        <v>21582</v>
      </c>
      <c r="B243" t="n">
        <v>59</v>
      </c>
      <c r="C243" t="n">
        <v>52688</v>
      </c>
      <c r="D243" t="n">
        <v>5.9</v>
      </c>
    </row>
    <row r="244">
      <c r="A244" s="78" t="n">
        <v>21610</v>
      </c>
      <c r="B244" t="n">
        <v>59.3</v>
      </c>
      <c r="C244" t="n">
        <v>53014</v>
      </c>
      <c r="D244" t="n">
        <v>5.6</v>
      </c>
    </row>
    <row r="245">
      <c r="A245" s="78" t="n">
        <v>21641</v>
      </c>
      <c r="B245" t="n">
        <v>59.4</v>
      </c>
      <c r="C245" t="n">
        <v>53321</v>
      </c>
      <c r="D245" t="n">
        <v>5.2</v>
      </c>
    </row>
    <row r="246">
      <c r="A246" s="78" t="n">
        <v>21671</v>
      </c>
      <c r="B246" t="n">
        <v>59.2</v>
      </c>
      <c r="C246" t="n">
        <v>53550</v>
      </c>
      <c r="D246" t="n">
        <v>5.1</v>
      </c>
    </row>
    <row r="247">
      <c r="A247" s="78" t="n">
        <v>21702</v>
      </c>
      <c r="B247" t="n">
        <v>59.2</v>
      </c>
      <c r="C247" t="n">
        <v>53681</v>
      </c>
      <c r="D247" t="n">
        <v>5</v>
      </c>
    </row>
    <row r="248">
      <c r="A248" s="78" t="n">
        <v>21732</v>
      </c>
      <c r="B248" t="n">
        <v>59.4</v>
      </c>
      <c r="C248" t="n">
        <v>53804</v>
      </c>
      <c r="D248" t="n">
        <v>5.1</v>
      </c>
    </row>
    <row r="249">
      <c r="A249" s="78" t="n">
        <v>21763</v>
      </c>
      <c r="B249" t="n">
        <v>59.2</v>
      </c>
      <c r="C249" t="n">
        <v>53336</v>
      </c>
      <c r="D249" t="n">
        <v>5.2</v>
      </c>
    </row>
    <row r="250">
      <c r="A250" s="78" t="n">
        <v>21794</v>
      </c>
      <c r="B250" t="n">
        <v>59.3</v>
      </c>
      <c r="C250" t="n">
        <v>53428</v>
      </c>
      <c r="D250" t="n">
        <v>5.5</v>
      </c>
    </row>
    <row r="251">
      <c r="A251" s="78" t="n">
        <v>21824</v>
      </c>
      <c r="B251" t="n">
        <v>59.4</v>
      </c>
      <c r="C251" t="n">
        <v>53358</v>
      </c>
      <c r="D251" t="n">
        <v>5.7</v>
      </c>
    </row>
    <row r="252">
      <c r="A252" s="78" t="n">
        <v>21855</v>
      </c>
      <c r="B252" t="n">
        <v>59.1</v>
      </c>
      <c r="C252" t="n">
        <v>53634</v>
      </c>
      <c r="D252" t="n">
        <v>5.8</v>
      </c>
    </row>
    <row r="253">
      <c r="A253" s="78" t="n">
        <v>21885</v>
      </c>
      <c r="B253" t="n">
        <v>59.5</v>
      </c>
      <c r="C253" t="n">
        <v>54174</v>
      </c>
      <c r="D253" t="n">
        <v>5.3</v>
      </c>
    </row>
    <row r="254">
      <c r="A254" s="78" t="n">
        <v>21916</v>
      </c>
      <c r="B254" t="n">
        <v>59.1</v>
      </c>
      <c r="C254" t="n">
        <v>54274</v>
      </c>
      <c r="D254" t="n">
        <v>5.2</v>
      </c>
    </row>
    <row r="255">
      <c r="A255" s="78" t="n">
        <v>21947</v>
      </c>
      <c r="B255" t="n">
        <v>59.1</v>
      </c>
      <c r="C255" t="n">
        <v>54513</v>
      </c>
      <c r="D255" t="n">
        <v>4.8</v>
      </c>
    </row>
    <row r="256">
      <c r="A256" s="78" t="n">
        <v>21976</v>
      </c>
      <c r="B256" t="n">
        <v>58.5</v>
      </c>
      <c r="C256" t="n">
        <v>54454</v>
      </c>
      <c r="D256" t="n">
        <v>5.4</v>
      </c>
    </row>
    <row r="257">
      <c r="A257" s="78" t="n">
        <v>22007</v>
      </c>
      <c r="B257" t="n">
        <v>59.5</v>
      </c>
      <c r="C257" t="n">
        <v>54813</v>
      </c>
      <c r="D257" t="n">
        <v>5.2</v>
      </c>
    </row>
    <row r="258">
      <c r="A258" s="78" t="n">
        <v>22037</v>
      </c>
      <c r="B258" t="n">
        <v>59.5</v>
      </c>
      <c r="C258" t="n">
        <v>54475</v>
      </c>
      <c r="D258" t="n">
        <v>5.1</v>
      </c>
    </row>
    <row r="259">
      <c r="A259" s="78" t="n">
        <v>22068</v>
      </c>
      <c r="B259" t="n">
        <v>59.7</v>
      </c>
      <c r="C259" t="n">
        <v>54348</v>
      </c>
      <c r="D259" t="n">
        <v>5.4</v>
      </c>
    </row>
    <row r="260">
      <c r="A260" s="78" t="n">
        <v>22098</v>
      </c>
      <c r="B260" t="n">
        <v>59.5</v>
      </c>
      <c r="C260" t="n">
        <v>54306</v>
      </c>
      <c r="D260" t="n">
        <v>5.5</v>
      </c>
    </row>
    <row r="261">
      <c r="A261" s="78" t="n">
        <v>22129</v>
      </c>
      <c r="B261" t="n">
        <v>59.5</v>
      </c>
      <c r="C261" t="n">
        <v>54272</v>
      </c>
      <c r="D261" t="n">
        <v>5.6</v>
      </c>
    </row>
    <row r="262">
      <c r="A262" s="78" t="n">
        <v>22160</v>
      </c>
      <c r="B262" t="n">
        <v>59.7</v>
      </c>
      <c r="C262" t="n">
        <v>54227</v>
      </c>
      <c r="D262" t="n">
        <v>5.5</v>
      </c>
    </row>
    <row r="263">
      <c r="A263" s="78" t="n">
        <v>22190</v>
      </c>
      <c r="B263" t="n">
        <v>59.4</v>
      </c>
      <c r="C263" t="n">
        <v>54142</v>
      </c>
      <c r="D263" t="n">
        <v>6.1</v>
      </c>
    </row>
    <row r="264">
      <c r="A264" s="78" t="n">
        <v>22221</v>
      </c>
      <c r="B264" t="n">
        <v>59.8</v>
      </c>
      <c r="C264" t="n">
        <v>53961</v>
      </c>
      <c r="D264" t="n">
        <v>6.1</v>
      </c>
    </row>
    <row r="265">
      <c r="A265" s="78" t="n">
        <v>22251</v>
      </c>
      <c r="B265" t="n">
        <v>59.7</v>
      </c>
      <c r="C265" t="n">
        <v>53742</v>
      </c>
      <c r="D265" t="n">
        <v>6.6</v>
      </c>
    </row>
    <row r="266">
      <c r="A266" s="78" t="n">
        <v>22282</v>
      </c>
      <c r="B266" t="n">
        <v>59.6</v>
      </c>
      <c r="C266" t="n">
        <v>53683</v>
      </c>
      <c r="D266" t="n">
        <v>6.6</v>
      </c>
    </row>
    <row r="267">
      <c r="A267" s="78" t="n">
        <v>22313</v>
      </c>
      <c r="B267" t="n">
        <v>59.6</v>
      </c>
      <c r="C267" t="n">
        <v>53557</v>
      </c>
      <c r="D267" t="n">
        <v>6.9</v>
      </c>
    </row>
    <row r="268">
      <c r="A268" s="78" t="n">
        <v>22341</v>
      </c>
      <c r="B268" t="n">
        <v>59.7</v>
      </c>
      <c r="C268" t="n">
        <v>53659</v>
      </c>
      <c r="D268" t="n">
        <v>6.9</v>
      </c>
    </row>
    <row r="269">
      <c r="A269" s="78" t="n">
        <v>22372</v>
      </c>
      <c r="B269" t="n">
        <v>59.3</v>
      </c>
      <c r="C269" t="n">
        <v>53627</v>
      </c>
      <c r="D269" t="n">
        <v>7</v>
      </c>
    </row>
    <row r="270">
      <c r="A270" s="78" t="n">
        <v>22402</v>
      </c>
      <c r="B270" t="n">
        <v>59.4</v>
      </c>
      <c r="C270" t="n">
        <v>53786</v>
      </c>
      <c r="D270" t="n">
        <v>7.1</v>
      </c>
    </row>
    <row r="271">
      <c r="A271" s="78" t="n">
        <v>22433</v>
      </c>
      <c r="B271" t="n">
        <v>59.7</v>
      </c>
      <c r="C271" t="n">
        <v>53977</v>
      </c>
      <c r="D271" t="n">
        <v>6.9</v>
      </c>
    </row>
    <row r="272">
      <c r="A272" s="78" t="n">
        <v>22463</v>
      </c>
      <c r="B272" t="n">
        <v>59.3</v>
      </c>
      <c r="C272" t="n">
        <v>54123</v>
      </c>
      <c r="D272" t="n">
        <v>7</v>
      </c>
    </row>
    <row r="273">
      <c r="A273" s="78" t="n">
        <v>22494</v>
      </c>
      <c r="B273" t="n">
        <v>59.3</v>
      </c>
      <c r="C273" t="n">
        <v>54298</v>
      </c>
      <c r="D273" t="n">
        <v>6.6</v>
      </c>
    </row>
    <row r="274">
      <c r="A274" s="78" t="n">
        <v>22525</v>
      </c>
      <c r="B274" t="n">
        <v>59</v>
      </c>
      <c r="C274" t="n">
        <v>54388</v>
      </c>
      <c r="D274" t="n">
        <v>6.7</v>
      </c>
    </row>
    <row r="275">
      <c r="A275" s="78" t="n">
        <v>22555</v>
      </c>
      <c r="B275" t="n">
        <v>59.1</v>
      </c>
      <c r="C275" t="n">
        <v>54522</v>
      </c>
      <c r="D275" t="n">
        <v>6.5</v>
      </c>
    </row>
    <row r="276">
      <c r="A276" s="78" t="n">
        <v>22586</v>
      </c>
      <c r="B276" t="n">
        <v>59.1</v>
      </c>
      <c r="C276" t="n">
        <v>54742</v>
      </c>
      <c r="D276" t="n">
        <v>6.1</v>
      </c>
    </row>
    <row r="277">
      <c r="A277" s="78" t="n">
        <v>22616</v>
      </c>
      <c r="B277" t="n">
        <v>58.8</v>
      </c>
      <c r="C277" t="n">
        <v>54872</v>
      </c>
      <c r="D277" t="n">
        <v>6</v>
      </c>
    </row>
    <row r="278">
      <c r="A278" s="78" t="n">
        <v>22647</v>
      </c>
      <c r="B278" t="n">
        <v>58.8</v>
      </c>
      <c r="C278" t="n">
        <v>54891</v>
      </c>
      <c r="D278" t="n">
        <v>5.8</v>
      </c>
    </row>
    <row r="279">
      <c r="A279" s="78" t="n">
        <v>22678</v>
      </c>
      <c r="B279" t="n">
        <v>59</v>
      </c>
      <c r="C279" t="n">
        <v>55188</v>
      </c>
      <c r="D279" t="n">
        <v>5.5</v>
      </c>
    </row>
    <row r="280">
      <c r="A280" s="78" t="n">
        <v>22706</v>
      </c>
      <c r="B280" t="n">
        <v>58.9</v>
      </c>
      <c r="C280" t="n">
        <v>55275</v>
      </c>
      <c r="D280" t="n">
        <v>5.6</v>
      </c>
    </row>
    <row r="281">
      <c r="A281" s="78" t="n">
        <v>22737</v>
      </c>
      <c r="B281" t="n">
        <v>58.7</v>
      </c>
      <c r="C281" t="n">
        <v>55602</v>
      </c>
      <c r="D281" t="n">
        <v>5.6</v>
      </c>
    </row>
    <row r="282">
      <c r="A282" s="78" t="n">
        <v>22767</v>
      </c>
      <c r="B282" t="n">
        <v>58.9</v>
      </c>
      <c r="C282" t="n">
        <v>55628</v>
      </c>
      <c r="D282" t="n">
        <v>5.5</v>
      </c>
    </row>
    <row r="283">
      <c r="A283" s="78" t="n">
        <v>22798</v>
      </c>
      <c r="B283" t="n">
        <v>58.8</v>
      </c>
      <c r="C283" t="n">
        <v>55644</v>
      </c>
      <c r="D283" t="n">
        <v>5.5</v>
      </c>
    </row>
    <row r="284">
      <c r="A284" s="78" t="n">
        <v>22828</v>
      </c>
      <c r="B284" t="n">
        <v>58.5</v>
      </c>
      <c r="C284" t="n">
        <v>55746</v>
      </c>
      <c r="D284" t="n">
        <v>5.4</v>
      </c>
    </row>
    <row r="285">
      <c r="A285" s="78" t="n">
        <v>22859</v>
      </c>
      <c r="B285" t="n">
        <v>59</v>
      </c>
      <c r="C285" t="n">
        <v>55838</v>
      </c>
      <c r="D285" t="n">
        <v>5.7</v>
      </c>
    </row>
    <row r="286">
      <c r="A286" s="78" t="n">
        <v>22890</v>
      </c>
      <c r="B286" t="n">
        <v>59</v>
      </c>
      <c r="C286" t="n">
        <v>55978</v>
      </c>
      <c r="D286" t="n">
        <v>5.6</v>
      </c>
    </row>
    <row r="287">
      <c r="A287" s="78" t="n">
        <v>22920</v>
      </c>
      <c r="B287" t="n">
        <v>58.7</v>
      </c>
      <c r="C287" t="n">
        <v>56041</v>
      </c>
      <c r="D287" t="n">
        <v>5.4</v>
      </c>
    </row>
    <row r="288">
      <c r="A288" s="78" t="n">
        <v>22951</v>
      </c>
      <c r="B288" t="n">
        <v>58.5</v>
      </c>
      <c r="C288" t="n">
        <v>56056</v>
      </c>
      <c r="D288" t="n">
        <v>5.7</v>
      </c>
    </row>
    <row r="289">
      <c r="A289" s="78" t="n">
        <v>22981</v>
      </c>
      <c r="B289" t="n">
        <v>58.4</v>
      </c>
      <c r="C289" t="n">
        <v>56028</v>
      </c>
      <c r="D289" t="n">
        <v>5.5</v>
      </c>
    </row>
    <row r="290">
      <c r="A290" s="78" t="n">
        <v>23012</v>
      </c>
      <c r="B290" t="n">
        <v>58.6</v>
      </c>
      <c r="C290" t="n">
        <v>56115</v>
      </c>
      <c r="D290" t="n">
        <v>5.7</v>
      </c>
    </row>
    <row r="291">
      <c r="A291" s="78" t="n">
        <v>23043</v>
      </c>
      <c r="B291" t="n">
        <v>58.6</v>
      </c>
      <c r="C291" t="n">
        <v>56230</v>
      </c>
      <c r="D291" t="n">
        <v>5.9</v>
      </c>
    </row>
    <row r="292">
      <c r="A292" s="78" t="n">
        <v>23071</v>
      </c>
      <c r="B292" t="n">
        <v>58.6</v>
      </c>
      <c r="C292" t="n">
        <v>56320</v>
      </c>
      <c r="D292" t="n">
        <v>5.7</v>
      </c>
    </row>
    <row r="293">
      <c r="A293" s="78" t="n">
        <v>23102</v>
      </c>
      <c r="B293" t="n">
        <v>58.8</v>
      </c>
      <c r="C293" t="n">
        <v>56580</v>
      </c>
      <c r="D293" t="n">
        <v>5.7</v>
      </c>
    </row>
    <row r="294">
      <c r="A294" s="78" t="n">
        <v>23132</v>
      </c>
      <c r="B294" t="n">
        <v>58.8</v>
      </c>
      <c r="C294" t="n">
        <v>56616</v>
      </c>
      <c r="D294" t="n">
        <v>5.9</v>
      </c>
    </row>
    <row r="295">
      <c r="A295" s="78" t="n">
        <v>23163</v>
      </c>
      <c r="B295" t="n">
        <v>58.5</v>
      </c>
      <c r="C295" t="n">
        <v>56659</v>
      </c>
      <c r="D295" t="n">
        <v>5.6</v>
      </c>
    </row>
    <row r="296">
      <c r="A296" s="78" t="n">
        <v>23193</v>
      </c>
      <c r="B296" t="n">
        <v>58.7</v>
      </c>
      <c r="C296" t="n">
        <v>56794</v>
      </c>
      <c r="D296" t="n">
        <v>5.6</v>
      </c>
    </row>
    <row r="297">
      <c r="A297" s="78" t="n">
        <v>23224</v>
      </c>
      <c r="B297" t="n">
        <v>58.5</v>
      </c>
      <c r="C297" t="n">
        <v>56910</v>
      </c>
      <c r="D297" t="n">
        <v>5.4</v>
      </c>
    </row>
    <row r="298">
      <c r="A298" s="78" t="n">
        <v>23255</v>
      </c>
      <c r="B298" t="n">
        <v>58.7</v>
      </c>
      <c r="C298" t="n">
        <v>57078</v>
      </c>
      <c r="D298" t="n">
        <v>5.5</v>
      </c>
    </row>
    <row r="299">
      <c r="A299" s="78" t="n">
        <v>23285</v>
      </c>
      <c r="B299" t="n">
        <v>58.8</v>
      </c>
      <c r="C299" t="n">
        <v>57283</v>
      </c>
      <c r="D299" t="n">
        <v>5.5</v>
      </c>
    </row>
    <row r="300">
      <c r="A300" s="78" t="n">
        <v>23316</v>
      </c>
      <c r="B300" t="n">
        <v>58.8</v>
      </c>
      <c r="C300" t="n">
        <v>57255</v>
      </c>
      <c r="D300" t="n">
        <v>5.7</v>
      </c>
    </row>
    <row r="301">
      <c r="A301" s="78" t="n">
        <v>23346</v>
      </c>
      <c r="B301" t="n">
        <v>58.5</v>
      </c>
      <c r="C301" t="n">
        <v>57361</v>
      </c>
      <c r="D301" t="n">
        <v>5.5</v>
      </c>
    </row>
    <row r="302">
      <c r="A302" s="78" t="n">
        <v>23377</v>
      </c>
      <c r="B302" t="n">
        <v>58.6</v>
      </c>
      <c r="C302" t="n">
        <v>57487</v>
      </c>
      <c r="D302" t="n">
        <v>5.6</v>
      </c>
    </row>
    <row r="303">
      <c r="A303" s="78" t="n">
        <v>23408</v>
      </c>
      <c r="B303" t="n">
        <v>58.8</v>
      </c>
      <c r="C303" t="n">
        <v>57753</v>
      </c>
      <c r="D303" t="n">
        <v>5.4</v>
      </c>
    </row>
    <row r="304">
      <c r="A304" s="78" t="n">
        <v>23437</v>
      </c>
      <c r="B304" t="n">
        <v>58.7</v>
      </c>
      <c r="C304" t="n">
        <v>57897</v>
      </c>
      <c r="D304" t="n">
        <v>5.4</v>
      </c>
    </row>
    <row r="305">
      <c r="A305" s="78" t="n">
        <v>23468</v>
      </c>
      <c r="B305" t="n">
        <v>59.1</v>
      </c>
      <c r="C305" t="n">
        <v>57922</v>
      </c>
      <c r="D305" t="n">
        <v>5.3</v>
      </c>
    </row>
    <row r="306">
      <c r="A306" s="78" t="n">
        <v>23498</v>
      </c>
      <c r="B306" t="n">
        <v>59.1</v>
      </c>
      <c r="C306" t="n">
        <v>58089</v>
      </c>
      <c r="D306" t="n">
        <v>5.1</v>
      </c>
    </row>
    <row r="307">
      <c r="A307" s="78" t="n">
        <v>23529</v>
      </c>
      <c r="B307" t="n">
        <v>58.7</v>
      </c>
      <c r="C307" t="n">
        <v>58219</v>
      </c>
      <c r="D307" t="n">
        <v>5.2</v>
      </c>
    </row>
    <row r="308">
      <c r="A308" s="78" t="n">
        <v>23559</v>
      </c>
      <c r="B308" t="n">
        <v>58.6</v>
      </c>
      <c r="C308" t="n">
        <v>58412</v>
      </c>
      <c r="D308" t="n">
        <v>4.9</v>
      </c>
    </row>
    <row r="309">
      <c r="A309" s="78" t="n">
        <v>23590</v>
      </c>
      <c r="B309" t="n">
        <v>58.6</v>
      </c>
      <c r="C309" t="n">
        <v>58619</v>
      </c>
      <c r="D309" t="n">
        <v>5</v>
      </c>
    </row>
    <row r="310">
      <c r="A310" s="78" t="n">
        <v>23621</v>
      </c>
      <c r="B310" t="n">
        <v>58.7</v>
      </c>
      <c r="C310" t="n">
        <v>58903</v>
      </c>
      <c r="D310" t="n">
        <v>5.1</v>
      </c>
    </row>
    <row r="311">
      <c r="A311" s="78" t="n">
        <v>23651</v>
      </c>
      <c r="B311" t="n">
        <v>58.6</v>
      </c>
      <c r="C311" t="n">
        <v>58793</v>
      </c>
      <c r="D311" t="n">
        <v>5.1</v>
      </c>
    </row>
    <row r="312">
      <c r="A312" s="78" t="n">
        <v>23682</v>
      </c>
      <c r="B312" t="n">
        <v>58.5</v>
      </c>
      <c r="C312" t="n">
        <v>59218</v>
      </c>
      <c r="D312" t="n">
        <v>4.8</v>
      </c>
    </row>
    <row r="313">
      <c r="A313" s="78" t="n">
        <v>23712</v>
      </c>
      <c r="B313" t="n">
        <v>58.6</v>
      </c>
      <c r="C313" t="n">
        <v>59421</v>
      </c>
      <c r="D313" t="n">
        <v>5</v>
      </c>
    </row>
    <row r="314">
      <c r="A314" s="78" t="n">
        <v>23743</v>
      </c>
      <c r="B314" t="n">
        <v>58.6</v>
      </c>
      <c r="C314" t="n">
        <v>59582</v>
      </c>
      <c r="D314" t="n">
        <v>4.9</v>
      </c>
    </row>
    <row r="315">
      <c r="A315" s="78" t="n">
        <v>23774</v>
      </c>
      <c r="B315" t="n">
        <v>58.7</v>
      </c>
      <c r="C315" t="n">
        <v>59800</v>
      </c>
      <c r="D315" t="n">
        <v>5.1</v>
      </c>
    </row>
    <row r="316">
      <c r="A316" s="78" t="n">
        <v>23802</v>
      </c>
      <c r="B316" t="n">
        <v>58.7</v>
      </c>
      <c r="C316" t="n">
        <v>60003</v>
      </c>
      <c r="D316" t="n">
        <v>4.7</v>
      </c>
    </row>
    <row r="317">
      <c r="A317" s="78" t="n">
        <v>23833</v>
      </c>
      <c r="B317" t="n">
        <v>58.8</v>
      </c>
      <c r="C317" t="n">
        <v>60259</v>
      </c>
      <c r="D317" t="n">
        <v>4.8</v>
      </c>
    </row>
    <row r="318">
      <c r="A318" s="78" t="n">
        <v>23863</v>
      </c>
      <c r="B318" t="n">
        <v>59</v>
      </c>
      <c r="C318" t="n">
        <v>60491</v>
      </c>
      <c r="D318" t="n">
        <v>4.6</v>
      </c>
    </row>
    <row r="319">
      <c r="A319" s="78" t="n">
        <v>23894</v>
      </c>
      <c r="B319" t="n">
        <v>58.8</v>
      </c>
      <c r="C319" t="n">
        <v>60690</v>
      </c>
      <c r="D319" t="n">
        <v>4.6</v>
      </c>
    </row>
    <row r="320">
      <c r="A320" s="78" t="n">
        <v>23924</v>
      </c>
      <c r="B320" t="n">
        <v>59.1</v>
      </c>
      <c r="C320" t="n">
        <v>60965</v>
      </c>
      <c r="D320" t="n">
        <v>4.4</v>
      </c>
    </row>
    <row r="321">
      <c r="A321" s="78" t="n">
        <v>23955</v>
      </c>
      <c r="B321" t="n">
        <v>58.9</v>
      </c>
      <c r="C321" t="n">
        <v>61228</v>
      </c>
      <c r="D321" t="n">
        <v>4.4</v>
      </c>
    </row>
    <row r="322">
      <c r="A322" s="78" t="n">
        <v>23986</v>
      </c>
      <c r="B322" t="n">
        <v>58.7</v>
      </c>
      <c r="C322" t="n">
        <v>61490</v>
      </c>
      <c r="D322" t="n">
        <v>4.3</v>
      </c>
    </row>
    <row r="323">
      <c r="A323" s="78" t="n">
        <v>24016</v>
      </c>
      <c r="B323" t="n">
        <v>58.9</v>
      </c>
      <c r="C323" t="n">
        <v>61719</v>
      </c>
      <c r="D323" t="n">
        <v>4.2</v>
      </c>
    </row>
    <row r="324">
      <c r="A324" s="78" t="n">
        <v>24047</v>
      </c>
      <c r="B324" t="n">
        <v>58.8</v>
      </c>
      <c r="C324" t="n">
        <v>61996</v>
      </c>
      <c r="D324" t="n">
        <v>4.1</v>
      </c>
    </row>
    <row r="325">
      <c r="A325" s="78" t="n">
        <v>24077</v>
      </c>
      <c r="B325" t="n">
        <v>59</v>
      </c>
      <c r="C325" t="n">
        <v>62322</v>
      </c>
      <c r="D325" t="n">
        <v>4</v>
      </c>
    </row>
    <row r="326">
      <c r="A326" s="78" t="n">
        <v>24108</v>
      </c>
      <c r="B326" t="n">
        <v>59</v>
      </c>
      <c r="C326" t="n">
        <v>62529</v>
      </c>
      <c r="D326" t="n">
        <v>4</v>
      </c>
    </row>
    <row r="327">
      <c r="A327" s="78" t="n">
        <v>24139</v>
      </c>
      <c r="B327" t="n">
        <v>58.8</v>
      </c>
      <c r="C327" t="n">
        <v>62796</v>
      </c>
      <c r="D327" t="n">
        <v>3.8</v>
      </c>
    </row>
    <row r="328">
      <c r="A328" s="78" t="n">
        <v>24167</v>
      </c>
      <c r="B328" t="n">
        <v>58.8</v>
      </c>
      <c r="C328" t="n">
        <v>63192</v>
      </c>
      <c r="D328" t="n">
        <v>3.8</v>
      </c>
    </row>
    <row r="329">
      <c r="A329" s="78" t="n">
        <v>24198</v>
      </c>
      <c r="B329" t="n">
        <v>59</v>
      </c>
      <c r="C329" t="n">
        <v>63437</v>
      </c>
      <c r="D329" t="n">
        <v>3.8</v>
      </c>
    </row>
    <row r="330">
      <c r="A330" s="78" t="n">
        <v>24228</v>
      </c>
      <c r="B330" t="n">
        <v>59</v>
      </c>
      <c r="C330" t="n">
        <v>63712</v>
      </c>
      <c r="D330" t="n">
        <v>3.9</v>
      </c>
    </row>
    <row r="331">
      <c r="A331" s="78" t="n">
        <v>24259</v>
      </c>
      <c r="B331" t="n">
        <v>59.1</v>
      </c>
      <c r="C331" t="n">
        <v>64111</v>
      </c>
      <c r="D331" t="n">
        <v>3.8</v>
      </c>
    </row>
    <row r="332">
      <c r="A332" s="78" t="n">
        <v>24289</v>
      </c>
      <c r="B332" t="n">
        <v>59.1</v>
      </c>
      <c r="C332" t="n">
        <v>64301</v>
      </c>
      <c r="D332" t="n">
        <v>3.8</v>
      </c>
    </row>
    <row r="333">
      <c r="A333" s="78" t="n">
        <v>24320</v>
      </c>
      <c r="B333" t="n">
        <v>59.3</v>
      </c>
      <c r="C333" t="n">
        <v>64507</v>
      </c>
      <c r="D333" t="n">
        <v>3.8</v>
      </c>
    </row>
    <row r="334">
      <c r="A334" s="78" t="n">
        <v>24351</v>
      </c>
      <c r="B334" t="n">
        <v>59.3</v>
      </c>
      <c r="C334" t="n">
        <v>64643</v>
      </c>
      <c r="D334" t="n">
        <v>3.7</v>
      </c>
    </row>
    <row r="335">
      <c r="A335" s="78" t="n">
        <v>24381</v>
      </c>
      <c r="B335" t="n">
        <v>59.3</v>
      </c>
      <c r="C335" t="n">
        <v>64854</v>
      </c>
      <c r="D335" t="n">
        <v>3.7</v>
      </c>
    </row>
    <row r="336">
      <c r="A336" s="78" t="n">
        <v>24412</v>
      </c>
      <c r="B336" t="n">
        <v>59.6</v>
      </c>
      <c r="C336" t="n">
        <v>65019</v>
      </c>
      <c r="D336" t="n">
        <v>3.6</v>
      </c>
    </row>
    <row r="337">
      <c r="A337" s="78" t="n">
        <v>24442</v>
      </c>
      <c r="B337" t="n">
        <v>59.5</v>
      </c>
      <c r="C337" t="n">
        <v>65199</v>
      </c>
      <c r="D337" t="n">
        <v>3.8</v>
      </c>
    </row>
    <row r="338">
      <c r="A338" s="78" t="n">
        <v>24473</v>
      </c>
      <c r="B338" t="n">
        <v>59.5</v>
      </c>
      <c r="C338" t="n">
        <v>65407</v>
      </c>
      <c r="D338" t="n">
        <v>3.9</v>
      </c>
    </row>
    <row r="339">
      <c r="A339" s="78" t="n">
        <v>24504</v>
      </c>
      <c r="B339" t="n">
        <v>59.3</v>
      </c>
      <c r="C339" t="n">
        <v>65429</v>
      </c>
      <c r="D339" t="n">
        <v>3.8</v>
      </c>
    </row>
    <row r="340">
      <c r="A340" s="78" t="n">
        <v>24532</v>
      </c>
      <c r="B340" t="n">
        <v>59.1</v>
      </c>
      <c r="C340" t="n">
        <v>65530</v>
      </c>
      <c r="D340" t="n">
        <v>3.8</v>
      </c>
    </row>
    <row r="341">
      <c r="A341" s="78" t="n">
        <v>24563</v>
      </c>
      <c r="B341" t="n">
        <v>59.4</v>
      </c>
      <c r="C341" t="n">
        <v>65466</v>
      </c>
      <c r="D341" t="n">
        <v>3.8</v>
      </c>
    </row>
    <row r="342">
      <c r="A342" s="78" t="n">
        <v>24593</v>
      </c>
      <c r="B342" t="n">
        <v>59.3</v>
      </c>
      <c r="C342" t="n">
        <v>65620</v>
      </c>
      <c r="D342" t="n">
        <v>3.8</v>
      </c>
    </row>
    <row r="343">
      <c r="A343" s="78" t="n">
        <v>24624</v>
      </c>
      <c r="B343" t="n">
        <v>59.6</v>
      </c>
      <c r="C343" t="n">
        <v>65750</v>
      </c>
      <c r="D343" t="n">
        <v>3.9</v>
      </c>
    </row>
    <row r="344">
      <c r="A344" s="78" t="n">
        <v>24654</v>
      </c>
      <c r="B344" t="n">
        <v>59.6</v>
      </c>
      <c r="C344" t="n">
        <v>65888</v>
      </c>
      <c r="D344" t="n">
        <v>3.8</v>
      </c>
    </row>
    <row r="345">
      <c r="A345" s="78" t="n">
        <v>24685</v>
      </c>
      <c r="B345" t="n">
        <v>59.7</v>
      </c>
      <c r="C345" t="n">
        <v>66143</v>
      </c>
      <c r="D345" t="n">
        <v>3.8</v>
      </c>
    </row>
    <row r="346">
      <c r="A346" s="78" t="n">
        <v>24716</v>
      </c>
      <c r="B346" t="n">
        <v>59.7</v>
      </c>
      <c r="C346" t="n">
        <v>66164</v>
      </c>
      <c r="D346" t="n">
        <v>3.8</v>
      </c>
    </row>
    <row r="347">
      <c r="A347" s="78" t="n">
        <v>24746</v>
      </c>
      <c r="B347" t="n">
        <v>59.9</v>
      </c>
      <c r="C347" t="n">
        <v>66225</v>
      </c>
      <c r="D347" t="n">
        <v>4</v>
      </c>
    </row>
    <row r="348">
      <c r="A348" s="78" t="n">
        <v>24777</v>
      </c>
      <c r="B348" t="n">
        <v>59.8</v>
      </c>
      <c r="C348" t="n">
        <v>66703</v>
      </c>
      <c r="D348" t="n">
        <v>3.9</v>
      </c>
    </row>
    <row r="349">
      <c r="A349" s="78" t="n">
        <v>24807</v>
      </c>
      <c r="B349" t="n">
        <v>59.9</v>
      </c>
      <c r="C349" t="n">
        <v>66900</v>
      </c>
      <c r="D349" t="n">
        <v>3.8</v>
      </c>
    </row>
    <row r="350">
      <c r="A350" s="78" t="n">
        <v>24838</v>
      </c>
      <c r="B350" t="n">
        <v>59.2</v>
      </c>
      <c r="C350" t="n">
        <v>66804</v>
      </c>
      <c r="D350" t="n">
        <v>3.7</v>
      </c>
    </row>
    <row r="351">
      <c r="A351" s="78" t="n">
        <v>24869</v>
      </c>
      <c r="B351" t="n">
        <v>59.6</v>
      </c>
      <c r="C351" t="n">
        <v>67215</v>
      </c>
      <c r="D351" t="n">
        <v>3.8</v>
      </c>
    </row>
    <row r="352">
      <c r="A352" s="78" t="n">
        <v>24898</v>
      </c>
      <c r="B352" t="n">
        <v>59.6</v>
      </c>
      <c r="C352" t="n">
        <v>67295</v>
      </c>
      <c r="D352" t="n">
        <v>3.7</v>
      </c>
    </row>
    <row r="353">
      <c r="A353" s="78" t="n">
        <v>24929</v>
      </c>
      <c r="B353" t="n">
        <v>59.5</v>
      </c>
      <c r="C353" t="n">
        <v>67556</v>
      </c>
      <c r="D353" t="n">
        <v>3.5</v>
      </c>
    </row>
    <row r="354">
      <c r="A354" s="78" t="n">
        <v>24959</v>
      </c>
      <c r="B354" t="n">
        <v>59.9</v>
      </c>
      <c r="C354" t="n">
        <v>67652</v>
      </c>
      <c r="D354" t="n">
        <v>3.5</v>
      </c>
    </row>
    <row r="355">
      <c r="A355" s="78" t="n">
        <v>24990</v>
      </c>
      <c r="B355" t="n">
        <v>60</v>
      </c>
      <c r="C355" t="n">
        <v>67905</v>
      </c>
      <c r="D355" t="n">
        <v>3.7</v>
      </c>
    </row>
    <row r="356">
      <c r="A356" s="78" t="n">
        <v>25020</v>
      </c>
      <c r="B356" t="n">
        <v>59.8</v>
      </c>
      <c r="C356" t="n">
        <v>68126</v>
      </c>
      <c r="D356" t="n">
        <v>3.7</v>
      </c>
    </row>
    <row r="357">
      <c r="A357" s="78" t="n">
        <v>25051</v>
      </c>
      <c r="B357" t="n">
        <v>59.6</v>
      </c>
      <c r="C357" t="n">
        <v>68330</v>
      </c>
      <c r="D357" t="n">
        <v>3.5</v>
      </c>
    </row>
    <row r="358">
      <c r="A358" s="78" t="n">
        <v>25082</v>
      </c>
      <c r="B358" t="n">
        <v>59.5</v>
      </c>
      <c r="C358" t="n">
        <v>68484</v>
      </c>
      <c r="D358" t="n">
        <v>3.4</v>
      </c>
    </row>
    <row r="359">
      <c r="A359" s="78" t="n">
        <v>25112</v>
      </c>
      <c r="B359" t="n">
        <v>59.5</v>
      </c>
      <c r="C359" t="n">
        <v>68721</v>
      </c>
      <c r="D359" t="n">
        <v>3.4</v>
      </c>
    </row>
    <row r="360">
      <c r="A360" s="78" t="n">
        <v>25143</v>
      </c>
      <c r="B360" t="n">
        <v>59.6</v>
      </c>
      <c r="C360" t="n">
        <v>68984</v>
      </c>
      <c r="D360" t="n">
        <v>3.4</v>
      </c>
    </row>
    <row r="361">
      <c r="A361" s="78" t="n">
        <v>25173</v>
      </c>
      <c r="B361" t="n">
        <v>59.7</v>
      </c>
      <c r="C361" t="n">
        <v>69248</v>
      </c>
      <c r="D361" t="n">
        <v>3.4</v>
      </c>
    </row>
    <row r="362">
      <c r="A362" s="78" t="n">
        <v>25204</v>
      </c>
      <c r="B362" t="n">
        <v>59.6</v>
      </c>
      <c r="C362" t="n">
        <v>69439</v>
      </c>
      <c r="D362" t="n">
        <v>3.4</v>
      </c>
    </row>
    <row r="363">
      <c r="A363" s="78" t="n">
        <v>25235</v>
      </c>
      <c r="B363" t="n">
        <v>60</v>
      </c>
      <c r="C363" t="n">
        <v>69699</v>
      </c>
      <c r="D363" t="n">
        <v>3.4</v>
      </c>
    </row>
    <row r="364">
      <c r="A364" s="78" t="n">
        <v>25263</v>
      </c>
      <c r="B364" t="n">
        <v>59.9</v>
      </c>
      <c r="C364" t="n">
        <v>69905</v>
      </c>
      <c r="D364" t="n">
        <v>3.4</v>
      </c>
    </row>
    <row r="365">
      <c r="A365" s="78" t="n">
        <v>25294</v>
      </c>
      <c r="B365" t="n">
        <v>60</v>
      </c>
      <c r="C365" t="n">
        <v>70072</v>
      </c>
      <c r="D365" t="n">
        <v>3.4</v>
      </c>
    </row>
    <row r="366">
      <c r="A366" s="78" t="n">
        <v>25324</v>
      </c>
      <c r="B366" t="n">
        <v>59.8</v>
      </c>
      <c r="C366" t="n">
        <v>70328</v>
      </c>
      <c r="D366" t="n">
        <v>3.4</v>
      </c>
    </row>
    <row r="367">
      <c r="A367" s="78" t="n">
        <v>25355</v>
      </c>
      <c r="B367" t="n">
        <v>60.1</v>
      </c>
      <c r="C367" t="n">
        <v>70636</v>
      </c>
      <c r="D367" t="n">
        <v>3.5</v>
      </c>
    </row>
    <row r="368">
      <c r="A368" s="78" t="n">
        <v>25385</v>
      </c>
      <c r="B368" t="n">
        <v>60.1</v>
      </c>
      <c r="C368" t="n">
        <v>70729</v>
      </c>
      <c r="D368" t="n">
        <v>3.5</v>
      </c>
    </row>
    <row r="369">
      <c r="A369" s="78" t="n">
        <v>25416</v>
      </c>
      <c r="B369" t="n">
        <v>60.3</v>
      </c>
      <c r="C369" t="n">
        <v>71008</v>
      </c>
      <c r="D369" t="n">
        <v>3.5</v>
      </c>
    </row>
    <row r="370">
      <c r="A370" s="78" t="n">
        <v>25447</v>
      </c>
      <c r="B370" t="n">
        <v>60.3</v>
      </c>
      <c r="C370" t="n">
        <v>70914</v>
      </c>
      <c r="D370" t="n">
        <v>3.7</v>
      </c>
    </row>
    <row r="371">
      <c r="A371" s="78" t="n">
        <v>25477</v>
      </c>
      <c r="B371" t="n">
        <v>60.4</v>
      </c>
      <c r="C371" t="n">
        <v>71121</v>
      </c>
      <c r="D371" t="n">
        <v>3.7</v>
      </c>
    </row>
    <row r="372">
      <c r="A372" s="78" t="n">
        <v>25508</v>
      </c>
      <c r="B372" t="n">
        <v>60.2</v>
      </c>
      <c r="C372" t="n">
        <v>71086</v>
      </c>
      <c r="D372" t="n">
        <v>3.5</v>
      </c>
    </row>
    <row r="373">
      <c r="A373" s="78" t="n">
        <v>25538</v>
      </c>
      <c r="B373" t="n">
        <v>60.2</v>
      </c>
      <c r="C373" t="n">
        <v>71241</v>
      </c>
      <c r="D373" t="n">
        <v>3.5</v>
      </c>
    </row>
    <row r="374">
      <c r="A374" s="78" t="n">
        <v>25569</v>
      </c>
      <c r="B374" t="n">
        <v>60.4</v>
      </c>
      <c r="C374" t="n">
        <v>71176</v>
      </c>
      <c r="D374" t="n">
        <v>3.9</v>
      </c>
    </row>
    <row r="375">
      <c r="A375" s="78" t="n">
        <v>25600</v>
      </c>
      <c r="B375" t="n">
        <v>60.4</v>
      </c>
      <c r="C375" t="n">
        <v>71305</v>
      </c>
      <c r="D375" t="n">
        <v>4.2</v>
      </c>
    </row>
    <row r="376">
      <c r="A376" s="78" t="n">
        <v>25628</v>
      </c>
      <c r="B376" t="n">
        <v>60.6</v>
      </c>
      <c r="C376" t="n">
        <v>71451</v>
      </c>
      <c r="D376" t="n">
        <v>4.4</v>
      </c>
    </row>
    <row r="377">
      <c r="A377" s="78" t="n">
        <v>25659</v>
      </c>
      <c r="B377" t="n">
        <v>60.6</v>
      </c>
      <c r="C377" t="n">
        <v>71348</v>
      </c>
      <c r="D377" t="n">
        <v>4.6</v>
      </c>
    </row>
    <row r="378">
      <c r="A378" s="78" t="n">
        <v>25689</v>
      </c>
      <c r="B378" t="n">
        <v>60.3</v>
      </c>
      <c r="C378" t="n">
        <v>71124</v>
      </c>
      <c r="D378" t="n">
        <v>4.8</v>
      </c>
    </row>
    <row r="379">
      <c r="A379" s="78" t="n">
        <v>25720</v>
      </c>
      <c r="B379" t="n">
        <v>60.2</v>
      </c>
      <c r="C379" t="n">
        <v>71029</v>
      </c>
      <c r="D379" t="n">
        <v>4.9</v>
      </c>
    </row>
    <row r="380">
      <c r="A380" s="78" t="n">
        <v>25750</v>
      </c>
      <c r="B380" t="n">
        <v>60.4</v>
      </c>
      <c r="C380" t="n">
        <v>71053</v>
      </c>
      <c r="D380" t="n">
        <v>5</v>
      </c>
    </row>
    <row r="381">
      <c r="A381" s="78" t="n">
        <v>25781</v>
      </c>
      <c r="B381" t="n">
        <v>60.3</v>
      </c>
      <c r="C381" t="n">
        <v>70937</v>
      </c>
      <c r="D381" t="n">
        <v>5.1</v>
      </c>
    </row>
    <row r="382">
      <c r="A382" s="78" t="n">
        <v>25812</v>
      </c>
      <c r="B382" t="n">
        <v>60.2</v>
      </c>
      <c r="C382" t="n">
        <v>70944</v>
      </c>
      <c r="D382" t="n">
        <v>5.4</v>
      </c>
    </row>
    <row r="383">
      <c r="A383" s="78" t="n">
        <v>25842</v>
      </c>
      <c r="B383" t="n">
        <v>60.4</v>
      </c>
      <c r="C383" t="n">
        <v>70521</v>
      </c>
      <c r="D383" t="n">
        <v>5.5</v>
      </c>
    </row>
    <row r="384">
      <c r="A384" s="78" t="n">
        <v>25873</v>
      </c>
      <c r="B384" t="n">
        <v>60.4</v>
      </c>
      <c r="C384" t="n">
        <v>70409</v>
      </c>
      <c r="D384" t="n">
        <v>5.9</v>
      </c>
    </row>
    <row r="385">
      <c r="A385" s="78" t="n">
        <v>25903</v>
      </c>
      <c r="B385" t="n">
        <v>60.4</v>
      </c>
      <c r="C385" t="n">
        <v>70792</v>
      </c>
      <c r="D385" t="n">
        <v>6.1</v>
      </c>
    </row>
    <row r="386">
      <c r="A386" s="78" t="n">
        <v>25934</v>
      </c>
      <c r="B386" t="n">
        <v>60.4</v>
      </c>
      <c r="C386" t="n">
        <v>70865</v>
      </c>
      <c r="D386" t="n">
        <v>5.9</v>
      </c>
    </row>
    <row r="387">
      <c r="A387" s="78" t="n">
        <v>25965</v>
      </c>
      <c r="B387" t="n">
        <v>60.1</v>
      </c>
      <c r="C387" t="n">
        <v>70807</v>
      </c>
      <c r="D387" t="n">
        <v>5.9</v>
      </c>
    </row>
    <row r="388">
      <c r="A388" s="78" t="n">
        <v>25993</v>
      </c>
      <c r="B388" t="n">
        <v>60</v>
      </c>
      <c r="C388" t="n">
        <v>70860</v>
      </c>
      <c r="D388" t="n">
        <v>6</v>
      </c>
    </row>
    <row r="389">
      <c r="A389" s="78" t="n">
        <v>26024</v>
      </c>
      <c r="B389" t="n">
        <v>60.1</v>
      </c>
      <c r="C389" t="n">
        <v>71036</v>
      </c>
      <c r="D389" t="n">
        <v>5.9</v>
      </c>
    </row>
    <row r="390">
      <c r="A390" s="78" t="n">
        <v>26054</v>
      </c>
      <c r="B390" t="n">
        <v>60.2</v>
      </c>
      <c r="C390" t="n">
        <v>71247</v>
      </c>
      <c r="D390" t="n">
        <v>5.9</v>
      </c>
    </row>
    <row r="391">
      <c r="A391" s="78" t="n">
        <v>26085</v>
      </c>
      <c r="B391" t="n">
        <v>59.8</v>
      </c>
      <c r="C391" t="n">
        <v>71254</v>
      </c>
      <c r="D391" t="n">
        <v>5.9</v>
      </c>
    </row>
    <row r="392">
      <c r="A392" s="78" t="n">
        <v>26115</v>
      </c>
      <c r="B392" t="n">
        <v>60.1</v>
      </c>
      <c r="C392" t="n">
        <v>71315</v>
      </c>
      <c r="D392" t="n">
        <v>6</v>
      </c>
    </row>
    <row r="393">
      <c r="A393" s="78" t="n">
        <v>26146</v>
      </c>
      <c r="B393" t="n">
        <v>60.2</v>
      </c>
      <c r="C393" t="n">
        <v>71373</v>
      </c>
      <c r="D393" t="n">
        <v>6.1</v>
      </c>
    </row>
    <row r="394">
      <c r="A394" s="78" t="n">
        <v>26177</v>
      </c>
      <c r="B394" t="n">
        <v>60.1</v>
      </c>
      <c r="C394" t="n">
        <v>71614</v>
      </c>
      <c r="D394" t="n">
        <v>6</v>
      </c>
    </row>
    <row r="395">
      <c r="A395" s="78" t="n">
        <v>26207</v>
      </c>
      <c r="B395" t="n">
        <v>60.1</v>
      </c>
      <c r="C395" t="n">
        <v>71642</v>
      </c>
      <c r="D395" t="n">
        <v>5.8</v>
      </c>
    </row>
    <row r="396">
      <c r="A396" s="78" t="n">
        <v>26238</v>
      </c>
      <c r="B396" t="n">
        <v>60.4</v>
      </c>
      <c r="C396" t="n">
        <v>71847</v>
      </c>
      <c r="D396" t="n">
        <v>6</v>
      </c>
    </row>
    <row r="397">
      <c r="A397" s="78" t="n">
        <v>26268</v>
      </c>
      <c r="B397" t="n">
        <v>60.4</v>
      </c>
      <c r="C397" t="n">
        <v>72109</v>
      </c>
      <c r="D397" t="n">
        <v>6</v>
      </c>
    </row>
    <row r="398">
      <c r="A398" s="78" t="n">
        <v>26299</v>
      </c>
      <c r="B398" t="n">
        <v>60.2</v>
      </c>
      <c r="C398" t="n">
        <v>72441</v>
      </c>
      <c r="D398" t="n">
        <v>5.8</v>
      </c>
    </row>
    <row r="399">
      <c r="A399" s="78" t="n">
        <v>26330</v>
      </c>
      <c r="B399" t="n">
        <v>60.2</v>
      </c>
      <c r="C399" t="n">
        <v>72648</v>
      </c>
      <c r="D399" t="n">
        <v>5.7</v>
      </c>
    </row>
    <row r="400">
      <c r="A400" s="78" t="n">
        <v>26359</v>
      </c>
      <c r="B400" t="n">
        <v>60.5</v>
      </c>
      <c r="C400" t="n">
        <v>72944</v>
      </c>
      <c r="D400" t="n">
        <v>5.8</v>
      </c>
    </row>
    <row r="401">
      <c r="A401" s="78" t="n">
        <v>26390</v>
      </c>
      <c r="B401" t="n">
        <v>60.4</v>
      </c>
      <c r="C401" t="n">
        <v>73162</v>
      </c>
      <c r="D401" t="n">
        <v>5.7</v>
      </c>
    </row>
    <row r="402">
      <c r="A402" s="78" t="n">
        <v>26420</v>
      </c>
      <c r="B402" t="n">
        <v>60.4</v>
      </c>
      <c r="C402" t="n">
        <v>73469</v>
      </c>
      <c r="D402" t="n">
        <v>5.7</v>
      </c>
    </row>
    <row r="403">
      <c r="A403" s="78" t="n">
        <v>26451</v>
      </c>
      <c r="B403" t="n">
        <v>60.4</v>
      </c>
      <c r="C403" t="n">
        <v>73758</v>
      </c>
      <c r="D403" t="n">
        <v>5.7</v>
      </c>
    </row>
    <row r="404">
      <c r="A404" s="78" t="n">
        <v>26481</v>
      </c>
      <c r="B404" t="n">
        <v>60.4</v>
      </c>
      <c r="C404" t="n">
        <v>73709</v>
      </c>
      <c r="D404" t="n">
        <v>5.6</v>
      </c>
    </row>
    <row r="405">
      <c r="A405" s="78" t="n">
        <v>26512</v>
      </c>
      <c r="B405" t="n">
        <v>60.6</v>
      </c>
      <c r="C405" t="n">
        <v>74141</v>
      </c>
      <c r="D405" t="n">
        <v>5.6</v>
      </c>
    </row>
    <row r="406">
      <c r="A406" s="78" t="n">
        <v>26543</v>
      </c>
      <c r="B406" t="n">
        <v>60.4</v>
      </c>
      <c r="C406" t="n">
        <v>74264</v>
      </c>
      <c r="D406" t="n">
        <v>5.5</v>
      </c>
    </row>
    <row r="407">
      <c r="A407" s="78" t="n">
        <v>26573</v>
      </c>
      <c r="B407" t="n">
        <v>60.3</v>
      </c>
      <c r="C407" t="n">
        <v>74674</v>
      </c>
      <c r="D407" t="n">
        <v>5.6</v>
      </c>
    </row>
    <row r="408">
      <c r="A408" s="78" t="n">
        <v>26604</v>
      </c>
      <c r="B408" t="n">
        <v>60.3</v>
      </c>
      <c r="C408" t="n">
        <v>74973</v>
      </c>
      <c r="D408" t="n">
        <v>5.3</v>
      </c>
    </row>
    <row r="409">
      <c r="A409" s="78" t="n">
        <v>26634</v>
      </c>
      <c r="B409" t="n">
        <v>60.5</v>
      </c>
      <c r="C409" t="n">
        <v>75268</v>
      </c>
      <c r="D409" t="n">
        <v>5.2</v>
      </c>
    </row>
    <row r="410">
      <c r="A410" s="78" t="n">
        <v>26665</v>
      </c>
      <c r="B410" t="n">
        <v>60</v>
      </c>
      <c r="C410" t="n">
        <v>75617</v>
      </c>
      <c r="D410" t="n">
        <v>4.9</v>
      </c>
    </row>
    <row r="411">
      <c r="A411" s="78" t="n">
        <v>26696</v>
      </c>
      <c r="B411" t="n">
        <v>60.5</v>
      </c>
      <c r="C411" t="n">
        <v>76014</v>
      </c>
      <c r="D411" t="n">
        <v>5</v>
      </c>
    </row>
    <row r="412">
      <c r="A412" s="78" t="n">
        <v>26724</v>
      </c>
      <c r="B412" t="n">
        <v>60.8</v>
      </c>
      <c r="C412" t="n">
        <v>76284</v>
      </c>
      <c r="D412" t="n">
        <v>4.9</v>
      </c>
    </row>
    <row r="413">
      <c r="A413" s="78" t="n">
        <v>26755</v>
      </c>
      <c r="B413" t="n">
        <v>60.8</v>
      </c>
      <c r="C413" t="n">
        <v>76455</v>
      </c>
      <c r="D413" t="n">
        <v>5</v>
      </c>
    </row>
    <row r="414">
      <c r="A414" s="78" t="n">
        <v>26785</v>
      </c>
      <c r="B414" t="n">
        <v>60.6</v>
      </c>
      <c r="C414" t="n">
        <v>76648</v>
      </c>
      <c r="D414" t="n">
        <v>4.9</v>
      </c>
    </row>
    <row r="415">
      <c r="A415" s="78" t="n">
        <v>26816</v>
      </c>
      <c r="B415" t="n">
        <v>60.9</v>
      </c>
      <c r="C415" t="n">
        <v>76887</v>
      </c>
      <c r="D415" t="n">
        <v>4.9</v>
      </c>
    </row>
    <row r="416">
      <c r="A416" s="78" t="n">
        <v>26846</v>
      </c>
      <c r="B416" t="n">
        <v>60.9</v>
      </c>
      <c r="C416" t="n">
        <v>76913</v>
      </c>
      <c r="D416" t="n">
        <v>4.8</v>
      </c>
    </row>
    <row r="417">
      <c r="A417" s="78" t="n">
        <v>26877</v>
      </c>
      <c r="B417" t="n">
        <v>60.7</v>
      </c>
      <c r="C417" t="n">
        <v>77168</v>
      </c>
      <c r="D417" t="n">
        <v>4.8</v>
      </c>
    </row>
    <row r="418">
      <c r="A418" s="78" t="n">
        <v>26908</v>
      </c>
      <c r="B418" t="n">
        <v>60.8</v>
      </c>
      <c r="C418" t="n">
        <v>77276</v>
      </c>
      <c r="D418" t="n">
        <v>4.8</v>
      </c>
    </row>
    <row r="419">
      <c r="A419" s="78" t="n">
        <v>26938</v>
      </c>
      <c r="B419" t="n">
        <v>60.9</v>
      </c>
      <c r="C419" t="n">
        <v>77607</v>
      </c>
      <c r="D419" t="n">
        <v>4.6</v>
      </c>
    </row>
    <row r="420">
      <c r="A420" s="78" t="n">
        <v>26969</v>
      </c>
      <c r="B420" t="n">
        <v>61.2</v>
      </c>
      <c r="C420" t="n">
        <v>77920</v>
      </c>
      <c r="D420" t="n">
        <v>4.8</v>
      </c>
    </row>
    <row r="421">
      <c r="A421" s="78" t="n">
        <v>26999</v>
      </c>
      <c r="B421" t="n">
        <v>61.2</v>
      </c>
      <c r="C421" t="n">
        <v>78031</v>
      </c>
      <c r="D421" t="n">
        <v>4.9</v>
      </c>
    </row>
    <row r="422">
      <c r="A422" s="78" t="n">
        <v>27030</v>
      </c>
      <c r="B422" t="n">
        <v>61.3</v>
      </c>
      <c r="C422" t="n">
        <v>78100</v>
      </c>
      <c r="D422" t="n">
        <v>5.1</v>
      </c>
    </row>
    <row r="423">
      <c r="A423" s="78" t="n">
        <v>27061</v>
      </c>
      <c r="B423" t="n">
        <v>61.4</v>
      </c>
      <c r="C423" t="n">
        <v>78254</v>
      </c>
      <c r="D423" t="n">
        <v>5.2</v>
      </c>
    </row>
    <row r="424">
      <c r="A424" s="78" t="n">
        <v>27089</v>
      </c>
      <c r="B424" t="n">
        <v>61.3</v>
      </c>
      <c r="C424" t="n">
        <v>78296</v>
      </c>
      <c r="D424" t="n">
        <v>5.1</v>
      </c>
    </row>
    <row r="425">
      <c r="A425" s="78" t="n">
        <v>27120</v>
      </c>
      <c r="B425" t="n">
        <v>61.1</v>
      </c>
      <c r="C425" t="n">
        <v>78382</v>
      </c>
      <c r="D425" t="n">
        <v>5.1</v>
      </c>
    </row>
    <row r="426">
      <c r="A426" s="78" t="n">
        <v>27150</v>
      </c>
      <c r="B426" t="n">
        <v>61.2</v>
      </c>
      <c r="C426" t="n">
        <v>78549</v>
      </c>
      <c r="D426" t="n">
        <v>5.1</v>
      </c>
    </row>
    <row r="427">
      <c r="A427" s="78" t="n">
        <v>27181</v>
      </c>
      <c r="B427" t="n">
        <v>61.2</v>
      </c>
      <c r="C427" t="n">
        <v>78604</v>
      </c>
      <c r="D427" t="n">
        <v>5.4</v>
      </c>
    </row>
    <row r="428">
      <c r="A428" s="78" t="n">
        <v>27211</v>
      </c>
      <c r="B428" t="n">
        <v>61.4</v>
      </c>
      <c r="C428" t="n">
        <v>78636</v>
      </c>
      <c r="D428" t="n">
        <v>5.5</v>
      </c>
    </row>
    <row r="429">
      <c r="A429" s="78" t="n">
        <v>27242</v>
      </c>
      <c r="B429" t="n">
        <v>61.2</v>
      </c>
      <c r="C429" t="n">
        <v>78619</v>
      </c>
      <c r="D429" t="n">
        <v>5.5</v>
      </c>
    </row>
    <row r="430">
      <c r="A430" s="78" t="n">
        <v>27273</v>
      </c>
      <c r="B430" t="n">
        <v>61.4</v>
      </c>
      <c r="C430" t="n">
        <v>78610</v>
      </c>
      <c r="D430" t="n">
        <v>5.9</v>
      </c>
    </row>
    <row r="431">
      <c r="A431" s="78" t="n">
        <v>27303</v>
      </c>
      <c r="B431" t="n">
        <v>61.3</v>
      </c>
      <c r="C431" t="n">
        <v>78630</v>
      </c>
      <c r="D431" t="n">
        <v>6</v>
      </c>
    </row>
    <row r="432">
      <c r="A432" s="78" t="n">
        <v>27334</v>
      </c>
      <c r="B432" t="n">
        <v>61.3</v>
      </c>
      <c r="C432" t="n">
        <v>78265</v>
      </c>
      <c r="D432" t="n">
        <v>6.6</v>
      </c>
    </row>
    <row r="433">
      <c r="A433" s="78" t="n">
        <v>27364</v>
      </c>
      <c r="B433" t="n">
        <v>61.2</v>
      </c>
      <c r="C433" t="n">
        <v>77652</v>
      </c>
      <c r="D433" t="n">
        <v>7.2</v>
      </c>
    </row>
    <row r="434">
      <c r="A434" s="78" t="n">
        <v>27395</v>
      </c>
      <c r="B434" t="n">
        <v>61.4</v>
      </c>
      <c r="C434" t="n">
        <v>77293</v>
      </c>
      <c r="D434" t="n">
        <v>8.1</v>
      </c>
    </row>
    <row r="435">
      <c r="A435" s="78" t="n">
        <v>27426</v>
      </c>
      <c r="B435" t="n">
        <v>61</v>
      </c>
      <c r="C435" t="n">
        <v>76918</v>
      </c>
      <c r="D435" t="n">
        <v>8.1</v>
      </c>
    </row>
    <row r="436">
      <c r="A436" s="78" t="n">
        <v>27454</v>
      </c>
      <c r="B436" t="n">
        <v>61.2</v>
      </c>
      <c r="C436" t="n">
        <v>76648</v>
      </c>
      <c r="D436" t="n">
        <v>8.6</v>
      </c>
    </row>
    <row r="437">
      <c r="A437" s="78" t="n">
        <v>27485</v>
      </c>
      <c r="B437" t="n">
        <v>61.3</v>
      </c>
      <c r="C437" t="n">
        <v>76460</v>
      </c>
      <c r="D437" t="n">
        <v>8.800000000000001</v>
      </c>
    </row>
    <row r="438">
      <c r="A438" s="78" t="n">
        <v>27515</v>
      </c>
      <c r="B438" t="n">
        <v>61.5</v>
      </c>
      <c r="C438" t="n">
        <v>76624</v>
      </c>
      <c r="D438" t="n">
        <v>9</v>
      </c>
    </row>
    <row r="439">
      <c r="A439" s="78" t="n">
        <v>27546</v>
      </c>
      <c r="B439" t="n">
        <v>61.2</v>
      </c>
      <c r="C439" t="n">
        <v>76521</v>
      </c>
      <c r="D439" t="n">
        <v>8.800000000000001</v>
      </c>
    </row>
    <row r="440">
      <c r="A440" s="78" t="n">
        <v>27576</v>
      </c>
      <c r="B440" t="n">
        <v>61.3</v>
      </c>
      <c r="C440" t="n">
        <v>76770</v>
      </c>
      <c r="D440" t="n">
        <v>8.6</v>
      </c>
    </row>
    <row r="441">
      <c r="A441" s="78" t="n">
        <v>27607</v>
      </c>
      <c r="B441" t="n">
        <v>61.3</v>
      </c>
      <c r="C441" t="n">
        <v>77153</v>
      </c>
      <c r="D441" t="n">
        <v>8.4</v>
      </c>
    </row>
    <row r="442">
      <c r="A442" s="78" t="n">
        <v>27638</v>
      </c>
      <c r="B442" t="n">
        <v>61.2</v>
      </c>
      <c r="C442" t="n">
        <v>77228</v>
      </c>
      <c r="D442" t="n">
        <v>8.4</v>
      </c>
    </row>
    <row r="443">
      <c r="A443" s="78" t="n">
        <v>27668</v>
      </c>
      <c r="B443" t="n">
        <v>61.2</v>
      </c>
      <c r="C443" t="n">
        <v>77540</v>
      </c>
      <c r="D443" t="n">
        <v>8.4</v>
      </c>
    </row>
    <row r="444">
      <c r="A444" s="78" t="n">
        <v>27699</v>
      </c>
      <c r="B444" t="n">
        <v>61.1</v>
      </c>
      <c r="C444" t="n">
        <v>77685</v>
      </c>
      <c r="D444" t="n">
        <v>8.300000000000001</v>
      </c>
    </row>
    <row r="445">
      <c r="A445" s="78" t="n">
        <v>27729</v>
      </c>
      <c r="B445" t="n">
        <v>61.1</v>
      </c>
      <c r="C445" t="n">
        <v>78017</v>
      </c>
      <c r="D445" t="n">
        <v>8.199999999999999</v>
      </c>
    </row>
    <row r="446">
      <c r="A446" s="78" t="n">
        <v>27760</v>
      </c>
      <c r="B446" t="n">
        <v>61.3</v>
      </c>
      <c r="C446" t="n">
        <v>78503</v>
      </c>
      <c r="D446" t="n">
        <v>7.9</v>
      </c>
    </row>
    <row r="447">
      <c r="A447" s="78" t="n">
        <v>27791</v>
      </c>
      <c r="B447" t="n">
        <v>61.3</v>
      </c>
      <c r="C447" t="n">
        <v>78816</v>
      </c>
      <c r="D447" t="n">
        <v>7.7</v>
      </c>
    </row>
    <row r="448">
      <c r="A448" s="78" t="n">
        <v>27820</v>
      </c>
      <c r="B448" t="n">
        <v>61.3</v>
      </c>
      <c r="C448" t="n">
        <v>79048</v>
      </c>
      <c r="D448" t="n">
        <v>7.6</v>
      </c>
    </row>
    <row r="449">
      <c r="A449" s="78" t="n">
        <v>27851</v>
      </c>
      <c r="B449" t="n">
        <v>61.6</v>
      </c>
      <c r="C449" t="n">
        <v>79292</v>
      </c>
      <c r="D449" t="n">
        <v>7.7</v>
      </c>
    </row>
    <row r="450">
      <c r="A450" s="78" t="n">
        <v>27881</v>
      </c>
      <c r="B450" t="n">
        <v>61.5</v>
      </c>
      <c r="C450" t="n">
        <v>79312</v>
      </c>
      <c r="D450" t="n">
        <v>7.4</v>
      </c>
    </row>
    <row r="451">
      <c r="A451" s="78" t="n">
        <v>27912</v>
      </c>
      <c r="B451" t="n">
        <v>61.5</v>
      </c>
      <c r="C451" t="n">
        <v>79376</v>
      </c>
      <c r="D451" t="n">
        <v>7.6</v>
      </c>
    </row>
    <row r="452">
      <c r="A452" s="78" t="n">
        <v>27942</v>
      </c>
      <c r="B452" t="n">
        <v>61.8</v>
      </c>
      <c r="C452" t="n">
        <v>79547</v>
      </c>
      <c r="D452" t="n">
        <v>7.8</v>
      </c>
    </row>
    <row r="453">
      <c r="A453" s="78" t="n">
        <v>27973</v>
      </c>
      <c r="B453" t="n">
        <v>61.8</v>
      </c>
      <c r="C453" t="n">
        <v>79704</v>
      </c>
      <c r="D453" t="n">
        <v>7.8</v>
      </c>
    </row>
    <row r="454">
      <c r="A454" s="78" t="n">
        <v>28004</v>
      </c>
      <c r="B454" t="n">
        <v>61.6</v>
      </c>
      <c r="C454" t="n">
        <v>79892</v>
      </c>
      <c r="D454" t="n">
        <v>7.6</v>
      </c>
    </row>
    <row r="455">
      <c r="A455" s="78" t="n">
        <v>28034</v>
      </c>
      <c r="B455" t="n">
        <v>61.6</v>
      </c>
      <c r="C455" t="n">
        <v>79911</v>
      </c>
      <c r="D455" t="n">
        <v>7.7</v>
      </c>
    </row>
    <row r="456">
      <c r="A456" s="78" t="n">
        <v>28065</v>
      </c>
      <c r="B456" t="n">
        <v>61.9</v>
      </c>
      <c r="C456" t="n">
        <v>80240</v>
      </c>
      <c r="D456" t="n">
        <v>7.8</v>
      </c>
    </row>
    <row r="457">
      <c r="A457" s="78" t="n">
        <v>28095</v>
      </c>
      <c r="B457" t="n">
        <v>61.8</v>
      </c>
      <c r="C457" t="n">
        <v>80448</v>
      </c>
      <c r="D457" t="n">
        <v>7.8</v>
      </c>
    </row>
    <row r="458">
      <c r="A458" s="78" t="n">
        <v>28126</v>
      </c>
      <c r="B458" t="n">
        <v>61.6</v>
      </c>
      <c r="C458" t="n">
        <v>80690</v>
      </c>
      <c r="D458" t="n">
        <v>7.5</v>
      </c>
    </row>
    <row r="459">
      <c r="A459" s="78" t="n">
        <v>28157</v>
      </c>
      <c r="B459" t="n">
        <v>61.9</v>
      </c>
      <c r="C459" t="n">
        <v>80988</v>
      </c>
      <c r="D459" t="n">
        <v>7.6</v>
      </c>
    </row>
    <row r="460">
      <c r="A460" s="78" t="n">
        <v>28185</v>
      </c>
      <c r="B460" t="n">
        <v>62</v>
      </c>
      <c r="C460" t="n">
        <v>81391</v>
      </c>
      <c r="D460" t="n">
        <v>7.4</v>
      </c>
    </row>
    <row r="461">
      <c r="A461" s="78" t="n">
        <v>28216</v>
      </c>
      <c r="B461" t="n">
        <v>62.1</v>
      </c>
      <c r="C461" t="n">
        <v>81728</v>
      </c>
      <c r="D461" t="n">
        <v>7.2</v>
      </c>
    </row>
    <row r="462">
      <c r="A462" s="78" t="n">
        <v>28246</v>
      </c>
      <c r="B462" t="n">
        <v>62.2</v>
      </c>
      <c r="C462" t="n">
        <v>82088</v>
      </c>
      <c r="D462" t="n">
        <v>7</v>
      </c>
    </row>
    <row r="463">
      <c r="A463" s="78" t="n">
        <v>28277</v>
      </c>
      <c r="B463" t="n">
        <v>62.4</v>
      </c>
      <c r="C463" t="n">
        <v>82488</v>
      </c>
      <c r="D463" t="n">
        <v>7.2</v>
      </c>
    </row>
    <row r="464">
      <c r="A464" s="78" t="n">
        <v>28307</v>
      </c>
      <c r="B464" t="n">
        <v>62.1</v>
      </c>
      <c r="C464" t="n">
        <v>82834</v>
      </c>
      <c r="D464" t="n">
        <v>6.9</v>
      </c>
    </row>
    <row r="465">
      <c r="A465" s="78" t="n">
        <v>28338</v>
      </c>
      <c r="B465" t="n">
        <v>62.3</v>
      </c>
      <c r="C465" t="n">
        <v>83075</v>
      </c>
      <c r="D465" t="n">
        <v>7</v>
      </c>
    </row>
    <row r="466">
      <c r="A466" s="78" t="n">
        <v>28369</v>
      </c>
      <c r="B466" t="n">
        <v>62.3</v>
      </c>
      <c r="C466" t="n">
        <v>83532</v>
      </c>
      <c r="D466" t="n">
        <v>6.8</v>
      </c>
    </row>
    <row r="467">
      <c r="A467" s="78" t="n">
        <v>28399</v>
      </c>
      <c r="B467" t="n">
        <v>62.4</v>
      </c>
      <c r="C467" t="n">
        <v>83800</v>
      </c>
      <c r="D467" t="n">
        <v>6.8</v>
      </c>
    </row>
    <row r="468">
      <c r="A468" s="78" t="n">
        <v>28430</v>
      </c>
      <c r="B468" t="n">
        <v>62.8</v>
      </c>
      <c r="C468" t="n">
        <v>84173</v>
      </c>
      <c r="D468" t="n">
        <v>6.8</v>
      </c>
    </row>
    <row r="469">
      <c r="A469" s="78" t="n">
        <v>28460</v>
      </c>
      <c r="B469" t="n">
        <v>62.7</v>
      </c>
      <c r="C469" t="n">
        <v>84410</v>
      </c>
      <c r="D469" t="n">
        <v>6.4</v>
      </c>
    </row>
    <row r="470">
      <c r="A470" s="78" t="n">
        <v>28491</v>
      </c>
      <c r="B470" t="n">
        <v>62.8</v>
      </c>
      <c r="C470" t="n">
        <v>84594</v>
      </c>
      <c r="D470" t="n">
        <v>6.4</v>
      </c>
    </row>
    <row r="471">
      <c r="A471" s="78" t="n">
        <v>28522</v>
      </c>
      <c r="B471" t="n">
        <v>62.7</v>
      </c>
      <c r="C471" t="n">
        <v>84948</v>
      </c>
      <c r="D471" t="n">
        <v>6.3</v>
      </c>
    </row>
    <row r="472">
      <c r="A472" s="78" t="n">
        <v>28550</v>
      </c>
      <c r="B472" t="n">
        <v>62.8</v>
      </c>
      <c r="C472" t="n">
        <v>85460</v>
      </c>
      <c r="D472" t="n">
        <v>6.3</v>
      </c>
    </row>
    <row r="473">
      <c r="A473" s="78" t="n">
        <v>28581</v>
      </c>
      <c r="B473" t="n">
        <v>63</v>
      </c>
      <c r="C473" t="n">
        <v>86162</v>
      </c>
      <c r="D473" t="n">
        <v>6.1</v>
      </c>
    </row>
    <row r="474">
      <c r="A474" s="78" t="n">
        <v>28611</v>
      </c>
      <c r="B474" t="n">
        <v>63.1</v>
      </c>
      <c r="C474" t="n">
        <v>86509</v>
      </c>
      <c r="D474" t="n">
        <v>6</v>
      </c>
    </row>
    <row r="475">
      <c r="A475" s="78" t="n">
        <v>28642</v>
      </c>
      <c r="B475" t="n">
        <v>63.3</v>
      </c>
      <c r="C475" t="n">
        <v>86950</v>
      </c>
      <c r="D475" t="n">
        <v>5.9</v>
      </c>
    </row>
    <row r="476">
      <c r="A476" s="78" t="n">
        <v>28672</v>
      </c>
      <c r="B476" t="n">
        <v>63.2</v>
      </c>
      <c r="C476" t="n">
        <v>87204</v>
      </c>
      <c r="D476" t="n">
        <v>6.2</v>
      </c>
    </row>
    <row r="477">
      <c r="A477" s="78" t="n">
        <v>28703</v>
      </c>
      <c r="B477" t="n">
        <v>63.2</v>
      </c>
      <c r="C477" t="n">
        <v>87483</v>
      </c>
      <c r="D477" t="n">
        <v>5.9</v>
      </c>
    </row>
    <row r="478">
      <c r="A478" s="78" t="n">
        <v>28734</v>
      </c>
      <c r="B478" t="n">
        <v>63.3</v>
      </c>
      <c r="C478" t="n">
        <v>87621</v>
      </c>
      <c r="D478" t="n">
        <v>6</v>
      </c>
    </row>
    <row r="479">
      <c r="A479" s="78" t="n">
        <v>28764</v>
      </c>
      <c r="B479" t="n">
        <v>63.3</v>
      </c>
      <c r="C479" t="n">
        <v>87956</v>
      </c>
      <c r="D479" t="n">
        <v>5.8</v>
      </c>
    </row>
    <row r="480">
      <c r="A480" s="78" t="n">
        <v>28795</v>
      </c>
      <c r="B480" t="n">
        <v>63.5</v>
      </c>
      <c r="C480" t="n">
        <v>88391</v>
      </c>
      <c r="D480" t="n">
        <v>5.9</v>
      </c>
    </row>
    <row r="481">
      <c r="A481" s="78" t="n">
        <v>28825</v>
      </c>
      <c r="B481" t="n">
        <v>63.6</v>
      </c>
      <c r="C481" t="n">
        <v>88671</v>
      </c>
      <c r="D481" t="n">
        <v>6</v>
      </c>
    </row>
    <row r="482">
      <c r="A482" s="78" t="n">
        <v>28856</v>
      </c>
      <c r="B482" t="n">
        <v>63.6</v>
      </c>
      <c r="C482" t="n">
        <v>88808</v>
      </c>
      <c r="D482" t="n">
        <v>5.9</v>
      </c>
    </row>
    <row r="483">
      <c r="A483" s="78" t="n">
        <v>28887</v>
      </c>
      <c r="B483" t="n">
        <v>63.8</v>
      </c>
      <c r="C483" t="n">
        <v>89055</v>
      </c>
      <c r="D483" t="n">
        <v>5.9</v>
      </c>
    </row>
    <row r="484">
      <c r="A484" s="78" t="n">
        <v>28915</v>
      </c>
      <c r="B484" t="n">
        <v>63.8</v>
      </c>
      <c r="C484" t="n">
        <v>89479</v>
      </c>
      <c r="D484" t="n">
        <v>5.8</v>
      </c>
    </row>
    <row r="485">
      <c r="A485" s="78" t="n">
        <v>28946</v>
      </c>
      <c r="B485" t="n">
        <v>63.5</v>
      </c>
      <c r="C485" t="n">
        <v>89417</v>
      </c>
      <c r="D485" t="n">
        <v>5.8</v>
      </c>
    </row>
    <row r="486">
      <c r="A486" s="78" t="n">
        <v>28976</v>
      </c>
      <c r="B486" t="n">
        <v>63.3</v>
      </c>
      <c r="C486" t="n">
        <v>89789</v>
      </c>
      <c r="D486" t="n">
        <v>5.6</v>
      </c>
    </row>
    <row r="487">
      <c r="A487" s="78" t="n">
        <v>29007</v>
      </c>
      <c r="B487" t="n">
        <v>63.5</v>
      </c>
      <c r="C487" t="n">
        <v>90108</v>
      </c>
      <c r="D487" t="n">
        <v>5.7</v>
      </c>
    </row>
    <row r="488">
      <c r="A488" s="78" t="n">
        <v>29037</v>
      </c>
      <c r="B488" t="n">
        <v>63.6</v>
      </c>
      <c r="C488" t="n">
        <v>90217</v>
      </c>
      <c r="D488" t="n">
        <v>5.7</v>
      </c>
    </row>
    <row r="489">
      <c r="A489" s="78" t="n">
        <v>29068</v>
      </c>
      <c r="B489" t="n">
        <v>63.6</v>
      </c>
      <c r="C489" t="n">
        <v>90300</v>
      </c>
      <c r="D489" t="n">
        <v>6</v>
      </c>
    </row>
    <row r="490">
      <c r="A490" s="78" t="n">
        <v>29099</v>
      </c>
      <c r="B490" t="n">
        <v>63.8</v>
      </c>
      <c r="C490" t="n">
        <v>90327</v>
      </c>
      <c r="D490" t="n">
        <v>5.9</v>
      </c>
    </row>
    <row r="491">
      <c r="A491" s="78" t="n">
        <v>29129</v>
      </c>
      <c r="B491" t="n">
        <v>63.7</v>
      </c>
      <c r="C491" t="n">
        <v>90481</v>
      </c>
      <c r="D491" t="n">
        <v>6</v>
      </c>
    </row>
    <row r="492">
      <c r="A492" s="78" t="n">
        <v>29160</v>
      </c>
      <c r="B492" t="n">
        <v>63.7</v>
      </c>
      <c r="C492" t="n">
        <v>90573</v>
      </c>
      <c r="D492" t="n">
        <v>5.9</v>
      </c>
    </row>
    <row r="493">
      <c r="A493" s="78" t="n">
        <v>29190</v>
      </c>
      <c r="B493" t="n">
        <v>63.9</v>
      </c>
      <c r="C493" t="n">
        <v>90672</v>
      </c>
      <c r="D493" t="n">
        <v>6</v>
      </c>
    </row>
    <row r="494">
      <c r="A494" s="78" t="n">
        <v>29221</v>
      </c>
      <c r="B494" t="n">
        <v>64</v>
      </c>
      <c r="C494" t="n">
        <v>90800</v>
      </c>
      <c r="D494" t="n">
        <v>6.3</v>
      </c>
    </row>
    <row r="495">
      <c r="A495" s="78" t="n">
        <v>29252</v>
      </c>
      <c r="B495" t="n">
        <v>64</v>
      </c>
      <c r="C495" t="n">
        <v>90883</v>
      </c>
      <c r="D495" t="n">
        <v>6.3</v>
      </c>
    </row>
    <row r="496">
      <c r="A496" s="78" t="n">
        <v>29281</v>
      </c>
      <c r="B496" t="n">
        <v>63.7</v>
      </c>
      <c r="C496" t="n">
        <v>90994</v>
      </c>
      <c r="D496" t="n">
        <v>6.3</v>
      </c>
    </row>
    <row r="497">
      <c r="A497" s="78" t="n">
        <v>29312</v>
      </c>
      <c r="B497" t="n">
        <v>63.8</v>
      </c>
      <c r="C497" t="n">
        <v>90849</v>
      </c>
      <c r="D497" t="n">
        <v>6.9</v>
      </c>
    </row>
    <row r="498">
      <c r="A498" s="78" t="n">
        <v>29342</v>
      </c>
      <c r="B498" t="n">
        <v>63.9</v>
      </c>
      <c r="C498" t="n">
        <v>90420</v>
      </c>
      <c r="D498" t="n">
        <v>7.5</v>
      </c>
    </row>
    <row r="499">
      <c r="A499" s="78" t="n">
        <v>29373</v>
      </c>
      <c r="B499" t="n">
        <v>63.7</v>
      </c>
      <c r="C499" t="n">
        <v>90101</v>
      </c>
      <c r="D499" t="n">
        <v>7.6</v>
      </c>
    </row>
    <row r="500">
      <c r="A500" s="78" t="n">
        <v>29403</v>
      </c>
      <c r="B500" t="n">
        <v>63.8</v>
      </c>
      <c r="C500" t="n">
        <v>89840</v>
      </c>
      <c r="D500" t="n">
        <v>7.8</v>
      </c>
    </row>
    <row r="501">
      <c r="A501" s="78" t="n">
        <v>29434</v>
      </c>
      <c r="B501" t="n">
        <v>63.7</v>
      </c>
      <c r="C501" t="n">
        <v>90099</v>
      </c>
      <c r="D501" t="n">
        <v>7.7</v>
      </c>
    </row>
    <row r="502">
      <c r="A502" s="78" t="n">
        <v>29465</v>
      </c>
      <c r="B502" t="n">
        <v>63.6</v>
      </c>
      <c r="C502" t="n">
        <v>90213</v>
      </c>
      <c r="D502" t="n">
        <v>7.5</v>
      </c>
    </row>
    <row r="503">
      <c r="A503" s="78" t="n">
        <v>29495</v>
      </c>
      <c r="B503" t="n">
        <v>63.7</v>
      </c>
      <c r="C503" t="n">
        <v>90490</v>
      </c>
      <c r="D503" t="n">
        <v>7.5</v>
      </c>
    </row>
    <row r="504">
      <c r="A504" s="78" t="n">
        <v>29526</v>
      </c>
      <c r="B504" t="n">
        <v>63.8</v>
      </c>
      <c r="C504" t="n">
        <v>90747</v>
      </c>
      <c r="D504" t="n">
        <v>7.5</v>
      </c>
    </row>
    <row r="505">
      <c r="A505" s="78" t="n">
        <v>29556</v>
      </c>
      <c r="B505" t="n">
        <v>63.6</v>
      </c>
      <c r="C505" t="n">
        <v>90943</v>
      </c>
      <c r="D505" t="n">
        <v>7.2</v>
      </c>
    </row>
    <row r="506">
      <c r="A506" s="78" t="n">
        <v>29587</v>
      </c>
      <c r="B506" t="n">
        <v>63.9</v>
      </c>
      <c r="C506" t="n">
        <v>91033</v>
      </c>
      <c r="D506" t="n">
        <v>7.5</v>
      </c>
    </row>
    <row r="507">
      <c r="A507" s="78" t="n">
        <v>29618</v>
      </c>
      <c r="B507" t="n">
        <v>63.9</v>
      </c>
      <c r="C507" t="n">
        <v>91105</v>
      </c>
      <c r="D507" t="n">
        <v>7.4</v>
      </c>
    </row>
    <row r="508">
      <c r="A508" s="78" t="n">
        <v>29646</v>
      </c>
      <c r="B508" t="n">
        <v>64.09999999999999</v>
      </c>
      <c r="C508" t="n">
        <v>91210</v>
      </c>
      <c r="D508" t="n">
        <v>7.4</v>
      </c>
    </row>
    <row r="509">
      <c r="A509" s="78" t="n">
        <v>29677</v>
      </c>
      <c r="B509" t="n">
        <v>64.2</v>
      </c>
      <c r="C509" t="n">
        <v>91283</v>
      </c>
      <c r="D509" t="n">
        <v>7.2</v>
      </c>
    </row>
    <row r="510">
      <c r="A510" s="78" t="n">
        <v>29707</v>
      </c>
      <c r="B510" t="n">
        <v>64.3</v>
      </c>
      <c r="C510" t="n">
        <v>91296</v>
      </c>
      <c r="D510" t="n">
        <v>7.5</v>
      </c>
    </row>
    <row r="511">
      <c r="A511" s="78" t="n">
        <v>29738</v>
      </c>
      <c r="B511" t="n">
        <v>63.7</v>
      </c>
      <c r="C511" t="n">
        <v>91490</v>
      </c>
      <c r="D511" t="n">
        <v>7.5</v>
      </c>
    </row>
    <row r="512">
      <c r="A512" s="78" t="n">
        <v>29768</v>
      </c>
      <c r="B512" t="n">
        <v>63.8</v>
      </c>
      <c r="C512" t="n">
        <v>91601</v>
      </c>
      <c r="D512" t="n">
        <v>7.2</v>
      </c>
    </row>
    <row r="513">
      <c r="A513" s="78" t="n">
        <v>29799</v>
      </c>
      <c r="B513" t="n">
        <v>63.8</v>
      </c>
      <c r="C513" t="n">
        <v>91565</v>
      </c>
      <c r="D513" t="n">
        <v>7.4</v>
      </c>
    </row>
    <row r="514">
      <c r="A514" s="78" t="n">
        <v>29830</v>
      </c>
      <c r="B514" t="n">
        <v>63.5</v>
      </c>
      <c r="C514" t="n">
        <v>91477</v>
      </c>
      <c r="D514" t="n">
        <v>7.6</v>
      </c>
    </row>
    <row r="515">
      <c r="A515" s="78" t="n">
        <v>29860</v>
      </c>
      <c r="B515" t="n">
        <v>63.8</v>
      </c>
      <c r="C515" t="n">
        <v>91380</v>
      </c>
      <c r="D515" t="n">
        <v>7.9</v>
      </c>
    </row>
    <row r="516">
      <c r="A516" s="78" t="n">
        <v>29891</v>
      </c>
      <c r="B516" t="n">
        <v>63.9</v>
      </c>
      <c r="C516" t="n">
        <v>91171</v>
      </c>
      <c r="D516" t="n">
        <v>8.300000000000001</v>
      </c>
    </row>
    <row r="517">
      <c r="A517" s="78" t="n">
        <v>29921</v>
      </c>
      <c r="B517" t="n">
        <v>63.6</v>
      </c>
      <c r="C517" t="n">
        <v>90895</v>
      </c>
      <c r="D517" t="n">
        <v>8.5</v>
      </c>
    </row>
    <row r="518">
      <c r="A518" s="78" t="n">
        <v>29952</v>
      </c>
      <c r="B518" t="n">
        <v>63.7</v>
      </c>
      <c r="C518" t="n">
        <v>90565</v>
      </c>
      <c r="D518" t="n">
        <v>8.6</v>
      </c>
    </row>
    <row r="519">
      <c r="A519" s="78" t="n">
        <v>29983</v>
      </c>
      <c r="B519" t="n">
        <v>63.8</v>
      </c>
      <c r="C519" t="n">
        <v>90563</v>
      </c>
      <c r="D519" t="n">
        <v>8.9</v>
      </c>
    </row>
    <row r="520">
      <c r="A520" s="78" t="n">
        <v>30011</v>
      </c>
      <c r="B520" t="n">
        <v>63.8</v>
      </c>
      <c r="C520" t="n">
        <v>90434</v>
      </c>
      <c r="D520" t="n">
        <v>9</v>
      </c>
    </row>
    <row r="521">
      <c r="A521" s="78" t="n">
        <v>30042</v>
      </c>
      <c r="B521" t="n">
        <v>63.9</v>
      </c>
      <c r="C521" t="n">
        <v>90150</v>
      </c>
      <c r="D521" t="n">
        <v>9.300000000000001</v>
      </c>
    </row>
    <row r="522">
      <c r="A522" s="78" t="n">
        <v>30072</v>
      </c>
      <c r="B522" t="n">
        <v>64.2</v>
      </c>
      <c r="C522" t="n">
        <v>90107</v>
      </c>
      <c r="D522" t="n">
        <v>9.4</v>
      </c>
    </row>
    <row r="523">
      <c r="A523" s="78" t="n">
        <v>30103</v>
      </c>
      <c r="B523" t="n">
        <v>63.9</v>
      </c>
      <c r="C523" t="n">
        <v>89865</v>
      </c>
      <c r="D523" t="n">
        <v>9.6</v>
      </c>
    </row>
    <row r="524">
      <c r="A524" s="78" t="n">
        <v>30133</v>
      </c>
      <c r="B524" t="n">
        <v>64</v>
      </c>
      <c r="C524" t="n">
        <v>89521</v>
      </c>
      <c r="D524" t="n">
        <v>9.800000000000001</v>
      </c>
    </row>
    <row r="525">
      <c r="A525" s="78" t="n">
        <v>30164</v>
      </c>
      <c r="B525" t="n">
        <v>64.09999999999999</v>
      </c>
      <c r="C525" t="n">
        <v>89363</v>
      </c>
      <c r="D525" t="n">
        <v>9.800000000000001</v>
      </c>
    </row>
    <row r="526">
      <c r="A526" s="78" t="n">
        <v>30195</v>
      </c>
      <c r="B526" t="n">
        <v>64.09999999999999</v>
      </c>
      <c r="C526" t="n">
        <v>89183</v>
      </c>
      <c r="D526" t="n">
        <v>10.1</v>
      </c>
    </row>
    <row r="527">
      <c r="A527" s="78" t="n">
        <v>30225</v>
      </c>
      <c r="B527" t="n">
        <v>64.09999999999999</v>
      </c>
      <c r="C527" t="n">
        <v>88907</v>
      </c>
      <c r="D527" t="n">
        <v>10.4</v>
      </c>
    </row>
    <row r="528">
      <c r="A528" s="78" t="n">
        <v>30256</v>
      </c>
      <c r="B528" t="n">
        <v>64.2</v>
      </c>
      <c r="C528" t="n">
        <v>88786</v>
      </c>
      <c r="D528" t="n">
        <v>10.8</v>
      </c>
    </row>
    <row r="529">
      <c r="A529" s="78" t="n">
        <v>30286</v>
      </c>
      <c r="B529" t="n">
        <v>64.09999999999999</v>
      </c>
      <c r="C529" t="n">
        <v>88771</v>
      </c>
      <c r="D529" t="n">
        <v>10.8</v>
      </c>
    </row>
    <row r="530">
      <c r="A530" s="78" t="n">
        <v>30317</v>
      </c>
      <c r="B530" t="n">
        <v>63.9</v>
      </c>
      <c r="C530" t="n">
        <v>88990</v>
      </c>
      <c r="D530" t="n">
        <v>10.4</v>
      </c>
    </row>
    <row r="531">
      <c r="A531" s="78" t="n">
        <v>30348</v>
      </c>
      <c r="B531" t="n">
        <v>63.8</v>
      </c>
      <c r="C531" t="n">
        <v>88917</v>
      </c>
      <c r="D531" t="n">
        <v>10.4</v>
      </c>
    </row>
    <row r="532">
      <c r="A532" s="78" t="n">
        <v>30376</v>
      </c>
      <c r="B532" t="n">
        <v>63.7</v>
      </c>
      <c r="C532" t="n">
        <v>89090</v>
      </c>
      <c r="D532" t="n">
        <v>10.3</v>
      </c>
    </row>
    <row r="533">
      <c r="A533" s="78" t="n">
        <v>30407</v>
      </c>
      <c r="B533" t="n">
        <v>63.8</v>
      </c>
      <c r="C533" t="n">
        <v>89364</v>
      </c>
      <c r="D533" t="n">
        <v>10.2</v>
      </c>
    </row>
    <row r="534">
      <c r="A534" s="78" t="n">
        <v>30437</v>
      </c>
      <c r="B534" t="n">
        <v>63.7</v>
      </c>
      <c r="C534" t="n">
        <v>89644</v>
      </c>
      <c r="D534" t="n">
        <v>10.1</v>
      </c>
    </row>
    <row r="535">
      <c r="A535" s="78" t="n">
        <v>30468</v>
      </c>
      <c r="B535" t="n">
        <v>64.3</v>
      </c>
      <c r="C535" t="n">
        <v>90021</v>
      </c>
      <c r="D535" t="n">
        <v>10.1</v>
      </c>
    </row>
    <row r="536">
      <c r="A536" s="78" t="n">
        <v>30498</v>
      </c>
      <c r="B536" t="n">
        <v>64.09999999999999</v>
      </c>
      <c r="C536" t="n">
        <v>90437</v>
      </c>
      <c r="D536" t="n">
        <v>9.4</v>
      </c>
    </row>
    <row r="537">
      <c r="A537" s="78" t="n">
        <v>30529</v>
      </c>
      <c r="B537" t="n">
        <v>64.3</v>
      </c>
      <c r="C537" t="n">
        <v>90129</v>
      </c>
      <c r="D537" t="n">
        <v>9.5</v>
      </c>
    </row>
    <row r="538">
      <c r="A538" s="78" t="n">
        <v>30560</v>
      </c>
      <c r="B538" t="n">
        <v>64.3</v>
      </c>
      <c r="C538" t="n">
        <v>91247</v>
      </c>
      <c r="D538" t="n">
        <v>9.199999999999999</v>
      </c>
    </row>
    <row r="539">
      <c r="A539" s="78" t="n">
        <v>30590</v>
      </c>
      <c r="B539" t="n">
        <v>64</v>
      </c>
      <c r="C539" t="n">
        <v>91520</v>
      </c>
      <c r="D539" t="n">
        <v>8.800000000000001</v>
      </c>
    </row>
    <row r="540">
      <c r="A540" s="78" t="n">
        <v>30621</v>
      </c>
      <c r="B540" t="n">
        <v>64.09999999999999</v>
      </c>
      <c r="C540" t="n">
        <v>91875</v>
      </c>
      <c r="D540" t="n">
        <v>8.5</v>
      </c>
    </row>
    <row r="541">
      <c r="A541" s="78" t="n">
        <v>30651</v>
      </c>
      <c r="B541" t="n">
        <v>64.09999999999999</v>
      </c>
      <c r="C541" t="n">
        <v>92230</v>
      </c>
      <c r="D541" t="n">
        <v>8.300000000000001</v>
      </c>
    </row>
    <row r="542">
      <c r="A542" s="78" t="n">
        <v>30682</v>
      </c>
      <c r="B542" t="n">
        <v>63.9</v>
      </c>
      <c r="C542" t="n">
        <v>92673</v>
      </c>
      <c r="D542" t="n">
        <v>8</v>
      </c>
    </row>
    <row r="543">
      <c r="A543" s="78" t="n">
        <v>30713</v>
      </c>
      <c r="B543" t="n">
        <v>64.09999999999999</v>
      </c>
      <c r="C543" t="n">
        <v>93157</v>
      </c>
      <c r="D543" t="n">
        <v>7.8</v>
      </c>
    </row>
    <row r="544">
      <c r="A544" s="78" t="n">
        <v>30742</v>
      </c>
      <c r="B544" t="n">
        <v>64.09999999999999</v>
      </c>
      <c r="C544" t="n">
        <v>93429</v>
      </c>
      <c r="D544" t="n">
        <v>7.8</v>
      </c>
    </row>
    <row r="545">
      <c r="A545" s="78" t="n">
        <v>30773</v>
      </c>
      <c r="B545" t="n">
        <v>64.3</v>
      </c>
      <c r="C545" t="n">
        <v>93792</v>
      </c>
      <c r="D545" t="n">
        <v>7.7</v>
      </c>
    </row>
    <row r="546">
      <c r="A546" s="78" t="n">
        <v>30803</v>
      </c>
      <c r="B546" t="n">
        <v>64.5</v>
      </c>
      <c r="C546" t="n">
        <v>94098</v>
      </c>
      <c r="D546" t="n">
        <v>7.4</v>
      </c>
    </row>
    <row r="547">
      <c r="A547" s="78" t="n">
        <v>30834</v>
      </c>
      <c r="B547" t="n">
        <v>64.59999999999999</v>
      </c>
      <c r="C547" t="n">
        <v>94479</v>
      </c>
      <c r="D547" t="n">
        <v>7.2</v>
      </c>
    </row>
    <row r="548">
      <c r="A548" s="78" t="n">
        <v>30864</v>
      </c>
      <c r="B548" t="n">
        <v>64.59999999999999</v>
      </c>
      <c r="C548" t="n">
        <v>94789</v>
      </c>
      <c r="D548" t="n">
        <v>7.5</v>
      </c>
    </row>
    <row r="549">
      <c r="A549" s="78" t="n">
        <v>30895</v>
      </c>
      <c r="B549" t="n">
        <v>64.40000000000001</v>
      </c>
      <c r="C549" t="n">
        <v>95032</v>
      </c>
      <c r="D549" t="n">
        <v>7.5</v>
      </c>
    </row>
    <row r="550">
      <c r="A550" s="78" t="n">
        <v>30926</v>
      </c>
      <c r="B550" t="n">
        <v>64.40000000000001</v>
      </c>
      <c r="C550" t="n">
        <v>95344</v>
      </c>
      <c r="D550" t="n">
        <v>7.3</v>
      </c>
    </row>
    <row r="551">
      <c r="A551" s="78" t="n">
        <v>30956</v>
      </c>
      <c r="B551" t="n">
        <v>64.40000000000001</v>
      </c>
      <c r="C551" t="n">
        <v>95629</v>
      </c>
      <c r="D551" t="n">
        <v>7.4</v>
      </c>
    </row>
    <row r="552">
      <c r="A552" s="78" t="n">
        <v>30987</v>
      </c>
      <c r="B552" t="n">
        <v>64.5</v>
      </c>
      <c r="C552" t="n">
        <v>95982</v>
      </c>
      <c r="D552" t="n">
        <v>7.2</v>
      </c>
    </row>
    <row r="553">
      <c r="A553" s="78" t="n">
        <v>31017</v>
      </c>
      <c r="B553" t="n">
        <v>64.59999999999999</v>
      </c>
      <c r="C553" t="n">
        <v>96107</v>
      </c>
      <c r="D553" t="n">
        <v>7.3</v>
      </c>
    </row>
    <row r="554">
      <c r="A554" s="78" t="n">
        <v>31048</v>
      </c>
      <c r="B554" t="n">
        <v>64.7</v>
      </c>
      <c r="C554" t="n">
        <v>96372</v>
      </c>
      <c r="D554" t="n">
        <v>7.3</v>
      </c>
    </row>
    <row r="555">
      <c r="A555" s="78" t="n">
        <v>31079</v>
      </c>
      <c r="B555" t="n">
        <v>64.7</v>
      </c>
      <c r="C555" t="n">
        <v>96503</v>
      </c>
      <c r="D555" t="n">
        <v>7.2</v>
      </c>
    </row>
    <row r="556">
      <c r="A556" s="78" t="n">
        <v>31107</v>
      </c>
      <c r="B556" t="n">
        <v>64.90000000000001</v>
      </c>
      <c r="C556" t="n">
        <v>96842</v>
      </c>
      <c r="D556" t="n">
        <v>7.2</v>
      </c>
    </row>
    <row r="557">
      <c r="A557" s="78" t="n">
        <v>31138</v>
      </c>
      <c r="B557" t="n">
        <v>64.90000000000001</v>
      </c>
      <c r="C557" t="n">
        <v>97038</v>
      </c>
      <c r="D557" t="n">
        <v>7.3</v>
      </c>
    </row>
    <row r="558">
      <c r="A558" s="78" t="n">
        <v>31168</v>
      </c>
      <c r="B558" t="n">
        <v>64.8</v>
      </c>
      <c r="C558" t="n">
        <v>97312</v>
      </c>
      <c r="D558" t="n">
        <v>7.2</v>
      </c>
    </row>
    <row r="559">
      <c r="A559" s="78" t="n">
        <v>31199</v>
      </c>
      <c r="B559" t="n">
        <v>64.59999999999999</v>
      </c>
      <c r="C559" t="n">
        <v>97459</v>
      </c>
      <c r="D559" t="n">
        <v>7.4</v>
      </c>
    </row>
    <row r="560">
      <c r="A560" s="78" t="n">
        <v>31229</v>
      </c>
      <c r="B560" t="n">
        <v>64.7</v>
      </c>
      <c r="C560" t="n">
        <v>97648</v>
      </c>
      <c r="D560" t="n">
        <v>7.4</v>
      </c>
    </row>
    <row r="561">
      <c r="A561" s="78" t="n">
        <v>31260</v>
      </c>
      <c r="B561" t="n">
        <v>64.59999999999999</v>
      </c>
      <c r="C561" t="n">
        <v>97840</v>
      </c>
      <c r="D561" t="n">
        <v>7.1</v>
      </c>
    </row>
    <row r="562">
      <c r="A562" s="78" t="n">
        <v>31291</v>
      </c>
      <c r="B562" t="n">
        <v>64.90000000000001</v>
      </c>
      <c r="C562" t="n">
        <v>98045</v>
      </c>
      <c r="D562" t="n">
        <v>7.1</v>
      </c>
    </row>
    <row r="563">
      <c r="A563" s="78" t="n">
        <v>31321</v>
      </c>
      <c r="B563" t="n">
        <v>65</v>
      </c>
      <c r="C563" t="n">
        <v>98233</v>
      </c>
      <c r="D563" t="n">
        <v>7.1</v>
      </c>
    </row>
    <row r="564">
      <c r="A564" s="78" t="n">
        <v>31352</v>
      </c>
      <c r="B564" t="n">
        <v>64.90000000000001</v>
      </c>
      <c r="C564" t="n">
        <v>98443</v>
      </c>
      <c r="D564" t="n">
        <v>7</v>
      </c>
    </row>
    <row r="565">
      <c r="A565" s="78" t="n">
        <v>31382</v>
      </c>
      <c r="B565" t="n">
        <v>65</v>
      </c>
      <c r="C565" t="n">
        <v>98609</v>
      </c>
      <c r="D565" t="n">
        <v>7</v>
      </c>
    </row>
    <row r="566">
      <c r="A566" s="78" t="n">
        <v>31413</v>
      </c>
      <c r="B566" t="n">
        <v>64.90000000000001</v>
      </c>
      <c r="C566" t="n">
        <v>98732</v>
      </c>
      <c r="D566" t="n">
        <v>6.7</v>
      </c>
    </row>
    <row r="567">
      <c r="A567" s="78" t="n">
        <v>31444</v>
      </c>
      <c r="B567" t="n">
        <v>65</v>
      </c>
      <c r="C567" t="n">
        <v>98847</v>
      </c>
      <c r="D567" t="n">
        <v>7.2</v>
      </c>
    </row>
    <row r="568">
      <c r="A568" s="78" t="n">
        <v>31472</v>
      </c>
      <c r="B568" t="n">
        <v>65.09999999999999</v>
      </c>
      <c r="C568" t="n">
        <v>98934</v>
      </c>
      <c r="D568" t="n">
        <v>7.2</v>
      </c>
    </row>
    <row r="569">
      <c r="A569" s="78" t="n">
        <v>31503</v>
      </c>
      <c r="B569" t="n">
        <v>65.09999999999999</v>
      </c>
      <c r="C569" t="n">
        <v>99121</v>
      </c>
      <c r="D569" t="n">
        <v>7.1</v>
      </c>
    </row>
    <row r="570">
      <c r="A570" s="78" t="n">
        <v>31533</v>
      </c>
      <c r="B570" t="n">
        <v>65.2</v>
      </c>
      <c r="C570" t="n">
        <v>99248</v>
      </c>
      <c r="D570" t="n">
        <v>7.2</v>
      </c>
    </row>
    <row r="571">
      <c r="A571" s="78" t="n">
        <v>31564</v>
      </c>
      <c r="B571" t="n">
        <v>65.40000000000001</v>
      </c>
      <c r="C571" t="n">
        <v>99155</v>
      </c>
      <c r="D571" t="n">
        <v>7.2</v>
      </c>
    </row>
    <row r="572">
      <c r="A572" s="78" t="n">
        <v>31594</v>
      </c>
      <c r="B572" t="n">
        <v>65.40000000000001</v>
      </c>
      <c r="C572" t="n">
        <v>99473</v>
      </c>
      <c r="D572" t="n">
        <v>7</v>
      </c>
    </row>
    <row r="573">
      <c r="A573" s="78" t="n">
        <v>31625</v>
      </c>
      <c r="B573" t="n">
        <v>65.3</v>
      </c>
      <c r="C573" t="n">
        <v>99588</v>
      </c>
      <c r="D573" t="n">
        <v>6.9</v>
      </c>
    </row>
    <row r="574">
      <c r="A574" s="78" t="n">
        <v>31656</v>
      </c>
      <c r="B574" t="n">
        <v>65.40000000000001</v>
      </c>
      <c r="C574" t="n">
        <v>99934</v>
      </c>
      <c r="D574" t="n">
        <v>7</v>
      </c>
    </row>
    <row r="575">
      <c r="A575" s="78" t="n">
        <v>31686</v>
      </c>
      <c r="B575" t="n">
        <v>65.40000000000001</v>
      </c>
      <c r="C575" t="n">
        <v>100121</v>
      </c>
      <c r="D575" t="n">
        <v>7</v>
      </c>
    </row>
    <row r="576">
      <c r="A576" s="78" t="n">
        <v>31717</v>
      </c>
      <c r="B576" t="n">
        <v>65.40000000000001</v>
      </c>
      <c r="C576" t="n">
        <v>100308</v>
      </c>
      <c r="D576" t="n">
        <v>6.9</v>
      </c>
    </row>
    <row r="577">
      <c r="A577" s="78" t="n">
        <v>31747</v>
      </c>
      <c r="B577" t="n">
        <v>65.3</v>
      </c>
      <c r="C577" t="n">
        <v>100509</v>
      </c>
      <c r="D577" t="n">
        <v>6.6</v>
      </c>
    </row>
    <row r="578">
      <c r="A578" s="78" t="n">
        <v>31778</v>
      </c>
      <c r="B578" t="n">
        <v>65.40000000000001</v>
      </c>
      <c r="C578" t="n">
        <v>100678</v>
      </c>
      <c r="D578" t="n">
        <v>6.6</v>
      </c>
    </row>
    <row r="579">
      <c r="A579" s="78" t="n">
        <v>31809</v>
      </c>
      <c r="B579" t="n">
        <v>65.5</v>
      </c>
      <c r="C579" t="n">
        <v>100919</v>
      </c>
      <c r="D579" t="n">
        <v>6.6</v>
      </c>
    </row>
    <row r="580">
      <c r="A580" s="78" t="n">
        <v>31837</v>
      </c>
      <c r="B580" t="n">
        <v>65.5</v>
      </c>
      <c r="C580" t="n">
        <v>101164</v>
      </c>
      <c r="D580" t="n">
        <v>6.6</v>
      </c>
    </row>
    <row r="581">
      <c r="A581" s="78" t="n">
        <v>31868</v>
      </c>
      <c r="B581" t="n">
        <v>65.40000000000001</v>
      </c>
      <c r="C581" t="n">
        <v>101499</v>
      </c>
      <c r="D581" t="n">
        <v>6.3</v>
      </c>
    </row>
    <row r="582">
      <c r="A582" s="78" t="n">
        <v>31898</v>
      </c>
      <c r="B582" t="n">
        <v>65.7</v>
      </c>
      <c r="C582" t="n">
        <v>101728</v>
      </c>
      <c r="D582" t="n">
        <v>6.3</v>
      </c>
    </row>
    <row r="583">
      <c r="A583" s="78" t="n">
        <v>31929</v>
      </c>
      <c r="B583" t="n">
        <v>65.5</v>
      </c>
      <c r="C583" t="n">
        <v>101900</v>
      </c>
      <c r="D583" t="n">
        <v>6.2</v>
      </c>
    </row>
    <row r="584">
      <c r="A584" s="78" t="n">
        <v>31959</v>
      </c>
      <c r="B584" t="n">
        <v>65.59999999999999</v>
      </c>
      <c r="C584" t="n">
        <v>102247</v>
      </c>
      <c r="D584" t="n">
        <v>6.1</v>
      </c>
    </row>
    <row r="585">
      <c r="A585" s="78" t="n">
        <v>31990</v>
      </c>
      <c r="B585" t="n">
        <v>65.7</v>
      </c>
      <c r="C585" t="n">
        <v>102420</v>
      </c>
      <c r="D585" t="n">
        <v>6</v>
      </c>
    </row>
    <row r="586">
      <c r="A586" s="78" t="n">
        <v>32021</v>
      </c>
      <c r="B586" t="n">
        <v>65.5</v>
      </c>
      <c r="C586" t="n">
        <v>102647</v>
      </c>
      <c r="D586" t="n">
        <v>5.9</v>
      </c>
    </row>
    <row r="587">
      <c r="A587" s="78" t="n">
        <v>32051</v>
      </c>
      <c r="B587" t="n">
        <v>65.7</v>
      </c>
      <c r="C587" t="n">
        <v>103138</v>
      </c>
      <c r="D587" t="n">
        <v>6</v>
      </c>
    </row>
    <row r="588">
      <c r="A588" s="78" t="n">
        <v>32082</v>
      </c>
      <c r="B588" t="n">
        <v>65.7</v>
      </c>
      <c r="C588" t="n">
        <v>103372</v>
      </c>
      <c r="D588" t="n">
        <v>5.8</v>
      </c>
    </row>
    <row r="589">
      <c r="A589" s="78" t="n">
        <v>32112</v>
      </c>
      <c r="B589" t="n">
        <v>65.7</v>
      </c>
      <c r="C589" t="n">
        <v>103661</v>
      </c>
      <c r="D589" t="n">
        <v>5.7</v>
      </c>
    </row>
    <row r="590">
      <c r="A590" s="78" t="n">
        <v>32143</v>
      </c>
      <c r="B590" t="n">
        <v>65.8</v>
      </c>
      <c r="C590" t="n">
        <v>103753</v>
      </c>
      <c r="D590" t="n">
        <v>5.7</v>
      </c>
    </row>
    <row r="591">
      <c r="A591" s="78" t="n">
        <v>32174</v>
      </c>
      <c r="B591" t="n">
        <v>65.90000000000001</v>
      </c>
      <c r="C591" t="n">
        <v>104214</v>
      </c>
      <c r="D591" t="n">
        <v>5.7</v>
      </c>
    </row>
    <row r="592">
      <c r="A592" s="78" t="n">
        <v>32203</v>
      </c>
      <c r="B592" t="n">
        <v>65.7</v>
      </c>
      <c r="C592" t="n">
        <v>104489</v>
      </c>
      <c r="D592" t="n">
        <v>5.7</v>
      </c>
    </row>
    <row r="593">
      <c r="A593" s="78" t="n">
        <v>32234</v>
      </c>
      <c r="B593" t="n">
        <v>65.8</v>
      </c>
      <c r="C593" t="n">
        <v>104732</v>
      </c>
      <c r="D593" t="n">
        <v>5.4</v>
      </c>
    </row>
    <row r="594">
      <c r="A594" s="78" t="n">
        <v>32264</v>
      </c>
      <c r="B594" t="n">
        <v>65.7</v>
      </c>
      <c r="C594" t="n">
        <v>104962</v>
      </c>
      <c r="D594" t="n">
        <v>5.6</v>
      </c>
    </row>
    <row r="595">
      <c r="A595" s="78" t="n">
        <v>32295</v>
      </c>
      <c r="B595" t="n">
        <v>65.8</v>
      </c>
      <c r="C595" t="n">
        <v>105326</v>
      </c>
      <c r="D595" t="n">
        <v>5.4</v>
      </c>
    </row>
    <row r="596">
      <c r="A596" s="78" t="n">
        <v>32325</v>
      </c>
      <c r="B596" t="n">
        <v>65.90000000000001</v>
      </c>
      <c r="C596" t="n">
        <v>105550</v>
      </c>
      <c r="D596" t="n">
        <v>5.4</v>
      </c>
    </row>
    <row r="597">
      <c r="A597" s="78" t="n">
        <v>32356</v>
      </c>
      <c r="B597" t="n">
        <v>66.09999999999999</v>
      </c>
      <c r="C597" t="n">
        <v>105674</v>
      </c>
      <c r="D597" t="n">
        <v>5.6</v>
      </c>
    </row>
    <row r="598">
      <c r="A598" s="78" t="n">
        <v>32387</v>
      </c>
      <c r="B598" t="n">
        <v>65.90000000000001</v>
      </c>
      <c r="C598" t="n">
        <v>106013</v>
      </c>
      <c r="D598" t="n">
        <v>5.4</v>
      </c>
    </row>
    <row r="599">
      <c r="A599" s="78" t="n">
        <v>32417</v>
      </c>
      <c r="B599" t="n">
        <v>66</v>
      </c>
      <c r="C599" t="n">
        <v>106276</v>
      </c>
      <c r="D599" t="n">
        <v>5.4</v>
      </c>
    </row>
    <row r="600">
      <c r="A600" s="78" t="n">
        <v>32448</v>
      </c>
      <c r="B600" t="n">
        <v>66.2</v>
      </c>
      <c r="C600" t="n">
        <v>106617</v>
      </c>
      <c r="D600" t="n">
        <v>5.3</v>
      </c>
    </row>
    <row r="601">
      <c r="A601" s="78" t="n">
        <v>32478</v>
      </c>
      <c r="B601" t="n">
        <v>66.09999999999999</v>
      </c>
      <c r="C601" t="n">
        <v>106898</v>
      </c>
      <c r="D601" t="n">
        <v>5.3</v>
      </c>
    </row>
    <row r="602">
      <c r="A602" s="78" t="n">
        <v>32509</v>
      </c>
      <c r="B602" t="n">
        <v>66.5</v>
      </c>
      <c r="C602" t="n">
        <v>107161</v>
      </c>
      <c r="D602" t="n">
        <v>5.4</v>
      </c>
    </row>
    <row r="603">
      <c r="A603" s="78" t="n">
        <v>32540</v>
      </c>
      <c r="B603" t="n">
        <v>66.3</v>
      </c>
      <c r="C603" t="n">
        <v>107427</v>
      </c>
      <c r="D603" t="n">
        <v>5.2</v>
      </c>
    </row>
    <row r="604">
      <c r="A604" s="78" t="n">
        <v>32568</v>
      </c>
      <c r="B604" t="n">
        <v>66.3</v>
      </c>
      <c r="C604" t="n">
        <v>107621</v>
      </c>
      <c r="D604" t="n">
        <v>5</v>
      </c>
    </row>
    <row r="605">
      <c r="A605" s="78" t="n">
        <v>32599</v>
      </c>
      <c r="B605" t="n">
        <v>66.40000000000001</v>
      </c>
      <c r="C605" t="n">
        <v>107791</v>
      </c>
      <c r="D605" t="n">
        <v>5.2</v>
      </c>
    </row>
    <row r="606">
      <c r="A606" s="78" t="n">
        <v>32629</v>
      </c>
      <c r="B606" t="n">
        <v>66.3</v>
      </c>
      <c r="C606" t="n">
        <v>107913</v>
      </c>
      <c r="D606" t="n">
        <v>5.2</v>
      </c>
    </row>
    <row r="607">
      <c r="A607" s="78" t="n">
        <v>32660</v>
      </c>
      <c r="B607" t="n">
        <v>66.5</v>
      </c>
      <c r="C607" t="n">
        <v>108027</v>
      </c>
      <c r="D607" t="n">
        <v>5.3</v>
      </c>
    </row>
    <row r="608">
      <c r="A608" s="78" t="n">
        <v>32690</v>
      </c>
      <c r="B608" t="n">
        <v>66.5</v>
      </c>
      <c r="C608" t="n">
        <v>108069</v>
      </c>
      <c r="D608" t="n">
        <v>5.2</v>
      </c>
    </row>
    <row r="609">
      <c r="A609" s="78" t="n">
        <v>32721</v>
      </c>
      <c r="B609" t="n">
        <v>66.5</v>
      </c>
      <c r="C609" t="n">
        <v>108120</v>
      </c>
      <c r="D609" t="n">
        <v>5.2</v>
      </c>
    </row>
    <row r="610">
      <c r="A610" s="78" t="n">
        <v>32752</v>
      </c>
      <c r="B610" t="n">
        <v>66.40000000000001</v>
      </c>
      <c r="C610" t="n">
        <v>108369</v>
      </c>
      <c r="D610" t="n">
        <v>5.3</v>
      </c>
    </row>
    <row r="611">
      <c r="A611" s="78" t="n">
        <v>32782</v>
      </c>
      <c r="B611" t="n">
        <v>66.5</v>
      </c>
      <c r="C611" t="n">
        <v>108476</v>
      </c>
      <c r="D611" t="n">
        <v>5.3</v>
      </c>
    </row>
    <row r="612">
      <c r="A612" s="78" t="n">
        <v>32813</v>
      </c>
      <c r="B612" t="n">
        <v>66.59999999999999</v>
      </c>
      <c r="C612" t="n">
        <v>108752</v>
      </c>
      <c r="D612" t="n">
        <v>5.4</v>
      </c>
    </row>
    <row r="613">
      <c r="A613" s="78" t="n">
        <v>32843</v>
      </c>
      <c r="B613" t="n">
        <v>66.5</v>
      </c>
      <c r="C613" t="n">
        <v>108836</v>
      </c>
      <c r="D613" t="n">
        <v>5.4</v>
      </c>
    </row>
    <row r="614">
      <c r="A614" s="78" t="n">
        <v>32874</v>
      </c>
      <c r="B614" t="n">
        <v>66.8</v>
      </c>
      <c r="C614" t="n">
        <v>109199</v>
      </c>
      <c r="D614" t="n">
        <v>5.4</v>
      </c>
    </row>
    <row r="615">
      <c r="A615" s="78" t="n">
        <v>32905</v>
      </c>
      <c r="B615" t="n">
        <v>66.7</v>
      </c>
      <c r="C615" t="n">
        <v>109435</v>
      </c>
      <c r="D615" t="n">
        <v>5.3</v>
      </c>
    </row>
    <row r="616">
      <c r="A616" s="78" t="n">
        <v>32933</v>
      </c>
      <c r="B616" t="n">
        <v>66.7</v>
      </c>
      <c r="C616" t="n">
        <v>109644</v>
      </c>
      <c r="D616" t="n">
        <v>5.2</v>
      </c>
    </row>
    <row r="617">
      <c r="A617" s="78" t="n">
        <v>32964</v>
      </c>
      <c r="B617" t="n">
        <v>66.59999999999999</v>
      </c>
      <c r="C617" t="n">
        <v>109686</v>
      </c>
      <c r="D617" t="n">
        <v>5.4</v>
      </c>
    </row>
    <row r="618">
      <c r="A618" s="78" t="n">
        <v>32994</v>
      </c>
      <c r="B618" t="n">
        <v>66.59999999999999</v>
      </c>
      <c r="C618" t="n">
        <v>109839</v>
      </c>
      <c r="D618" t="n">
        <v>5.4</v>
      </c>
    </row>
    <row r="619">
      <c r="A619" s="78" t="n">
        <v>33025</v>
      </c>
      <c r="B619" t="n">
        <v>66.40000000000001</v>
      </c>
      <c r="C619" t="n">
        <v>109856</v>
      </c>
      <c r="D619" t="n">
        <v>5.2</v>
      </c>
    </row>
    <row r="620">
      <c r="A620" s="78" t="n">
        <v>33055</v>
      </c>
      <c r="B620" t="n">
        <v>66.5</v>
      </c>
      <c r="C620" t="n">
        <v>109824</v>
      </c>
      <c r="D620" t="n">
        <v>5.5</v>
      </c>
    </row>
    <row r="621">
      <c r="A621" s="78" t="n">
        <v>33086</v>
      </c>
      <c r="B621" t="n">
        <v>66.5</v>
      </c>
      <c r="C621" t="n">
        <v>109616</v>
      </c>
      <c r="D621" t="n">
        <v>5.7</v>
      </c>
    </row>
    <row r="622">
      <c r="A622" s="78" t="n">
        <v>33117</v>
      </c>
      <c r="B622" t="n">
        <v>66.40000000000001</v>
      </c>
      <c r="C622" t="n">
        <v>109518</v>
      </c>
      <c r="D622" t="n">
        <v>5.9</v>
      </c>
    </row>
    <row r="623">
      <c r="A623" s="78" t="n">
        <v>33147</v>
      </c>
      <c r="B623" t="n">
        <v>66.40000000000001</v>
      </c>
      <c r="C623" t="n">
        <v>109367</v>
      </c>
      <c r="D623" t="n">
        <v>5.9</v>
      </c>
    </row>
    <row r="624">
      <c r="A624" s="78" t="n">
        <v>33178</v>
      </c>
      <c r="B624" t="n">
        <v>66.40000000000001</v>
      </c>
      <c r="C624" t="n">
        <v>109214</v>
      </c>
      <c r="D624" t="n">
        <v>6.2</v>
      </c>
    </row>
    <row r="625">
      <c r="A625" s="78" t="n">
        <v>33208</v>
      </c>
      <c r="B625" t="n">
        <v>66.40000000000001</v>
      </c>
      <c r="C625" t="n">
        <v>109166</v>
      </c>
      <c r="D625" t="n">
        <v>6.3</v>
      </c>
    </row>
    <row r="626">
      <c r="A626" s="78" t="n">
        <v>33239</v>
      </c>
      <c r="B626" t="n">
        <v>66.2</v>
      </c>
      <c r="C626" t="n">
        <v>109055</v>
      </c>
      <c r="D626" t="n">
        <v>6.4</v>
      </c>
    </row>
    <row r="627">
      <c r="A627" s="78" t="n">
        <v>33270</v>
      </c>
      <c r="B627" t="n">
        <v>66.2</v>
      </c>
      <c r="C627" t="n">
        <v>108734</v>
      </c>
      <c r="D627" t="n">
        <v>6.6</v>
      </c>
    </row>
    <row r="628">
      <c r="A628" s="78" t="n">
        <v>33298</v>
      </c>
      <c r="B628" t="n">
        <v>66.3</v>
      </c>
      <c r="C628" t="n">
        <v>108574</v>
      </c>
      <c r="D628" t="n">
        <v>6.8</v>
      </c>
    </row>
    <row r="629">
      <c r="A629" s="78" t="n">
        <v>33329</v>
      </c>
      <c r="B629" t="n">
        <v>66.40000000000001</v>
      </c>
      <c r="C629" t="n">
        <v>108364</v>
      </c>
      <c r="D629" t="n">
        <v>6.7</v>
      </c>
    </row>
    <row r="630">
      <c r="A630" s="78" t="n">
        <v>33359</v>
      </c>
      <c r="B630" t="n">
        <v>66.2</v>
      </c>
      <c r="C630" t="n">
        <v>108249</v>
      </c>
      <c r="D630" t="n">
        <v>6.9</v>
      </c>
    </row>
    <row r="631">
      <c r="A631" s="78" t="n">
        <v>33390</v>
      </c>
      <c r="B631" t="n">
        <v>66.2</v>
      </c>
      <c r="C631" t="n">
        <v>108334</v>
      </c>
      <c r="D631" t="n">
        <v>6.9</v>
      </c>
    </row>
    <row r="632">
      <c r="A632" s="78" t="n">
        <v>33420</v>
      </c>
      <c r="B632" t="n">
        <v>66.09999999999999</v>
      </c>
      <c r="C632" t="n">
        <v>108292</v>
      </c>
      <c r="D632" t="n">
        <v>6.8</v>
      </c>
    </row>
    <row r="633">
      <c r="A633" s="78" t="n">
        <v>33451</v>
      </c>
      <c r="B633" t="n">
        <v>66</v>
      </c>
      <c r="C633" t="n">
        <v>108310</v>
      </c>
      <c r="D633" t="n">
        <v>6.9</v>
      </c>
    </row>
    <row r="634">
      <c r="A634" s="78" t="n">
        <v>33482</v>
      </c>
      <c r="B634" t="n">
        <v>66.2</v>
      </c>
      <c r="C634" t="n">
        <v>108336</v>
      </c>
      <c r="D634" t="n">
        <v>6.9</v>
      </c>
    </row>
    <row r="635">
      <c r="A635" s="78" t="n">
        <v>33512</v>
      </c>
      <c r="B635" t="n">
        <v>66.09999999999999</v>
      </c>
      <c r="C635" t="n">
        <v>108357</v>
      </c>
      <c r="D635" t="n">
        <v>7</v>
      </c>
    </row>
    <row r="636">
      <c r="A636" s="78" t="n">
        <v>33543</v>
      </c>
      <c r="B636" t="n">
        <v>66.09999999999999</v>
      </c>
      <c r="C636" t="n">
        <v>108296</v>
      </c>
      <c r="D636" t="n">
        <v>7</v>
      </c>
    </row>
    <row r="637">
      <c r="A637" s="78" t="n">
        <v>33573</v>
      </c>
      <c r="B637" t="n">
        <v>66</v>
      </c>
      <c r="C637" t="n">
        <v>108328</v>
      </c>
      <c r="D637" t="n">
        <v>7.3</v>
      </c>
    </row>
    <row r="638">
      <c r="A638" s="78" t="n">
        <v>33604</v>
      </c>
      <c r="B638" t="n">
        <v>66.3</v>
      </c>
      <c r="C638" t="n">
        <v>108369</v>
      </c>
      <c r="D638" t="n">
        <v>7.3</v>
      </c>
    </row>
    <row r="639">
      <c r="A639" s="78" t="n">
        <v>33635</v>
      </c>
      <c r="B639" t="n">
        <v>66.2</v>
      </c>
      <c r="C639" t="n">
        <v>108311</v>
      </c>
      <c r="D639" t="n">
        <v>7.4</v>
      </c>
    </row>
    <row r="640">
      <c r="A640" s="78" t="n">
        <v>33664</v>
      </c>
      <c r="B640" t="n">
        <v>66.40000000000001</v>
      </c>
      <c r="C640" t="n">
        <v>108365</v>
      </c>
      <c r="D640" t="n">
        <v>7.4</v>
      </c>
    </row>
    <row r="641">
      <c r="A641" s="78" t="n">
        <v>33695</v>
      </c>
      <c r="B641" t="n">
        <v>66.5</v>
      </c>
      <c r="C641" t="n">
        <v>108519</v>
      </c>
      <c r="D641" t="n">
        <v>7.4</v>
      </c>
    </row>
    <row r="642">
      <c r="A642" s="78" t="n">
        <v>33725</v>
      </c>
      <c r="B642" t="n">
        <v>66.59999999999999</v>
      </c>
      <c r="C642" t="n">
        <v>108649</v>
      </c>
      <c r="D642" t="n">
        <v>7.6</v>
      </c>
    </row>
    <row r="643">
      <c r="A643" s="78" t="n">
        <v>33756</v>
      </c>
      <c r="B643" t="n">
        <v>66.7</v>
      </c>
      <c r="C643" t="n">
        <v>108715</v>
      </c>
      <c r="D643" t="n">
        <v>7.8</v>
      </c>
    </row>
    <row r="644">
      <c r="A644" s="78" t="n">
        <v>33786</v>
      </c>
      <c r="B644" t="n">
        <v>66.7</v>
      </c>
      <c r="C644" t="n">
        <v>108793</v>
      </c>
      <c r="D644" t="n">
        <v>7.7</v>
      </c>
    </row>
    <row r="645">
      <c r="A645" s="78" t="n">
        <v>33817</v>
      </c>
      <c r="B645" t="n">
        <v>66.59999999999999</v>
      </c>
      <c r="C645" t="n">
        <v>108925</v>
      </c>
      <c r="D645" t="n">
        <v>7.6</v>
      </c>
    </row>
    <row r="646">
      <c r="A646" s="78" t="n">
        <v>33848</v>
      </c>
      <c r="B646" t="n">
        <v>66.5</v>
      </c>
      <c r="C646" t="n">
        <v>108959</v>
      </c>
      <c r="D646" t="n">
        <v>7.6</v>
      </c>
    </row>
    <row r="647">
      <c r="A647" s="78" t="n">
        <v>33878</v>
      </c>
      <c r="B647" t="n">
        <v>66.2</v>
      </c>
      <c r="C647" t="n">
        <v>109139</v>
      </c>
      <c r="D647" t="n">
        <v>7.3</v>
      </c>
    </row>
    <row r="648">
      <c r="A648" s="78" t="n">
        <v>33909</v>
      </c>
      <c r="B648" t="n">
        <v>66.3</v>
      </c>
      <c r="C648" t="n">
        <v>109272</v>
      </c>
      <c r="D648" t="n">
        <v>7.4</v>
      </c>
    </row>
    <row r="649">
      <c r="A649" s="78" t="n">
        <v>33939</v>
      </c>
      <c r="B649" t="n">
        <v>66.3</v>
      </c>
      <c r="C649" t="n">
        <v>109495</v>
      </c>
      <c r="D649" t="n">
        <v>7.4</v>
      </c>
    </row>
    <row r="650">
      <c r="A650" s="78" t="n">
        <v>33970</v>
      </c>
      <c r="B650" t="n">
        <v>66.2</v>
      </c>
      <c r="C650" t="n">
        <v>109794</v>
      </c>
      <c r="D650" t="n">
        <v>7.3</v>
      </c>
    </row>
    <row r="651">
      <c r="A651" s="78" t="n">
        <v>34001</v>
      </c>
      <c r="B651" t="n">
        <v>66.2</v>
      </c>
      <c r="C651" t="n">
        <v>110044</v>
      </c>
      <c r="D651" t="n">
        <v>7.1</v>
      </c>
    </row>
    <row r="652">
      <c r="A652" s="78" t="n">
        <v>34029</v>
      </c>
      <c r="B652" t="n">
        <v>66.2</v>
      </c>
      <c r="C652" t="n">
        <v>109994</v>
      </c>
      <c r="D652" t="n">
        <v>7</v>
      </c>
    </row>
    <row r="653">
      <c r="A653" s="78" t="n">
        <v>34060</v>
      </c>
      <c r="B653" t="n">
        <v>66.09999999999999</v>
      </c>
      <c r="C653" t="n">
        <v>110296</v>
      </c>
      <c r="D653" t="n">
        <v>7.1</v>
      </c>
    </row>
    <row r="654">
      <c r="A654" s="78" t="n">
        <v>34090</v>
      </c>
      <c r="B654" t="n">
        <v>66.40000000000001</v>
      </c>
      <c r="C654" t="n">
        <v>110568</v>
      </c>
      <c r="D654" t="n">
        <v>7.1</v>
      </c>
    </row>
    <row r="655">
      <c r="A655" s="78" t="n">
        <v>34121</v>
      </c>
      <c r="B655" t="n">
        <v>66.5</v>
      </c>
      <c r="C655" t="n">
        <v>110749</v>
      </c>
      <c r="D655" t="n">
        <v>7</v>
      </c>
    </row>
    <row r="656">
      <c r="A656" s="78" t="n">
        <v>34151</v>
      </c>
      <c r="B656" t="n">
        <v>66.40000000000001</v>
      </c>
      <c r="C656" t="n">
        <v>111055</v>
      </c>
      <c r="D656" t="n">
        <v>6.9</v>
      </c>
    </row>
    <row r="657">
      <c r="A657" s="78" t="n">
        <v>34182</v>
      </c>
      <c r="B657" t="n">
        <v>66.40000000000001</v>
      </c>
      <c r="C657" t="n">
        <v>111206</v>
      </c>
      <c r="D657" t="n">
        <v>6.8</v>
      </c>
    </row>
    <row r="658">
      <c r="A658" s="78" t="n">
        <v>34213</v>
      </c>
      <c r="B658" t="n">
        <v>66.2</v>
      </c>
      <c r="C658" t="n">
        <v>111448</v>
      </c>
      <c r="D658" t="n">
        <v>6.7</v>
      </c>
    </row>
    <row r="659">
      <c r="A659" s="78" t="n">
        <v>34243</v>
      </c>
      <c r="B659" t="n">
        <v>66.3</v>
      </c>
      <c r="C659" t="n">
        <v>111733</v>
      </c>
      <c r="D659" t="n">
        <v>6.8</v>
      </c>
    </row>
    <row r="660">
      <c r="A660" s="78" t="n">
        <v>34274</v>
      </c>
      <c r="B660" t="n">
        <v>66.3</v>
      </c>
      <c r="C660" t="n">
        <v>111984</v>
      </c>
      <c r="D660" t="n">
        <v>6.6</v>
      </c>
    </row>
    <row r="661">
      <c r="A661" s="78" t="n">
        <v>34304</v>
      </c>
      <c r="B661" t="n">
        <v>66.40000000000001</v>
      </c>
      <c r="C661" t="n">
        <v>112314</v>
      </c>
      <c r="D661" t="n">
        <v>6.5</v>
      </c>
    </row>
    <row r="662">
      <c r="A662" s="78" t="n">
        <v>34335</v>
      </c>
      <c r="B662" t="n">
        <v>66.59999999999999</v>
      </c>
      <c r="C662" t="n">
        <v>112595</v>
      </c>
      <c r="D662" t="n">
        <v>6.6</v>
      </c>
    </row>
    <row r="663">
      <c r="A663" s="78" t="n">
        <v>34366</v>
      </c>
      <c r="B663" t="n">
        <v>66.59999999999999</v>
      </c>
      <c r="C663" t="n">
        <v>112781</v>
      </c>
      <c r="D663" t="n">
        <v>6.6</v>
      </c>
    </row>
    <row r="664">
      <c r="A664" s="78" t="n">
        <v>34394</v>
      </c>
      <c r="B664" t="n">
        <v>66.5</v>
      </c>
      <c r="C664" t="n">
        <v>113242</v>
      </c>
      <c r="D664" t="n">
        <v>6.5</v>
      </c>
    </row>
    <row r="665">
      <c r="A665" s="78" t="n">
        <v>34425</v>
      </c>
      <c r="B665" t="n">
        <v>66.5</v>
      </c>
      <c r="C665" t="n">
        <v>113586</v>
      </c>
      <c r="D665" t="n">
        <v>6.4</v>
      </c>
    </row>
    <row r="666">
      <c r="A666" s="78" t="n">
        <v>34455</v>
      </c>
      <c r="B666" t="n">
        <v>66.59999999999999</v>
      </c>
      <c r="C666" t="n">
        <v>113921</v>
      </c>
      <c r="D666" t="n">
        <v>6.1</v>
      </c>
    </row>
    <row r="667">
      <c r="A667" s="78" t="n">
        <v>34486</v>
      </c>
      <c r="B667" t="n">
        <v>66.40000000000001</v>
      </c>
      <c r="C667" t="n">
        <v>114238</v>
      </c>
      <c r="D667" t="n">
        <v>6.1</v>
      </c>
    </row>
    <row r="668">
      <c r="A668" s="78" t="n">
        <v>34516</v>
      </c>
      <c r="B668" t="n">
        <v>66.40000000000001</v>
      </c>
      <c r="C668" t="n">
        <v>114610</v>
      </c>
      <c r="D668" t="n">
        <v>6.1</v>
      </c>
    </row>
    <row r="669">
      <c r="A669" s="78" t="n">
        <v>34547</v>
      </c>
      <c r="B669" t="n">
        <v>66.59999999999999</v>
      </c>
      <c r="C669" t="n">
        <v>114896</v>
      </c>
      <c r="D669" t="n">
        <v>6</v>
      </c>
    </row>
    <row r="670">
      <c r="A670" s="78" t="n">
        <v>34578</v>
      </c>
      <c r="B670" t="n">
        <v>66.59999999999999</v>
      </c>
      <c r="C670" t="n">
        <v>115247</v>
      </c>
      <c r="D670" t="n">
        <v>5.9</v>
      </c>
    </row>
    <row r="671">
      <c r="A671" s="78" t="n">
        <v>34608</v>
      </c>
      <c r="B671" t="n">
        <v>66.7</v>
      </c>
      <c r="C671" t="n">
        <v>115458</v>
      </c>
      <c r="D671" t="n">
        <v>5.8</v>
      </c>
    </row>
    <row r="672">
      <c r="A672" s="78" t="n">
        <v>34639</v>
      </c>
      <c r="B672" t="n">
        <v>66.7</v>
      </c>
      <c r="C672" t="n">
        <v>115869</v>
      </c>
      <c r="D672" t="n">
        <v>5.6</v>
      </c>
    </row>
    <row r="673">
      <c r="A673" s="78" t="n">
        <v>34669</v>
      </c>
      <c r="B673" t="n">
        <v>66.7</v>
      </c>
      <c r="C673" t="n">
        <v>116165</v>
      </c>
      <c r="D673" t="n">
        <v>5.5</v>
      </c>
    </row>
    <row r="674">
      <c r="A674" s="78" t="n">
        <v>34700</v>
      </c>
      <c r="B674" t="n">
        <v>66.8</v>
      </c>
      <c r="C674" t="n">
        <v>116501</v>
      </c>
      <c r="D674" t="n">
        <v>5.6</v>
      </c>
    </row>
    <row r="675">
      <c r="A675" s="78" t="n">
        <v>34731</v>
      </c>
      <c r="B675" t="n">
        <v>66.8</v>
      </c>
      <c r="C675" t="n">
        <v>116697</v>
      </c>
      <c r="D675" t="n">
        <v>5.4</v>
      </c>
    </row>
    <row r="676">
      <c r="A676" s="78" t="n">
        <v>34759</v>
      </c>
      <c r="B676" t="n">
        <v>66.7</v>
      </c>
      <c r="C676" t="n">
        <v>116907</v>
      </c>
      <c r="D676" t="n">
        <v>5.4</v>
      </c>
    </row>
    <row r="677">
      <c r="A677" s="78" t="n">
        <v>34790</v>
      </c>
      <c r="B677" t="n">
        <v>66.90000000000001</v>
      </c>
      <c r="C677" t="n">
        <v>117069</v>
      </c>
      <c r="D677" t="n">
        <v>5.8</v>
      </c>
    </row>
    <row r="678">
      <c r="A678" s="78" t="n">
        <v>34820</v>
      </c>
      <c r="B678" t="n">
        <v>66.5</v>
      </c>
      <c r="C678" t="n">
        <v>117049</v>
      </c>
      <c r="D678" t="n">
        <v>5.6</v>
      </c>
    </row>
    <row r="679">
      <c r="A679" s="78" t="n">
        <v>34851</v>
      </c>
      <c r="B679" t="n">
        <v>66.5</v>
      </c>
      <c r="C679" t="n">
        <v>117286</v>
      </c>
      <c r="D679" t="n">
        <v>5.6</v>
      </c>
    </row>
    <row r="680">
      <c r="A680" s="78" t="n">
        <v>34881</v>
      </c>
      <c r="B680" t="n">
        <v>66.59999999999999</v>
      </c>
      <c r="C680" t="n">
        <v>117380</v>
      </c>
      <c r="D680" t="n">
        <v>5.7</v>
      </c>
    </row>
    <row r="681">
      <c r="A681" s="78" t="n">
        <v>34912</v>
      </c>
      <c r="B681" t="n">
        <v>66.59999999999999</v>
      </c>
      <c r="C681" t="n">
        <v>117634</v>
      </c>
      <c r="D681" t="n">
        <v>5.7</v>
      </c>
    </row>
    <row r="682">
      <c r="A682" s="78" t="n">
        <v>34943</v>
      </c>
      <c r="B682" t="n">
        <v>66.59999999999999</v>
      </c>
      <c r="C682" t="n">
        <v>117875</v>
      </c>
      <c r="D682" t="n">
        <v>5.6</v>
      </c>
    </row>
    <row r="683">
      <c r="A683" s="78" t="n">
        <v>34973</v>
      </c>
      <c r="B683" t="n">
        <v>66.59999999999999</v>
      </c>
      <c r="C683" t="n">
        <v>118031</v>
      </c>
      <c r="D683" t="n">
        <v>5.5</v>
      </c>
    </row>
    <row r="684">
      <c r="A684" s="78" t="n">
        <v>35004</v>
      </c>
      <c r="B684" t="n">
        <v>66.5</v>
      </c>
      <c r="C684" t="n">
        <v>118175</v>
      </c>
      <c r="D684" t="n">
        <v>5.6</v>
      </c>
    </row>
    <row r="685">
      <c r="A685" s="78" t="n">
        <v>35034</v>
      </c>
      <c r="B685" t="n">
        <v>66.40000000000001</v>
      </c>
      <c r="C685" t="n">
        <v>118320</v>
      </c>
      <c r="D685" t="n">
        <v>5.6</v>
      </c>
    </row>
    <row r="686">
      <c r="A686" s="78" t="n">
        <v>35065</v>
      </c>
      <c r="B686" t="n">
        <v>66.40000000000001</v>
      </c>
      <c r="C686" t="n">
        <v>118316</v>
      </c>
      <c r="D686" t="n">
        <v>5.6</v>
      </c>
    </row>
    <row r="687">
      <c r="A687" s="78" t="n">
        <v>35096</v>
      </c>
      <c r="B687" t="n">
        <v>66.59999999999999</v>
      </c>
      <c r="C687" t="n">
        <v>118739</v>
      </c>
      <c r="D687" t="n">
        <v>5.5</v>
      </c>
    </row>
    <row r="688">
      <c r="A688" s="78" t="n">
        <v>35125</v>
      </c>
      <c r="B688" t="n">
        <v>66.59999999999999</v>
      </c>
      <c r="C688" t="n">
        <v>118993</v>
      </c>
      <c r="D688" t="n">
        <v>5.5</v>
      </c>
    </row>
    <row r="689">
      <c r="A689" s="78" t="n">
        <v>35156</v>
      </c>
      <c r="B689" t="n">
        <v>66.7</v>
      </c>
      <c r="C689" t="n">
        <v>119158</v>
      </c>
      <c r="D689" t="n">
        <v>5.6</v>
      </c>
    </row>
    <row r="690">
      <c r="A690" s="78" t="n">
        <v>35186</v>
      </c>
      <c r="B690" t="n">
        <v>66.7</v>
      </c>
      <c r="C690" t="n">
        <v>119486</v>
      </c>
      <c r="D690" t="n">
        <v>5.6</v>
      </c>
    </row>
    <row r="691">
      <c r="A691" s="78" t="n">
        <v>35217</v>
      </c>
      <c r="B691" t="n">
        <v>66.7</v>
      </c>
      <c r="C691" t="n">
        <v>119769</v>
      </c>
      <c r="D691" t="n">
        <v>5.3</v>
      </c>
    </row>
    <row r="692">
      <c r="A692" s="78" t="n">
        <v>35247</v>
      </c>
      <c r="B692" t="n">
        <v>66.90000000000001</v>
      </c>
      <c r="C692" t="n">
        <v>120015</v>
      </c>
      <c r="D692" t="n">
        <v>5.5</v>
      </c>
    </row>
    <row r="693">
      <c r="A693" s="78" t="n">
        <v>35278</v>
      </c>
      <c r="B693" t="n">
        <v>66.7</v>
      </c>
      <c r="C693" t="n">
        <v>120199</v>
      </c>
      <c r="D693" t="n">
        <v>5.1</v>
      </c>
    </row>
    <row r="694">
      <c r="A694" s="78" t="n">
        <v>35309</v>
      </c>
      <c r="B694" t="n">
        <v>66.90000000000001</v>
      </c>
      <c r="C694" t="n">
        <v>120410</v>
      </c>
      <c r="D694" t="n">
        <v>5.2</v>
      </c>
    </row>
    <row r="695">
      <c r="A695" s="78" t="n">
        <v>35339</v>
      </c>
      <c r="B695" t="n">
        <v>67</v>
      </c>
      <c r="C695" t="n">
        <v>120665</v>
      </c>
      <c r="D695" t="n">
        <v>5.2</v>
      </c>
    </row>
    <row r="696">
      <c r="A696" s="78" t="n">
        <v>35370</v>
      </c>
      <c r="B696" t="n">
        <v>67</v>
      </c>
      <c r="C696" t="n">
        <v>120961</v>
      </c>
      <c r="D696" t="n">
        <v>5.4</v>
      </c>
    </row>
    <row r="697">
      <c r="A697" s="78" t="n">
        <v>35400</v>
      </c>
      <c r="B697" t="n">
        <v>67</v>
      </c>
      <c r="C697" t="n">
        <v>121143</v>
      </c>
      <c r="D697" t="n">
        <v>5.4</v>
      </c>
    </row>
    <row r="698">
      <c r="A698" s="78" t="n">
        <v>35431</v>
      </c>
      <c r="B698" t="n">
        <v>67</v>
      </c>
      <c r="C698" t="n">
        <v>121363</v>
      </c>
      <c r="D698" t="n">
        <v>5.3</v>
      </c>
    </row>
    <row r="699">
      <c r="A699" s="78" t="n">
        <v>35462</v>
      </c>
      <c r="B699" t="n">
        <v>66.90000000000001</v>
      </c>
      <c r="C699" t="n">
        <v>121675</v>
      </c>
      <c r="D699" t="n">
        <v>5.2</v>
      </c>
    </row>
    <row r="700">
      <c r="A700" s="78" t="n">
        <v>35490</v>
      </c>
      <c r="B700" t="n">
        <v>67.09999999999999</v>
      </c>
      <c r="C700" t="n">
        <v>121990</v>
      </c>
      <c r="D700" t="n">
        <v>5.2</v>
      </c>
    </row>
    <row r="701">
      <c r="A701" s="78" t="n">
        <v>35521</v>
      </c>
      <c r="B701" t="n">
        <v>67.09999999999999</v>
      </c>
      <c r="C701" t="n">
        <v>122286</v>
      </c>
      <c r="D701" t="n">
        <v>5.1</v>
      </c>
    </row>
    <row r="702">
      <c r="A702" s="78" t="n">
        <v>35551</v>
      </c>
      <c r="B702" t="n">
        <v>67.09999999999999</v>
      </c>
      <c r="C702" t="n">
        <v>122546</v>
      </c>
      <c r="D702" t="n">
        <v>4.9</v>
      </c>
    </row>
    <row r="703">
      <c r="A703" s="78" t="n">
        <v>35582</v>
      </c>
      <c r="B703" t="n">
        <v>67.09999999999999</v>
      </c>
      <c r="C703" t="n">
        <v>122814</v>
      </c>
      <c r="D703" t="n">
        <v>5</v>
      </c>
    </row>
    <row r="704">
      <c r="A704" s="78" t="n">
        <v>35612</v>
      </c>
      <c r="B704" t="n">
        <v>67.2</v>
      </c>
      <c r="C704" t="n">
        <v>123111</v>
      </c>
      <c r="D704" t="n">
        <v>4.9</v>
      </c>
    </row>
    <row r="705">
      <c r="A705" s="78" t="n">
        <v>35643</v>
      </c>
      <c r="B705" t="n">
        <v>67.2</v>
      </c>
      <c r="C705" t="n">
        <v>123093</v>
      </c>
      <c r="D705" t="n">
        <v>4.8</v>
      </c>
    </row>
    <row r="706">
      <c r="A706" s="78" t="n">
        <v>35674</v>
      </c>
      <c r="B706" t="n">
        <v>67.09999999999999</v>
      </c>
      <c r="C706" t="n">
        <v>123585</v>
      </c>
      <c r="D706" t="n">
        <v>4.9</v>
      </c>
    </row>
    <row r="707">
      <c r="A707" s="78" t="n">
        <v>35704</v>
      </c>
      <c r="B707" t="n">
        <v>67.09999999999999</v>
      </c>
      <c r="C707" t="n">
        <v>123929</v>
      </c>
      <c r="D707" t="n">
        <v>4.7</v>
      </c>
    </row>
    <row r="708">
      <c r="A708" s="78" t="n">
        <v>35735</v>
      </c>
      <c r="B708" t="n">
        <v>67.2</v>
      </c>
      <c r="C708" t="n">
        <v>124235</v>
      </c>
      <c r="D708" t="n">
        <v>4.6</v>
      </c>
    </row>
    <row r="709">
      <c r="A709" s="78" t="n">
        <v>35765</v>
      </c>
      <c r="B709" t="n">
        <v>67.2</v>
      </c>
      <c r="C709" t="n">
        <v>124549</v>
      </c>
      <c r="D709" t="n">
        <v>4.7</v>
      </c>
    </row>
    <row r="710">
      <c r="A710" s="78" t="n">
        <v>35796</v>
      </c>
      <c r="B710" t="n">
        <v>67.09999999999999</v>
      </c>
      <c r="C710" t="n">
        <v>124812</v>
      </c>
      <c r="D710" t="n">
        <v>4.6</v>
      </c>
    </row>
    <row r="711">
      <c r="A711" s="78" t="n">
        <v>35827</v>
      </c>
      <c r="B711" t="n">
        <v>67.09999999999999</v>
      </c>
      <c r="C711" t="n">
        <v>125016</v>
      </c>
      <c r="D711" t="n">
        <v>4.6</v>
      </c>
    </row>
    <row r="712">
      <c r="A712" s="78" t="n">
        <v>35855</v>
      </c>
      <c r="B712" t="n">
        <v>67.09999999999999</v>
      </c>
      <c r="C712" t="n">
        <v>125164</v>
      </c>
      <c r="D712" t="n">
        <v>4.7</v>
      </c>
    </row>
    <row r="713">
      <c r="A713" s="78" t="n">
        <v>35886</v>
      </c>
      <c r="B713" t="n">
        <v>67</v>
      </c>
      <c r="C713" t="n">
        <v>125442</v>
      </c>
      <c r="D713" t="n">
        <v>4.3</v>
      </c>
    </row>
    <row r="714">
      <c r="A714" s="78" t="n">
        <v>35916</v>
      </c>
      <c r="B714" t="n">
        <v>67</v>
      </c>
      <c r="C714" t="n">
        <v>125844</v>
      </c>
      <c r="D714" t="n">
        <v>4.4</v>
      </c>
    </row>
    <row r="715">
      <c r="A715" s="78" t="n">
        <v>35947</v>
      </c>
      <c r="B715" t="n">
        <v>67</v>
      </c>
      <c r="C715" t="n">
        <v>126076</v>
      </c>
      <c r="D715" t="n">
        <v>4.5</v>
      </c>
    </row>
    <row r="716">
      <c r="A716" s="78" t="n">
        <v>35977</v>
      </c>
      <c r="B716" t="n">
        <v>67</v>
      </c>
      <c r="C716" t="n">
        <v>126205</v>
      </c>
      <c r="D716" t="n">
        <v>4.5</v>
      </c>
    </row>
    <row r="717">
      <c r="A717" s="78" t="n">
        <v>36008</v>
      </c>
      <c r="B717" t="n">
        <v>67</v>
      </c>
      <c r="C717" t="n">
        <v>126544</v>
      </c>
      <c r="D717" t="n">
        <v>4.5</v>
      </c>
    </row>
    <row r="718">
      <c r="A718" s="78" t="n">
        <v>36039</v>
      </c>
      <c r="B718" t="n">
        <v>67.2</v>
      </c>
      <c r="C718" t="n">
        <v>126752</v>
      </c>
      <c r="D718" t="n">
        <v>4.6</v>
      </c>
    </row>
    <row r="719">
      <c r="A719" s="78" t="n">
        <v>36069</v>
      </c>
      <c r="B719" t="n">
        <v>67.2</v>
      </c>
      <c r="C719" t="n">
        <v>126954</v>
      </c>
      <c r="D719" t="n">
        <v>4.5</v>
      </c>
    </row>
    <row r="720">
      <c r="A720" s="78" t="n">
        <v>36100</v>
      </c>
      <c r="B720" t="n">
        <v>67.09999999999999</v>
      </c>
      <c r="C720" t="n">
        <v>127231</v>
      </c>
      <c r="D720" t="n">
        <v>4.4</v>
      </c>
    </row>
    <row r="721">
      <c r="A721" s="78" t="n">
        <v>36130</v>
      </c>
      <c r="B721" t="n">
        <v>67.2</v>
      </c>
      <c r="C721" t="n">
        <v>127596</v>
      </c>
      <c r="D721" t="n">
        <v>4.4</v>
      </c>
    </row>
    <row r="722">
      <c r="A722" s="78" t="n">
        <v>36161</v>
      </c>
      <c r="B722" t="n">
        <v>67.2</v>
      </c>
      <c r="C722" t="n">
        <v>127702</v>
      </c>
      <c r="D722" t="n">
        <v>4.3</v>
      </c>
    </row>
    <row r="723">
      <c r="A723" s="78" t="n">
        <v>36192</v>
      </c>
      <c r="B723" t="n">
        <v>67.2</v>
      </c>
      <c r="C723" t="n">
        <v>128120</v>
      </c>
      <c r="D723" t="n">
        <v>4.4</v>
      </c>
    </row>
    <row r="724">
      <c r="A724" s="78" t="n">
        <v>36220</v>
      </c>
      <c r="B724" t="n">
        <v>67</v>
      </c>
      <c r="C724" t="n">
        <v>128227</v>
      </c>
      <c r="D724" t="n">
        <v>4.2</v>
      </c>
    </row>
    <row r="725">
      <c r="A725" s="78" t="n">
        <v>36251</v>
      </c>
      <c r="B725" t="n">
        <v>67.09999999999999</v>
      </c>
      <c r="C725" t="n">
        <v>128597</v>
      </c>
      <c r="D725" t="n">
        <v>4.3</v>
      </c>
    </row>
    <row r="726">
      <c r="A726" s="78" t="n">
        <v>36281</v>
      </c>
      <c r="B726" t="n">
        <v>67.09999999999999</v>
      </c>
      <c r="C726" t="n">
        <v>128808</v>
      </c>
      <c r="D726" t="n">
        <v>4.2</v>
      </c>
    </row>
    <row r="727">
      <c r="A727" s="78" t="n">
        <v>36312</v>
      </c>
      <c r="B727" t="n">
        <v>67.09999999999999</v>
      </c>
      <c r="C727" t="n">
        <v>129089</v>
      </c>
      <c r="D727" t="n">
        <v>4.3</v>
      </c>
    </row>
    <row r="728">
      <c r="A728" s="78" t="n">
        <v>36342</v>
      </c>
      <c r="B728" t="n">
        <v>67.09999999999999</v>
      </c>
      <c r="C728" t="n">
        <v>129414</v>
      </c>
      <c r="D728" t="n">
        <v>4.3</v>
      </c>
    </row>
    <row r="729">
      <c r="A729" s="78" t="n">
        <v>36373</v>
      </c>
      <c r="B729" t="n">
        <v>67</v>
      </c>
      <c r="C729" t="n">
        <v>129569</v>
      </c>
      <c r="D729" t="n">
        <v>4.2</v>
      </c>
    </row>
    <row r="730">
      <c r="A730" s="78" t="n">
        <v>36404</v>
      </c>
      <c r="B730" t="n">
        <v>67</v>
      </c>
      <c r="C730" t="n">
        <v>129772</v>
      </c>
      <c r="D730" t="n">
        <v>4.2</v>
      </c>
    </row>
    <row r="731">
      <c r="A731" s="78" t="n">
        <v>36434</v>
      </c>
      <c r="B731" t="n">
        <v>67</v>
      </c>
      <c r="C731" t="n">
        <v>130177</v>
      </c>
      <c r="D731" t="n">
        <v>4.1</v>
      </c>
    </row>
    <row r="732">
      <c r="A732" s="78" t="n">
        <v>36465</v>
      </c>
      <c r="B732" t="n">
        <v>67.09999999999999</v>
      </c>
      <c r="C732" t="n">
        <v>130466</v>
      </c>
      <c r="D732" t="n">
        <v>4.1</v>
      </c>
    </row>
    <row r="733">
      <c r="A733" s="78" t="n">
        <v>36495</v>
      </c>
      <c r="B733" t="n">
        <v>67.09999999999999</v>
      </c>
      <c r="C733" t="n">
        <v>130772</v>
      </c>
      <c r="D733" t="n">
        <v>4</v>
      </c>
    </row>
    <row r="734">
      <c r="A734" s="78" t="n">
        <v>36526</v>
      </c>
      <c r="B734" t="n">
        <v>67.3</v>
      </c>
      <c r="C734" t="n">
        <v>131005</v>
      </c>
      <c r="D734" t="n">
        <v>4</v>
      </c>
    </row>
    <row r="735">
      <c r="A735" s="78" t="n">
        <v>36557</v>
      </c>
      <c r="B735" t="n">
        <v>67.3</v>
      </c>
      <c r="C735" t="n">
        <v>131124</v>
      </c>
      <c r="D735" t="n">
        <v>4.1</v>
      </c>
    </row>
    <row r="736">
      <c r="A736" s="78" t="n">
        <v>36586</v>
      </c>
      <c r="B736" t="n">
        <v>67.3</v>
      </c>
      <c r="C736" t="n">
        <v>131596</v>
      </c>
      <c r="D736" t="n">
        <v>4</v>
      </c>
    </row>
    <row r="737">
      <c r="A737" s="78" t="n">
        <v>36617</v>
      </c>
      <c r="B737" t="n">
        <v>67.3</v>
      </c>
      <c r="C737" t="n">
        <v>131888</v>
      </c>
      <c r="D737" t="n">
        <v>3.8</v>
      </c>
    </row>
    <row r="738">
      <c r="A738" s="78" t="n">
        <v>36647</v>
      </c>
      <c r="B738" t="n">
        <v>67.09999999999999</v>
      </c>
      <c r="C738" t="n">
        <v>132105</v>
      </c>
      <c r="D738" t="n">
        <v>4</v>
      </c>
    </row>
    <row r="739">
      <c r="A739" s="78" t="n">
        <v>36678</v>
      </c>
      <c r="B739" t="n">
        <v>67.09999999999999</v>
      </c>
      <c r="C739" t="n">
        <v>132061</v>
      </c>
      <c r="D739" t="n">
        <v>4</v>
      </c>
    </row>
    <row r="740">
      <c r="A740" s="78" t="n">
        <v>36708</v>
      </c>
      <c r="B740" t="n">
        <v>66.90000000000001</v>
      </c>
      <c r="C740" t="n">
        <v>132236</v>
      </c>
      <c r="D740" t="n">
        <v>4</v>
      </c>
    </row>
    <row r="741">
      <c r="A741" s="78" t="n">
        <v>36739</v>
      </c>
      <c r="B741" t="n">
        <v>66.90000000000001</v>
      </c>
      <c r="C741" t="n">
        <v>132230</v>
      </c>
      <c r="D741" t="n">
        <v>4.1</v>
      </c>
    </row>
    <row r="742">
      <c r="A742" s="78" t="n">
        <v>36770</v>
      </c>
      <c r="B742" t="n">
        <v>66.90000000000001</v>
      </c>
      <c r="C742" t="n">
        <v>132353</v>
      </c>
      <c r="D742" t="n">
        <v>3.9</v>
      </c>
    </row>
    <row r="743">
      <c r="A743" s="78" t="n">
        <v>36800</v>
      </c>
      <c r="B743" t="n">
        <v>66.8</v>
      </c>
      <c r="C743" t="n">
        <v>132351</v>
      </c>
      <c r="D743" t="n">
        <v>3.9</v>
      </c>
    </row>
    <row r="744">
      <c r="A744" s="78" t="n">
        <v>36831</v>
      </c>
      <c r="B744" t="n">
        <v>66.90000000000001</v>
      </c>
      <c r="C744" t="n">
        <v>132556</v>
      </c>
      <c r="D744" t="n">
        <v>3.9</v>
      </c>
    </row>
    <row r="745">
      <c r="A745" s="78" t="n">
        <v>36861</v>
      </c>
      <c r="B745" t="n">
        <v>67</v>
      </c>
      <c r="C745" t="n">
        <v>132709</v>
      </c>
      <c r="D745" t="n">
        <v>3.9</v>
      </c>
    </row>
    <row r="746">
      <c r="A746" s="78" t="n">
        <v>36892</v>
      </c>
      <c r="B746" t="n">
        <v>67.2</v>
      </c>
      <c r="C746" t="n">
        <v>132698</v>
      </c>
      <c r="D746" t="n">
        <v>4.2</v>
      </c>
    </row>
    <row r="747">
      <c r="A747" s="78" t="n">
        <v>36923</v>
      </c>
      <c r="B747" t="n">
        <v>67.09999999999999</v>
      </c>
      <c r="C747" t="n">
        <v>132789</v>
      </c>
      <c r="D747" t="n">
        <v>4.2</v>
      </c>
    </row>
    <row r="748">
      <c r="A748" s="78" t="n">
        <v>36951</v>
      </c>
      <c r="B748" t="n">
        <v>67.2</v>
      </c>
      <c r="C748" t="n">
        <v>132747</v>
      </c>
      <c r="D748" t="n">
        <v>4.3</v>
      </c>
    </row>
    <row r="749">
      <c r="A749" s="78" t="n">
        <v>36982</v>
      </c>
      <c r="B749" t="n">
        <v>66.90000000000001</v>
      </c>
      <c r="C749" t="n">
        <v>132463</v>
      </c>
      <c r="D749" t="n">
        <v>4.4</v>
      </c>
    </row>
    <row r="750">
      <c r="A750" s="78" t="n">
        <v>37012</v>
      </c>
      <c r="B750" t="n">
        <v>66.7</v>
      </c>
      <c r="C750" t="n">
        <v>132410</v>
      </c>
      <c r="D750" t="n">
        <v>4.3</v>
      </c>
    </row>
    <row r="751">
      <c r="A751" s="78" t="n">
        <v>37043</v>
      </c>
      <c r="B751" t="n">
        <v>66.7</v>
      </c>
      <c r="C751" t="n">
        <v>132299</v>
      </c>
      <c r="D751" t="n">
        <v>4.5</v>
      </c>
    </row>
    <row r="752">
      <c r="A752" s="78" t="n">
        <v>37073</v>
      </c>
      <c r="B752" t="n">
        <v>66.8</v>
      </c>
      <c r="C752" t="n">
        <v>132177</v>
      </c>
      <c r="D752" t="n">
        <v>4.6</v>
      </c>
    </row>
    <row r="753">
      <c r="A753" s="78" t="n">
        <v>37104</v>
      </c>
      <c r="B753" t="n">
        <v>66.5</v>
      </c>
      <c r="C753" t="n">
        <v>132028</v>
      </c>
      <c r="D753" t="n">
        <v>4.9</v>
      </c>
    </row>
    <row r="754">
      <c r="A754" s="78" t="n">
        <v>37135</v>
      </c>
      <c r="B754" t="n">
        <v>66.8</v>
      </c>
      <c r="C754" t="n">
        <v>131771</v>
      </c>
      <c r="D754" t="n">
        <v>5</v>
      </c>
    </row>
    <row r="755">
      <c r="A755" s="78" t="n">
        <v>37165</v>
      </c>
      <c r="B755" t="n">
        <v>66.7</v>
      </c>
      <c r="C755" t="n">
        <v>131454</v>
      </c>
      <c r="D755" t="n">
        <v>5.3</v>
      </c>
    </row>
    <row r="756">
      <c r="A756" s="78" t="n">
        <v>37196</v>
      </c>
      <c r="B756" t="n">
        <v>66.7</v>
      </c>
      <c r="C756" t="n">
        <v>131142</v>
      </c>
      <c r="D756" t="n">
        <v>5.5</v>
      </c>
    </row>
    <row r="757">
      <c r="A757" s="78" t="n">
        <v>37226</v>
      </c>
      <c r="B757" t="n">
        <v>66.7</v>
      </c>
      <c r="C757" t="n">
        <v>130982</v>
      </c>
      <c r="D757" t="n">
        <v>5.7</v>
      </c>
    </row>
    <row r="758">
      <c r="A758" s="78" t="n">
        <v>37257</v>
      </c>
      <c r="B758" t="n">
        <v>66.5</v>
      </c>
      <c r="C758" t="n">
        <v>130852</v>
      </c>
      <c r="D758" t="n">
        <v>5.7</v>
      </c>
    </row>
    <row r="759">
      <c r="A759" s="78" t="n">
        <v>37288</v>
      </c>
      <c r="B759" t="n">
        <v>66.8</v>
      </c>
      <c r="C759" t="n">
        <v>130736</v>
      </c>
      <c r="D759" t="n">
        <v>5.7</v>
      </c>
    </row>
    <row r="760">
      <c r="A760" s="78" t="n">
        <v>37316</v>
      </c>
      <c r="B760" t="n">
        <v>66.59999999999999</v>
      </c>
      <c r="C760" t="n">
        <v>130717</v>
      </c>
      <c r="D760" t="n">
        <v>5.7</v>
      </c>
    </row>
    <row r="761">
      <c r="A761" s="78" t="n">
        <v>37347</v>
      </c>
      <c r="B761" t="n">
        <v>66.7</v>
      </c>
      <c r="C761" t="n">
        <v>130623</v>
      </c>
      <c r="D761" t="n">
        <v>5.9</v>
      </c>
    </row>
    <row r="762">
      <c r="A762" s="78" t="n">
        <v>37377</v>
      </c>
      <c r="B762" t="n">
        <v>66.7</v>
      </c>
      <c r="C762" t="n">
        <v>130634</v>
      </c>
      <c r="D762" t="n">
        <v>5.8</v>
      </c>
    </row>
    <row r="763">
      <c r="A763" s="78" t="n">
        <v>37408</v>
      </c>
      <c r="B763" t="n">
        <v>66.59999999999999</v>
      </c>
      <c r="C763" t="n">
        <v>130684</v>
      </c>
      <c r="D763" t="n">
        <v>5.8</v>
      </c>
    </row>
    <row r="764">
      <c r="A764" s="78" t="n">
        <v>37438</v>
      </c>
      <c r="B764" t="n">
        <v>66.5</v>
      </c>
      <c r="C764" t="n">
        <v>130590</v>
      </c>
      <c r="D764" t="n">
        <v>5.8</v>
      </c>
    </row>
    <row r="765">
      <c r="A765" s="78" t="n">
        <v>37469</v>
      </c>
      <c r="B765" t="n">
        <v>66.59999999999999</v>
      </c>
      <c r="C765" t="n">
        <v>130587</v>
      </c>
      <c r="D765" t="n">
        <v>5.7</v>
      </c>
    </row>
    <row r="766">
      <c r="A766" s="78" t="n">
        <v>37500</v>
      </c>
      <c r="B766" t="n">
        <v>66.7</v>
      </c>
      <c r="C766" t="n">
        <v>130501</v>
      </c>
      <c r="D766" t="n">
        <v>5.7</v>
      </c>
    </row>
    <row r="767">
      <c r="A767" s="78" t="n">
        <v>37530</v>
      </c>
      <c r="B767" t="n">
        <v>66.59999999999999</v>
      </c>
      <c r="C767" t="n">
        <v>130628</v>
      </c>
      <c r="D767" t="n">
        <v>5.7</v>
      </c>
    </row>
    <row r="768">
      <c r="A768" s="78" t="n">
        <v>37561</v>
      </c>
      <c r="B768" t="n">
        <v>66.40000000000001</v>
      </c>
      <c r="C768" t="n">
        <v>130615</v>
      </c>
      <c r="D768" t="n">
        <v>5.9</v>
      </c>
    </row>
    <row r="769">
      <c r="A769" s="78" t="n">
        <v>37591</v>
      </c>
      <c r="B769" t="n">
        <v>66.3</v>
      </c>
      <c r="C769" t="n">
        <v>130472</v>
      </c>
      <c r="D769" t="n">
        <v>6</v>
      </c>
    </row>
    <row r="770">
      <c r="A770" s="78" t="n">
        <v>37622</v>
      </c>
      <c r="B770" t="n">
        <v>66.40000000000001</v>
      </c>
      <c r="C770" t="n">
        <v>130580</v>
      </c>
      <c r="D770" t="n">
        <v>5.8</v>
      </c>
    </row>
    <row r="771">
      <c r="A771" s="78" t="n">
        <v>37653</v>
      </c>
      <c r="B771" t="n">
        <v>66.40000000000001</v>
      </c>
      <c r="C771" t="n">
        <v>130444</v>
      </c>
      <c r="D771" t="n">
        <v>5.9</v>
      </c>
    </row>
    <row r="772">
      <c r="A772" s="78" t="n">
        <v>37681</v>
      </c>
      <c r="B772" t="n">
        <v>66.3</v>
      </c>
      <c r="C772" t="n">
        <v>130232</v>
      </c>
      <c r="D772" t="n">
        <v>5.9</v>
      </c>
    </row>
    <row r="773">
      <c r="A773" s="78" t="n">
        <v>37712</v>
      </c>
      <c r="B773" t="n">
        <v>66.40000000000001</v>
      </c>
      <c r="C773" t="n">
        <v>130177</v>
      </c>
      <c r="D773" t="n">
        <v>6</v>
      </c>
    </row>
    <row r="774">
      <c r="A774" s="78" t="n">
        <v>37742</v>
      </c>
      <c r="B774" t="n">
        <v>66.40000000000001</v>
      </c>
      <c r="C774" t="n">
        <v>130196</v>
      </c>
      <c r="D774" t="n">
        <v>6.1</v>
      </c>
    </row>
    <row r="775">
      <c r="A775" s="78" t="n">
        <v>37773</v>
      </c>
      <c r="B775" t="n">
        <v>66.5</v>
      </c>
      <c r="C775" t="n">
        <v>130194</v>
      </c>
      <c r="D775" t="n">
        <v>6.3</v>
      </c>
    </row>
    <row r="776">
      <c r="A776" s="78" t="n">
        <v>37803</v>
      </c>
      <c r="B776" t="n">
        <v>66.2</v>
      </c>
      <c r="C776" t="n">
        <v>130191</v>
      </c>
      <c r="D776" t="n">
        <v>6.2</v>
      </c>
    </row>
    <row r="777">
      <c r="A777" s="78" t="n">
        <v>37834</v>
      </c>
      <c r="B777" t="n">
        <v>66.09999999999999</v>
      </c>
      <c r="C777" t="n">
        <v>130149</v>
      </c>
      <c r="D777" t="n">
        <v>6.1</v>
      </c>
    </row>
    <row r="778">
      <c r="A778" s="78" t="n">
        <v>37865</v>
      </c>
      <c r="B778" t="n">
        <v>66.09999999999999</v>
      </c>
      <c r="C778" t="n">
        <v>130254</v>
      </c>
      <c r="D778" t="n">
        <v>6.1</v>
      </c>
    </row>
    <row r="779">
      <c r="A779" s="78" t="n">
        <v>37895</v>
      </c>
      <c r="B779" t="n">
        <v>66.09999999999999</v>
      </c>
      <c r="C779" t="n">
        <v>130454</v>
      </c>
      <c r="D779" t="n">
        <v>6</v>
      </c>
    </row>
    <row r="780">
      <c r="A780" s="78" t="n">
        <v>37926</v>
      </c>
      <c r="B780" t="n">
        <v>66.09999999999999</v>
      </c>
      <c r="C780" t="n">
        <v>130474</v>
      </c>
      <c r="D780" t="n">
        <v>5.8</v>
      </c>
    </row>
    <row r="781">
      <c r="A781" s="78" t="n">
        <v>37956</v>
      </c>
      <c r="B781" t="n">
        <v>65.90000000000001</v>
      </c>
      <c r="C781" t="n">
        <v>130588</v>
      </c>
      <c r="D781" t="n">
        <v>5.7</v>
      </c>
    </row>
    <row r="782">
      <c r="A782" s="78" t="n">
        <v>37987</v>
      </c>
      <c r="B782" t="n">
        <v>66.09999999999999</v>
      </c>
      <c r="C782" t="n">
        <v>130769</v>
      </c>
      <c r="D782" t="n">
        <v>5.7</v>
      </c>
    </row>
    <row r="783">
      <c r="A783" s="78" t="n">
        <v>38018</v>
      </c>
      <c r="B783" t="n">
        <v>66</v>
      </c>
      <c r="C783" t="n">
        <v>130825</v>
      </c>
      <c r="D783" t="n">
        <v>5.6</v>
      </c>
    </row>
    <row r="784">
      <c r="A784" s="78" t="n">
        <v>38047</v>
      </c>
      <c r="B784" t="n">
        <v>66</v>
      </c>
      <c r="C784" t="n">
        <v>131142</v>
      </c>
      <c r="D784" t="n">
        <v>5.8</v>
      </c>
    </row>
    <row r="785">
      <c r="A785" s="78" t="n">
        <v>38078</v>
      </c>
      <c r="B785" t="n">
        <v>65.90000000000001</v>
      </c>
      <c r="C785" t="n">
        <v>131411</v>
      </c>
      <c r="D785" t="n">
        <v>5.6</v>
      </c>
    </row>
    <row r="786">
      <c r="A786" s="78" t="n">
        <v>38108</v>
      </c>
      <c r="B786" t="n">
        <v>66</v>
      </c>
      <c r="C786" t="n">
        <v>131694</v>
      </c>
      <c r="D786" t="n">
        <v>5.6</v>
      </c>
    </row>
    <row r="787">
      <c r="A787" s="78" t="n">
        <v>38139</v>
      </c>
      <c r="B787" t="n">
        <v>66.09999999999999</v>
      </c>
      <c r="C787" t="n">
        <v>131793</v>
      </c>
      <c r="D787" t="n">
        <v>5.6</v>
      </c>
    </row>
    <row r="788">
      <c r="A788" s="78" t="n">
        <v>38169</v>
      </c>
      <c r="B788" t="n">
        <v>66.09999999999999</v>
      </c>
      <c r="C788" t="n">
        <v>131848</v>
      </c>
      <c r="D788" t="n">
        <v>5.5</v>
      </c>
    </row>
    <row r="789">
      <c r="A789" s="78" t="n">
        <v>38200</v>
      </c>
      <c r="B789" t="n">
        <v>66</v>
      </c>
      <c r="C789" t="n">
        <v>131937</v>
      </c>
      <c r="D789" t="n">
        <v>5.4</v>
      </c>
    </row>
    <row r="790">
      <c r="A790" s="78" t="n">
        <v>38231</v>
      </c>
      <c r="B790" t="n">
        <v>65.8</v>
      </c>
      <c r="C790" t="n">
        <v>132093</v>
      </c>
      <c r="D790" t="n">
        <v>5.4</v>
      </c>
    </row>
    <row r="791">
      <c r="A791" s="78" t="n">
        <v>38261</v>
      </c>
      <c r="B791" t="n">
        <v>65.90000000000001</v>
      </c>
      <c r="C791" t="n">
        <v>132447</v>
      </c>
      <c r="D791" t="n">
        <v>5.5</v>
      </c>
    </row>
    <row r="792">
      <c r="A792" s="78" t="n">
        <v>38292</v>
      </c>
      <c r="B792" t="n">
        <v>66</v>
      </c>
      <c r="C792" t="n">
        <v>132503</v>
      </c>
      <c r="D792" t="n">
        <v>5.4</v>
      </c>
    </row>
    <row r="793">
      <c r="A793" s="78" t="n">
        <v>38322</v>
      </c>
      <c r="B793" t="n">
        <v>65.90000000000001</v>
      </c>
      <c r="C793" t="n">
        <v>132624</v>
      </c>
      <c r="D793" t="n">
        <v>5.4</v>
      </c>
    </row>
    <row r="794">
      <c r="A794" s="78" t="n">
        <v>38353</v>
      </c>
      <c r="B794" t="n">
        <v>65.8</v>
      </c>
      <c r="C794" t="n">
        <v>132774</v>
      </c>
      <c r="D794" t="n">
        <v>5.3</v>
      </c>
    </row>
    <row r="795">
      <c r="A795" s="78" t="n">
        <v>38384</v>
      </c>
      <c r="B795" t="n">
        <v>65.90000000000001</v>
      </c>
      <c r="C795" t="n">
        <v>133032</v>
      </c>
      <c r="D795" t="n">
        <v>5.4</v>
      </c>
    </row>
    <row r="796">
      <c r="A796" s="78" t="n">
        <v>38412</v>
      </c>
      <c r="B796" t="n">
        <v>65.90000000000001</v>
      </c>
      <c r="C796" t="n">
        <v>133156</v>
      </c>
      <c r="D796" t="n">
        <v>5.2</v>
      </c>
    </row>
    <row r="797">
      <c r="A797" s="78" t="n">
        <v>38443</v>
      </c>
      <c r="B797" t="n">
        <v>66.09999999999999</v>
      </c>
      <c r="C797" t="n">
        <v>133518</v>
      </c>
      <c r="D797" t="n">
        <v>5.2</v>
      </c>
    </row>
    <row r="798">
      <c r="A798" s="78" t="n">
        <v>38473</v>
      </c>
      <c r="B798" t="n">
        <v>66.09999999999999</v>
      </c>
      <c r="C798" t="n">
        <v>133690</v>
      </c>
      <c r="D798" t="n">
        <v>5.1</v>
      </c>
    </row>
    <row r="799">
      <c r="A799" s="78" t="n">
        <v>38504</v>
      </c>
      <c r="B799" t="n">
        <v>66.09999999999999</v>
      </c>
      <c r="C799" t="n">
        <v>133942</v>
      </c>
      <c r="D799" t="n">
        <v>5</v>
      </c>
    </row>
    <row r="800">
      <c r="A800" s="78" t="n">
        <v>38534</v>
      </c>
      <c r="B800" t="n">
        <v>66.09999999999999</v>
      </c>
      <c r="C800" t="n">
        <v>134296</v>
      </c>
      <c r="D800" t="n">
        <v>5</v>
      </c>
    </row>
    <row r="801">
      <c r="A801" s="78" t="n">
        <v>38565</v>
      </c>
      <c r="B801" t="n">
        <v>66.2</v>
      </c>
      <c r="C801" t="n">
        <v>134498</v>
      </c>
      <c r="D801" t="n">
        <v>4.9</v>
      </c>
    </row>
    <row r="802">
      <c r="A802" s="78" t="n">
        <v>38596</v>
      </c>
      <c r="B802" t="n">
        <v>66.09999999999999</v>
      </c>
      <c r="C802" t="n">
        <v>134566</v>
      </c>
      <c r="D802" t="n">
        <v>5</v>
      </c>
    </row>
    <row r="803">
      <c r="A803" s="78" t="n">
        <v>38626</v>
      </c>
      <c r="B803" t="n">
        <v>66.09999999999999</v>
      </c>
      <c r="C803" t="n">
        <v>134655</v>
      </c>
      <c r="D803" t="n">
        <v>5</v>
      </c>
    </row>
    <row r="804">
      <c r="A804" s="78" t="n">
        <v>38657</v>
      </c>
      <c r="B804" t="n">
        <v>66</v>
      </c>
      <c r="C804" t="n">
        <v>134993</v>
      </c>
      <c r="D804" t="n">
        <v>5</v>
      </c>
    </row>
    <row r="805">
      <c r="A805" s="78" t="n">
        <v>38687</v>
      </c>
      <c r="B805" t="n">
        <v>66</v>
      </c>
      <c r="C805" t="n">
        <v>135149</v>
      </c>
      <c r="D805" t="n">
        <v>4.9</v>
      </c>
    </row>
    <row r="806">
      <c r="A806" s="78" t="n">
        <v>38718</v>
      </c>
      <c r="B806" t="n">
        <v>66</v>
      </c>
      <c r="C806" t="n">
        <v>135429</v>
      </c>
      <c r="D806" t="n">
        <v>4.7</v>
      </c>
    </row>
    <row r="807">
      <c r="A807" s="78" t="n">
        <v>38749</v>
      </c>
      <c r="B807" t="n">
        <v>66.09999999999999</v>
      </c>
      <c r="C807" t="n">
        <v>135737</v>
      </c>
      <c r="D807" t="n">
        <v>4.8</v>
      </c>
    </row>
    <row r="808">
      <c r="A808" s="78" t="n">
        <v>38777</v>
      </c>
      <c r="B808" t="n">
        <v>66.2</v>
      </c>
      <c r="C808" t="n">
        <v>136047</v>
      </c>
      <c r="D808" t="n">
        <v>4.7</v>
      </c>
    </row>
    <row r="809">
      <c r="A809" s="78" t="n">
        <v>38808</v>
      </c>
      <c r="B809" t="n">
        <v>66.09999999999999</v>
      </c>
      <c r="C809" t="n">
        <v>136205</v>
      </c>
      <c r="D809" t="n">
        <v>4.7</v>
      </c>
    </row>
    <row r="810">
      <c r="A810" s="78" t="n">
        <v>38838</v>
      </c>
      <c r="B810" t="n">
        <v>66.09999999999999</v>
      </c>
      <c r="C810" t="n">
        <v>136244</v>
      </c>
      <c r="D810" t="n">
        <v>4.6</v>
      </c>
    </row>
    <row r="811">
      <c r="A811" s="78" t="n">
        <v>38869</v>
      </c>
      <c r="B811" t="n">
        <v>66.2</v>
      </c>
      <c r="C811" t="n">
        <v>136325</v>
      </c>
      <c r="D811" t="n">
        <v>4.6</v>
      </c>
    </row>
    <row r="812">
      <c r="A812" s="78" t="n">
        <v>38899</v>
      </c>
      <c r="B812" t="n">
        <v>66.09999999999999</v>
      </c>
      <c r="C812" t="n">
        <v>136520</v>
      </c>
      <c r="D812" t="n">
        <v>4.7</v>
      </c>
    </row>
    <row r="813">
      <c r="A813" s="78" t="n">
        <v>38930</v>
      </c>
      <c r="B813" t="n">
        <v>66.2</v>
      </c>
      <c r="C813" t="n">
        <v>136694</v>
      </c>
      <c r="D813" t="n">
        <v>4.7</v>
      </c>
    </row>
    <row r="814">
      <c r="A814" s="78" t="n">
        <v>38961</v>
      </c>
      <c r="B814" t="n">
        <v>66.09999999999999</v>
      </c>
      <c r="C814" t="n">
        <v>136843</v>
      </c>
      <c r="D814" t="n">
        <v>4.5</v>
      </c>
    </row>
    <row r="815">
      <c r="A815" s="78" t="n">
        <v>38991</v>
      </c>
      <c r="B815" t="n">
        <v>66.2</v>
      </c>
      <c r="C815" t="n">
        <v>136852</v>
      </c>
      <c r="D815" t="n">
        <v>4.4</v>
      </c>
    </row>
    <row r="816">
      <c r="A816" s="78" t="n">
        <v>39022</v>
      </c>
      <c r="B816" t="n">
        <v>66.3</v>
      </c>
      <c r="C816" t="n">
        <v>137063</v>
      </c>
      <c r="D816" t="n">
        <v>4.5</v>
      </c>
    </row>
    <row r="817">
      <c r="A817" s="78" t="n">
        <v>39052</v>
      </c>
      <c r="B817" t="n">
        <v>66.40000000000001</v>
      </c>
      <c r="C817" t="n">
        <v>137249</v>
      </c>
      <c r="D817" t="n">
        <v>4.4</v>
      </c>
    </row>
    <row r="818">
      <c r="A818" s="78" t="n">
        <v>39083</v>
      </c>
      <c r="B818" t="n">
        <v>66.40000000000001</v>
      </c>
      <c r="C818" t="n">
        <v>137477</v>
      </c>
      <c r="D818" t="n">
        <v>4.6</v>
      </c>
    </row>
    <row r="819">
      <c r="A819" s="78" t="n">
        <v>39114</v>
      </c>
      <c r="B819" t="n">
        <v>66.3</v>
      </c>
      <c r="C819" t="n">
        <v>137558</v>
      </c>
      <c r="D819" t="n">
        <v>4.5</v>
      </c>
    </row>
    <row r="820">
      <c r="A820" s="78" t="n">
        <v>39142</v>
      </c>
      <c r="B820" t="n">
        <v>66.2</v>
      </c>
      <c r="C820" t="n">
        <v>137793</v>
      </c>
      <c r="D820" t="n">
        <v>4.4</v>
      </c>
    </row>
    <row r="821">
      <c r="A821" s="78" t="n">
        <v>39173</v>
      </c>
      <c r="B821" t="n">
        <v>65.90000000000001</v>
      </c>
      <c r="C821" t="n">
        <v>137842</v>
      </c>
      <c r="D821" t="n">
        <v>4.5</v>
      </c>
    </row>
    <row r="822">
      <c r="A822" s="78" t="n">
        <v>39203</v>
      </c>
      <c r="B822" t="n">
        <v>66</v>
      </c>
      <c r="C822" t="n">
        <v>137993</v>
      </c>
      <c r="D822" t="n">
        <v>4.4</v>
      </c>
    </row>
    <row r="823">
      <c r="A823" s="78" t="n">
        <v>39234</v>
      </c>
      <c r="B823" t="n">
        <v>66</v>
      </c>
      <c r="C823" t="n">
        <v>138069</v>
      </c>
      <c r="D823" t="n">
        <v>4.6</v>
      </c>
    </row>
    <row r="824">
      <c r="A824" s="78" t="n">
        <v>39264</v>
      </c>
      <c r="B824" t="n">
        <v>66</v>
      </c>
      <c r="C824" t="n">
        <v>138038</v>
      </c>
      <c r="D824" t="n">
        <v>4.7</v>
      </c>
    </row>
    <row r="825">
      <c r="A825" s="78" t="n">
        <v>39295</v>
      </c>
      <c r="B825" t="n">
        <v>65.8</v>
      </c>
      <c r="C825" t="n">
        <v>138015</v>
      </c>
      <c r="D825" t="n">
        <v>4.6</v>
      </c>
    </row>
    <row r="826">
      <c r="A826" s="78" t="n">
        <v>39326</v>
      </c>
      <c r="B826" t="n">
        <v>66</v>
      </c>
      <c r="C826" t="n">
        <v>138095</v>
      </c>
      <c r="D826" t="n">
        <v>4.7</v>
      </c>
    </row>
    <row r="827">
      <c r="A827" s="78" t="n">
        <v>39356</v>
      </c>
      <c r="B827" t="n">
        <v>65.8</v>
      </c>
      <c r="C827" t="n">
        <v>138174</v>
      </c>
      <c r="D827" t="n">
        <v>4.7</v>
      </c>
    </row>
    <row r="828">
      <c r="A828" s="78" t="n">
        <v>39387</v>
      </c>
      <c r="B828" t="n">
        <v>66</v>
      </c>
      <c r="C828" t="n">
        <v>138284</v>
      </c>
      <c r="D828" t="n">
        <v>4.7</v>
      </c>
    </row>
    <row r="829">
      <c r="A829" s="78" t="n">
        <v>39417</v>
      </c>
      <c r="B829" t="n">
        <v>66</v>
      </c>
      <c r="C829" t="n">
        <v>138392</v>
      </c>
      <c r="D829" t="n">
        <v>5</v>
      </c>
    </row>
    <row r="830">
      <c r="A830" s="78" t="n">
        <v>39448</v>
      </c>
      <c r="B830" t="n">
        <v>66.2</v>
      </c>
      <c r="C830" t="n">
        <v>138403</v>
      </c>
      <c r="D830" t="n">
        <v>5</v>
      </c>
    </row>
    <row r="831">
      <c r="A831" s="78" t="n">
        <v>39479</v>
      </c>
      <c r="B831" t="n">
        <v>66</v>
      </c>
      <c r="C831" t="n">
        <v>138324</v>
      </c>
      <c r="D831" t="n">
        <v>4.9</v>
      </c>
    </row>
    <row r="832">
      <c r="A832" s="78" t="n">
        <v>39508</v>
      </c>
      <c r="B832" t="n">
        <v>66.09999999999999</v>
      </c>
      <c r="C832" t="n">
        <v>138275</v>
      </c>
      <c r="D832" t="n">
        <v>5.1</v>
      </c>
    </row>
    <row r="833">
      <c r="A833" s="78" t="n">
        <v>39539</v>
      </c>
      <c r="B833" t="n">
        <v>65.90000000000001</v>
      </c>
      <c r="C833" t="n">
        <v>138035</v>
      </c>
      <c r="D833" t="n">
        <v>5</v>
      </c>
    </row>
    <row r="834">
      <c r="A834" s="78" t="n">
        <v>39569</v>
      </c>
      <c r="B834" t="n">
        <v>66.09999999999999</v>
      </c>
      <c r="C834" t="n">
        <v>137858</v>
      </c>
      <c r="D834" t="n">
        <v>5.4</v>
      </c>
    </row>
    <row r="835">
      <c r="A835" s="78" t="n">
        <v>39600</v>
      </c>
      <c r="B835" t="n">
        <v>66.09999999999999</v>
      </c>
      <c r="C835" t="n">
        <v>137687</v>
      </c>
      <c r="D835" t="n">
        <v>5.6</v>
      </c>
    </row>
    <row r="836">
      <c r="A836" s="78" t="n">
        <v>39630</v>
      </c>
      <c r="B836" t="n">
        <v>66.09999999999999</v>
      </c>
      <c r="C836" t="n">
        <v>137491</v>
      </c>
      <c r="D836" t="n">
        <v>5.8</v>
      </c>
    </row>
    <row r="837">
      <c r="A837" s="78" t="n">
        <v>39661</v>
      </c>
      <c r="B837" t="n">
        <v>66.09999999999999</v>
      </c>
      <c r="C837" t="n">
        <v>137213</v>
      </c>
      <c r="D837" t="n">
        <v>6.1</v>
      </c>
    </row>
    <row r="838">
      <c r="A838" s="78" t="n">
        <v>39692</v>
      </c>
      <c r="B838" t="n">
        <v>66</v>
      </c>
      <c r="C838" t="n">
        <v>136753</v>
      </c>
      <c r="D838" t="n">
        <v>6.1</v>
      </c>
    </row>
    <row r="839">
      <c r="A839" s="78" t="n">
        <v>39722</v>
      </c>
      <c r="B839" t="n">
        <v>66</v>
      </c>
      <c r="C839" t="n">
        <v>136272</v>
      </c>
      <c r="D839" t="n">
        <v>6.5</v>
      </c>
    </row>
    <row r="840">
      <c r="A840" s="78" t="n">
        <v>39753</v>
      </c>
      <c r="B840" t="n">
        <v>65.90000000000001</v>
      </c>
      <c r="C840" t="n">
        <v>135545</v>
      </c>
      <c r="D840" t="n">
        <v>6.8</v>
      </c>
    </row>
    <row r="841">
      <c r="A841" s="78" t="n">
        <v>39783</v>
      </c>
      <c r="B841" t="n">
        <v>65.8</v>
      </c>
      <c r="C841" t="n">
        <v>134839</v>
      </c>
      <c r="D841" t="n">
        <v>7.3</v>
      </c>
    </row>
    <row r="842">
      <c r="A842" s="78" t="n">
        <v>39814</v>
      </c>
      <c r="B842" t="n">
        <v>65.7</v>
      </c>
      <c r="C842" t="n">
        <v>134055</v>
      </c>
      <c r="D842" t="n">
        <v>7.8</v>
      </c>
    </row>
    <row r="843">
      <c r="A843" s="78" t="n">
        <v>39845</v>
      </c>
      <c r="B843" t="n">
        <v>65.8</v>
      </c>
      <c r="C843" t="n">
        <v>133312</v>
      </c>
      <c r="D843" t="n">
        <v>8.300000000000001</v>
      </c>
    </row>
    <row r="844">
      <c r="A844" s="78" t="n">
        <v>39873</v>
      </c>
      <c r="B844" t="n">
        <v>65.59999999999999</v>
      </c>
      <c r="C844" t="n">
        <v>132512</v>
      </c>
      <c r="D844" t="n">
        <v>8.699999999999999</v>
      </c>
    </row>
    <row r="845">
      <c r="A845" s="78" t="n">
        <v>39904</v>
      </c>
      <c r="B845" t="n">
        <v>65.7</v>
      </c>
      <c r="C845" t="n">
        <v>131817</v>
      </c>
      <c r="D845" t="n">
        <v>9</v>
      </c>
    </row>
    <row r="846">
      <c r="A846" s="78" t="n">
        <v>39934</v>
      </c>
      <c r="B846" t="n">
        <v>65.7</v>
      </c>
      <c r="C846" t="n">
        <v>131475</v>
      </c>
      <c r="D846" t="n">
        <v>9.4</v>
      </c>
    </row>
    <row r="847">
      <c r="A847" s="78" t="n">
        <v>39965</v>
      </c>
      <c r="B847" t="n">
        <v>65.7</v>
      </c>
      <c r="C847" t="n">
        <v>131008</v>
      </c>
      <c r="D847" t="n">
        <v>9.5</v>
      </c>
    </row>
    <row r="848">
      <c r="A848" s="78" t="n">
        <v>39995</v>
      </c>
      <c r="B848" t="n">
        <v>65.5</v>
      </c>
      <c r="C848" t="n">
        <v>130668</v>
      </c>
      <c r="D848" t="n">
        <v>9.5</v>
      </c>
    </row>
    <row r="849">
      <c r="A849" s="78" t="n">
        <v>40026</v>
      </c>
      <c r="B849" t="n">
        <v>65.40000000000001</v>
      </c>
      <c r="C849" t="n">
        <v>130485</v>
      </c>
      <c r="D849" t="n">
        <v>9.6</v>
      </c>
    </row>
    <row r="850">
      <c r="A850" s="78" t="n">
        <v>40057</v>
      </c>
      <c r="B850" t="n">
        <v>65.09999999999999</v>
      </c>
      <c r="C850" t="n">
        <v>130244</v>
      </c>
      <c r="D850" t="n">
        <v>9.800000000000001</v>
      </c>
    </row>
    <row r="851">
      <c r="A851" s="78" t="n">
        <v>40087</v>
      </c>
      <c r="B851" t="n">
        <v>65</v>
      </c>
      <c r="C851" t="n">
        <v>130045</v>
      </c>
      <c r="D851" t="n">
        <v>10</v>
      </c>
    </row>
    <row r="852">
      <c r="A852" s="78" t="n">
        <v>40118</v>
      </c>
      <c r="B852" t="n">
        <v>65</v>
      </c>
      <c r="C852" t="n">
        <v>130057</v>
      </c>
      <c r="D852" t="n">
        <v>9.9</v>
      </c>
    </row>
    <row r="853">
      <c r="A853" s="78" t="n">
        <v>40148</v>
      </c>
      <c r="B853" t="n">
        <v>64.59999999999999</v>
      </c>
      <c r="C853" t="n">
        <v>129788</v>
      </c>
      <c r="D853" t="n">
        <v>9.9</v>
      </c>
    </row>
    <row r="854">
      <c r="A854" s="78" t="n">
        <v>40179</v>
      </c>
      <c r="B854" t="n">
        <v>64.8</v>
      </c>
      <c r="C854" t="n">
        <v>129790</v>
      </c>
      <c r="D854" t="n">
        <v>9.800000000000001</v>
      </c>
    </row>
    <row r="855">
      <c r="A855" s="78" t="n">
        <v>40210</v>
      </c>
      <c r="B855" t="n">
        <v>64.90000000000001</v>
      </c>
      <c r="C855" t="n">
        <v>129698</v>
      </c>
      <c r="D855" t="n">
        <v>9.800000000000001</v>
      </c>
    </row>
    <row r="856">
      <c r="A856" s="78" t="n">
        <v>40238</v>
      </c>
      <c r="B856" t="n">
        <v>64.90000000000001</v>
      </c>
      <c r="C856" t="n">
        <v>129879</v>
      </c>
      <c r="D856" t="n">
        <v>9.9</v>
      </c>
    </row>
    <row r="857">
      <c r="A857" s="78" t="n">
        <v>40269</v>
      </c>
      <c r="B857" t="n">
        <v>65.2</v>
      </c>
      <c r="C857" t="n">
        <v>130110</v>
      </c>
      <c r="D857" t="n">
        <v>9.9</v>
      </c>
    </row>
    <row r="858">
      <c r="A858" s="78" t="n">
        <v>40299</v>
      </c>
      <c r="B858" t="n">
        <v>64.90000000000001</v>
      </c>
      <c r="C858" t="n">
        <v>130650</v>
      </c>
      <c r="D858" t="n">
        <v>9.6</v>
      </c>
    </row>
    <row r="859">
      <c r="A859" s="78" t="n">
        <v>40330</v>
      </c>
      <c r="B859" t="n">
        <v>64.59999999999999</v>
      </c>
      <c r="C859" t="n">
        <v>130511</v>
      </c>
      <c r="D859" t="n">
        <v>9.4</v>
      </c>
    </row>
    <row r="860">
      <c r="A860" s="78" t="n">
        <v>40360</v>
      </c>
      <c r="B860" t="n">
        <v>64.59999999999999</v>
      </c>
      <c r="C860" t="n">
        <v>130427</v>
      </c>
      <c r="D860" t="n">
        <v>9.4</v>
      </c>
    </row>
    <row r="861">
      <c r="A861" s="78" t="n">
        <v>40391</v>
      </c>
      <c r="B861" t="n">
        <v>64.7</v>
      </c>
      <c r="C861" t="n">
        <v>130422</v>
      </c>
      <c r="D861" t="n">
        <v>9.5</v>
      </c>
    </row>
    <row r="862">
      <c r="A862" s="78" t="n">
        <v>40422</v>
      </c>
      <c r="B862" t="n">
        <v>64.59999999999999</v>
      </c>
      <c r="C862" t="n">
        <v>130357</v>
      </c>
      <c r="D862" t="n">
        <v>9.5</v>
      </c>
    </row>
    <row r="863">
      <c r="A863" s="78" t="n">
        <v>40452</v>
      </c>
      <c r="B863" t="n">
        <v>64.40000000000001</v>
      </c>
      <c r="C863" t="n">
        <v>130625</v>
      </c>
      <c r="D863" t="n">
        <v>9.4</v>
      </c>
    </row>
    <row r="864">
      <c r="A864" s="78" t="n">
        <v>40483</v>
      </c>
      <c r="B864" t="n">
        <v>64.59999999999999</v>
      </c>
      <c r="C864" t="n">
        <v>130750</v>
      </c>
      <c r="D864" t="n">
        <v>9.800000000000001</v>
      </c>
    </row>
    <row r="865">
      <c r="A865" s="78" t="n">
        <v>40513</v>
      </c>
      <c r="B865" t="n">
        <v>64.3</v>
      </c>
      <c r="C865" t="n">
        <v>130822</v>
      </c>
      <c r="D865" t="n">
        <v>9.300000000000001</v>
      </c>
    </row>
    <row r="866">
      <c r="A866" s="78" t="n">
        <v>40544</v>
      </c>
      <c r="B866" t="n">
        <v>64.2</v>
      </c>
      <c r="C866" t="n">
        <v>130841</v>
      </c>
      <c r="D866" t="n">
        <v>9.1</v>
      </c>
    </row>
    <row r="867">
      <c r="A867" s="78" t="n">
        <v>40575</v>
      </c>
      <c r="B867" t="n">
        <v>64.09999999999999</v>
      </c>
      <c r="C867" t="n">
        <v>131053</v>
      </c>
      <c r="D867" t="n">
        <v>9</v>
      </c>
    </row>
    <row r="868">
      <c r="A868" s="78" t="n">
        <v>40603</v>
      </c>
      <c r="B868" t="n">
        <v>64.2</v>
      </c>
      <c r="C868" t="n">
        <v>131288</v>
      </c>
      <c r="D868" t="n">
        <v>9</v>
      </c>
    </row>
    <row r="869">
      <c r="A869" s="78" t="n">
        <v>40634</v>
      </c>
      <c r="B869" t="n">
        <v>64.2</v>
      </c>
      <c r="C869" t="n">
        <v>131602</v>
      </c>
      <c r="D869" t="n">
        <v>9.1</v>
      </c>
    </row>
    <row r="870">
      <c r="A870" s="78" t="n">
        <v>40664</v>
      </c>
      <c r="B870" t="n">
        <v>64.09999999999999</v>
      </c>
      <c r="C870" t="n">
        <v>131703</v>
      </c>
      <c r="D870" t="n">
        <v>9</v>
      </c>
    </row>
    <row r="871">
      <c r="A871" s="78" t="n">
        <v>40695</v>
      </c>
      <c r="B871" t="n">
        <v>64</v>
      </c>
      <c r="C871" t="n">
        <v>131939</v>
      </c>
      <c r="D871" t="n">
        <v>9.1</v>
      </c>
    </row>
    <row r="872">
      <c r="A872" s="78" t="n">
        <v>40725</v>
      </c>
      <c r="B872" t="n">
        <v>64</v>
      </c>
      <c r="C872" t="n">
        <v>131999</v>
      </c>
      <c r="D872" t="n">
        <v>9</v>
      </c>
    </row>
    <row r="873">
      <c r="A873" s="78" t="n">
        <v>40756</v>
      </c>
      <c r="B873" t="n">
        <v>64.09999999999999</v>
      </c>
      <c r="C873" t="n">
        <v>132125</v>
      </c>
      <c r="D873" t="n">
        <v>9</v>
      </c>
    </row>
    <row r="874">
      <c r="A874" s="78" t="n">
        <v>40787</v>
      </c>
      <c r="B874" t="n">
        <v>64.2</v>
      </c>
      <c r="C874" t="n">
        <v>132358</v>
      </c>
      <c r="D874" t="n">
        <v>9</v>
      </c>
    </row>
    <row r="875">
      <c r="A875" s="78" t="n">
        <v>40817</v>
      </c>
      <c r="B875" t="n">
        <v>64.09999999999999</v>
      </c>
      <c r="C875" t="n">
        <v>132562</v>
      </c>
      <c r="D875" t="n">
        <v>8.800000000000001</v>
      </c>
    </row>
    <row r="876">
      <c r="A876" s="78" t="n">
        <v>40848</v>
      </c>
      <c r="B876" t="n">
        <v>64.09999999999999</v>
      </c>
      <c r="C876" t="n">
        <v>132694</v>
      </c>
      <c r="D876" t="n">
        <v>8.6</v>
      </c>
    </row>
    <row r="877">
      <c r="A877" s="78" t="n">
        <v>40878</v>
      </c>
      <c r="B877" t="n">
        <v>64</v>
      </c>
      <c r="C877" t="n">
        <v>132896</v>
      </c>
      <c r="D877" t="n">
        <v>8.5</v>
      </c>
    </row>
    <row r="878">
      <c r="A878" s="78" t="n">
        <v>40909</v>
      </c>
      <c r="B878" t="n">
        <v>63.7</v>
      </c>
      <c r="C878" t="n">
        <v>133250</v>
      </c>
      <c r="D878" t="n">
        <v>8.300000000000001</v>
      </c>
    </row>
    <row r="879">
      <c r="A879" s="78" t="n">
        <v>40940</v>
      </c>
      <c r="B879" t="n">
        <v>63.8</v>
      </c>
      <c r="C879" t="n">
        <v>133512</v>
      </c>
      <c r="D879" t="n">
        <v>8.300000000000001</v>
      </c>
    </row>
    <row r="880">
      <c r="A880" s="78" t="n">
        <v>40969</v>
      </c>
      <c r="B880" t="n">
        <v>63.8</v>
      </c>
      <c r="C880" t="n">
        <v>133752</v>
      </c>
      <c r="D880" t="n">
        <v>8.199999999999999</v>
      </c>
    </row>
    <row r="881">
      <c r="A881" s="78" t="n">
        <v>41000</v>
      </c>
      <c r="B881" t="n">
        <v>63.7</v>
      </c>
      <c r="C881" t="n">
        <v>133834</v>
      </c>
      <c r="D881" t="n">
        <v>8.199999999999999</v>
      </c>
    </row>
    <row r="882">
      <c r="A882" s="78" t="n">
        <v>41030</v>
      </c>
      <c r="B882" t="n">
        <v>63.7</v>
      </c>
      <c r="C882" t="n">
        <v>133934</v>
      </c>
      <c r="D882" t="n">
        <v>8.199999999999999</v>
      </c>
    </row>
    <row r="883">
      <c r="A883" s="78" t="n">
        <v>41061</v>
      </c>
      <c r="B883" t="n">
        <v>63.8</v>
      </c>
      <c r="C883" t="n">
        <v>134007</v>
      </c>
      <c r="D883" t="n">
        <v>8.199999999999999</v>
      </c>
    </row>
    <row r="884">
      <c r="A884" s="78" t="n">
        <v>41091</v>
      </c>
      <c r="B884" t="n">
        <v>63.7</v>
      </c>
      <c r="C884" t="n">
        <v>134159</v>
      </c>
      <c r="D884" t="n">
        <v>8.199999999999999</v>
      </c>
    </row>
    <row r="885">
      <c r="A885" s="78" t="n">
        <v>41122</v>
      </c>
      <c r="B885" t="n">
        <v>63.5</v>
      </c>
      <c r="C885" t="n">
        <v>134331</v>
      </c>
      <c r="D885" t="n">
        <v>8.1</v>
      </c>
    </row>
    <row r="886">
      <c r="A886" s="78" t="n">
        <v>41153</v>
      </c>
      <c r="B886" t="n">
        <v>63.6</v>
      </c>
      <c r="C886" t="n">
        <v>134518</v>
      </c>
      <c r="D886" t="n">
        <v>7.8</v>
      </c>
    </row>
    <row r="887">
      <c r="A887" s="78" t="n">
        <v>41183</v>
      </c>
      <c r="B887" t="n">
        <v>63.8</v>
      </c>
      <c r="C887" t="n">
        <v>134677</v>
      </c>
      <c r="D887" t="n">
        <v>7.8</v>
      </c>
    </row>
    <row r="888">
      <c r="A888" s="78" t="n">
        <v>41214</v>
      </c>
      <c r="B888" t="n">
        <v>63.6</v>
      </c>
      <c r="C888" t="n">
        <v>134833</v>
      </c>
      <c r="D888" t="n">
        <v>7.7</v>
      </c>
    </row>
    <row r="889">
      <c r="A889" s="78" t="n">
        <v>41244</v>
      </c>
      <c r="B889" t="n">
        <v>63.7</v>
      </c>
      <c r="C889" t="n">
        <v>135072</v>
      </c>
      <c r="D889" t="n">
        <v>7.9</v>
      </c>
    </row>
    <row r="890">
      <c r="A890" s="78" t="n">
        <v>41275</v>
      </c>
      <c r="B890" t="n">
        <v>63.7</v>
      </c>
      <c r="C890" t="n">
        <v>135263</v>
      </c>
      <c r="D890" t="n">
        <v>8</v>
      </c>
    </row>
    <row r="891">
      <c r="A891" s="78" t="n">
        <v>41306</v>
      </c>
      <c r="B891" t="n">
        <v>63.4</v>
      </c>
      <c r="C891" t="n">
        <v>135541</v>
      </c>
      <c r="D891" t="n">
        <v>7.7</v>
      </c>
    </row>
    <row r="892">
      <c r="A892" s="78" t="n">
        <v>41334</v>
      </c>
      <c r="B892" t="n">
        <v>63.3</v>
      </c>
      <c r="C892" t="n">
        <v>135680</v>
      </c>
      <c r="D892" t="n">
        <v>7.5</v>
      </c>
    </row>
    <row r="893">
      <c r="A893" s="78" t="n">
        <v>41365</v>
      </c>
      <c r="B893" t="n">
        <v>63.4</v>
      </c>
      <c r="C893" t="n">
        <v>135871</v>
      </c>
      <c r="D893" t="n">
        <v>7.6</v>
      </c>
    </row>
    <row r="894">
      <c r="A894" s="78" t="n">
        <v>41395</v>
      </c>
      <c r="B894" t="n">
        <v>63.4</v>
      </c>
      <c r="C894" t="n">
        <v>136093</v>
      </c>
      <c r="D894" t="n">
        <v>7.5</v>
      </c>
    </row>
    <row r="895">
      <c r="A895" s="78" t="n">
        <v>41426</v>
      </c>
      <c r="B895" t="n">
        <v>63.4</v>
      </c>
      <c r="C895" t="n">
        <v>136274</v>
      </c>
      <c r="D895" t="n">
        <v>7.5</v>
      </c>
    </row>
    <row r="896">
      <c r="A896" s="78" t="n">
        <v>41456</v>
      </c>
      <c r="B896" t="n">
        <v>63.3</v>
      </c>
      <c r="C896" t="n">
        <v>136386</v>
      </c>
      <c r="D896" t="n">
        <v>7.3</v>
      </c>
    </row>
    <row r="897">
      <c r="A897" s="78" t="n">
        <v>41487</v>
      </c>
      <c r="B897" t="n">
        <v>63.3</v>
      </c>
      <c r="C897" t="n">
        <v>136628</v>
      </c>
      <c r="D897" t="n">
        <v>7.2</v>
      </c>
    </row>
    <row r="898">
      <c r="A898" s="78" t="n">
        <v>41518</v>
      </c>
      <c r="B898" t="n">
        <v>63.2</v>
      </c>
      <c r="C898" t="n">
        <v>136815</v>
      </c>
      <c r="D898" t="n">
        <v>7.2</v>
      </c>
    </row>
    <row r="899">
      <c r="A899" s="78" t="n">
        <v>41548</v>
      </c>
      <c r="B899" t="n">
        <v>62.8</v>
      </c>
      <c r="C899" t="n">
        <v>137040</v>
      </c>
      <c r="D899" t="n">
        <v>7.2</v>
      </c>
    </row>
    <row r="900">
      <c r="A900" s="78" t="n">
        <v>41579</v>
      </c>
      <c r="B900" t="n">
        <v>63</v>
      </c>
      <c r="C900" t="n">
        <v>137304</v>
      </c>
      <c r="D900" t="n">
        <v>6.9</v>
      </c>
    </row>
    <row r="901">
      <c r="A901" s="78" t="n">
        <v>41609</v>
      </c>
      <c r="B901" t="n">
        <v>62.9</v>
      </c>
      <c r="C901" t="n">
        <v>137373</v>
      </c>
      <c r="D901" t="n">
        <v>6.7</v>
      </c>
    </row>
    <row r="902">
      <c r="A902" s="78" t="n">
        <v>41640</v>
      </c>
      <c r="B902" t="n">
        <v>62.9</v>
      </c>
      <c r="C902" t="n">
        <v>137548</v>
      </c>
      <c r="D902" t="n">
        <v>6.6</v>
      </c>
    </row>
    <row r="903">
      <c r="A903" s="78" t="n">
        <v>41671</v>
      </c>
      <c r="B903" t="n">
        <v>62.9</v>
      </c>
      <c r="C903" t="n">
        <v>137714</v>
      </c>
      <c r="D903" t="n">
        <v>6.7</v>
      </c>
    </row>
    <row r="904">
      <c r="A904" s="78" t="n">
        <v>41699</v>
      </c>
      <c r="B904" t="n">
        <v>63.1</v>
      </c>
      <c r="C904" t="n">
        <v>137968</v>
      </c>
      <c r="D904" t="n">
        <v>6.7</v>
      </c>
    </row>
    <row r="905">
      <c r="A905" s="78" t="n">
        <v>41730</v>
      </c>
      <c r="B905" t="n">
        <v>62.8</v>
      </c>
      <c r="C905" t="n">
        <v>138293</v>
      </c>
      <c r="D905" t="n">
        <v>6.2</v>
      </c>
    </row>
    <row r="906">
      <c r="A906" s="78" t="n">
        <v>41760</v>
      </c>
      <c r="B906" t="n">
        <v>62.9</v>
      </c>
      <c r="C906" t="n">
        <v>138511</v>
      </c>
      <c r="D906" t="n">
        <v>6.3</v>
      </c>
    </row>
    <row r="907">
      <c r="A907" s="78" t="n">
        <v>41791</v>
      </c>
      <c r="B907" t="n">
        <v>62.8</v>
      </c>
      <c r="C907" t="n">
        <v>138837</v>
      </c>
      <c r="D907" t="n">
        <v>6.1</v>
      </c>
    </row>
    <row r="908">
      <c r="A908" s="78" t="n">
        <v>41821</v>
      </c>
      <c r="B908" t="n">
        <v>62.9</v>
      </c>
      <c r="C908" t="n">
        <v>139069</v>
      </c>
      <c r="D908" t="n">
        <v>6.2</v>
      </c>
    </row>
    <row r="909">
      <c r="A909" s="78" t="n">
        <v>41852</v>
      </c>
      <c r="B909" t="n">
        <v>62.9</v>
      </c>
      <c r="C909" t="n">
        <v>139257</v>
      </c>
      <c r="D909" t="n">
        <v>6.1</v>
      </c>
    </row>
    <row r="910">
      <c r="A910" s="78" t="n">
        <v>41883</v>
      </c>
      <c r="B910" t="n">
        <v>62.8</v>
      </c>
      <c r="C910" t="n">
        <v>139566</v>
      </c>
      <c r="D910" t="n">
        <v>5.9</v>
      </c>
    </row>
    <row r="911">
      <c r="A911" s="78" t="n">
        <v>41913</v>
      </c>
      <c r="B911" t="n">
        <v>62.9</v>
      </c>
      <c r="C911" t="n">
        <v>139818</v>
      </c>
      <c r="D911" t="n">
        <v>5.7</v>
      </c>
    </row>
    <row r="912">
      <c r="A912" s="78" t="n">
        <v>41944</v>
      </c>
      <c r="B912" t="n">
        <v>62.9</v>
      </c>
      <c r="C912" t="n">
        <v>140109</v>
      </c>
      <c r="D912" t="n">
        <v>5.8</v>
      </c>
    </row>
    <row r="913">
      <c r="A913" s="78" t="n">
        <v>41974</v>
      </c>
      <c r="B913" t="n">
        <v>62.8</v>
      </c>
      <c r="C913" t="n">
        <v>140377</v>
      </c>
      <c r="D913" t="n">
        <v>5.6</v>
      </c>
    </row>
    <row r="914">
      <c r="A914" s="78" t="n">
        <v>42005</v>
      </c>
      <c r="B914" t="n">
        <v>62.9</v>
      </c>
      <c r="C914" t="n">
        <v>140568</v>
      </c>
      <c r="D914" t="n">
        <v>5.7</v>
      </c>
    </row>
    <row r="915">
      <c r="A915" s="78" t="n">
        <v>42036</v>
      </c>
      <c r="B915" t="n">
        <v>62.7</v>
      </c>
      <c r="C915" t="n">
        <v>140839</v>
      </c>
      <c r="D915" t="n">
        <v>5.5</v>
      </c>
    </row>
    <row r="916">
      <c r="A916" s="78" t="n">
        <v>42064</v>
      </c>
      <c r="B916" t="n">
        <v>62.6</v>
      </c>
      <c r="C916" t="n">
        <v>140910</v>
      </c>
      <c r="D916" t="n">
        <v>5.4</v>
      </c>
    </row>
    <row r="917">
      <c r="A917" s="78" t="n">
        <v>42095</v>
      </c>
      <c r="B917" t="n">
        <v>62.8</v>
      </c>
      <c r="C917" t="n">
        <v>141194</v>
      </c>
      <c r="D917" t="n">
        <v>5.4</v>
      </c>
    </row>
    <row r="918">
      <c r="A918" s="78" t="n">
        <v>42125</v>
      </c>
      <c r="B918" t="n">
        <v>62.9</v>
      </c>
      <c r="C918" t="n">
        <v>141525</v>
      </c>
      <c r="D918" t="n">
        <v>5.6</v>
      </c>
    </row>
    <row r="919">
      <c r="A919" s="78" t="n">
        <v>42156</v>
      </c>
      <c r="B919" t="n">
        <v>62.7</v>
      </c>
      <c r="C919" t="n">
        <v>141699</v>
      </c>
      <c r="D919" t="n">
        <v>5.3</v>
      </c>
    </row>
    <row r="920">
      <c r="A920" s="78" t="n">
        <v>42186</v>
      </c>
      <c r="B920" t="n">
        <v>62.6</v>
      </c>
      <c r="C920" t="n">
        <v>142001</v>
      </c>
      <c r="D920" t="n">
        <v>5.2</v>
      </c>
    </row>
    <row r="921">
      <c r="A921" s="78" t="n">
        <v>42217</v>
      </c>
      <c r="B921" t="n">
        <v>62.6</v>
      </c>
      <c r="C921" t="n">
        <v>142126</v>
      </c>
      <c r="D921" t="n">
        <v>5.1</v>
      </c>
    </row>
    <row r="922">
      <c r="A922" s="78" t="n">
        <v>42248</v>
      </c>
      <c r="B922" t="n">
        <v>62.4</v>
      </c>
      <c r="C922" t="n">
        <v>142281</v>
      </c>
      <c r="D922" t="n">
        <v>5</v>
      </c>
    </row>
    <row r="923">
      <c r="A923" s="78" t="n">
        <v>42278</v>
      </c>
      <c r="B923" t="n">
        <v>62.5</v>
      </c>
      <c r="C923" t="n">
        <v>142587</v>
      </c>
      <c r="D923" t="n">
        <v>5</v>
      </c>
    </row>
    <row r="924">
      <c r="A924" s="78" t="n">
        <v>42309</v>
      </c>
      <c r="B924" t="n">
        <v>62.5</v>
      </c>
      <c r="C924" t="n">
        <v>142824</v>
      </c>
      <c r="D924" t="n">
        <v>5.1</v>
      </c>
    </row>
    <row r="925">
      <c r="A925" s="78" t="n">
        <v>42339</v>
      </c>
      <c r="B925" t="n">
        <v>62.7</v>
      </c>
      <c r="C925" t="n">
        <v>143097</v>
      </c>
      <c r="D925" t="n">
        <v>5</v>
      </c>
    </row>
    <row r="926">
      <c r="A926" s="78" t="n">
        <v>42370</v>
      </c>
      <c r="B926" t="n">
        <v>62.7</v>
      </c>
      <c r="C926" t="n">
        <v>143205</v>
      </c>
      <c r="D926" t="n">
        <v>4.8</v>
      </c>
    </row>
    <row r="927">
      <c r="A927" s="78" t="n">
        <v>42401</v>
      </c>
      <c r="B927" t="n">
        <v>62.8</v>
      </c>
      <c r="C927" t="n">
        <v>143417</v>
      </c>
      <c r="D927" t="n">
        <v>4.9</v>
      </c>
    </row>
    <row r="928">
      <c r="A928" s="78" t="n">
        <v>42430</v>
      </c>
      <c r="B928" t="n">
        <v>63</v>
      </c>
      <c r="C928" t="n">
        <v>143654</v>
      </c>
      <c r="D928" t="n">
        <v>5</v>
      </c>
    </row>
    <row r="929">
      <c r="A929" s="78" t="n">
        <v>42461</v>
      </c>
      <c r="B929" t="n">
        <v>62.9</v>
      </c>
      <c r="C929" t="n">
        <v>143851</v>
      </c>
      <c r="D929" t="n">
        <v>5.1</v>
      </c>
    </row>
    <row r="930">
      <c r="A930" s="78" t="n">
        <v>42491</v>
      </c>
      <c r="B930" t="n">
        <v>62.7</v>
      </c>
      <c r="C930" t="n">
        <v>143892</v>
      </c>
      <c r="D930" t="n">
        <v>4.8</v>
      </c>
    </row>
    <row r="931">
      <c r="A931" s="78" t="n">
        <v>42522</v>
      </c>
      <c r="B931" t="n">
        <v>62.7</v>
      </c>
      <c r="C931" t="n">
        <v>144150</v>
      </c>
      <c r="D931" t="n">
        <v>4.9</v>
      </c>
    </row>
    <row r="932">
      <c r="A932" s="78" t="n">
        <v>42552</v>
      </c>
      <c r="B932" t="n">
        <v>62.8</v>
      </c>
      <c r="C932" t="n">
        <v>144521</v>
      </c>
      <c r="D932" t="n">
        <v>4.8</v>
      </c>
    </row>
    <row r="933">
      <c r="A933" s="78" t="n">
        <v>42583</v>
      </c>
      <c r="B933" t="n">
        <v>62.9</v>
      </c>
      <c r="C933" t="n">
        <v>144664</v>
      </c>
      <c r="D933" t="n">
        <v>4.9</v>
      </c>
    </row>
    <row r="934">
      <c r="A934" s="78" t="n">
        <v>42614</v>
      </c>
      <c r="B934" t="n">
        <v>62.9</v>
      </c>
      <c r="C934" t="n">
        <v>144953</v>
      </c>
      <c r="D934" t="n">
        <v>5</v>
      </c>
    </row>
    <row r="935">
      <c r="A935" s="78" t="n">
        <v>42644</v>
      </c>
      <c r="B935" t="n">
        <v>62.8</v>
      </c>
      <c r="C935" t="n">
        <v>145071</v>
      </c>
      <c r="D935" t="n">
        <v>4.9</v>
      </c>
    </row>
    <row r="936">
      <c r="A936" s="78" t="n">
        <v>42675</v>
      </c>
      <c r="B936" t="n">
        <v>62.7</v>
      </c>
      <c r="C936" t="n">
        <v>145201</v>
      </c>
      <c r="D936" t="n">
        <v>4.7</v>
      </c>
    </row>
    <row r="937">
      <c r="A937" s="78" t="n">
        <v>42705</v>
      </c>
      <c r="B937" t="n">
        <v>62.7</v>
      </c>
      <c r="C937" t="n">
        <v>145415</v>
      </c>
      <c r="D937" t="n">
        <v>4.7</v>
      </c>
    </row>
    <row r="938">
      <c r="A938" s="78" t="n">
        <v>42736</v>
      </c>
      <c r="B938" t="n">
        <v>62.8</v>
      </c>
      <c r="C938" t="n">
        <v>145628</v>
      </c>
      <c r="D938" t="n">
        <v>4.7</v>
      </c>
    </row>
    <row r="939">
      <c r="A939" s="78" t="n">
        <v>42767</v>
      </c>
      <c r="B939" t="n">
        <v>62.9</v>
      </c>
      <c r="C939" t="n">
        <v>145818</v>
      </c>
      <c r="D939" t="n">
        <v>4.6</v>
      </c>
    </row>
    <row r="940">
      <c r="A940" s="78" t="n">
        <v>42795</v>
      </c>
      <c r="B940" t="n">
        <v>62.9</v>
      </c>
      <c r="C940" t="n">
        <v>145960</v>
      </c>
      <c r="D940" t="n">
        <v>4.4</v>
      </c>
    </row>
    <row r="941">
      <c r="A941" s="78" t="n">
        <v>42826</v>
      </c>
      <c r="B941" t="n">
        <v>63</v>
      </c>
      <c r="C941" t="n">
        <v>146165</v>
      </c>
      <c r="D941" t="n">
        <v>4.4</v>
      </c>
    </row>
    <row r="942">
      <c r="A942" s="78" t="n">
        <v>42856</v>
      </c>
      <c r="B942" t="n">
        <v>62.8</v>
      </c>
      <c r="C942" t="n">
        <v>146388</v>
      </c>
      <c r="D942" t="n">
        <v>4.4</v>
      </c>
    </row>
    <row r="943">
      <c r="A943" s="78" t="n">
        <v>42887</v>
      </c>
      <c r="B943" t="n">
        <v>62.8</v>
      </c>
      <c r="C943" t="n">
        <v>146585</v>
      </c>
      <c r="D943" t="n">
        <v>4.3</v>
      </c>
    </row>
    <row r="944">
      <c r="A944" s="78" t="n">
        <v>42917</v>
      </c>
      <c r="B944" t="n">
        <v>62.9</v>
      </c>
      <c r="C944" t="n">
        <v>146768</v>
      </c>
      <c r="D944" t="n">
        <v>4.3</v>
      </c>
    </row>
    <row r="945">
      <c r="A945" s="78" t="n">
        <v>42948</v>
      </c>
      <c r="B945" t="n">
        <v>62.9</v>
      </c>
      <c r="C945" t="n">
        <v>146913</v>
      </c>
      <c r="D945" t="n">
        <v>4.4</v>
      </c>
    </row>
    <row r="946">
      <c r="A946" s="78" t="n">
        <v>42979</v>
      </c>
      <c r="B946" t="n">
        <v>63.1</v>
      </c>
      <c r="C946" t="n">
        <v>147012</v>
      </c>
      <c r="D946" t="n">
        <v>4.3</v>
      </c>
    </row>
    <row r="947">
      <c r="A947" s="78" t="n">
        <v>43009</v>
      </c>
      <c r="B947" t="n">
        <v>62.7</v>
      </c>
      <c r="C947" t="n">
        <v>147153</v>
      </c>
      <c r="D947" t="n">
        <v>4.2</v>
      </c>
    </row>
    <row r="948">
      <c r="A948" s="78" t="n">
        <v>43040</v>
      </c>
      <c r="B948" t="n">
        <v>62.7</v>
      </c>
      <c r="C948" t="n">
        <v>147353</v>
      </c>
      <c r="D948" t="n">
        <v>4.2</v>
      </c>
    </row>
    <row r="949">
      <c r="A949" s="78" t="n">
        <v>43070</v>
      </c>
      <c r="B949" t="n">
        <v>62.7</v>
      </c>
      <c r="C949" t="n">
        <v>147529</v>
      </c>
      <c r="D949" t="n">
        <v>4.1</v>
      </c>
    </row>
    <row r="950">
      <c r="A950" s="78" t="n">
        <v>43101</v>
      </c>
      <c r="B950" t="n">
        <v>62.7</v>
      </c>
      <c r="C950" t="n">
        <v>147662</v>
      </c>
      <c r="D950" t="n">
        <v>4</v>
      </c>
    </row>
    <row r="951">
      <c r="A951" s="78" t="n">
        <v>43132</v>
      </c>
      <c r="B951" t="n">
        <v>63</v>
      </c>
      <c r="C951" t="n">
        <v>148064</v>
      </c>
      <c r="D951" t="n">
        <v>4.1</v>
      </c>
    </row>
    <row r="952">
      <c r="A952" s="78" t="n">
        <v>43160</v>
      </c>
      <c r="B952" t="n">
        <v>62.9</v>
      </c>
      <c r="C952" t="n">
        <v>148289</v>
      </c>
      <c r="D952" t="n">
        <v>4</v>
      </c>
    </row>
    <row r="953">
      <c r="A953" s="78" t="n">
        <v>43191</v>
      </c>
      <c r="B953" t="n">
        <v>62.9</v>
      </c>
      <c r="C953" t="n">
        <v>148468</v>
      </c>
      <c r="D953" t="n">
        <v>4</v>
      </c>
    </row>
    <row r="954">
      <c r="A954" s="78" t="n">
        <v>43221</v>
      </c>
      <c r="B954" t="n">
        <v>62.9</v>
      </c>
      <c r="C954" t="n">
        <v>148801</v>
      </c>
      <c r="D954" t="n">
        <v>3.8</v>
      </c>
    </row>
    <row r="955">
      <c r="A955" s="78" t="n">
        <v>43252</v>
      </c>
      <c r="B955" t="n">
        <v>62.9</v>
      </c>
      <c r="C955" t="n">
        <v>148984</v>
      </c>
      <c r="D955" t="n">
        <v>4</v>
      </c>
    </row>
    <row r="956">
      <c r="A956" s="78" t="n">
        <v>43282</v>
      </c>
      <c r="B956" t="n">
        <v>62.9</v>
      </c>
      <c r="C956" t="n">
        <v>149050</v>
      </c>
      <c r="D956" t="n">
        <v>3.8</v>
      </c>
    </row>
    <row r="957">
      <c r="A957" s="78" t="n">
        <v>43313</v>
      </c>
      <c r="B957" t="n">
        <v>62.7</v>
      </c>
      <c r="C957" t="n">
        <v>149269</v>
      </c>
      <c r="D957" t="n">
        <v>3.8</v>
      </c>
    </row>
    <row r="958">
      <c r="A958" s="78" t="n">
        <v>43344</v>
      </c>
      <c r="B958" t="n">
        <v>62.7</v>
      </c>
      <c r="C958" t="n">
        <v>149326</v>
      </c>
      <c r="D958" t="n">
        <v>3.7</v>
      </c>
    </row>
    <row r="959">
      <c r="A959" s="78" t="n">
        <v>43374</v>
      </c>
      <c r="B959" t="n">
        <v>62.9</v>
      </c>
      <c r="C959" t="n">
        <v>149471</v>
      </c>
      <c r="D959" t="n">
        <v>3.8</v>
      </c>
    </row>
    <row r="960">
      <c r="A960" s="78" t="n">
        <v>43405</v>
      </c>
      <c r="B960" t="n">
        <v>62.9</v>
      </c>
      <c r="C960" t="n">
        <v>149573</v>
      </c>
      <c r="D960" t="n">
        <v>3.8</v>
      </c>
    </row>
    <row r="961">
      <c r="A961" s="78" t="n">
        <v>43435</v>
      </c>
      <c r="B961" t="n">
        <v>63</v>
      </c>
      <c r="C961" t="n">
        <v>149821</v>
      </c>
      <c r="D961" t="n">
        <v>3.9</v>
      </c>
    </row>
    <row r="962">
      <c r="A962" s="78" t="n">
        <v>43466</v>
      </c>
      <c r="B962" t="n">
        <v>63.1</v>
      </c>
      <c r="C962" t="n">
        <v>150100</v>
      </c>
      <c r="D962" t="n">
        <v>4</v>
      </c>
    </row>
    <row r="963">
      <c r="A963" s="78" t="n">
        <v>43497</v>
      </c>
      <c r="B963" t="n">
        <v>63.1</v>
      </c>
      <c r="C963" t="n">
        <v>150124</v>
      </c>
      <c r="D963" t="n">
        <v>3.8</v>
      </c>
    </row>
    <row r="964">
      <c r="A964" s="78" t="n">
        <v>43525</v>
      </c>
      <c r="B964" t="n">
        <v>63.1</v>
      </c>
      <c r="C964" t="n">
        <v>150348</v>
      </c>
      <c r="D964" t="n">
        <v>3.8</v>
      </c>
    </row>
    <row r="965">
      <c r="A965" s="78" t="n">
        <v>43556</v>
      </c>
      <c r="B965" t="n">
        <v>62.9</v>
      </c>
      <c r="C965" t="n">
        <v>150636</v>
      </c>
      <c r="D965" t="n">
        <v>3.6</v>
      </c>
    </row>
    <row r="966">
      <c r="A966" s="78" t="n">
        <v>43586</v>
      </c>
      <c r="B966" t="n">
        <v>62.9</v>
      </c>
      <c r="C966" t="n">
        <v>150713</v>
      </c>
      <c r="D966" t="n">
        <v>3.6</v>
      </c>
    </row>
    <row r="967">
      <c r="A967" s="78" t="n">
        <v>43617</v>
      </c>
      <c r="B967" t="n">
        <v>62.9</v>
      </c>
      <c r="C967" t="n">
        <v>150843</v>
      </c>
      <c r="D967" t="n">
        <v>3.6</v>
      </c>
    </row>
    <row r="968">
      <c r="A968" s="78" t="n">
        <v>43647</v>
      </c>
      <c r="B968" t="n">
        <v>63.1</v>
      </c>
      <c r="C968" t="n">
        <v>150921</v>
      </c>
      <c r="D968" t="n">
        <v>3.7</v>
      </c>
    </row>
    <row r="969">
      <c r="A969" s="78" t="n">
        <v>43678</v>
      </c>
      <c r="B969" t="n">
        <v>63.1</v>
      </c>
      <c r="C969" t="n">
        <v>151081</v>
      </c>
      <c r="D969" t="n">
        <v>3.7</v>
      </c>
    </row>
    <row r="970">
      <c r="A970" s="78" t="n">
        <v>43709</v>
      </c>
      <c r="B970" t="n">
        <v>63.2</v>
      </c>
      <c r="C970" t="n">
        <v>151244</v>
      </c>
      <c r="D970" t="n">
        <v>3.5</v>
      </c>
    </row>
    <row r="971">
      <c r="A971" s="78" t="n">
        <v>43739</v>
      </c>
      <c r="B971" t="n">
        <v>63.2</v>
      </c>
      <c r="C971" t="n">
        <v>151337</v>
      </c>
      <c r="D971" t="n">
        <v>3.6</v>
      </c>
    </row>
    <row r="972">
      <c r="A972" s="78" t="n">
        <v>43770</v>
      </c>
      <c r="B972" t="n">
        <v>63.2</v>
      </c>
      <c r="C972" t="n">
        <v>151589</v>
      </c>
      <c r="D972" t="n">
        <v>3.6</v>
      </c>
    </row>
    <row r="973">
      <c r="A973" s="78" t="n">
        <v>43800</v>
      </c>
      <c r="B973" t="n">
        <v>63.3</v>
      </c>
      <c r="C973" t="n">
        <v>151789</v>
      </c>
      <c r="D973" t="n">
        <v>3.6</v>
      </c>
    </row>
    <row r="974">
      <c r="A974" s="78" t="n">
        <v>43831</v>
      </c>
      <c r="B974" t="n">
        <v>63.4</v>
      </c>
      <c r="C974" t="n">
        <v>152128</v>
      </c>
      <c r="D974" t="n">
        <v>3.5</v>
      </c>
    </row>
    <row r="975">
      <c r="A975" s="78" t="n">
        <v>43862</v>
      </c>
      <c r="B975" t="n">
        <v>63.4</v>
      </c>
      <c r="C975" t="n">
        <v>152504</v>
      </c>
      <c r="D975" t="n">
        <v>3.5</v>
      </c>
    </row>
    <row r="976">
      <c r="A976" s="78" t="n">
        <v>43891</v>
      </c>
      <c r="B976" t="n">
        <v>62.7</v>
      </c>
      <c r="C976" t="n">
        <v>151006</v>
      </c>
      <c r="D976" t="n">
        <v>4.4</v>
      </c>
    </row>
    <row r="977">
      <c r="A977" s="78" t="n">
        <v>43922</v>
      </c>
      <c r="B977" t="n">
        <v>60.2</v>
      </c>
      <c r="C977" t="n">
        <v>130513</v>
      </c>
      <c r="D977" t="n">
        <v>14.7</v>
      </c>
    </row>
    <row r="978">
      <c r="A978" s="78" t="n">
        <v>43952</v>
      </c>
      <c r="B978" t="n">
        <v>60.8</v>
      </c>
      <c r="C978" t="n">
        <v>133155</v>
      </c>
      <c r="D978" t="n">
        <v>13.2</v>
      </c>
    </row>
    <row r="979">
      <c r="A979" s="78" t="n">
        <v>43983</v>
      </c>
      <c r="B979" t="n">
        <v>61.4</v>
      </c>
      <c r="C979" t="n">
        <v>137660</v>
      </c>
      <c r="D979" t="n">
        <v>11</v>
      </c>
    </row>
    <row r="980">
      <c r="A980" s="78" t="n">
        <v>44013</v>
      </c>
      <c r="B980" t="n">
        <v>61.5</v>
      </c>
      <c r="C980" t="n">
        <v>139048</v>
      </c>
      <c r="D980" t="n">
        <v>10.2</v>
      </c>
    </row>
    <row r="981">
      <c r="A981" s="78" t="n">
        <v>44044</v>
      </c>
      <c r="B981" t="n">
        <v>61.7</v>
      </c>
      <c r="C981" t="n">
        <v>140713</v>
      </c>
      <c r="D981" t="n">
        <v>8.4</v>
      </c>
    </row>
    <row r="982">
      <c r="A982" s="78" t="n">
        <v>44075</v>
      </c>
      <c r="B982" t="n">
        <v>61.4</v>
      </c>
      <c r="C982" t="n">
        <v>141632</v>
      </c>
      <c r="D982" t="n">
        <v>7.9</v>
      </c>
    </row>
    <row r="983">
      <c r="A983" s="78" t="n">
        <v>44105</v>
      </c>
      <c r="B983" t="n">
        <v>61.6</v>
      </c>
      <c r="C983" t="n">
        <v>142279</v>
      </c>
      <c r="D983" t="n">
        <v>6.9</v>
      </c>
    </row>
    <row r="984">
      <c r="A984" s="78" t="n">
        <v>44136</v>
      </c>
      <c r="B984" t="n">
        <v>61.5</v>
      </c>
      <c r="C984" t="n">
        <v>142612</v>
      </c>
      <c r="D984" t="n">
        <v>6.7</v>
      </c>
    </row>
    <row r="985">
      <c r="A985" s="78" t="n">
        <v>44166</v>
      </c>
      <c r="B985" t="n">
        <v>61.5</v>
      </c>
      <c r="C985" t="n">
        <v>142497</v>
      </c>
      <c r="D985" t="n">
        <v>6.7</v>
      </c>
    </row>
    <row r="986">
      <c r="A986" s="78" t="n">
        <v>44197</v>
      </c>
      <c r="B986" t="n">
        <v>61.4</v>
      </c>
      <c r="C986" t="n">
        <v>143017</v>
      </c>
      <c r="D986" t="n">
        <v>6.4</v>
      </c>
    </row>
    <row r="987">
      <c r="A987" s="78" t="n">
        <v>44228</v>
      </c>
      <c r="B987" t="n">
        <v>61.5</v>
      </c>
      <c r="C987" t="n">
        <v>143727</v>
      </c>
      <c r="D987" t="n">
        <v>6.2</v>
      </c>
    </row>
    <row r="988">
      <c r="A988" s="78" t="n">
        <v>44256</v>
      </c>
      <c r="B988" t="n">
        <v>61.5</v>
      </c>
      <c r="C988" t="n">
        <v>144431</v>
      </c>
      <c r="D988" t="n">
        <v>6</v>
      </c>
    </row>
    <row r="989">
      <c r="A989" s="78" t="n">
        <v>44287</v>
      </c>
      <c r="B989" t="n">
        <v>61.7</v>
      </c>
      <c r="C989" t="n">
        <v>144694</v>
      </c>
      <c r="D989" t="n">
        <v>6</v>
      </c>
    </row>
    <row r="990">
      <c r="A990" s="78" t="n">
        <v>44317</v>
      </c>
      <c r="B990" t="n">
        <v>61.6</v>
      </c>
      <c r="C990" t="n">
        <v>145141</v>
      </c>
      <c r="D990" t="n">
        <v>5.8</v>
      </c>
    </row>
    <row r="991">
      <c r="A991" s="78" t="n">
        <v>44348</v>
      </c>
      <c r="B991" t="n">
        <v>61.6</v>
      </c>
      <c r="C991" t="n">
        <v>145698</v>
      </c>
      <c r="D991" t="n">
        <v>5.9</v>
      </c>
    </row>
    <row r="992">
      <c r="A992" s="78" t="n">
        <v>44378</v>
      </c>
      <c r="B992" t="n">
        <v>61.7</v>
      </c>
      <c r="C992" t="n">
        <v>146387</v>
      </c>
      <c r="D992" t="n">
        <v>5.4</v>
      </c>
    </row>
    <row r="993">
      <c r="A993" s="78" t="n">
        <v>44409</v>
      </c>
      <c r="B993" t="n">
        <v>61.7</v>
      </c>
      <c r="C993" t="n">
        <v>146904</v>
      </c>
      <c r="D993" t="n">
        <v>5.2</v>
      </c>
    </row>
    <row r="994">
      <c r="A994" s="78" t="n">
        <v>44440</v>
      </c>
      <c r="B994" t="n">
        <v>61.7</v>
      </c>
      <c r="C994" t="n">
        <v>147328</v>
      </c>
      <c r="D994" t="n">
        <v>4.7</v>
      </c>
    </row>
    <row r="995">
      <c r="A995" s="78" t="n">
        <v>44470</v>
      </c>
      <c r="B995" t="n">
        <v>61.7</v>
      </c>
      <c r="C995" t="n">
        <v>148005</v>
      </c>
      <c r="D995" t="n">
        <v>4.6</v>
      </c>
    </row>
    <row r="996">
      <c r="A996" s="78" t="n">
        <v>44501</v>
      </c>
      <c r="B996" t="n">
        <v>61.9</v>
      </c>
      <c r="C996" t="n">
        <v>148652</v>
      </c>
      <c r="D996" t="n">
        <v>4.2</v>
      </c>
    </row>
    <row r="997">
      <c r="A997" s="78" t="n">
        <v>44531</v>
      </c>
      <c r="B997" t="n">
        <v>61.9</v>
      </c>
      <c r="C997" t="n">
        <v>149240</v>
      </c>
      <c r="D997" t="n">
        <v>3.9</v>
      </c>
    </row>
    <row r="998">
      <c r="A998" s="78" t="n">
        <v>44562</v>
      </c>
      <c r="B998" t="n">
        <v>62.2</v>
      </c>
      <c r="C998" t="n">
        <v>149744</v>
      </c>
      <c r="D998" t="n">
        <v>4</v>
      </c>
    </row>
    <row r="999">
      <c r="A999" s="78" t="n">
        <v>44593</v>
      </c>
      <c r="B999" t="n">
        <v>62.3</v>
      </c>
      <c r="C999" t="n">
        <v>150458</v>
      </c>
      <c r="D999" t="n">
        <v>3.8</v>
      </c>
    </row>
    <row r="1000">
      <c r="A1000" s="78" t="n">
        <v>44621</v>
      </c>
      <c r="B1000" t="n">
        <v>62.4</v>
      </c>
      <c r="C1000" t="n">
        <v>150856</v>
      </c>
      <c r="D1000" t="n">
        <v>3.6</v>
      </c>
    </row>
    <row r="1001">
      <c r="A1001" s="78" t="n">
        <v>44652</v>
      </c>
      <c r="B1001" t="n">
        <v>62.2</v>
      </c>
      <c r="C1001" t="n">
        <v>151224</v>
      </c>
      <c r="D1001" t="n">
        <v>3.6</v>
      </c>
    </row>
    <row r="1002">
      <c r="A1002" s="78" t="n">
        <v>44682</v>
      </c>
      <c r="B1002" t="n">
        <v>62.3</v>
      </c>
      <c r="C1002" t="n">
        <v>151610</v>
      </c>
      <c r="D1002" t="n">
        <v>3.6</v>
      </c>
    </row>
    <row r="1003">
      <c r="A1003" s="78" t="n">
        <v>44713</v>
      </c>
      <c r="B1003" t="n">
        <v>62.2</v>
      </c>
      <c r="C1003" t="n">
        <v>151903</v>
      </c>
      <c r="D1003" t="n">
        <v>3.6</v>
      </c>
    </row>
    <row r="1004">
      <c r="A1004" s="78" t="n">
        <v>44743</v>
      </c>
      <c r="B1004" t="n">
        <v>62.1</v>
      </c>
      <c r="C1004" t="n">
        <v>152440</v>
      </c>
      <c r="D1004" t="n">
        <v>3.5</v>
      </c>
    </row>
    <row r="1005">
      <c r="A1005" s="78" t="n">
        <v>44774</v>
      </c>
      <c r="B1005" t="n">
        <v>62.4</v>
      </c>
      <c r="C1005" t="n">
        <v>152732</v>
      </c>
      <c r="D1005" t="n">
        <v>3.7</v>
      </c>
    </row>
    <row r="1006">
      <c r="A1006" s="78" t="n">
        <v>44805</v>
      </c>
      <c r="B1006" t="n">
        <v>62.3</v>
      </c>
      <c r="C1006" t="n">
        <v>153001</v>
      </c>
      <c r="D1006" t="n">
        <v>3.5</v>
      </c>
    </row>
    <row r="1007">
      <c r="A1007" s="78" t="n">
        <v>44835</v>
      </c>
      <c r="B1007" t="n">
        <v>62.2</v>
      </c>
      <c r="C1007" t="n">
        <v>153285</v>
      </c>
      <c r="D1007" t="n">
        <v>3.7</v>
      </c>
    </row>
    <row r="1008">
      <c r="A1008" s="78" t="n">
        <v>44866</v>
      </c>
      <c r="B1008" t="n">
        <v>62.1</v>
      </c>
      <c r="C1008" t="n">
        <v>153548</v>
      </c>
      <c r="D1008" t="n">
        <v>3.7</v>
      </c>
    </row>
  </sheetData>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C2921"/>
  <sheetViews>
    <sheetView zoomScale="170" zoomScaleNormal="170" workbookViewId="0">
      <pane ySplit="1" topLeftCell="A2898" activePane="bottomLeft" state="frozen"/>
      <selection activeCell="A2" sqref="A2"/>
      <selection pane="bottomLeft" activeCell="H2915" sqref="H2915"/>
    </sheetView>
  </sheetViews>
  <sheetFormatPr baseColWidth="8" defaultColWidth="8.81640625" defaultRowHeight="14.5"/>
  <cols>
    <col width="16.36328125" customWidth="1" style="49" min="1" max="1"/>
    <col width="10.6328125" customWidth="1" style="49" min="2" max="2"/>
    <col width="8.81640625" customWidth="1" style="49" min="3" max="32"/>
    <col width="8.81640625" customWidth="1" style="49" min="33" max="16384"/>
  </cols>
  <sheetData>
    <row r="1">
      <c r="A1" t="inlineStr">
        <is>
          <t>DATE</t>
        </is>
      </c>
      <c r="B1" t="inlineStr">
        <is>
          <t>CCSA</t>
        </is>
      </c>
      <c r="C1" t="inlineStr">
        <is>
          <t>ICSA</t>
        </is>
      </c>
    </row>
    <row r="2">
      <c r="A2" s="78" t="n">
        <v>24479</v>
      </c>
      <c r="B2" t="n">
        <v>1134000</v>
      </c>
      <c r="C2" t="n">
        <v>208000</v>
      </c>
    </row>
    <row r="3">
      <c r="A3" s="78" t="n">
        <v>24486</v>
      </c>
      <c r="B3" t="n">
        <v>1119000</v>
      </c>
      <c r="C3" t="n">
        <v>207000</v>
      </c>
    </row>
    <row r="4">
      <c r="A4" s="78" t="n">
        <v>24493</v>
      </c>
      <c r="B4" t="n">
        <v>1119000</v>
      </c>
      <c r="C4" t="n">
        <v>217000</v>
      </c>
    </row>
    <row r="5">
      <c r="A5" s="78" t="n">
        <v>24500</v>
      </c>
      <c r="B5" t="n">
        <v>1103000</v>
      </c>
      <c r="C5" t="n">
        <v>204000</v>
      </c>
    </row>
    <row r="6">
      <c r="A6" s="78" t="n">
        <v>24507</v>
      </c>
      <c r="B6" t="n">
        <v>1131000</v>
      </c>
      <c r="C6" t="n">
        <v>216000</v>
      </c>
    </row>
    <row r="7">
      <c r="A7" s="78" t="n">
        <v>24514</v>
      </c>
      <c r="B7" t="n">
        <v>1153000</v>
      </c>
      <c r="C7" t="n">
        <v>229000</v>
      </c>
    </row>
    <row r="8">
      <c r="A8" s="78" t="n">
        <v>24521</v>
      </c>
      <c r="B8" t="n">
        <v>1167000</v>
      </c>
      <c r="C8" t="n">
        <v>229000</v>
      </c>
    </row>
    <row r="9">
      <c r="A9" s="78" t="n">
        <v>24528</v>
      </c>
      <c r="B9" t="n">
        <v>1199000</v>
      </c>
      <c r="C9" t="n">
        <v>242000</v>
      </c>
    </row>
    <row r="10">
      <c r="A10" s="78" t="n">
        <v>24535</v>
      </c>
      <c r="B10" t="n">
        <v>1235000</v>
      </c>
      <c r="C10" t="n">
        <v>310000</v>
      </c>
    </row>
    <row r="11">
      <c r="A11" s="78" t="n">
        <v>24542</v>
      </c>
      <c r="B11" t="n">
        <v>1234000</v>
      </c>
      <c r="C11" t="n">
        <v>241000</v>
      </c>
    </row>
    <row r="12">
      <c r="A12" s="78" t="n">
        <v>24549</v>
      </c>
      <c r="B12" t="n">
        <v>1236000</v>
      </c>
      <c r="C12" t="n">
        <v>245000</v>
      </c>
    </row>
    <row r="13">
      <c r="A13" s="78" t="n">
        <v>24556</v>
      </c>
      <c r="B13" t="n">
        <v>1268000</v>
      </c>
      <c r="C13" t="n">
        <v>247000</v>
      </c>
    </row>
    <row r="14">
      <c r="A14" s="78" t="n">
        <v>24563</v>
      </c>
      <c r="B14" t="n">
        <v>1291000</v>
      </c>
      <c r="C14" t="n">
        <v>259000</v>
      </c>
    </row>
    <row r="15">
      <c r="A15" s="78" t="n">
        <v>24570</v>
      </c>
      <c r="B15" t="n">
        <v>1273000</v>
      </c>
      <c r="C15" t="n">
        <v>257000</v>
      </c>
    </row>
    <row r="16">
      <c r="A16" s="78" t="n">
        <v>24577</v>
      </c>
      <c r="B16" t="n">
        <v>1278000</v>
      </c>
      <c r="C16" t="n">
        <v>299000</v>
      </c>
    </row>
    <row r="17">
      <c r="A17" s="78" t="n">
        <v>24584</v>
      </c>
      <c r="B17" t="n">
        <v>1277000</v>
      </c>
      <c r="C17" t="n">
        <v>245000</v>
      </c>
    </row>
    <row r="18">
      <c r="A18" s="78" t="n">
        <v>24591</v>
      </c>
      <c r="B18" t="n">
        <v>1286000</v>
      </c>
      <c r="C18" t="n">
        <v>255000</v>
      </c>
    </row>
    <row r="19">
      <c r="A19" s="78" t="n">
        <v>24598</v>
      </c>
      <c r="B19" t="n">
        <v>1308000</v>
      </c>
      <c r="C19" t="n">
        <v>254000</v>
      </c>
    </row>
    <row r="20">
      <c r="A20" s="78" t="n">
        <v>24605</v>
      </c>
      <c r="B20" t="n">
        <v>1284000</v>
      </c>
      <c r="C20" t="n">
        <v>231000</v>
      </c>
    </row>
    <row r="21">
      <c r="A21" s="78" t="n">
        <v>24612</v>
      </c>
      <c r="B21" t="n">
        <v>1265000</v>
      </c>
      <c r="C21" t="n">
        <v>230000</v>
      </c>
    </row>
    <row r="22">
      <c r="A22" s="78" t="n">
        <v>24619</v>
      </c>
      <c r="B22" t="n">
        <v>1253000</v>
      </c>
      <c r="C22" t="n">
        <v>228000</v>
      </c>
    </row>
    <row r="23">
      <c r="A23" s="78" t="n">
        <v>24626</v>
      </c>
      <c r="B23" t="n">
        <v>1265000</v>
      </c>
      <c r="C23" t="n">
        <v>248000</v>
      </c>
    </row>
    <row r="24">
      <c r="A24" s="78" t="n">
        <v>24633</v>
      </c>
      <c r="B24" t="n">
        <v>1251000</v>
      </c>
      <c r="C24" t="n">
        <v>238000</v>
      </c>
    </row>
    <row r="25">
      <c r="A25" s="78" t="n">
        <v>24640</v>
      </c>
      <c r="B25" t="n">
        <v>1248000</v>
      </c>
      <c r="C25" t="n">
        <v>224000</v>
      </c>
    </row>
    <row r="26">
      <c r="A26" s="78" t="n">
        <v>24647</v>
      </c>
      <c r="B26" t="n">
        <v>1220000</v>
      </c>
      <c r="C26" t="n">
        <v>218000</v>
      </c>
    </row>
    <row r="27">
      <c r="A27" s="78" t="n">
        <v>24654</v>
      </c>
      <c r="B27" t="n">
        <v>1193000</v>
      </c>
      <c r="C27" t="n">
        <v>209000</v>
      </c>
    </row>
    <row r="28">
      <c r="A28" s="78" t="n">
        <v>24661</v>
      </c>
      <c r="B28" t="n">
        <v>1248000</v>
      </c>
      <c r="C28" t="n">
        <v>240000</v>
      </c>
    </row>
    <row r="29">
      <c r="A29" s="78" t="n">
        <v>24668</v>
      </c>
      <c r="B29" t="n">
        <v>1258000</v>
      </c>
      <c r="C29" t="n">
        <v>241000</v>
      </c>
    </row>
    <row r="30">
      <c r="A30" s="78" t="n">
        <v>24675</v>
      </c>
      <c r="B30" t="n">
        <v>1252000</v>
      </c>
      <c r="C30" t="n">
        <v>240000</v>
      </c>
    </row>
    <row r="31">
      <c r="A31" s="78" t="n">
        <v>24682</v>
      </c>
      <c r="B31" t="n">
        <v>1280000</v>
      </c>
      <c r="C31" t="n">
        <v>209000</v>
      </c>
    </row>
    <row r="32">
      <c r="A32" s="78" t="n">
        <v>24689</v>
      </c>
      <c r="B32" t="n">
        <v>1240000</v>
      </c>
      <c r="C32" t="n">
        <v>221000</v>
      </c>
    </row>
    <row r="33">
      <c r="A33" s="78" t="n">
        <v>24696</v>
      </c>
      <c r="B33" t="n">
        <v>1215000</v>
      </c>
      <c r="C33" t="n">
        <v>202000</v>
      </c>
    </row>
    <row r="34">
      <c r="A34" s="78" t="n">
        <v>24703</v>
      </c>
      <c r="B34" t="n">
        <v>1202000</v>
      </c>
      <c r="C34" t="n">
        <v>215000</v>
      </c>
    </row>
    <row r="35">
      <c r="A35" s="78" t="n">
        <v>24710</v>
      </c>
      <c r="B35" t="n">
        <v>1180000</v>
      </c>
      <c r="C35" t="n">
        <v>213000</v>
      </c>
    </row>
    <row r="36">
      <c r="A36" s="78" t="n">
        <v>24717</v>
      </c>
      <c r="B36" t="n">
        <v>1204000</v>
      </c>
      <c r="C36" t="n">
        <v>218000</v>
      </c>
    </row>
    <row r="37">
      <c r="A37" s="78" t="n">
        <v>24724</v>
      </c>
      <c r="B37" t="n">
        <v>1189000</v>
      </c>
      <c r="C37" t="n">
        <v>231000</v>
      </c>
    </row>
    <row r="38">
      <c r="A38" s="78" t="n">
        <v>24731</v>
      </c>
      <c r="B38" t="n">
        <v>1179000</v>
      </c>
      <c r="C38" t="n">
        <v>220000</v>
      </c>
    </row>
    <row r="39">
      <c r="A39" s="78" t="n">
        <v>24738</v>
      </c>
      <c r="B39" t="n">
        <v>1178000</v>
      </c>
      <c r="C39" t="n">
        <v>209000</v>
      </c>
    </row>
    <row r="40">
      <c r="A40" s="78" t="n">
        <v>24745</v>
      </c>
      <c r="B40" t="n">
        <v>1157000</v>
      </c>
      <c r="C40" t="n">
        <v>204000</v>
      </c>
    </row>
    <row r="41">
      <c r="A41" s="78" t="n">
        <v>24752</v>
      </c>
      <c r="B41" t="n">
        <v>1165000</v>
      </c>
      <c r="C41" t="n">
        <v>231000</v>
      </c>
    </row>
    <row r="42">
      <c r="A42" s="78" t="n">
        <v>24759</v>
      </c>
      <c r="B42" t="n">
        <v>1189000</v>
      </c>
      <c r="C42" t="n">
        <v>206000</v>
      </c>
    </row>
    <row r="43">
      <c r="A43" s="78" t="n">
        <v>24766</v>
      </c>
      <c r="B43" t="n">
        <v>1174000</v>
      </c>
      <c r="C43" t="n">
        <v>223000</v>
      </c>
    </row>
    <row r="44">
      <c r="A44" s="78" t="n">
        <v>24773</v>
      </c>
      <c r="B44" t="n">
        <v>1161000</v>
      </c>
      <c r="C44" t="n">
        <v>207000</v>
      </c>
    </row>
    <row r="45">
      <c r="A45" s="78" t="n">
        <v>24780</v>
      </c>
      <c r="B45" t="n">
        <v>1176000</v>
      </c>
      <c r="C45" t="n">
        <v>222000</v>
      </c>
    </row>
    <row r="46">
      <c r="A46" s="78" t="n">
        <v>24787</v>
      </c>
      <c r="B46" t="n">
        <v>1142000</v>
      </c>
      <c r="C46" t="n">
        <v>214000</v>
      </c>
    </row>
    <row r="47">
      <c r="A47" s="78" t="n">
        <v>24794</v>
      </c>
      <c r="B47" t="n">
        <v>1133000</v>
      </c>
      <c r="C47" t="n">
        <v>198000</v>
      </c>
    </row>
    <row r="48">
      <c r="A48" s="78" t="n">
        <v>24801</v>
      </c>
      <c r="B48" t="n">
        <v>1142000</v>
      </c>
      <c r="C48" t="n">
        <v>191000</v>
      </c>
    </row>
    <row r="49">
      <c r="A49" s="78" t="n">
        <v>24808</v>
      </c>
      <c r="B49" t="n">
        <v>1150000</v>
      </c>
      <c r="C49" t="n">
        <v>196000</v>
      </c>
    </row>
    <row r="50">
      <c r="A50" s="78" t="n">
        <v>24815</v>
      </c>
      <c r="B50" t="n">
        <v>1153000</v>
      </c>
      <c r="C50" t="n">
        <v>221000</v>
      </c>
    </row>
    <row r="51">
      <c r="A51" s="78" t="n">
        <v>24822</v>
      </c>
      <c r="B51" t="n">
        <v>1188000</v>
      </c>
      <c r="C51" t="n">
        <v>204000</v>
      </c>
    </row>
    <row r="52">
      <c r="A52" s="78" t="n">
        <v>24829</v>
      </c>
      <c r="B52" t="n">
        <v>1195000</v>
      </c>
      <c r="C52" t="n">
        <v>219000</v>
      </c>
    </row>
    <row r="53">
      <c r="A53" s="78" t="n">
        <v>24836</v>
      </c>
      <c r="B53" t="n">
        <v>1167000</v>
      </c>
      <c r="C53" t="n">
        <v>216000</v>
      </c>
    </row>
    <row r="54">
      <c r="A54" s="78" t="n">
        <v>24843</v>
      </c>
      <c r="B54" t="n">
        <v>1158000</v>
      </c>
      <c r="C54" t="n">
        <v>222000</v>
      </c>
    </row>
    <row r="55">
      <c r="A55" s="78" t="n">
        <v>24850</v>
      </c>
      <c r="B55" t="n">
        <v>1187000</v>
      </c>
      <c r="C55" t="n">
        <v>222000</v>
      </c>
    </row>
    <row r="56">
      <c r="A56" s="78" t="n">
        <v>24857</v>
      </c>
      <c r="B56" t="n">
        <v>1191000</v>
      </c>
      <c r="C56" t="n">
        <v>221000</v>
      </c>
    </row>
    <row r="57">
      <c r="A57" s="78" t="n">
        <v>24864</v>
      </c>
      <c r="B57" t="n">
        <v>1157000</v>
      </c>
      <c r="C57" t="n">
        <v>198000</v>
      </c>
    </row>
    <row r="58">
      <c r="A58" s="78" t="n">
        <v>24871</v>
      </c>
      <c r="B58" t="n">
        <v>1173000</v>
      </c>
      <c r="C58" t="n">
        <v>244000</v>
      </c>
    </row>
    <row r="59">
      <c r="A59" s="78" t="n">
        <v>24878</v>
      </c>
      <c r="B59" t="n">
        <v>1175000</v>
      </c>
      <c r="C59" t="n">
        <v>210000</v>
      </c>
    </row>
    <row r="60">
      <c r="A60" s="78" t="n">
        <v>24885</v>
      </c>
      <c r="B60" t="n">
        <v>1143000</v>
      </c>
      <c r="C60" t="n">
        <v>196000</v>
      </c>
    </row>
    <row r="61">
      <c r="A61" s="78" t="n">
        <v>24892</v>
      </c>
      <c r="B61" t="n">
        <v>1165000</v>
      </c>
      <c r="C61" t="n">
        <v>193000</v>
      </c>
    </row>
    <row r="62">
      <c r="A62" s="78" t="n">
        <v>24899</v>
      </c>
      <c r="B62" t="n">
        <v>1151000</v>
      </c>
      <c r="C62" t="n">
        <v>190000</v>
      </c>
    </row>
    <row r="63">
      <c r="A63" s="78" t="n">
        <v>24906</v>
      </c>
      <c r="B63" t="n">
        <v>1147000</v>
      </c>
      <c r="C63" t="n">
        <v>204000</v>
      </c>
    </row>
    <row r="64">
      <c r="A64" s="78" t="n">
        <v>24913</v>
      </c>
      <c r="B64" t="n">
        <v>1143000</v>
      </c>
      <c r="C64" t="n">
        <v>190000</v>
      </c>
    </row>
    <row r="65">
      <c r="A65" s="78" t="n">
        <v>24920</v>
      </c>
      <c r="B65" t="n">
        <v>1136000</v>
      </c>
      <c r="C65" t="n">
        <v>200000</v>
      </c>
    </row>
    <row r="66">
      <c r="A66" s="78" t="n">
        <v>24927</v>
      </c>
      <c r="B66" t="n">
        <v>1119000</v>
      </c>
      <c r="C66" t="n">
        <v>192000</v>
      </c>
    </row>
    <row r="67">
      <c r="A67" s="78" t="n">
        <v>24934</v>
      </c>
      <c r="B67" t="n">
        <v>1079000</v>
      </c>
      <c r="C67" t="n">
        <v>191000</v>
      </c>
    </row>
    <row r="68">
      <c r="A68" s="78" t="n">
        <v>24941</v>
      </c>
      <c r="B68" t="n">
        <v>1079000</v>
      </c>
      <c r="C68" t="n">
        <v>171000</v>
      </c>
    </row>
    <row r="69">
      <c r="A69" s="78" t="n">
        <v>24948</v>
      </c>
      <c r="B69" t="n">
        <v>1059000</v>
      </c>
      <c r="C69" t="n">
        <v>183000</v>
      </c>
    </row>
    <row r="70">
      <c r="A70" s="78" t="n">
        <v>24955</v>
      </c>
      <c r="B70" t="n">
        <v>1087000</v>
      </c>
      <c r="C70" t="n">
        <v>251000</v>
      </c>
    </row>
    <row r="71">
      <c r="A71" s="78" t="n">
        <v>24962</v>
      </c>
      <c r="B71" t="n">
        <v>1079000</v>
      </c>
      <c r="C71" t="n">
        <v>209000</v>
      </c>
    </row>
    <row r="72">
      <c r="A72" s="78" t="n">
        <v>24969</v>
      </c>
      <c r="B72" t="n">
        <v>1091000</v>
      </c>
      <c r="C72" t="n">
        <v>194000</v>
      </c>
    </row>
    <row r="73">
      <c r="A73" s="78" t="n">
        <v>24976</v>
      </c>
      <c r="B73" t="n">
        <v>1071000</v>
      </c>
      <c r="C73" t="n">
        <v>199000</v>
      </c>
    </row>
    <row r="74">
      <c r="A74" s="78" t="n">
        <v>24983</v>
      </c>
      <c r="B74" t="n">
        <v>1073000</v>
      </c>
      <c r="C74" t="n">
        <v>194000</v>
      </c>
    </row>
    <row r="75">
      <c r="A75" s="78" t="n">
        <v>24990</v>
      </c>
      <c r="B75" t="n">
        <v>1063000</v>
      </c>
      <c r="C75" t="n">
        <v>199000</v>
      </c>
    </row>
    <row r="76">
      <c r="A76" s="78" t="n">
        <v>24997</v>
      </c>
      <c r="B76" t="n">
        <v>1097000</v>
      </c>
      <c r="C76" t="n">
        <v>192000</v>
      </c>
    </row>
    <row r="77">
      <c r="A77" s="78" t="n">
        <v>25004</v>
      </c>
      <c r="B77" t="n">
        <v>1071000</v>
      </c>
      <c r="C77" t="n">
        <v>194000</v>
      </c>
    </row>
    <row r="78">
      <c r="A78" s="78" t="n">
        <v>25011</v>
      </c>
      <c r="B78" t="n">
        <v>1060000</v>
      </c>
      <c r="C78" t="n">
        <v>189000</v>
      </c>
    </row>
    <row r="79">
      <c r="A79" s="78" t="n">
        <v>25018</v>
      </c>
      <c r="B79" t="n">
        <v>1038000</v>
      </c>
      <c r="C79" t="n">
        <v>194000</v>
      </c>
    </row>
    <row r="80">
      <c r="A80" s="78" t="n">
        <v>25025</v>
      </c>
      <c r="B80" t="n">
        <v>1097000</v>
      </c>
      <c r="C80" t="n">
        <v>214000</v>
      </c>
    </row>
    <row r="81">
      <c r="A81" s="78" t="n">
        <v>25032</v>
      </c>
      <c r="B81" t="n">
        <v>1076000</v>
      </c>
      <c r="C81" t="n">
        <v>186000</v>
      </c>
    </row>
    <row r="82">
      <c r="A82" s="78" t="n">
        <v>25039</v>
      </c>
      <c r="B82" t="n">
        <v>1033000</v>
      </c>
      <c r="C82" t="n">
        <v>180000</v>
      </c>
    </row>
    <row r="83">
      <c r="A83" s="78" t="n">
        <v>25046</v>
      </c>
      <c r="B83" t="n">
        <v>1036000</v>
      </c>
      <c r="C83" t="n">
        <v>205000</v>
      </c>
    </row>
    <row r="84">
      <c r="A84" s="78" t="n">
        <v>25053</v>
      </c>
      <c r="B84" t="n">
        <v>1072000</v>
      </c>
      <c r="C84" t="n">
        <v>206000</v>
      </c>
    </row>
    <row r="85">
      <c r="A85" s="78" t="n">
        <v>25060</v>
      </c>
      <c r="B85" t="n">
        <v>1088000</v>
      </c>
      <c r="C85" t="n">
        <v>218000</v>
      </c>
    </row>
    <row r="86">
      <c r="A86" s="78" t="n">
        <v>25067</v>
      </c>
      <c r="B86" t="n">
        <v>1107000</v>
      </c>
      <c r="C86" t="n">
        <v>192000</v>
      </c>
    </row>
    <row r="87">
      <c r="A87" s="78" t="n">
        <v>25074</v>
      </c>
      <c r="B87" t="n">
        <v>1094000</v>
      </c>
      <c r="C87" t="n">
        <v>193000</v>
      </c>
    </row>
    <row r="88">
      <c r="A88" s="78" t="n">
        <v>25081</v>
      </c>
      <c r="B88" t="n">
        <v>1064000</v>
      </c>
      <c r="C88" t="n">
        <v>188000</v>
      </c>
    </row>
    <row r="89">
      <c r="A89" s="78" t="n">
        <v>25088</v>
      </c>
      <c r="B89" t="n">
        <v>1067000</v>
      </c>
      <c r="C89" t="n">
        <v>189000</v>
      </c>
    </row>
    <row r="90">
      <c r="A90" s="78" t="n">
        <v>25095</v>
      </c>
      <c r="B90" t="n">
        <v>1044000</v>
      </c>
      <c r="C90" t="n">
        <v>195000</v>
      </c>
    </row>
    <row r="91">
      <c r="A91" s="78" t="n">
        <v>25102</v>
      </c>
      <c r="B91" t="n">
        <v>1047000</v>
      </c>
      <c r="C91" t="n">
        <v>191000</v>
      </c>
    </row>
    <row r="92">
      <c r="A92" s="78" t="n">
        <v>25109</v>
      </c>
      <c r="B92" t="n">
        <v>1048000</v>
      </c>
      <c r="C92" t="n">
        <v>189000</v>
      </c>
    </row>
    <row r="93">
      <c r="A93" s="78" t="n">
        <v>25116</v>
      </c>
      <c r="B93" t="n">
        <v>1060000</v>
      </c>
      <c r="C93" t="n">
        <v>185000</v>
      </c>
    </row>
    <row r="94">
      <c r="A94" s="78" t="n">
        <v>25123</v>
      </c>
      <c r="B94" t="n">
        <v>1045000</v>
      </c>
      <c r="C94" t="n">
        <v>186000</v>
      </c>
    </row>
    <row r="95">
      <c r="A95" s="78" t="n">
        <v>25130</v>
      </c>
      <c r="B95" t="n">
        <v>1035000</v>
      </c>
      <c r="C95" t="n">
        <v>191000</v>
      </c>
    </row>
    <row r="96">
      <c r="A96" s="78" t="n">
        <v>25137</v>
      </c>
      <c r="B96" t="n">
        <v>1033000</v>
      </c>
      <c r="C96" t="n">
        <v>182000</v>
      </c>
    </row>
    <row r="97">
      <c r="A97" s="78" t="n">
        <v>25144</v>
      </c>
      <c r="B97" t="n">
        <v>1028000</v>
      </c>
      <c r="C97" t="n">
        <v>181000</v>
      </c>
    </row>
    <row r="98">
      <c r="A98" s="78" t="n">
        <v>25151</v>
      </c>
      <c r="B98" t="n">
        <v>1028000</v>
      </c>
      <c r="C98" t="n">
        <v>183000</v>
      </c>
    </row>
    <row r="99">
      <c r="A99" s="78" t="n">
        <v>25158</v>
      </c>
      <c r="B99" t="n">
        <v>1076000</v>
      </c>
      <c r="C99" t="n">
        <v>192000</v>
      </c>
    </row>
    <row r="100">
      <c r="A100" s="78" t="n">
        <v>25165</v>
      </c>
      <c r="B100" t="n">
        <v>1023000</v>
      </c>
      <c r="C100" t="n">
        <v>199000</v>
      </c>
    </row>
    <row r="101">
      <c r="A101" s="78" t="n">
        <v>25172</v>
      </c>
      <c r="B101" t="n">
        <v>1056000</v>
      </c>
      <c r="C101" t="n">
        <v>162000</v>
      </c>
    </row>
    <row r="102">
      <c r="A102" s="78" t="n">
        <v>25179</v>
      </c>
      <c r="B102" t="n">
        <v>1063000</v>
      </c>
      <c r="C102" t="n">
        <v>188000</v>
      </c>
    </row>
    <row r="103">
      <c r="A103" s="78" t="n">
        <v>25186</v>
      </c>
      <c r="B103" t="n">
        <v>1061000</v>
      </c>
      <c r="C103" t="n">
        <v>195000</v>
      </c>
    </row>
    <row r="104">
      <c r="A104" s="78" t="n">
        <v>25193</v>
      </c>
      <c r="B104" t="n">
        <v>1063000</v>
      </c>
      <c r="C104" t="n">
        <v>192000</v>
      </c>
    </row>
    <row r="105">
      <c r="A105" s="78" t="n">
        <v>25200</v>
      </c>
      <c r="B105" t="n">
        <v>1116000</v>
      </c>
      <c r="C105" t="n">
        <v>223000</v>
      </c>
    </row>
    <row r="106">
      <c r="A106" s="78" t="n">
        <v>25207</v>
      </c>
      <c r="B106" t="n">
        <v>1118000</v>
      </c>
      <c r="C106" t="n">
        <v>190000</v>
      </c>
    </row>
    <row r="107">
      <c r="A107" s="78" t="n">
        <v>25214</v>
      </c>
      <c r="B107" t="n">
        <v>1099000</v>
      </c>
      <c r="C107" t="n">
        <v>191000</v>
      </c>
    </row>
    <row r="108">
      <c r="A108" s="78" t="n">
        <v>25221</v>
      </c>
      <c r="B108" t="n">
        <v>1072000</v>
      </c>
      <c r="C108" t="n">
        <v>192000</v>
      </c>
    </row>
    <row r="109">
      <c r="A109" s="78" t="n">
        <v>25228</v>
      </c>
      <c r="B109" t="n">
        <v>1077000</v>
      </c>
      <c r="C109" t="n">
        <v>193000</v>
      </c>
    </row>
    <row r="110">
      <c r="A110" s="78" t="n">
        <v>25235</v>
      </c>
      <c r="B110" t="n">
        <v>1099000</v>
      </c>
      <c r="C110" t="n">
        <v>203000</v>
      </c>
    </row>
    <row r="111">
      <c r="A111" s="78" t="n">
        <v>25242</v>
      </c>
      <c r="B111" t="n">
        <v>1088000</v>
      </c>
      <c r="C111" t="n">
        <v>197000</v>
      </c>
    </row>
    <row r="112">
      <c r="A112" s="78" t="n">
        <v>25249</v>
      </c>
      <c r="B112" t="n">
        <v>1115000</v>
      </c>
      <c r="C112" t="n">
        <v>192000</v>
      </c>
    </row>
    <row r="113">
      <c r="A113" s="78" t="n">
        <v>25256</v>
      </c>
      <c r="B113" t="n">
        <v>1092000</v>
      </c>
      <c r="C113" t="n">
        <v>192000</v>
      </c>
    </row>
    <row r="114">
      <c r="A114" s="78" t="n">
        <v>25263</v>
      </c>
      <c r="B114" t="n">
        <v>1098000</v>
      </c>
      <c r="C114" t="n">
        <v>201000</v>
      </c>
    </row>
    <row r="115">
      <c r="A115" s="78" t="n">
        <v>25270</v>
      </c>
      <c r="B115" t="n">
        <v>1099000</v>
      </c>
      <c r="C115" t="n">
        <v>191000</v>
      </c>
    </row>
    <row r="116">
      <c r="A116" s="78" t="n">
        <v>25277</v>
      </c>
      <c r="B116" t="n">
        <v>1080000</v>
      </c>
      <c r="C116" t="n">
        <v>189000</v>
      </c>
    </row>
    <row r="117">
      <c r="A117" s="78" t="n">
        <v>25284</v>
      </c>
      <c r="B117" t="n">
        <v>1071000</v>
      </c>
      <c r="C117" t="n">
        <v>181000</v>
      </c>
    </row>
    <row r="118">
      <c r="A118" s="78" t="n">
        <v>25291</v>
      </c>
      <c r="B118" t="n">
        <v>1041000</v>
      </c>
      <c r="C118" t="n">
        <v>183000</v>
      </c>
    </row>
    <row r="119">
      <c r="A119" s="78" t="n">
        <v>25298</v>
      </c>
      <c r="B119" t="n">
        <v>1076000</v>
      </c>
      <c r="C119" t="n">
        <v>182000</v>
      </c>
    </row>
    <row r="120">
      <c r="A120" s="78" t="n">
        <v>25305</v>
      </c>
      <c r="B120" t="n">
        <v>1050000</v>
      </c>
      <c r="C120" t="n">
        <v>190000</v>
      </c>
    </row>
    <row r="121">
      <c r="A121" s="78" t="n">
        <v>25312</v>
      </c>
      <c r="B121" t="n">
        <v>1025000</v>
      </c>
      <c r="C121" t="n">
        <v>187000</v>
      </c>
    </row>
    <row r="122">
      <c r="A122" s="78" t="n">
        <v>25319</v>
      </c>
      <c r="B122" t="n">
        <v>992000</v>
      </c>
      <c r="C122" t="n">
        <v>177000</v>
      </c>
    </row>
    <row r="123">
      <c r="A123" s="78" t="n">
        <v>25326</v>
      </c>
      <c r="B123" t="n">
        <v>1003000</v>
      </c>
      <c r="C123" t="n">
        <v>177000</v>
      </c>
    </row>
    <row r="124">
      <c r="A124" s="78" t="n">
        <v>25333</v>
      </c>
      <c r="B124" t="n">
        <v>1018000</v>
      </c>
      <c r="C124" t="n">
        <v>183000</v>
      </c>
    </row>
    <row r="125">
      <c r="A125" s="78" t="n">
        <v>25340</v>
      </c>
      <c r="B125" t="n">
        <v>1007000</v>
      </c>
      <c r="C125" t="n">
        <v>179000</v>
      </c>
    </row>
    <row r="126">
      <c r="A126" s="78" t="n">
        <v>25347</v>
      </c>
      <c r="B126" t="n">
        <v>1006000</v>
      </c>
      <c r="C126" t="n">
        <v>180000</v>
      </c>
    </row>
    <row r="127">
      <c r="A127" s="78" t="n">
        <v>25354</v>
      </c>
      <c r="B127" t="n">
        <v>988000</v>
      </c>
      <c r="C127" t="n">
        <v>187000</v>
      </c>
    </row>
    <row r="128">
      <c r="A128" s="78" t="n">
        <v>25361</v>
      </c>
      <c r="B128" t="n">
        <v>992000</v>
      </c>
      <c r="C128" t="n">
        <v>192000</v>
      </c>
    </row>
    <row r="129">
      <c r="A129" s="78" t="n">
        <v>25368</v>
      </c>
      <c r="B129" t="n">
        <v>1010000</v>
      </c>
      <c r="C129" t="n">
        <v>182000</v>
      </c>
    </row>
    <row r="130">
      <c r="A130" s="78" t="n">
        <v>25375</v>
      </c>
      <c r="B130" t="n">
        <v>1012000</v>
      </c>
      <c r="C130" t="n">
        <v>191000</v>
      </c>
    </row>
    <row r="131">
      <c r="A131" s="78" t="n">
        <v>25382</v>
      </c>
      <c r="B131" t="n">
        <v>1021000</v>
      </c>
      <c r="C131" t="n">
        <v>203000</v>
      </c>
    </row>
    <row r="132">
      <c r="A132" s="78" t="n">
        <v>25389</v>
      </c>
      <c r="B132" t="n">
        <v>1072000</v>
      </c>
      <c r="C132" t="n">
        <v>227000</v>
      </c>
    </row>
    <row r="133">
      <c r="A133" s="78" t="n">
        <v>25396</v>
      </c>
      <c r="B133" t="n">
        <v>1092000</v>
      </c>
      <c r="C133" t="n">
        <v>210000</v>
      </c>
    </row>
    <row r="134">
      <c r="A134" s="78" t="n">
        <v>25403</v>
      </c>
      <c r="B134" t="n">
        <v>1072000</v>
      </c>
      <c r="C134" t="n">
        <v>206000</v>
      </c>
    </row>
    <row r="135">
      <c r="A135" s="78" t="n">
        <v>25410</v>
      </c>
      <c r="B135" t="n">
        <v>1110000</v>
      </c>
      <c r="C135" t="n">
        <v>192000</v>
      </c>
    </row>
    <row r="136">
      <c r="A136" s="78" t="n">
        <v>25417</v>
      </c>
      <c r="B136" t="n">
        <v>1126000</v>
      </c>
      <c r="C136" t="n">
        <v>196000</v>
      </c>
    </row>
    <row r="137">
      <c r="A137" s="78" t="n">
        <v>25424</v>
      </c>
      <c r="B137" t="n">
        <v>1093000</v>
      </c>
      <c r="C137" t="n">
        <v>203000</v>
      </c>
    </row>
    <row r="138">
      <c r="A138" s="78" t="n">
        <v>25431</v>
      </c>
      <c r="B138" t="n">
        <v>1067000</v>
      </c>
      <c r="C138" t="n">
        <v>199000</v>
      </c>
    </row>
    <row r="139">
      <c r="A139" s="78" t="n">
        <v>25438</v>
      </c>
      <c r="B139" t="n">
        <v>1060000</v>
      </c>
      <c r="C139" t="n">
        <v>199000</v>
      </c>
    </row>
    <row r="140">
      <c r="A140" s="78" t="n">
        <v>25445</v>
      </c>
      <c r="B140" t="n">
        <v>1074000</v>
      </c>
      <c r="C140" t="n">
        <v>195000</v>
      </c>
    </row>
    <row r="141">
      <c r="A141" s="78" t="n">
        <v>25452</v>
      </c>
      <c r="B141" t="n">
        <v>1111000</v>
      </c>
      <c r="C141" t="n">
        <v>182000</v>
      </c>
    </row>
    <row r="142">
      <c r="A142" s="78" t="n">
        <v>25459</v>
      </c>
      <c r="B142" t="n">
        <v>1082000</v>
      </c>
      <c r="C142" t="n">
        <v>209000</v>
      </c>
    </row>
    <row r="143">
      <c r="A143" s="78" t="n">
        <v>25466</v>
      </c>
      <c r="B143" t="n">
        <v>1083000</v>
      </c>
      <c r="C143" t="n">
        <v>195000</v>
      </c>
    </row>
    <row r="144">
      <c r="A144" s="78" t="n">
        <v>25473</v>
      </c>
      <c r="B144" t="n">
        <v>1086000</v>
      </c>
      <c r="C144" t="n">
        <v>193000</v>
      </c>
    </row>
    <row r="145">
      <c r="A145" s="78" t="n">
        <v>25480</v>
      </c>
      <c r="B145" t="n">
        <v>1103000</v>
      </c>
      <c r="C145" t="n">
        <v>193000</v>
      </c>
    </row>
    <row r="146">
      <c r="A146" s="78" t="n">
        <v>25487</v>
      </c>
      <c r="B146" t="n">
        <v>1100000</v>
      </c>
      <c r="C146" t="n">
        <v>200000</v>
      </c>
    </row>
    <row r="147">
      <c r="A147" s="78" t="n">
        <v>25494</v>
      </c>
      <c r="B147" t="n">
        <v>1118000</v>
      </c>
      <c r="C147" t="n">
        <v>199000</v>
      </c>
    </row>
    <row r="148">
      <c r="A148" s="78" t="n">
        <v>25501</v>
      </c>
      <c r="B148" t="n">
        <v>1136000</v>
      </c>
      <c r="C148" t="n">
        <v>205000</v>
      </c>
    </row>
    <row r="149">
      <c r="A149" s="78" t="n">
        <v>25508</v>
      </c>
      <c r="B149" t="n">
        <v>1143000</v>
      </c>
      <c r="C149" t="n">
        <v>198000</v>
      </c>
    </row>
    <row r="150">
      <c r="A150" s="78" t="n">
        <v>25515</v>
      </c>
      <c r="B150" t="n">
        <v>1146000</v>
      </c>
      <c r="C150" t="n">
        <v>211000</v>
      </c>
    </row>
    <row r="151">
      <c r="A151" s="78" t="n">
        <v>25522</v>
      </c>
      <c r="B151" t="n">
        <v>1181000</v>
      </c>
      <c r="C151" t="n">
        <v>197000</v>
      </c>
    </row>
    <row r="152">
      <c r="A152" s="78" t="n">
        <v>25529</v>
      </c>
      <c r="B152" t="n">
        <v>1158000</v>
      </c>
      <c r="C152" t="n">
        <v>217000</v>
      </c>
    </row>
    <row r="153">
      <c r="A153" s="78" t="n">
        <v>25536</v>
      </c>
      <c r="B153" t="n">
        <v>1211000</v>
      </c>
      <c r="C153" t="n">
        <v>202000</v>
      </c>
    </row>
    <row r="154">
      <c r="A154" s="78" t="n">
        <v>25543</v>
      </c>
      <c r="B154" t="n">
        <v>1226000</v>
      </c>
      <c r="C154" t="n">
        <v>202000</v>
      </c>
    </row>
    <row r="155">
      <c r="A155" s="78" t="n">
        <v>25550</v>
      </c>
      <c r="B155" t="n">
        <v>1233000</v>
      </c>
      <c r="C155" t="n">
        <v>222000</v>
      </c>
    </row>
    <row r="156">
      <c r="A156" s="78" t="n">
        <v>25557</v>
      </c>
      <c r="B156" t="n">
        <v>1252000</v>
      </c>
      <c r="C156" t="n">
        <v>232000</v>
      </c>
    </row>
    <row r="157">
      <c r="A157" s="78" t="n">
        <v>25564</v>
      </c>
      <c r="B157" t="n">
        <v>1304000</v>
      </c>
      <c r="C157" t="n">
        <v>223000</v>
      </c>
    </row>
    <row r="158">
      <c r="A158" s="78" t="n">
        <v>25571</v>
      </c>
      <c r="B158" t="n">
        <v>1332000</v>
      </c>
      <c r="C158" t="n">
        <v>230000</v>
      </c>
    </row>
    <row r="159">
      <c r="A159" s="78" t="n">
        <v>25578</v>
      </c>
      <c r="B159" t="n">
        <v>1353000</v>
      </c>
      <c r="C159" t="n">
        <v>242000</v>
      </c>
    </row>
    <row r="160">
      <c r="A160" s="78" t="n">
        <v>25585</v>
      </c>
      <c r="B160" t="n">
        <v>1371000</v>
      </c>
      <c r="C160" t="n">
        <v>268000</v>
      </c>
    </row>
    <row r="161">
      <c r="A161" s="78" t="n">
        <v>25592</v>
      </c>
      <c r="B161" t="n">
        <v>1388000</v>
      </c>
      <c r="C161" t="n">
        <v>256000</v>
      </c>
    </row>
    <row r="162">
      <c r="A162" s="78" t="n">
        <v>25599</v>
      </c>
      <c r="B162" t="n">
        <v>1385000</v>
      </c>
      <c r="C162" t="n">
        <v>239000</v>
      </c>
    </row>
    <row r="163">
      <c r="A163" s="78" t="n">
        <v>25606</v>
      </c>
      <c r="B163" t="n">
        <v>1397000</v>
      </c>
      <c r="C163" t="n">
        <v>256000</v>
      </c>
    </row>
    <row r="164">
      <c r="A164" s="78" t="n">
        <v>25613</v>
      </c>
      <c r="B164" t="n">
        <v>1445000</v>
      </c>
      <c r="C164" t="n">
        <v>265000</v>
      </c>
    </row>
    <row r="165">
      <c r="A165" s="78" t="n">
        <v>25620</v>
      </c>
      <c r="B165" t="n">
        <v>1412000</v>
      </c>
      <c r="C165" t="n">
        <v>271000</v>
      </c>
    </row>
    <row r="166">
      <c r="A166" s="78" t="n">
        <v>25627</v>
      </c>
      <c r="B166" t="n">
        <v>1430000</v>
      </c>
      <c r="C166" t="n">
        <v>242000</v>
      </c>
    </row>
    <row r="167">
      <c r="A167" s="78" t="n">
        <v>25634</v>
      </c>
      <c r="B167" t="n">
        <v>1443000</v>
      </c>
      <c r="C167" t="n">
        <v>262000</v>
      </c>
    </row>
    <row r="168">
      <c r="A168" s="78" t="n">
        <v>25641</v>
      </c>
      <c r="B168" t="n">
        <v>1456000</v>
      </c>
      <c r="C168" t="n">
        <v>271000</v>
      </c>
    </row>
    <row r="169">
      <c r="A169" s="78" t="n">
        <v>25648</v>
      </c>
      <c r="B169" t="n">
        <v>1498000</v>
      </c>
      <c r="C169" t="n">
        <v>264000</v>
      </c>
    </row>
    <row r="170">
      <c r="A170" s="78" t="n">
        <v>25655</v>
      </c>
      <c r="B170" t="n">
        <v>1537000</v>
      </c>
      <c r="C170" t="n">
        <v>276000</v>
      </c>
    </row>
    <row r="171">
      <c r="A171" s="78" t="n">
        <v>25662</v>
      </c>
      <c r="B171" t="n">
        <v>1573000</v>
      </c>
      <c r="C171" t="n">
        <v>273000</v>
      </c>
    </row>
    <row r="172">
      <c r="A172" s="78" t="n">
        <v>25669</v>
      </c>
      <c r="B172" t="n">
        <v>1586000</v>
      </c>
      <c r="C172" t="n">
        <v>305000</v>
      </c>
    </row>
    <row r="173">
      <c r="A173" s="78" t="n">
        <v>25676</v>
      </c>
      <c r="B173" t="n">
        <v>1653000</v>
      </c>
      <c r="C173" t="n">
        <v>374000</v>
      </c>
    </row>
    <row r="174">
      <c r="A174" s="78" t="n">
        <v>25683</v>
      </c>
      <c r="B174" t="n">
        <v>1748000</v>
      </c>
      <c r="C174" t="n">
        <v>349000</v>
      </c>
    </row>
    <row r="175">
      <c r="A175" s="78" t="n">
        <v>25690</v>
      </c>
      <c r="B175" t="n">
        <v>1811000</v>
      </c>
      <c r="C175" t="n">
        <v>334000</v>
      </c>
    </row>
    <row r="176">
      <c r="A176" s="78" t="n">
        <v>25697</v>
      </c>
      <c r="B176" t="n">
        <v>1847000</v>
      </c>
      <c r="C176" t="n">
        <v>318000</v>
      </c>
    </row>
    <row r="177">
      <c r="A177" s="78" t="n">
        <v>25704</v>
      </c>
      <c r="B177" t="n">
        <v>1840000</v>
      </c>
      <c r="C177" t="n">
        <v>303000</v>
      </c>
    </row>
    <row r="178">
      <c r="A178" s="78" t="n">
        <v>25711</v>
      </c>
      <c r="B178" t="n">
        <v>1827000</v>
      </c>
      <c r="C178" t="n">
        <v>296000</v>
      </c>
    </row>
    <row r="179">
      <c r="A179" s="78" t="n">
        <v>25718</v>
      </c>
      <c r="B179" t="n">
        <v>1807000</v>
      </c>
      <c r="C179" t="n">
        <v>301000</v>
      </c>
    </row>
    <row r="180">
      <c r="A180" s="78" t="n">
        <v>25725</v>
      </c>
      <c r="B180" t="n">
        <v>1817000</v>
      </c>
      <c r="C180" t="n">
        <v>301000</v>
      </c>
    </row>
    <row r="181">
      <c r="A181" s="78" t="n">
        <v>25732</v>
      </c>
      <c r="B181" t="n">
        <v>1852000</v>
      </c>
      <c r="C181" t="n">
        <v>298000</v>
      </c>
    </row>
    <row r="182">
      <c r="A182" s="78" t="n">
        <v>25739</v>
      </c>
      <c r="B182" t="n">
        <v>1864000</v>
      </c>
      <c r="C182" t="n">
        <v>296000</v>
      </c>
    </row>
    <row r="183">
      <c r="A183" s="78" t="n">
        <v>25746</v>
      </c>
      <c r="B183" t="n">
        <v>1866000</v>
      </c>
      <c r="C183" t="n">
        <v>291000</v>
      </c>
    </row>
    <row r="184">
      <c r="A184" s="78" t="n">
        <v>25753</v>
      </c>
      <c r="B184" t="n">
        <v>1853000</v>
      </c>
      <c r="C184" t="n">
        <v>277000</v>
      </c>
    </row>
    <row r="185">
      <c r="A185" s="78" t="n">
        <v>25760</v>
      </c>
      <c r="B185" t="n">
        <v>1868000</v>
      </c>
      <c r="C185" t="n">
        <v>288000</v>
      </c>
    </row>
    <row r="186">
      <c r="A186" s="78" t="n">
        <v>25767</v>
      </c>
      <c r="B186" t="n">
        <v>1877000</v>
      </c>
      <c r="C186" t="n">
        <v>294000</v>
      </c>
    </row>
    <row r="187">
      <c r="A187" s="78" t="n">
        <v>25774</v>
      </c>
      <c r="B187" t="n">
        <v>1918000</v>
      </c>
      <c r="C187" t="n">
        <v>287000</v>
      </c>
    </row>
    <row r="188">
      <c r="A188" s="78" t="n">
        <v>25781</v>
      </c>
      <c r="B188" t="n">
        <v>1900000</v>
      </c>
      <c r="C188" t="n">
        <v>261000</v>
      </c>
    </row>
    <row r="189">
      <c r="A189" s="78" t="n">
        <v>25788</v>
      </c>
      <c r="B189" t="n">
        <v>1890000</v>
      </c>
      <c r="C189" t="n">
        <v>266000</v>
      </c>
    </row>
    <row r="190">
      <c r="A190" s="78" t="n">
        <v>25795</v>
      </c>
      <c r="B190" t="n">
        <v>1933000</v>
      </c>
      <c r="C190" t="n">
        <v>300000</v>
      </c>
    </row>
    <row r="191">
      <c r="A191" s="78" t="n">
        <v>25802</v>
      </c>
      <c r="B191" t="n">
        <v>1970000</v>
      </c>
      <c r="C191" t="n">
        <v>303000</v>
      </c>
    </row>
    <row r="192">
      <c r="A192" s="78" t="n">
        <v>25809</v>
      </c>
      <c r="B192" t="n">
        <v>2005000</v>
      </c>
      <c r="C192" t="n">
        <v>297000</v>
      </c>
    </row>
    <row r="193">
      <c r="A193" s="78" t="n">
        <v>25816</v>
      </c>
      <c r="B193" t="n">
        <v>1996000</v>
      </c>
      <c r="C193" t="n">
        <v>324000</v>
      </c>
    </row>
    <row r="194">
      <c r="A194" s="78" t="n">
        <v>25823</v>
      </c>
      <c r="B194" t="n">
        <v>2068000</v>
      </c>
      <c r="C194" t="n">
        <v>292000</v>
      </c>
    </row>
    <row r="195">
      <c r="A195" s="78" t="n">
        <v>25830</v>
      </c>
      <c r="B195" t="n">
        <v>2069000</v>
      </c>
      <c r="C195" t="n">
        <v>325000</v>
      </c>
    </row>
    <row r="196">
      <c r="A196" s="78" t="n">
        <v>25837</v>
      </c>
      <c r="B196" t="n">
        <v>2092000</v>
      </c>
      <c r="C196" t="n">
        <v>333000</v>
      </c>
    </row>
    <row r="197">
      <c r="A197" s="78" t="n">
        <v>25844</v>
      </c>
      <c r="B197" t="n">
        <v>2164000</v>
      </c>
      <c r="C197" t="n">
        <v>350000</v>
      </c>
    </row>
    <row r="198">
      <c r="A198" s="78" t="n">
        <v>25851</v>
      </c>
      <c r="B198" t="n">
        <v>2207000</v>
      </c>
      <c r="C198" t="n">
        <v>327000</v>
      </c>
    </row>
    <row r="199">
      <c r="A199" s="78" t="n">
        <v>25858</v>
      </c>
      <c r="B199" t="n">
        <v>2210000</v>
      </c>
      <c r="C199" t="n">
        <v>334000</v>
      </c>
    </row>
    <row r="200">
      <c r="A200" s="78" t="n">
        <v>25865</v>
      </c>
      <c r="B200" t="n">
        <v>2257000</v>
      </c>
      <c r="C200" t="n">
        <v>330000</v>
      </c>
    </row>
    <row r="201">
      <c r="A201" s="78" t="n">
        <v>25872</v>
      </c>
      <c r="B201" t="n">
        <v>2233000</v>
      </c>
      <c r="C201" t="n">
        <v>327000</v>
      </c>
    </row>
    <row r="202">
      <c r="A202" s="78" t="n">
        <v>25879</v>
      </c>
      <c r="B202" t="n">
        <v>2279000</v>
      </c>
      <c r="C202" t="n">
        <v>336000</v>
      </c>
    </row>
    <row r="203">
      <c r="A203" s="78" t="n">
        <v>25886</v>
      </c>
      <c r="B203" t="n">
        <v>2343000</v>
      </c>
      <c r="C203" t="n">
        <v>314000</v>
      </c>
    </row>
    <row r="204">
      <c r="A204" s="78" t="n">
        <v>25893</v>
      </c>
      <c r="B204" t="n">
        <v>2285000</v>
      </c>
      <c r="C204" t="n">
        <v>314000</v>
      </c>
    </row>
    <row r="205">
      <c r="A205" s="78" t="n">
        <v>25900</v>
      </c>
      <c r="B205" t="n">
        <v>2292000</v>
      </c>
      <c r="C205" t="n">
        <v>337000</v>
      </c>
    </row>
    <row r="206">
      <c r="A206" s="78" t="n">
        <v>25907</v>
      </c>
      <c r="B206" t="n">
        <v>2276000</v>
      </c>
      <c r="C206" t="n">
        <v>308000</v>
      </c>
    </row>
    <row r="207">
      <c r="A207" s="78" t="n">
        <v>25914</v>
      </c>
      <c r="B207" t="n">
        <v>2193000</v>
      </c>
      <c r="C207" t="n">
        <v>306000</v>
      </c>
    </row>
    <row r="208">
      <c r="A208" s="78" t="n">
        <v>25921</v>
      </c>
      <c r="B208" t="n">
        <v>2224000</v>
      </c>
      <c r="C208" t="n">
        <v>289000</v>
      </c>
    </row>
    <row r="209">
      <c r="A209" s="78" t="n">
        <v>25928</v>
      </c>
      <c r="B209" t="n">
        <v>2147000</v>
      </c>
      <c r="C209" t="n">
        <v>321000</v>
      </c>
    </row>
    <row r="210">
      <c r="A210" s="78" t="n">
        <v>25935</v>
      </c>
      <c r="B210" t="n">
        <v>2102000</v>
      </c>
      <c r="C210" t="n">
        <v>303000</v>
      </c>
    </row>
    <row r="211">
      <c r="A211" s="78" t="n">
        <v>25942</v>
      </c>
      <c r="B211" t="n">
        <v>2124000</v>
      </c>
      <c r="C211" t="n">
        <v>288000</v>
      </c>
    </row>
    <row r="212">
      <c r="A212" s="78" t="n">
        <v>25949</v>
      </c>
      <c r="B212" t="n">
        <v>2100000</v>
      </c>
      <c r="C212" t="n">
        <v>299000</v>
      </c>
    </row>
    <row r="213">
      <c r="A213" s="78" t="n">
        <v>25956</v>
      </c>
      <c r="B213" t="n">
        <v>2091000</v>
      </c>
      <c r="C213" t="n">
        <v>312000</v>
      </c>
    </row>
    <row r="214">
      <c r="A214" s="78" t="n">
        <v>25963</v>
      </c>
      <c r="B214" t="n">
        <v>2086000</v>
      </c>
      <c r="C214" t="n">
        <v>292000</v>
      </c>
    </row>
    <row r="215">
      <c r="A215" s="78" t="n">
        <v>25970</v>
      </c>
      <c r="B215" t="n">
        <v>2120000</v>
      </c>
      <c r="C215" t="n">
        <v>296000</v>
      </c>
    </row>
    <row r="216">
      <c r="A216" s="78" t="n">
        <v>25977</v>
      </c>
      <c r="B216" t="n">
        <v>2079000</v>
      </c>
      <c r="C216" t="n">
        <v>282000</v>
      </c>
    </row>
    <row r="217">
      <c r="A217" s="78" t="n">
        <v>25984</v>
      </c>
      <c r="B217" t="n">
        <v>2120000</v>
      </c>
      <c r="C217" t="n">
        <v>268000</v>
      </c>
    </row>
    <row r="218">
      <c r="A218" s="78" t="n">
        <v>25991</v>
      </c>
      <c r="B218" t="n">
        <v>2081000</v>
      </c>
      <c r="C218" t="n">
        <v>290000</v>
      </c>
    </row>
    <row r="219">
      <c r="A219" s="78" t="n">
        <v>25998</v>
      </c>
      <c r="B219" t="n">
        <v>2132000</v>
      </c>
      <c r="C219" t="n">
        <v>297000</v>
      </c>
    </row>
    <row r="220">
      <c r="A220" s="78" t="n">
        <v>26005</v>
      </c>
      <c r="B220" t="n">
        <v>2126000</v>
      </c>
      <c r="C220" t="n">
        <v>287000</v>
      </c>
    </row>
    <row r="221">
      <c r="A221" s="78" t="n">
        <v>26012</v>
      </c>
      <c r="B221" t="n">
        <v>2140000</v>
      </c>
      <c r="C221" t="n">
        <v>291000</v>
      </c>
    </row>
    <row r="222">
      <c r="A222" s="78" t="n">
        <v>26019</v>
      </c>
      <c r="B222" t="n">
        <v>2157000</v>
      </c>
      <c r="C222" t="n">
        <v>300000</v>
      </c>
    </row>
    <row r="223">
      <c r="A223" s="78" t="n">
        <v>26026</v>
      </c>
      <c r="B223" t="n">
        <v>2135000</v>
      </c>
      <c r="C223" t="n">
        <v>299000</v>
      </c>
    </row>
    <row r="224">
      <c r="A224" s="78" t="n">
        <v>26033</v>
      </c>
      <c r="B224" t="n">
        <v>2156000</v>
      </c>
      <c r="C224" t="n">
        <v>279000</v>
      </c>
    </row>
    <row r="225">
      <c r="A225" s="78" t="n">
        <v>26040</v>
      </c>
      <c r="B225" t="n">
        <v>2163000</v>
      </c>
      <c r="C225" t="n">
        <v>284000</v>
      </c>
    </row>
    <row r="226">
      <c r="A226" s="78" t="n">
        <v>26047</v>
      </c>
      <c r="B226" t="n">
        <v>2127000</v>
      </c>
      <c r="C226" t="n">
        <v>288000</v>
      </c>
    </row>
    <row r="227">
      <c r="A227" s="78" t="n">
        <v>26054</v>
      </c>
      <c r="B227" t="n">
        <v>2157000</v>
      </c>
      <c r="C227" t="n">
        <v>290000</v>
      </c>
    </row>
    <row r="228">
      <c r="A228" s="78" t="n">
        <v>26061</v>
      </c>
      <c r="B228" t="n">
        <v>2179000</v>
      </c>
      <c r="C228" t="n">
        <v>293000</v>
      </c>
    </row>
    <row r="229">
      <c r="A229" s="78" t="n">
        <v>26068</v>
      </c>
      <c r="B229" t="n">
        <v>2179000</v>
      </c>
      <c r="C229" t="n">
        <v>284000</v>
      </c>
    </row>
    <row r="230">
      <c r="A230" s="78" t="n">
        <v>26075</v>
      </c>
      <c r="B230" t="n">
        <v>2167000</v>
      </c>
      <c r="C230" t="n">
        <v>295000</v>
      </c>
    </row>
    <row r="231">
      <c r="A231" s="78" t="n">
        <v>26082</v>
      </c>
      <c r="B231" t="n">
        <v>2171000</v>
      </c>
      <c r="C231" t="n">
        <v>299000</v>
      </c>
    </row>
    <row r="232">
      <c r="A232" s="78" t="n">
        <v>26089</v>
      </c>
      <c r="B232" t="n">
        <v>2194000</v>
      </c>
      <c r="C232" t="n">
        <v>301000</v>
      </c>
    </row>
    <row r="233">
      <c r="A233" s="78" t="n">
        <v>26096</v>
      </c>
      <c r="B233" t="n">
        <v>2199000</v>
      </c>
      <c r="C233" t="n">
        <v>295000</v>
      </c>
    </row>
    <row r="234">
      <c r="A234" s="78" t="n">
        <v>26103</v>
      </c>
      <c r="B234" t="n">
        <v>2182000</v>
      </c>
      <c r="C234" t="n">
        <v>299000</v>
      </c>
    </row>
    <row r="235">
      <c r="A235" s="78" t="n">
        <v>26110</v>
      </c>
      <c r="B235" t="n">
        <v>2172000</v>
      </c>
      <c r="C235" t="n">
        <v>291000</v>
      </c>
    </row>
    <row r="236">
      <c r="A236" s="78" t="n">
        <v>26117</v>
      </c>
      <c r="B236" t="n">
        <v>2116000</v>
      </c>
      <c r="C236" t="n">
        <v>277000</v>
      </c>
    </row>
    <row r="237">
      <c r="A237" s="78" t="n">
        <v>26124</v>
      </c>
      <c r="B237" t="n">
        <v>2130000</v>
      </c>
      <c r="C237" t="n">
        <v>264000</v>
      </c>
    </row>
    <row r="238">
      <c r="A238" s="78" t="n">
        <v>26131</v>
      </c>
      <c r="B238" t="n">
        <v>2087000</v>
      </c>
      <c r="C238" t="n">
        <v>313000</v>
      </c>
    </row>
    <row r="239">
      <c r="A239" s="78" t="n">
        <v>26138</v>
      </c>
      <c r="B239" t="n">
        <v>2129000</v>
      </c>
      <c r="C239" t="n">
        <v>304000</v>
      </c>
    </row>
    <row r="240">
      <c r="A240" s="78" t="n">
        <v>26145</v>
      </c>
      <c r="B240" t="n">
        <v>2150000</v>
      </c>
      <c r="C240" t="n">
        <v>308000</v>
      </c>
    </row>
    <row r="241">
      <c r="A241" s="78" t="n">
        <v>26152</v>
      </c>
      <c r="B241" t="n">
        <v>2174000</v>
      </c>
      <c r="C241" t="n">
        <v>349000</v>
      </c>
    </row>
    <row r="242">
      <c r="A242" s="78" t="n">
        <v>26159</v>
      </c>
      <c r="B242" t="n">
        <v>2202000</v>
      </c>
      <c r="C242" t="n">
        <v>325000</v>
      </c>
    </row>
    <row r="243">
      <c r="A243" s="78" t="n">
        <v>26166</v>
      </c>
      <c r="B243" t="n">
        <v>2186000</v>
      </c>
      <c r="C243" t="n">
        <v>320000</v>
      </c>
    </row>
    <row r="244">
      <c r="A244" s="78" t="n">
        <v>26173</v>
      </c>
      <c r="B244" t="n">
        <v>2188000</v>
      </c>
      <c r="C244" t="n">
        <v>307000</v>
      </c>
    </row>
    <row r="245">
      <c r="A245" s="78" t="n">
        <v>26180</v>
      </c>
      <c r="B245" t="n">
        <v>2228000</v>
      </c>
      <c r="C245" t="n">
        <v>359000</v>
      </c>
    </row>
    <row r="246">
      <c r="A246" s="78" t="n">
        <v>26187</v>
      </c>
      <c r="B246" t="n">
        <v>2250000</v>
      </c>
      <c r="C246" t="n">
        <v>312000</v>
      </c>
    </row>
    <row r="247">
      <c r="A247" s="78" t="n">
        <v>26194</v>
      </c>
      <c r="B247" t="n">
        <v>2246000</v>
      </c>
      <c r="C247" t="n">
        <v>302000</v>
      </c>
    </row>
    <row r="248">
      <c r="A248" s="78" t="n">
        <v>26201</v>
      </c>
      <c r="B248" t="n">
        <v>2233000</v>
      </c>
      <c r="C248" t="n">
        <v>308000</v>
      </c>
    </row>
    <row r="249">
      <c r="A249" s="78" t="n">
        <v>26208</v>
      </c>
      <c r="B249" t="n">
        <v>2216000</v>
      </c>
      <c r="C249" t="n">
        <v>299000</v>
      </c>
    </row>
    <row r="250">
      <c r="A250" s="78" t="n">
        <v>26215</v>
      </c>
      <c r="B250" t="n">
        <v>2247000</v>
      </c>
      <c r="C250" t="n">
        <v>313000</v>
      </c>
    </row>
    <row r="251">
      <c r="A251" s="78" t="n">
        <v>26222</v>
      </c>
      <c r="B251" t="n">
        <v>2190000</v>
      </c>
      <c r="C251" t="n">
        <v>299000</v>
      </c>
    </row>
    <row r="252">
      <c r="A252" s="78" t="n">
        <v>26229</v>
      </c>
      <c r="B252" t="n">
        <v>2176000</v>
      </c>
      <c r="C252" t="n">
        <v>294000</v>
      </c>
    </row>
    <row r="253">
      <c r="A253" s="78" t="n">
        <v>26236</v>
      </c>
      <c r="B253" t="n">
        <v>2194000</v>
      </c>
      <c r="C253" t="n">
        <v>283000</v>
      </c>
    </row>
    <row r="254">
      <c r="A254" s="78" t="n">
        <v>26243</v>
      </c>
      <c r="B254" t="n">
        <v>2204000</v>
      </c>
      <c r="C254" t="n">
        <v>301000</v>
      </c>
    </row>
    <row r="255">
      <c r="A255" s="78" t="n">
        <v>26250</v>
      </c>
      <c r="B255" t="n">
        <v>2134000</v>
      </c>
      <c r="C255" t="n">
        <v>295000</v>
      </c>
    </row>
    <row r="256">
      <c r="A256" s="78" t="n">
        <v>26257</v>
      </c>
      <c r="B256" t="n">
        <v>2134000</v>
      </c>
      <c r="C256" t="n">
        <v>274000</v>
      </c>
    </row>
    <row r="257">
      <c r="A257" s="78" t="n">
        <v>26264</v>
      </c>
      <c r="B257" t="n">
        <v>2111000</v>
      </c>
      <c r="C257" t="n">
        <v>278000</v>
      </c>
    </row>
    <row r="258">
      <c r="A258" s="78" t="n">
        <v>26271</v>
      </c>
      <c r="B258" t="n">
        <v>2117000</v>
      </c>
      <c r="C258" t="n">
        <v>299000</v>
      </c>
    </row>
    <row r="259">
      <c r="A259" s="78" t="n">
        <v>26278</v>
      </c>
      <c r="B259" t="n">
        <v>2085000</v>
      </c>
      <c r="C259" t="n">
        <v>280000</v>
      </c>
    </row>
    <row r="260">
      <c r="A260" s="78" t="n">
        <v>26285</v>
      </c>
      <c r="B260" t="n">
        <v>2109000</v>
      </c>
      <c r="C260" t="n">
        <v>269000</v>
      </c>
    </row>
    <row r="261">
      <c r="A261" s="78" t="n">
        <v>26292</v>
      </c>
      <c r="B261" t="n">
        <v>2037000</v>
      </c>
      <c r="C261" t="n">
        <v>244000</v>
      </c>
    </row>
    <row r="262">
      <c r="A262" s="78" t="n">
        <v>26299</v>
      </c>
      <c r="B262" t="n">
        <v>1934000</v>
      </c>
      <c r="C262" t="n">
        <v>279000</v>
      </c>
    </row>
    <row r="263">
      <c r="A263" s="78" t="n">
        <v>26306</v>
      </c>
      <c r="B263" t="n">
        <v>1931000</v>
      </c>
      <c r="C263" t="n">
        <v>295000</v>
      </c>
    </row>
    <row r="264">
      <c r="A264" s="78" t="n">
        <v>26313</v>
      </c>
      <c r="B264" t="n">
        <v>1923000</v>
      </c>
      <c r="C264" t="n">
        <v>250000</v>
      </c>
    </row>
    <row r="265">
      <c r="A265" s="78" t="n">
        <v>26320</v>
      </c>
      <c r="B265" t="n">
        <v>1907000</v>
      </c>
      <c r="C265" t="n">
        <v>263000</v>
      </c>
    </row>
    <row r="266">
      <c r="A266" s="78" t="n">
        <v>26327</v>
      </c>
      <c r="B266" t="n">
        <v>1921000</v>
      </c>
      <c r="C266" t="n">
        <v>269000</v>
      </c>
    </row>
    <row r="267">
      <c r="A267" s="78" t="n">
        <v>26334</v>
      </c>
      <c r="B267" t="n">
        <v>1941000</v>
      </c>
      <c r="C267" t="n">
        <v>276000</v>
      </c>
    </row>
    <row r="268">
      <c r="A268" s="78" t="n">
        <v>26341</v>
      </c>
      <c r="B268" t="n">
        <v>1960000</v>
      </c>
      <c r="C268" t="n">
        <v>266000</v>
      </c>
    </row>
    <row r="269">
      <c r="A269" s="78" t="n">
        <v>26348</v>
      </c>
      <c r="B269" t="n">
        <v>1902000</v>
      </c>
      <c r="C269" t="n">
        <v>258000</v>
      </c>
    </row>
    <row r="270">
      <c r="A270" s="78" t="n">
        <v>26355</v>
      </c>
      <c r="B270" t="n">
        <v>1903000</v>
      </c>
      <c r="C270" t="n">
        <v>254000</v>
      </c>
    </row>
    <row r="271">
      <c r="A271" s="78" t="n">
        <v>26362</v>
      </c>
      <c r="B271" t="n">
        <v>1905000</v>
      </c>
      <c r="C271" t="n">
        <v>257000</v>
      </c>
    </row>
    <row r="272">
      <c r="A272" s="78" t="n">
        <v>26369</v>
      </c>
      <c r="B272" t="n">
        <v>1906000</v>
      </c>
      <c r="C272" t="n">
        <v>264000</v>
      </c>
    </row>
    <row r="273">
      <c r="A273" s="78" t="n">
        <v>26376</v>
      </c>
      <c r="B273" t="n">
        <v>1907000</v>
      </c>
      <c r="C273" t="n">
        <v>266000</v>
      </c>
    </row>
    <row r="274">
      <c r="A274" s="78" t="n">
        <v>26383</v>
      </c>
      <c r="B274" t="n">
        <v>1877000</v>
      </c>
      <c r="C274" t="n">
        <v>264000</v>
      </c>
    </row>
    <row r="275">
      <c r="A275" s="78" t="n">
        <v>26390</v>
      </c>
      <c r="B275" t="n">
        <v>1913000</v>
      </c>
      <c r="C275" t="n">
        <v>258000</v>
      </c>
    </row>
    <row r="276">
      <c r="A276" s="78" t="n">
        <v>26397</v>
      </c>
      <c r="B276" t="n">
        <v>1910000</v>
      </c>
      <c r="C276" t="n">
        <v>274000</v>
      </c>
    </row>
    <row r="277">
      <c r="A277" s="78" t="n">
        <v>26404</v>
      </c>
      <c r="B277" t="n">
        <v>1891000</v>
      </c>
      <c r="C277" t="n">
        <v>259000</v>
      </c>
    </row>
    <row r="278">
      <c r="A278" s="78" t="n">
        <v>26411</v>
      </c>
      <c r="B278" t="n">
        <v>1855000</v>
      </c>
      <c r="C278" t="n">
        <v>259000</v>
      </c>
    </row>
    <row r="279">
      <c r="A279" s="78" t="n">
        <v>26418</v>
      </c>
      <c r="B279" t="n">
        <v>1870000</v>
      </c>
      <c r="C279" t="n">
        <v>265000</v>
      </c>
    </row>
    <row r="280">
      <c r="A280" s="78" t="n">
        <v>26425</v>
      </c>
      <c r="B280" t="n">
        <v>1893000</v>
      </c>
      <c r="C280" t="n">
        <v>271000</v>
      </c>
    </row>
    <row r="281">
      <c r="A281" s="78" t="n">
        <v>26432</v>
      </c>
      <c r="B281" t="n">
        <v>1874000</v>
      </c>
      <c r="C281" t="n">
        <v>266000</v>
      </c>
    </row>
    <row r="282">
      <c r="A282" s="78" t="n">
        <v>26439</v>
      </c>
      <c r="B282" t="n">
        <v>1863000</v>
      </c>
      <c r="C282" t="n">
        <v>267000</v>
      </c>
    </row>
    <row r="283">
      <c r="A283" s="78" t="n">
        <v>26446</v>
      </c>
      <c r="B283" t="n">
        <v>1871000</v>
      </c>
      <c r="C283" t="n">
        <v>267000</v>
      </c>
    </row>
    <row r="284">
      <c r="A284" s="78" t="n">
        <v>26453</v>
      </c>
      <c r="B284" t="n">
        <v>1857000</v>
      </c>
      <c r="C284" t="n">
        <v>264000</v>
      </c>
    </row>
    <row r="285">
      <c r="A285" s="78" t="n">
        <v>26460</v>
      </c>
      <c r="B285" t="n">
        <v>1870000</v>
      </c>
      <c r="C285" t="n">
        <v>268000</v>
      </c>
    </row>
    <row r="286">
      <c r="A286" s="78" t="n">
        <v>26467</v>
      </c>
      <c r="B286" t="n">
        <v>1855000</v>
      </c>
      <c r="C286" t="n">
        <v>275000</v>
      </c>
    </row>
    <row r="287">
      <c r="A287" s="78" t="n">
        <v>26474</v>
      </c>
      <c r="B287" t="n">
        <v>1871000</v>
      </c>
      <c r="C287" t="n">
        <v>286000</v>
      </c>
    </row>
    <row r="288">
      <c r="A288" s="78" t="n">
        <v>26481</v>
      </c>
      <c r="B288" t="n">
        <v>1935000</v>
      </c>
      <c r="C288" t="n">
        <v>350000</v>
      </c>
    </row>
    <row r="289">
      <c r="A289" s="78" t="n">
        <v>26488</v>
      </c>
      <c r="B289" t="n">
        <v>1977000</v>
      </c>
      <c r="C289" t="n">
        <v>297000</v>
      </c>
    </row>
    <row r="290">
      <c r="A290" s="78" t="n">
        <v>26495</v>
      </c>
      <c r="B290" t="n">
        <v>1947000</v>
      </c>
      <c r="C290" t="n">
        <v>318000</v>
      </c>
    </row>
    <row r="291">
      <c r="A291" s="78" t="n">
        <v>26502</v>
      </c>
      <c r="B291" t="n">
        <v>1962000</v>
      </c>
      <c r="C291" t="n">
        <v>276000</v>
      </c>
    </row>
    <row r="292">
      <c r="A292" s="78" t="n">
        <v>26509</v>
      </c>
      <c r="B292" t="n">
        <v>1928000</v>
      </c>
      <c r="C292" t="n">
        <v>247000</v>
      </c>
    </row>
    <row r="293">
      <c r="A293" s="78" t="n">
        <v>26516</v>
      </c>
      <c r="B293" t="n">
        <v>1855000</v>
      </c>
      <c r="C293" t="n">
        <v>250000</v>
      </c>
    </row>
    <row r="294">
      <c r="A294" s="78" t="n">
        <v>26523</v>
      </c>
      <c r="B294" t="n">
        <v>1812000</v>
      </c>
      <c r="C294" t="n">
        <v>246000</v>
      </c>
    </row>
    <row r="295">
      <c r="A295" s="78" t="n">
        <v>26530</v>
      </c>
      <c r="B295" t="n">
        <v>1794000</v>
      </c>
      <c r="C295" t="n">
        <v>256000</v>
      </c>
    </row>
    <row r="296">
      <c r="A296" s="78" t="n">
        <v>26537</v>
      </c>
      <c r="B296" t="n">
        <v>1792000</v>
      </c>
      <c r="C296" t="n">
        <v>262000</v>
      </c>
    </row>
    <row r="297">
      <c r="A297" s="78" t="n">
        <v>26544</v>
      </c>
      <c r="B297" t="n">
        <v>1838000</v>
      </c>
      <c r="C297" t="n">
        <v>258000</v>
      </c>
    </row>
    <row r="298">
      <c r="A298" s="78" t="n">
        <v>26551</v>
      </c>
      <c r="B298" t="n">
        <v>1802000</v>
      </c>
      <c r="C298" t="n">
        <v>259000</v>
      </c>
    </row>
    <row r="299">
      <c r="A299" s="78" t="n">
        <v>26558</v>
      </c>
      <c r="B299" t="n">
        <v>1799000</v>
      </c>
      <c r="C299" t="n">
        <v>258000</v>
      </c>
    </row>
    <row r="300">
      <c r="A300" s="78" t="n">
        <v>26565</v>
      </c>
      <c r="B300" t="n">
        <v>1791000</v>
      </c>
      <c r="C300" t="n">
        <v>255000</v>
      </c>
    </row>
    <row r="301">
      <c r="A301" s="78" t="n">
        <v>26572</v>
      </c>
      <c r="B301" t="n">
        <v>1763000</v>
      </c>
      <c r="C301" t="n">
        <v>251000</v>
      </c>
    </row>
    <row r="302">
      <c r="A302" s="78" t="n">
        <v>26579</v>
      </c>
      <c r="B302" t="n">
        <v>1771000</v>
      </c>
      <c r="C302" t="n">
        <v>263000</v>
      </c>
    </row>
    <row r="303">
      <c r="A303" s="78" t="n">
        <v>26586</v>
      </c>
      <c r="B303" t="n">
        <v>1760000</v>
      </c>
      <c r="C303" t="n">
        <v>250000</v>
      </c>
    </row>
    <row r="304">
      <c r="A304" s="78" t="n">
        <v>26593</v>
      </c>
      <c r="B304" t="n">
        <v>1733000</v>
      </c>
      <c r="C304" t="n">
        <v>257000</v>
      </c>
    </row>
    <row r="305">
      <c r="A305" s="78" t="n">
        <v>26600</v>
      </c>
      <c r="B305" t="n">
        <v>1750000</v>
      </c>
      <c r="C305" t="n">
        <v>234000</v>
      </c>
    </row>
    <row r="306">
      <c r="A306" s="78" t="n">
        <v>26607</v>
      </c>
      <c r="B306" t="n">
        <v>1722000</v>
      </c>
      <c r="C306" t="n">
        <v>255000</v>
      </c>
    </row>
    <row r="307">
      <c r="A307" s="78" t="n">
        <v>26614</v>
      </c>
      <c r="B307" t="n">
        <v>1736000</v>
      </c>
      <c r="C307" t="n">
        <v>242000</v>
      </c>
    </row>
    <row r="308">
      <c r="A308" s="78" t="n">
        <v>26621</v>
      </c>
      <c r="B308" t="n">
        <v>1727000</v>
      </c>
      <c r="C308" t="n">
        <v>271000</v>
      </c>
    </row>
    <row r="309">
      <c r="A309" s="78" t="n">
        <v>26628</v>
      </c>
      <c r="B309" t="n">
        <v>1743000</v>
      </c>
      <c r="C309" t="n">
        <v>235000</v>
      </c>
    </row>
    <row r="310">
      <c r="A310" s="78" t="n">
        <v>26635</v>
      </c>
      <c r="B310" t="n">
        <v>1676000</v>
      </c>
      <c r="C310" t="n">
        <v>226000</v>
      </c>
    </row>
    <row r="311">
      <c r="A311" s="78" t="n">
        <v>26642</v>
      </c>
      <c r="B311" t="n">
        <v>1681000</v>
      </c>
      <c r="C311" t="n">
        <v>252000</v>
      </c>
    </row>
    <row r="312">
      <c r="A312" s="78" t="n">
        <v>26649</v>
      </c>
      <c r="B312" t="n">
        <v>1756000</v>
      </c>
      <c r="C312" t="n">
        <v>263000</v>
      </c>
    </row>
    <row r="313">
      <c r="A313" s="78" t="n">
        <v>26656</v>
      </c>
      <c r="B313" t="n">
        <v>1697000</v>
      </c>
      <c r="C313" t="n">
        <v>246000</v>
      </c>
    </row>
    <row r="314">
      <c r="A314" s="78" t="n">
        <v>26663</v>
      </c>
      <c r="B314" t="n">
        <v>1663000</v>
      </c>
      <c r="C314" t="n">
        <v>225000</v>
      </c>
    </row>
    <row r="315">
      <c r="A315" s="78" t="n">
        <v>26670</v>
      </c>
      <c r="B315" t="n">
        <v>1617000</v>
      </c>
      <c r="C315" t="n">
        <v>226000</v>
      </c>
    </row>
    <row r="316">
      <c r="A316" s="78" t="n">
        <v>26677</v>
      </c>
      <c r="B316" t="n">
        <v>1660000</v>
      </c>
      <c r="C316" t="n">
        <v>245000</v>
      </c>
    </row>
    <row r="317">
      <c r="A317" s="78" t="n">
        <v>26684</v>
      </c>
      <c r="B317" t="n">
        <v>1607000</v>
      </c>
      <c r="C317" t="n">
        <v>229000</v>
      </c>
    </row>
    <row r="318">
      <c r="A318" s="78" t="n">
        <v>26691</v>
      </c>
      <c r="B318" t="n">
        <v>1601000</v>
      </c>
      <c r="C318" t="n">
        <v>214000</v>
      </c>
    </row>
    <row r="319">
      <c r="A319" s="78" t="n">
        <v>26698</v>
      </c>
      <c r="B319" t="n">
        <v>1596000</v>
      </c>
      <c r="C319" t="n">
        <v>228000</v>
      </c>
    </row>
    <row r="320">
      <c r="A320" s="78" t="n">
        <v>26705</v>
      </c>
      <c r="B320" t="n">
        <v>1594000</v>
      </c>
      <c r="C320" t="n">
        <v>226000</v>
      </c>
    </row>
    <row r="321">
      <c r="A321" s="78" t="n">
        <v>26712</v>
      </c>
      <c r="B321" t="n">
        <v>1582000</v>
      </c>
      <c r="C321" t="n">
        <v>216000</v>
      </c>
    </row>
    <row r="322">
      <c r="A322" s="78" t="n">
        <v>26719</v>
      </c>
      <c r="B322" t="n">
        <v>1582000</v>
      </c>
      <c r="C322" t="n">
        <v>218000</v>
      </c>
    </row>
    <row r="323">
      <c r="A323" s="78" t="n">
        <v>26726</v>
      </c>
      <c r="B323" t="n">
        <v>1579000</v>
      </c>
      <c r="C323" t="n">
        <v>225000</v>
      </c>
    </row>
    <row r="324">
      <c r="A324" s="78" t="n">
        <v>26733</v>
      </c>
      <c r="B324" t="n">
        <v>1584000</v>
      </c>
      <c r="C324" t="n">
        <v>229000</v>
      </c>
    </row>
    <row r="325">
      <c r="A325" s="78" t="n">
        <v>26740</v>
      </c>
      <c r="B325" t="n">
        <v>1578000</v>
      </c>
      <c r="C325" t="n">
        <v>228000</v>
      </c>
    </row>
    <row r="326">
      <c r="A326" s="78" t="n">
        <v>26747</v>
      </c>
      <c r="B326" t="n">
        <v>1562000</v>
      </c>
      <c r="C326" t="n">
        <v>232000</v>
      </c>
    </row>
    <row r="327">
      <c r="A327" s="78" t="n">
        <v>26754</v>
      </c>
      <c r="B327" t="n">
        <v>1547000</v>
      </c>
      <c r="C327" t="n">
        <v>222000</v>
      </c>
    </row>
    <row r="328">
      <c r="A328" s="78" t="n">
        <v>26761</v>
      </c>
      <c r="B328" t="n">
        <v>1552000</v>
      </c>
      <c r="C328" t="n">
        <v>247000</v>
      </c>
    </row>
    <row r="329">
      <c r="A329" s="78" t="n">
        <v>26768</v>
      </c>
      <c r="B329" t="n">
        <v>1539000</v>
      </c>
      <c r="C329" t="n">
        <v>230000</v>
      </c>
    </row>
    <row r="330">
      <c r="A330" s="78" t="n">
        <v>26775</v>
      </c>
      <c r="B330" t="n">
        <v>1573000</v>
      </c>
      <c r="C330" t="n">
        <v>243000</v>
      </c>
    </row>
    <row r="331">
      <c r="A331" s="78" t="n">
        <v>26782</v>
      </c>
      <c r="B331" t="n">
        <v>1551000</v>
      </c>
      <c r="C331" t="n">
        <v>236000</v>
      </c>
    </row>
    <row r="332">
      <c r="A332" s="78" t="n">
        <v>26789</v>
      </c>
      <c r="B332" t="n">
        <v>1560000</v>
      </c>
      <c r="C332" t="n">
        <v>248000</v>
      </c>
    </row>
    <row r="333">
      <c r="A333" s="78" t="n">
        <v>26796</v>
      </c>
      <c r="B333" t="n">
        <v>1557000</v>
      </c>
      <c r="C333" t="n">
        <v>238000</v>
      </c>
    </row>
    <row r="334">
      <c r="A334" s="78" t="n">
        <v>26803</v>
      </c>
      <c r="B334" t="n">
        <v>1553000</v>
      </c>
      <c r="C334" t="n">
        <v>237000</v>
      </c>
    </row>
    <row r="335">
      <c r="A335" s="78" t="n">
        <v>26810</v>
      </c>
      <c r="B335" t="n">
        <v>1567000</v>
      </c>
      <c r="C335" t="n">
        <v>238000</v>
      </c>
    </row>
    <row r="336">
      <c r="A336" s="78" t="n">
        <v>26817</v>
      </c>
      <c r="B336" t="n">
        <v>1556000</v>
      </c>
      <c r="C336" t="n">
        <v>232000</v>
      </c>
    </row>
    <row r="337">
      <c r="A337" s="78" t="n">
        <v>26824</v>
      </c>
      <c r="B337" t="n">
        <v>1563000</v>
      </c>
      <c r="C337" t="n">
        <v>246000</v>
      </c>
    </row>
    <row r="338">
      <c r="A338" s="78" t="n">
        <v>26831</v>
      </c>
      <c r="B338" t="n">
        <v>1576000</v>
      </c>
      <c r="C338" t="n">
        <v>237000</v>
      </c>
    </row>
    <row r="339">
      <c r="A339" s="78" t="n">
        <v>26838</v>
      </c>
      <c r="B339" t="n">
        <v>1570000</v>
      </c>
      <c r="C339" t="n">
        <v>242000</v>
      </c>
    </row>
    <row r="340">
      <c r="A340" s="78" t="n">
        <v>26845</v>
      </c>
      <c r="B340" t="n">
        <v>1571000</v>
      </c>
      <c r="C340" t="n">
        <v>237000</v>
      </c>
    </row>
    <row r="341">
      <c r="A341" s="78" t="n">
        <v>26852</v>
      </c>
      <c r="B341" t="n">
        <v>1605000</v>
      </c>
      <c r="C341" t="n">
        <v>248000</v>
      </c>
    </row>
    <row r="342">
      <c r="A342" s="78" t="n">
        <v>26859</v>
      </c>
      <c r="B342" t="n">
        <v>1605000</v>
      </c>
      <c r="C342" t="n">
        <v>232000</v>
      </c>
    </row>
    <row r="343">
      <c r="A343" s="78" t="n">
        <v>26866</v>
      </c>
      <c r="B343" t="n">
        <v>1594000</v>
      </c>
      <c r="C343" t="n">
        <v>241000</v>
      </c>
    </row>
    <row r="344">
      <c r="A344" s="78" t="n">
        <v>26873</v>
      </c>
      <c r="B344" t="n">
        <v>1603000</v>
      </c>
      <c r="C344" t="n">
        <v>250000</v>
      </c>
    </row>
    <row r="345">
      <c r="A345" s="78" t="n">
        <v>26880</v>
      </c>
      <c r="B345" t="n">
        <v>1633000</v>
      </c>
      <c r="C345" t="n">
        <v>256000</v>
      </c>
    </row>
    <row r="346">
      <c r="A346" s="78" t="n">
        <v>26887</v>
      </c>
      <c r="B346" t="n">
        <v>1679000</v>
      </c>
      <c r="C346" t="n">
        <v>265000</v>
      </c>
    </row>
    <row r="347">
      <c r="A347" s="78" t="n">
        <v>26894</v>
      </c>
      <c r="B347" t="n">
        <v>1672000</v>
      </c>
      <c r="C347" t="n">
        <v>258000</v>
      </c>
    </row>
    <row r="348">
      <c r="A348" s="78" t="n">
        <v>26901</v>
      </c>
      <c r="B348" t="n">
        <v>1675000</v>
      </c>
      <c r="C348" t="n">
        <v>254000</v>
      </c>
    </row>
    <row r="349">
      <c r="A349" s="78" t="n">
        <v>26908</v>
      </c>
      <c r="B349" t="n">
        <v>1681000</v>
      </c>
      <c r="C349" t="n">
        <v>242000</v>
      </c>
    </row>
    <row r="350">
      <c r="A350" s="78" t="n">
        <v>26915</v>
      </c>
      <c r="B350" t="n">
        <v>1688000</v>
      </c>
      <c r="C350" t="n">
        <v>252000</v>
      </c>
    </row>
    <row r="351">
      <c r="A351" s="78" t="n">
        <v>26922</v>
      </c>
      <c r="B351" t="n">
        <v>1666000</v>
      </c>
      <c r="C351" t="n">
        <v>245000</v>
      </c>
    </row>
    <row r="352">
      <c r="A352" s="78" t="n">
        <v>26929</v>
      </c>
      <c r="B352" t="n">
        <v>1658000</v>
      </c>
      <c r="C352" t="n">
        <v>246000</v>
      </c>
    </row>
    <row r="353">
      <c r="A353" s="78" t="n">
        <v>26936</v>
      </c>
      <c r="B353" t="n">
        <v>1658000</v>
      </c>
      <c r="C353" t="n">
        <v>249000</v>
      </c>
    </row>
    <row r="354">
      <c r="A354" s="78" t="n">
        <v>26943</v>
      </c>
      <c r="B354" t="n">
        <v>1657000</v>
      </c>
      <c r="C354" t="n">
        <v>236000</v>
      </c>
    </row>
    <row r="355">
      <c r="A355" s="78" t="n">
        <v>26950</v>
      </c>
      <c r="B355" t="n">
        <v>1679000</v>
      </c>
      <c r="C355" t="n">
        <v>246000</v>
      </c>
    </row>
    <row r="356">
      <c r="A356" s="78" t="n">
        <v>26957</v>
      </c>
      <c r="B356" t="n">
        <v>1646000</v>
      </c>
      <c r="C356" t="n">
        <v>249000</v>
      </c>
    </row>
    <row r="357">
      <c r="A357" s="78" t="n">
        <v>26964</v>
      </c>
      <c r="B357" t="n">
        <v>1675000</v>
      </c>
      <c r="C357" t="n">
        <v>235000</v>
      </c>
    </row>
    <row r="358">
      <c r="A358" s="78" t="n">
        <v>26971</v>
      </c>
      <c r="B358" t="n">
        <v>1669000</v>
      </c>
      <c r="C358" t="n">
        <v>246000</v>
      </c>
    </row>
    <row r="359">
      <c r="A359" s="78" t="n">
        <v>26978</v>
      </c>
      <c r="B359" t="n">
        <v>1702000</v>
      </c>
      <c r="C359" t="n">
        <v>282000</v>
      </c>
    </row>
    <row r="360">
      <c r="A360" s="78" t="n">
        <v>26985</v>
      </c>
      <c r="B360" t="n">
        <v>1698000</v>
      </c>
      <c r="C360" t="n">
        <v>254000</v>
      </c>
    </row>
    <row r="361">
      <c r="A361" s="78" t="n">
        <v>26992</v>
      </c>
      <c r="B361" t="n">
        <v>1755000</v>
      </c>
      <c r="C361" t="n">
        <v>233000</v>
      </c>
    </row>
    <row r="362">
      <c r="A362" s="78" t="n">
        <v>26999</v>
      </c>
      <c r="B362" t="n">
        <v>1692000</v>
      </c>
      <c r="C362" t="n">
        <v>256000</v>
      </c>
    </row>
    <row r="363">
      <c r="A363" s="78" t="n">
        <v>27006</v>
      </c>
      <c r="B363" t="n">
        <v>1717000</v>
      </c>
      <c r="C363" t="n">
        <v>266000</v>
      </c>
    </row>
    <row r="364">
      <c r="A364" s="78" t="n">
        <v>27013</v>
      </c>
      <c r="B364" t="n">
        <v>1779000</v>
      </c>
      <c r="C364" t="n">
        <v>272000</v>
      </c>
    </row>
    <row r="365">
      <c r="A365" s="78" t="n">
        <v>27020</v>
      </c>
      <c r="B365" t="n">
        <v>1836000</v>
      </c>
      <c r="C365" t="n">
        <v>326000</v>
      </c>
    </row>
    <row r="366">
      <c r="A366" s="78" t="n">
        <v>27027</v>
      </c>
      <c r="B366" t="n">
        <v>1805000</v>
      </c>
      <c r="C366" t="n">
        <v>300000</v>
      </c>
    </row>
    <row r="367">
      <c r="A367" s="78" t="n">
        <v>27034</v>
      </c>
      <c r="B367" t="n">
        <v>1934000</v>
      </c>
      <c r="C367" t="n">
        <v>269000</v>
      </c>
    </row>
    <row r="368">
      <c r="A368" s="78" t="n">
        <v>27041</v>
      </c>
      <c r="B368" t="n">
        <v>1949000</v>
      </c>
      <c r="C368" t="n">
        <v>340000</v>
      </c>
    </row>
    <row r="369">
      <c r="A369" s="78" t="n">
        <v>27048</v>
      </c>
      <c r="B369" t="n">
        <v>1995000</v>
      </c>
      <c r="C369" t="n">
        <v>321000</v>
      </c>
    </row>
    <row r="370">
      <c r="A370" s="78" t="n">
        <v>27055</v>
      </c>
      <c r="B370" t="n">
        <v>1950000</v>
      </c>
      <c r="C370" t="n">
        <v>291000</v>
      </c>
    </row>
    <row r="371">
      <c r="A371" s="78" t="n">
        <v>27062</v>
      </c>
      <c r="B371" t="n">
        <v>1963000</v>
      </c>
      <c r="C371" t="n">
        <v>302000</v>
      </c>
    </row>
    <row r="372">
      <c r="A372" s="78" t="n">
        <v>27069</v>
      </c>
      <c r="B372" t="n">
        <v>2010000</v>
      </c>
      <c r="C372" t="n">
        <v>369000</v>
      </c>
    </row>
    <row r="373">
      <c r="A373" s="78" t="n">
        <v>27076</v>
      </c>
      <c r="B373" t="n">
        <v>2049000</v>
      </c>
      <c r="C373" t="n">
        <v>311000</v>
      </c>
    </row>
    <row r="374">
      <c r="A374" s="78" t="n">
        <v>27083</v>
      </c>
      <c r="B374" t="n">
        <v>2027000</v>
      </c>
      <c r="C374" t="n">
        <v>292000</v>
      </c>
    </row>
    <row r="375">
      <c r="A375" s="78" t="n">
        <v>27090</v>
      </c>
      <c r="B375" t="n">
        <v>2020000</v>
      </c>
      <c r="C375" t="n">
        <v>301000</v>
      </c>
    </row>
    <row r="376">
      <c r="A376" s="78" t="n">
        <v>27097</v>
      </c>
      <c r="B376" t="n">
        <v>2054000</v>
      </c>
      <c r="C376" t="n">
        <v>305000</v>
      </c>
    </row>
    <row r="377">
      <c r="A377" s="78" t="n">
        <v>27104</v>
      </c>
      <c r="B377" t="n">
        <v>2068000</v>
      </c>
      <c r="C377" t="n">
        <v>315000</v>
      </c>
    </row>
    <row r="378">
      <c r="A378" s="78" t="n">
        <v>27111</v>
      </c>
      <c r="B378" t="n">
        <v>2074000</v>
      </c>
      <c r="C378" t="n">
        <v>314000</v>
      </c>
    </row>
    <row r="379">
      <c r="A379" s="78" t="n">
        <v>27118</v>
      </c>
      <c r="B379" t="n">
        <v>2062000</v>
      </c>
      <c r="C379" t="n">
        <v>323000</v>
      </c>
    </row>
    <row r="380">
      <c r="A380" s="78" t="n">
        <v>27125</v>
      </c>
      <c r="B380" t="n">
        <v>2066000</v>
      </c>
      <c r="C380" t="n">
        <v>296000</v>
      </c>
    </row>
    <row r="381">
      <c r="A381" s="78" t="n">
        <v>27132</v>
      </c>
      <c r="B381" t="n">
        <v>2072000</v>
      </c>
      <c r="C381" t="n">
        <v>297000</v>
      </c>
    </row>
    <row r="382">
      <c r="A382" s="78" t="n">
        <v>27139</v>
      </c>
      <c r="B382" t="n">
        <v>2081000</v>
      </c>
      <c r="C382" t="n">
        <v>296000</v>
      </c>
    </row>
    <row r="383">
      <c r="A383" s="78" t="n">
        <v>27146</v>
      </c>
      <c r="B383" t="n">
        <v>2045000</v>
      </c>
      <c r="C383" t="n">
        <v>283000</v>
      </c>
    </row>
    <row r="384">
      <c r="A384" s="78" t="n">
        <v>27153</v>
      </c>
      <c r="B384" t="n">
        <v>2056000</v>
      </c>
      <c r="C384" t="n">
        <v>287000</v>
      </c>
    </row>
    <row r="385">
      <c r="A385" s="78" t="n">
        <v>27160</v>
      </c>
      <c r="B385" t="n">
        <v>2041000</v>
      </c>
      <c r="C385" t="n">
        <v>296000</v>
      </c>
    </row>
    <row r="386">
      <c r="A386" s="78" t="n">
        <v>27167</v>
      </c>
      <c r="B386" t="n">
        <v>2053000</v>
      </c>
      <c r="C386" t="n">
        <v>298000</v>
      </c>
    </row>
    <row r="387">
      <c r="A387" s="78" t="n">
        <v>27174</v>
      </c>
      <c r="B387" t="n">
        <v>2057000</v>
      </c>
      <c r="C387" t="n">
        <v>309000</v>
      </c>
    </row>
    <row r="388">
      <c r="A388" s="78" t="n">
        <v>27181</v>
      </c>
      <c r="B388" t="n">
        <v>2079000</v>
      </c>
      <c r="C388" t="n">
        <v>278000</v>
      </c>
    </row>
    <row r="389">
      <c r="A389" s="78" t="n">
        <v>27188</v>
      </c>
      <c r="B389" t="n">
        <v>2067000</v>
      </c>
      <c r="C389" t="n">
        <v>314000</v>
      </c>
    </row>
    <row r="390">
      <c r="A390" s="78" t="n">
        <v>27195</v>
      </c>
      <c r="B390" t="n">
        <v>2095000</v>
      </c>
      <c r="C390" t="n">
        <v>303000</v>
      </c>
    </row>
    <row r="391">
      <c r="A391" s="78" t="n">
        <v>27202</v>
      </c>
      <c r="B391" t="n">
        <v>2066000</v>
      </c>
      <c r="C391" t="n">
        <v>308000</v>
      </c>
    </row>
    <row r="392">
      <c r="A392" s="78" t="n">
        <v>27209</v>
      </c>
      <c r="B392" t="n">
        <v>2074000</v>
      </c>
      <c r="C392" t="n">
        <v>325000</v>
      </c>
    </row>
    <row r="393">
      <c r="A393" s="78" t="n">
        <v>27216</v>
      </c>
      <c r="B393" t="n">
        <v>2160000</v>
      </c>
      <c r="C393" t="n">
        <v>311000</v>
      </c>
    </row>
    <row r="394">
      <c r="A394" s="78" t="n">
        <v>27223</v>
      </c>
      <c r="B394" t="n">
        <v>2125000</v>
      </c>
      <c r="C394" t="n">
        <v>304000</v>
      </c>
    </row>
    <row r="395">
      <c r="A395" s="78" t="n">
        <v>27230</v>
      </c>
      <c r="B395" t="n">
        <v>2109000</v>
      </c>
      <c r="C395" t="n">
        <v>303000</v>
      </c>
    </row>
    <row r="396">
      <c r="A396" s="78" t="n">
        <v>27237</v>
      </c>
      <c r="B396" t="n">
        <v>2097000</v>
      </c>
      <c r="C396" t="n">
        <v>320000</v>
      </c>
    </row>
    <row r="397">
      <c r="A397" s="78" t="n">
        <v>27244</v>
      </c>
      <c r="B397" t="n">
        <v>2147000</v>
      </c>
      <c r="C397" t="n">
        <v>335000</v>
      </c>
    </row>
    <row r="398">
      <c r="A398" s="78" t="n">
        <v>27251</v>
      </c>
      <c r="B398" t="n">
        <v>2171000</v>
      </c>
      <c r="C398" t="n">
        <v>347000</v>
      </c>
    </row>
    <row r="399">
      <c r="A399" s="78" t="n">
        <v>27258</v>
      </c>
      <c r="B399" t="n">
        <v>2168000</v>
      </c>
      <c r="C399" t="n">
        <v>332000</v>
      </c>
    </row>
    <row r="400">
      <c r="A400" s="78" t="n">
        <v>27265</v>
      </c>
      <c r="B400" t="n">
        <v>2172000</v>
      </c>
      <c r="C400" t="n">
        <v>343000</v>
      </c>
    </row>
    <row r="401">
      <c r="A401" s="78" t="n">
        <v>27272</v>
      </c>
      <c r="B401" t="n">
        <v>2211000</v>
      </c>
      <c r="C401" t="n">
        <v>350000</v>
      </c>
    </row>
    <row r="402">
      <c r="A402" s="78" t="n">
        <v>27279</v>
      </c>
      <c r="B402" t="n">
        <v>2265000</v>
      </c>
      <c r="C402" t="n">
        <v>350000</v>
      </c>
    </row>
    <row r="403">
      <c r="A403" s="78" t="n">
        <v>27286</v>
      </c>
      <c r="B403" t="n">
        <v>2274000</v>
      </c>
      <c r="C403" t="n">
        <v>357000</v>
      </c>
    </row>
    <row r="404">
      <c r="A404" s="78" t="n">
        <v>27293</v>
      </c>
      <c r="B404" t="n">
        <v>2273000</v>
      </c>
      <c r="C404" t="n">
        <v>370000</v>
      </c>
    </row>
    <row r="405">
      <c r="A405" s="78" t="n">
        <v>27300</v>
      </c>
      <c r="B405" t="n">
        <v>2306000</v>
      </c>
      <c r="C405" t="n">
        <v>366000</v>
      </c>
    </row>
    <row r="406">
      <c r="A406" s="78" t="n">
        <v>27307</v>
      </c>
      <c r="B406" t="n">
        <v>2360000</v>
      </c>
      <c r="C406" t="n">
        <v>371000</v>
      </c>
    </row>
    <row r="407">
      <c r="A407" s="78" t="n">
        <v>27314</v>
      </c>
      <c r="B407" t="n">
        <v>2396000</v>
      </c>
      <c r="C407" t="n">
        <v>413000</v>
      </c>
    </row>
    <row r="408">
      <c r="A408" s="78" t="n">
        <v>27321</v>
      </c>
      <c r="B408" t="n">
        <v>2519000</v>
      </c>
      <c r="C408" t="n">
        <v>389000</v>
      </c>
    </row>
    <row r="409">
      <c r="A409" s="78" t="n">
        <v>27328</v>
      </c>
      <c r="B409" t="n">
        <v>2520000</v>
      </c>
      <c r="C409" t="n">
        <v>414000</v>
      </c>
    </row>
    <row r="410">
      <c r="A410" s="78" t="n">
        <v>27335</v>
      </c>
      <c r="B410" t="n">
        <v>2623000</v>
      </c>
      <c r="C410" t="n">
        <v>406000</v>
      </c>
    </row>
    <row r="411">
      <c r="A411" s="78" t="n">
        <v>27342</v>
      </c>
      <c r="B411" t="n">
        <v>2699000</v>
      </c>
      <c r="C411" t="n">
        <v>441000</v>
      </c>
    </row>
    <row r="412">
      <c r="A412" s="78" t="n">
        <v>27349</v>
      </c>
      <c r="B412" t="n">
        <v>2862000</v>
      </c>
      <c r="C412" t="n">
        <v>449000</v>
      </c>
    </row>
    <row r="413">
      <c r="A413" s="78" t="n">
        <v>27356</v>
      </c>
      <c r="B413" t="n">
        <v>2748000</v>
      </c>
      <c r="C413" t="n">
        <v>518000</v>
      </c>
    </row>
    <row r="414">
      <c r="A414" s="78" t="n">
        <v>27363</v>
      </c>
      <c r="B414" t="n">
        <v>3086000</v>
      </c>
      <c r="C414" t="n">
        <v>474000</v>
      </c>
    </row>
    <row r="415">
      <c r="A415" s="78" t="n">
        <v>27370</v>
      </c>
      <c r="B415" t="n">
        <v>3178000</v>
      </c>
      <c r="C415" t="n">
        <v>528000</v>
      </c>
    </row>
    <row r="416">
      <c r="A416" s="78" t="n">
        <v>27377</v>
      </c>
      <c r="B416" t="n">
        <v>3291000</v>
      </c>
      <c r="C416" t="n">
        <v>510000</v>
      </c>
    </row>
    <row r="417">
      <c r="A417" s="78" t="n">
        <v>27384</v>
      </c>
      <c r="B417" t="n">
        <v>3300000</v>
      </c>
      <c r="C417" t="n">
        <v>521000</v>
      </c>
    </row>
    <row r="418">
      <c r="A418" s="78" t="n">
        <v>27391</v>
      </c>
      <c r="B418" t="n">
        <v>3396000</v>
      </c>
      <c r="C418" t="n">
        <v>537000</v>
      </c>
    </row>
    <row r="419">
      <c r="A419" s="78" t="n">
        <v>27398</v>
      </c>
      <c r="B419" t="n">
        <v>3554000</v>
      </c>
      <c r="C419" t="n">
        <v>456000</v>
      </c>
    </row>
    <row r="420">
      <c r="A420" s="78" t="n">
        <v>27405</v>
      </c>
      <c r="B420" t="n">
        <v>3557000</v>
      </c>
      <c r="C420" t="n">
        <v>554000</v>
      </c>
    </row>
    <row r="421">
      <c r="A421" s="78" t="n">
        <v>27412</v>
      </c>
      <c r="B421" t="n">
        <v>3658000</v>
      </c>
      <c r="C421" t="n">
        <v>575000</v>
      </c>
    </row>
    <row r="422">
      <c r="A422" s="78" t="n">
        <v>27419</v>
      </c>
      <c r="B422" t="n">
        <v>3708000</v>
      </c>
      <c r="C422" t="n">
        <v>555000</v>
      </c>
    </row>
    <row r="423">
      <c r="A423" s="78" t="n">
        <v>27426</v>
      </c>
      <c r="B423" t="n">
        <v>3738000</v>
      </c>
      <c r="C423" t="n">
        <v>559000</v>
      </c>
    </row>
    <row r="424">
      <c r="A424" s="78" t="n">
        <v>27433</v>
      </c>
      <c r="B424" t="n">
        <v>3856000</v>
      </c>
      <c r="C424" t="n">
        <v>545000</v>
      </c>
    </row>
    <row r="425">
      <c r="A425" s="78" t="n">
        <v>27440</v>
      </c>
      <c r="B425" t="n">
        <v>3863000</v>
      </c>
      <c r="C425" t="n">
        <v>530000</v>
      </c>
    </row>
    <row r="426">
      <c r="A426" s="78" t="n">
        <v>27447</v>
      </c>
      <c r="B426" t="n">
        <v>3969000</v>
      </c>
      <c r="C426" t="n">
        <v>544000</v>
      </c>
    </row>
    <row r="427">
      <c r="A427" s="78" t="n">
        <v>27454</v>
      </c>
      <c r="B427" t="n">
        <v>4023000</v>
      </c>
      <c r="C427" t="n">
        <v>546000</v>
      </c>
    </row>
    <row r="428">
      <c r="A428" s="78" t="n">
        <v>27461</v>
      </c>
      <c r="B428" t="n">
        <v>4147000</v>
      </c>
      <c r="C428" t="n">
        <v>551000</v>
      </c>
    </row>
    <row r="429">
      <c r="A429" s="78" t="n">
        <v>27468</v>
      </c>
      <c r="B429" t="n">
        <v>4195000</v>
      </c>
      <c r="C429" t="n">
        <v>531000</v>
      </c>
    </row>
    <row r="430">
      <c r="A430" s="78" t="n">
        <v>27475</v>
      </c>
      <c r="B430" t="n">
        <v>4201000</v>
      </c>
      <c r="C430" t="n">
        <v>550000</v>
      </c>
    </row>
    <row r="431">
      <c r="A431" s="78" t="n">
        <v>27482</v>
      </c>
      <c r="B431" t="n">
        <v>4310000</v>
      </c>
      <c r="C431" t="n">
        <v>555000</v>
      </c>
    </row>
    <row r="432">
      <c r="A432" s="78" t="n">
        <v>27489</v>
      </c>
      <c r="B432" t="n">
        <v>4428000</v>
      </c>
      <c r="C432" t="n">
        <v>537000</v>
      </c>
    </row>
    <row r="433">
      <c r="A433" s="78" t="n">
        <v>27496</v>
      </c>
      <c r="B433" t="n">
        <v>4449000</v>
      </c>
      <c r="C433" t="n">
        <v>520000</v>
      </c>
    </row>
    <row r="434">
      <c r="A434" s="78" t="n">
        <v>27503</v>
      </c>
      <c r="B434" t="n">
        <v>4497000</v>
      </c>
      <c r="C434" t="n">
        <v>531000</v>
      </c>
    </row>
    <row r="435">
      <c r="A435" s="78" t="n">
        <v>27510</v>
      </c>
      <c r="B435" t="n">
        <v>4520000</v>
      </c>
      <c r="C435" t="n">
        <v>513000</v>
      </c>
    </row>
    <row r="436">
      <c r="A436" s="78" t="n">
        <v>27517</v>
      </c>
      <c r="B436" t="n">
        <v>4604000</v>
      </c>
      <c r="C436" t="n">
        <v>505000</v>
      </c>
    </row>
    <row r="437">
      <c r="A437" s="78" t="n">
        <v>27524</v>
      </c>
      <c r="B437" t="n">
        <v>4597000</v>
      </c>
      <c r="C437" t="n">
        <v>507000</v>
      </c>
    </row>
    <row r="438">
      <c r="A438" s="78" t="n">
        <v>27531</v>
      </c>
      <c r="B438" t="n">
        <v>4592000</v>
      </c>
      <c r="C438" t="n">
        <v>514000</v>
      </c>
    </row>
    <row r="439">
      <c r="A439" s="78" t="n">
        <v>27538</v>
      </c>
      <c r="B439" t="n">
        <v>4461000</v>
      </c>
      <c r="C439" t="n">
        <v>493000</v>
      </c>
    </row>
    <row r="440">
      <c r="A440" s="78" t="n">
        <v>27545</v>
      </c>
      <c r="B440" t="n">
        <v>4637000</v>
      </c>
      <c r="C440" t="n">
        <v>475000</v>
      </c>
    </row>
    <row r="441">
      <c r="A441" s="78" t="n">
        <v>27552</v>
      </c>
      <c r="B441" t="n">
        <v>4484000</v>
      </c>
      <c r="C441" t="n">
        <v>529000</v>
      </c>
    </row>
    <row r="442">
      <c r="A442" s="78" t="n">
        <v>27559</v>
      </c>
      <c r="B442" t="n">
        <v>4529000</v>
      </c>
      <c r="C442" t="n">
        <v>497000</v>
      </c>
    </row>
    <row r="443">
      <c r="A443" s="78" t="n">
        <v>27566</v>
      </c>
      <c r="B443" t="n">
        <v>4406000</v>
      </c>
      <c r="C443" t="n">
        <v>497000</v>
      </c>
    </row>
    <row r="444">
      <c r="A444" s="78" t="n">
        <v>27573</v>
      </c>
      <c r="B444" t="n">
        <v>4090000</v>
      </c>
      <c r="C444" t="n">
        <v>459000</v>
      </c>
    </row>
    <row r="445">
      <c r="A445" s="78" t="n">
        <v>27580</v>
      </c>
      <c r="B445" t="n">
        <v>4239000</v>
      </c>
      <c r="C445" t="n">
        <v>423000</v>
      </c>
    </row>
    <row r="446">
      <c r="A446" s="78" t="n">
        <v>27587</v>
      </c>
      <c r="B446" t="n">
        <v>4057000</v>
      </c>
      <c r="C446" t="n">
        <v>446000</v>
      </c>
    </row>
    <row r="447">
      <c r="A447" s="78" t="n">
        <v>27594</v>
      </c>
      <c r="B447" t="n">
        <v>4208000</v>
      </c>
      <c r="C447" t="n">
        <v>445000</v>
      </c>
    </row>
    <row r="448">
      <c r="A448" s="78" t="n">
        <v>27601</v>
      </c>
      <c r="B448" t="n">
        <v>4075000</v>
      </c>
      <c r="C448" t="n">
        <v>454000</v>
      </c>
    </row>
    <row r="449">
      <c r="A449" s="78" t="n">
        <v>27608</v>
      </c>
      <c r="B449" t="n">
        <v>4015000</v>
      </c>
      <c r="C449" t="n">
        <v>454000</v>
      </c>
    </row>
    <row r="450">
      <c r="A450" s="78" t="n">
        <v>27615</v>
      </c>
      <c r="B450" t="n">
        <v>4028000</v>
      </c>
      <c r="C450" t="n">
        <v>459000</v>
      </c>
    </row>
    <row r="451">
      <c r="A451" s="78" t="n">
        <v>27622</v>
      </c>
      <c r="B451" t="n">
        <v>3934000</v>
      </c>
      <c r="C451" t="n">
        <v>444000</v>
      </c>
    </row>
    <row r="452">
      <c r="A452" s="78" t="n">
        <v>27629</v>
      </c>
      <c r="B452" t="n">
        <v>3940000</v>
      </c>
      <c r="C452" t="n">
        <v>457000</v>
      </c>
    </row>
    <row r="453">
      <c r="A453" s="78" t="n">
        <v>27636</v>
      </c>
      <c r="B453" t="n">
        <v>3854000</v>
      </c>
      <c r="C453" t="n">
        <v>446000</v>
      </c>
    </row>
    <row r="454">
      <c r="A454" s="78" t="n">
        <v>27643</v>
      </c>
      <c r="B454" t="n">
        <v>3969000</v>
      </c>
      <c r="C454" t="n">
        <v>447000</v>
      </c>
    </row>
    <row r="455">
      <c r="A455" s="78" t="n">
        <v>27650</v>
      </c>
      <c r="B455" t="n">
        <v>3880000</v>
      </c>
      <c r="C455" t="n">
        <v>456000</v>
      </c>
    </row>
    <row r="456">
      <c r="A456" s="78" t="n">
        <v>27657</v>
      </c>
      <c r="B456" t="n">
        <v>3880000</v>
      </c>
      <c r="C456" t="n">
        <v>433000</v>
      </c>
    </row>
    <row r="457">
      <c r="A457" s="78" t="n">
        <v>27664</v>
      </c>
      <c r="B457" t="n">
        <v>3851000</v>
      </c>
      <c r="C457" t="n">
        <v>445000</v>
      </c>
    </row>
    <row r="458">
      <c r="A458" s="78" t="n">
        <v>27671</v>
      </c>
      <c r="B458" t="n">
        <v>3868000</v>
      </c>
      <c r="C458" t="n">
        <v>426000</v>
      </c>
    </row>
    <row r="459">
      <c r="A459" s="78" t="n">
        <v>27678</v>
      </c>
      <c r="B459" t="n">
        <v>3675000</v>
      </c>
      <c r="C459" t="n">
        <v>429000</v>
      </c>
    </row>
    <row r="460">
      <c r="A460" s="78" t="n">
        <v>27685</v>
      </c>
      <c r="B460" t="n">
        <v>3720000</v>
      </c>
      <c r="C460" t="n">
        <v>404000</v>
      </c>
    </row>
    <row r="461">
      <c r="A461" s="78" t="n">
        <v>27692</v>
      </c>
      <c r="B461" t="n">
        <v>3662000</v>
      </c>
      <c r="C461" t="n">
        <v>426000</v>
      </c>
    </row>
    <row r="462">
      <c r="A462" s="78" t="n">
        <v>27699</v>
      </c>
      <c r="B462" t="n">
        <v>3607000</v>
      </c>
      <c r="C462" t="n">
        <v>414000</v>
      </c>
    </row>
    <row r="463">
      <c r="A463" s="78" t="n">
        <v>27706</v>
      </c>
      <c r="B463" t="n">
        <v>3546000</v>
      </c>
      <c r="C463" t="n">
        <v>415000</v>
      </c>
    </row>
    <row r="464">
      <c r="A464" s="78" t="n">
        <v>27713</v>
      </c>
      <c r="B464" t="n">
        <v>3551000</v>
      </c>
      <c r="C464" t="n">
        <v>386000</v>
      </c>
    </row>
    <row r="465">
      <c r="A465" s="78" t="n">
        <v>27720</v>
      </c>
      <c r="B465" t="n">
        <v>3377000</v>
      </c>
      <c r="C465" t="n">
        <v>401000</v>
      </c>
    </row>
    <row r="466">
      <c r="A466" s="78" t="n">
        <v>27727</v>
      </c>
      <c r="B466" t="n">
        <v>3391000</v>
      </c>
      <c r="C466" t="n">
        <v>387000</v>
      </c>
    </row>
    <row r="467">
      <c r="A467" s="78" t="n">
        <v>27734</v>
      </c>
      <c r="B467" t="n">
        <v>3331000</v>
      </c>
      <c r="C467" t="n">
        <v>373000</v>
      </c>
    </row>
    <row r="468">
      <c r="A468" s="78" t="n">
        <v>27741</v>
      </c>
      <c r="B468" t="n">
        <v>3266000</v>
      </c>
      <c r="C468" t="n">
        <v>368000</v>
      </c>
    </row>
    <row r="469">
      <c r="A469" s="78" t="n">
        <v>27748</v>
      </c>
      <c r="B469" t="n">
        <v>3124000</v>
      </c>
      <c r="C469" t="n">
        <v>365000</v>
      </c>
    </row>
    <row r="470">
      <c r="A470" s="78" t="n">
        <v>27755</v>
      </c>
      <c r="B470" t="n">
        <v>3072000</v>
      </c>
      <c r="C470" t="n">
        <v>391000</v>
      </c>
    </row>
    <row r="471">
      <c r="A471" s="78" t="n">
        <v>27762</v>
      </c>
      <c r="B471" t="n">
        <v>3214000</v>
      </c>
      <c r="C471" t="n">
        <v>362000</v>
      </c>
    </row>
    <row r="472">
      <c r="A472" s="78" t="n">
        <v>27769</v>
      </c>
      <c r="B472" t="n">
        <v>3084000</v>
      </c>
      <c r="C472" t="n">
        <v>402000</v>
      </c>
    </row>
    <row r="473">
      <c r="A473" s="78" t="n">
        <v>27776</v>
      </c>
      <c r="B473" t="n">
        <v>3026000</v>
      </c>
      <c r="C473" t="n">
        <v>370000</v>
      </c>
    </row>
    <row r="474">
      <c r="A474" s="78" t="n">
        <v>27783</v>
      </c>
      <c r="B474" t="n">
        <v>2957000</v>
      </c>
      <c r="C474" t="n">
        <v>363000</v>
      </c>
    </row>
    <row r="475">
      <c r="A475" s="78" t="n">
        <v>27790</v>
      </c>
      <c r="B475" t="n">
        <v>2895000</v>
      </c>
      <c r="C475" t="n">
        <v>359000</v>
      </c>
    </row>
    <row r="476">
      <c r="A476" s="78" t="n">
        <v>27797</v>
      </c>
      <c r="B476" t="n">
        <v>2912000</v>
      </c>
      <c r="C476" t="n">
        <v>353000</v>
      </c>
    </row>
    <row r="477">
      <c r="A477" s="78" t="n">
        <v>27804</v>
      </c>
      <c r="B477" t="n">
        <v>2867000</v>
      </c>
      <c r="C477" t="n">
        <v>344000</v>
      </c>
    </row>
    <row r="478">
      <c r="A478" s="78" t="n">
        <v>27811</v>
      </c>
      <c r="B478" t="n">
        <v>2862000</v>
      </c>
      <c r="C478" t="n">
        <v>347000</v>
      </c>
    </row>
    <row r="479">
      <c r="A479" s="78" t="n">
        <v>27818</v>
      </c>
      <c r="B479" t="n">
        <v>2822000</v>
      </c>
      <c r="C479" t="n">
        <v>349000</v>
      </c>
    </row>
    <row r="480">
      <c r="A480" s="78" t="n">
        <v>27825</v>
      </c>
      <c r="B480" t="n">
        <v>2853000</v>
      </c>
      <c r="C480" t="n">
        <v>348000</v>
      </c>
    </row>
    <row r="481">
      <c r="A481" s="78" t="n">
        <v>27832</v>
      </c>
      <c r="B481" t="n">
        <v>2837000</v>
      </c>
      <c r="C481" t="n">
        <v>360000</v>
      </c>
    </row>
    <row r="482">
      <c r="A482" s="78" t="n">
        <v>27839</v>
      </c>
      <c r="B482" t="n">
        <v>2852000</v>
      </c>
      <c r="C482" t="n">
        <v>368000</v>
      </c>
    </row>
    <row r="483">
      <c r="A483" s="78" t="n">
        <v>27846</v>
      </c>
      <c r="B483" t="n">
        <v>2830000</v>
      </c>
      <c r="C483" t="n">
        <v>366000</v>
      </c>
    </row>
    <row r="484">
      <c r="A484" s="78" t="n">
        <v>27853</v>
      </c>
      <c r="B484" t="n">
        <v>2859000</v>
      </c>
      <c r="C484" t="n">
        <v>380000</v>
      </c>
    </row>
    <row r="485">
      <c r="A485" s="78" t="n">
        <v>27860</v>
      </c>
      <c r="B485" t="n">
        <v>2840000</v>
      </c>
      <c r="C485" t="n">
        <v>373000</v>
      </c>
    </row>
    <row r="486">
      <c r="A486" s="78" t="n">
        <v>27867</v>
      </c>
      <c r="B486" t="n">
        <v>2890000</v>
      </c>
      <c r="C486" t="n">
        <v>361000</v>
      </c>
    </row>
    <row r="487">
      <c r="A487" s="78" t="n">
        <v>27874</v>
      </c>
      <c r="B487" t="n">
        <v>2900000</v>
      </c>
      <c r="C487" t="n">
        <v>367000</v>
      </c>
    </row>
    <row r="488">
      <c r="A488" s="78" t="n">
        <v>27881</v>
      </c>
      <c r="B488" t="n">
        <v>2940000</v>
      </c>
      <c r="C488" t="n">
        <v>385000</v>
      </c>
    </row>
    <row r="489">
      <c r="A489" s="78" t="n">
        <v>27888</v>
      </c>
      <c r="B489" t="n">
        <v>2941000</v>
      </c>
      <c r="C489" t="n">
        <v>395000</v>
      </c>
    </row>
    <row r="490">
      <c r="A490" s="78" t="n">
        <v>27895</v>
      </c>
      <c r="B490" t="n">
        <v>2947000</v>
      </c>
      <c r="C490" t="n">
        <v>382000</v>
      </c>
    </row>
    <row r="491">
      <c r="A491" s="78" t="n">
        <v>27902</v>
      </c>
      <c r="B491" t="n">
        <v>2961000</v>
      </c>
      <c r="C491" t="n">
        <v>394000</v>
      </c>
    </row>
    <row r="492">
      <c r="A492" s="78" t="n">
        <v>27909</v>
      </c>
      <c r="B492" t="n">
        <v>2916000</v>
      </c>
      <c r="C492" t="n">
        <v>402000</v>
      </c>
    </row>
    <row r="493">
      <c r="A493" s="78" t="n">
        <v>27916</v>
      </c>
      <c r="B493" t="n">
        <v>2970000</v>
      </c>
      <c r="C493" t="n">
        <v>382000</v>
      </c>
    </row>
    <row r="494">
      <c r="A494" s="78" t="n">
        <v>27923</v>
      </c>
      <c r="B494" t="n">
        <v>2950000</v>
      </c>
      <c r="C494" t="n">
        <v>407000</v>
      </c>
    </row>
    <row r="495">
      <c r="A495" s="78" t="n">
        <v>27930</v>
      </c>
      <c r="B495" t="n">
        <v>3003000</v>
      </c>
      <c r="C495" t="n">
        <v>399000</v>
      </c>
    </row>
    <row r="496">
      <c r="A496" s="78" t="n">
        <v>27937</v>
      </c>
      <c r="B496" t="n">
        <v>3035000</v>
      </c>
      <c r="C496" t="n">
        <v>387000</v>
      </c>
    </row>
    <row r="497">
      <c r="A497" s="78" t="n">
        <v>27944</v>
      </c>
      <c r="B497" t="n">
        <v>2958000</v>
      </c>
      <c r="C497" t="n">
        <v>394000</v>
      </c>
    </row>
    <row r="498">
      <c r="A498" s="78" t="n">
        <v>27951</v>
      </c>
      <c r="B498" t="n">
        <v>2995000</v>
      </c>
      <c r="C498" t="n">
        <v>372000</v>
      </c>
    </row>
    <row r="499">
      <c r="A499" s="78" t="n">
        <v>27958</v>
      </c>
      <c r="B499" t="n">
        <v>3011000</v>
      </c>
      <c r="C499" t="n">
        <v>406000</v>
      </c>
    </row>
    <row r="500">
      <c r="A500" s="78" t="n">
        <v>27965</v>
      </c>
      <c r="B500" t="n">
        <v>3019000</v>
      </c>
      <c r="C500" t="n">
        <v>394000</v>
      </c>
    </row>
    <row r="501">
      <c r="A501" s="78" t="n">
        <v>27972</v>
      </c>
      <c r="B501" t="n">
        <v>2996000</v>
      </c>
      <c r="C501" t="n">
        <v>388000</v>
      </c>
    </row>
    <row r="502">
      <c r="A502" s="78" t="n">
        <v>27979</v>
      </c>
      <c r="B502" t="n">
        <v>3007000</v>
      </c>
      <c r="C502" t="n">
        <v>378000</v>
      </c>
    </row>
    <row r="503">
      <c r="A503" s="78" t="n">
        <v>27986</v>
      </c>
      <c r="B503" t="n">
        <v>2990000</v>
      </c>
      <c r="C503" t="n">
        <v>382000</v>
      </c>
    </row>
    <row r="504">
      <c r="A504" s="78" t="n">
        <v>27993</v>
      </c>
      <c r="B504" t="n">
        <v>2983000</v>
      </c>
      <c r="C504" t="n">
        <v>400000</v>
      </c>
    </row>
    <row r="505">
      <c r="A505" s="78" t="n">
        <v>28000</v>
      </c>
      <c r="B505" t="n">
        <v>3081000</v>
      </c>
      <c r="C505" t="n">
        <v>394000</v>
      </c>
    </row>
    <row r="506">
      <c r="A506" s="78" t="n">
        <v>28007</v>
      </c>
      <c r="B506" t="n">
        <v>2988000</v>
      </c>
      <c r="C506" t="n">
        <v>421000</v>
      </c>
    </row>
    <row r="507">
      <c r="A507" s="78" t="n">
        <v>28014</v>
      </c>
      <c r="B507" t="n">
        <v>3092000</v>
      </c>
      <c r="C507" t="n">
        <v>383000</v>
      </c>
    </row>
    <row r="508">
      <c r="A508" s="78" t="n">
        <v>28021</v>
      </c>
      <c r="B508" t="n">
        <v>3097000</v>
      </c>
      <c r="C508" t="n">
        <v>403000</v>
      </c>
    </row>
    <row r="509">
      <c r="A509" s="78" t="n">
        <v>28028</v>
      </c>
      <c r="B509" t="n">
        <v>3103000</v>
      </c>
      <c r="C509" t="n">
        <v>423000</v>
      </c>
    </row>
    <row r="510">
      <c r="A510" s="78" t="n">
        <v>28035</v>
      </c>
      <c r="B510" t="n">
        <v>3104000</v>
      </c>
      <c r="C510" t="n">
        <v>408000</v>
      </c>
    </row>
    <row r="511">
      <c r="A511" s="78" t="n">
        <v>28042</v>
      </c>
      <c r="B511" t="n">
        <v>3119000</v>
      </c>
      <c r="C511" t="n">
        <v>411000</v>
      </c>
    </row>
    <row r="512">
      <c r="A512" s="78" t="n">
        <v>28049</v>
      </c>
      <c r="B512" t="n">
        <v>3074000</v>
      </c>
      <c r="C512" t="n">
        <v>403000</v>
      </c>
    </row>
    <row r="513">
      <c r="A513" s="78" t="n">
        <v>28056</v>
      </c>
      <c r="B513" t="n">
        <v>3088000</v>
      </c>
      <c r="C513" t="n">
        <v>409000</v>
      </c>
    </row>
    <row r="514">
      <c r="A514" s="78" t="n">
        <v>28063</v>
      </c>
      <c r="B514" t="n">
        <v>3080000</v>
      </c>
      <c r="C514" t="n">
        <v>414000</v>
      </c>
    </row>
    <row r="515">
      <c r="A515" s="78" t="n">
        <v>28070</v>
      </c>
      <c r="B515" t="n">
        <v>3079000</v>
      </c>
      <c r="C515" t="n">
        <v>390000</v>
      </c>
    </row>
    <row r="516">
      <c r="A516" s="78" t="n">
        <v>28077</v>
      </c>
      <c r="B516" t="n">
        <v>3064000</v>
      </c>
      <c r="C516" t="n">
        <v>383000</v>
      </c>
    </row>
    <row r="517">
      <c r="A517" s="78" t="n">
        <v>28084</v>
      </c>
      <c r="B517" t="n">
        <v>3061000</v>
      </c>
      <c r="C517" t="n">
        <v>408000</v>
      </c>
    </row>
    <row r="518">
      <c r="A518" s="78" t="n">
        <v>28091</v>
      </c>
      <c r="B518" t="n">
        <v>3019000</v>
      </c>
      <c r="C518" t="n">
        <v>377000</v>
      </c>
    </row>
    <row r="519">
      <c r="A519" s="78" t="n">
        <v>28098</v>
      </c>
      <c r="B519" t="n">
        <v>2994000</v>
      </c>
      <c r="C519" t="n">
        <v>402000</v>
      </c>
    </row>
    <row r="520">
      <c r="A520" s="78" t="n">
        <v>28105</v>
      </c>
      <c r="B520" t="n">
        <v>2978000</v>
      </c>
      <c r="C520" t="n">
        <v>395000</v>
      </c>
    </row>
    <row r="521">
      <c r="A521" s="78" t="n">
        <v>28112</v>
      </c>
      <c r="B521" t="n">
        <v>2900000</v>
      </c>
      <c r="C521" t="n">
        <v>365000</v>
      </c>
    </row>
    <row r="522">
      <c r="A522" s="78" t="n">
        <v>28119</v>
      </c>
      <c r="B522" t="n">
        <v>2822000</v>
      </c>
      <c r="C522" t="n">
        <v>333000</v>
      </c>
    </row>
    <row r="523">
      <c r="A523" s="78" t="n">
        <v>28126</v>
      </c>
      <c r="B523" t="n">
        <v>2818000</v>
      </c>
      <c r="C523" t="n">
        <v>380000</v>
      </c>
    </row>
    <row r="524">
      <c r="A524" s="78" t="n">
        <v>28133</v>
      </c>
      <c r="B524" t="n">
        <v>2764000</v>
      </c>
      <c r="C524" t="n">
        <v>416000</v>
      </c>
    </row>
    <row r="525">
      <c r="A525" s="78" t="n">
        <v>28140</v>
      </c>
      <c r="B525" t="n">
        <v>2841000</v>
      </c>
      <c r="C525" t="n">
        <v>368000</v>
      </c>
    </row>
    <row r="526">
      <c r="A526" s="78" t="n">
        <v>28147</v>
      </c>
      <c r="B526" t="n">
        <v>2834000</v>
      </c>
      <c r="C526" t="n">
        <v>423000</v>
      </c>
    </row>
    <row r="527">
      <c r="A527" s="78" t="n">
        <v>28154</v>
      </c>
      <c r="B527" t="n">
        <v>2879000</v>
      </c>
      <c r="C527" t="n">
        <v>422000</v>
      </c>
    </row>
    <row r="528">
      <c r="A528" s="78" t="n">
        <v>28161</v>
      </c>
      <c r="B528" t="n">
        <v>2956000</v>
      </c>
      <c r="C528" t="n">
        <v>565000</v>
      </c>
    </row>
    <row r="529">
      <c r="A529" s="78" t="n">
        <v>28168</v>
      </c>
      <c r="B529" t="n">
        <v>2904000</v>
      </c>
      <c r="C529" t="n">
        <v>477000</v>
      </c>
    </row>
    <row r="530">
      <c r="A530" s="78" t="n">
        <v>28175</v>
      </c>
      <c r="B530" t="n">
        <v>2772000</v>
      </c>
      <c r="C530" t="n">
        <v>399000</v>
      </c>
    </row>
    <row r="531">
      <c r="A531" s="78" t="n">
        <v>28182</v>
      </c>
      <c r="B531" t="n">
        <v>2764000</v>
      </c>
      <c r="C531" t="n">
        <v>362000</v>
      </c>
    </row>
    <row r="532">
      <c r="A532" s="78" t="n">
        <v>28189</v>
      </c>
      <c r="B532" t="n">
        <v>2717000</v>
      </c>
      <c r="C532" t="n">
        <v>361000</v>
      </c>
    </row>
    <row r="533">
      <c r="A533" s="78" t="n">
        <v>28196</v>
      </c>
      <c r="B533" t="n">
        <v>2728000</v>
      </c>
      <c r="C533" t="n">
        <v>355000</v>
      </c>
    </row>
    <row r="534">
      <c r="A534" s="78" t="n">
        <v>28203</v>
      </c>
      <c r="B534" t="n">
        <v>2695000</v>
      </c>
      <c r="C534" t="n">
        <v>369000</v>
      </c>
    </row>
    <row r="535">
      <c r="A535" s="78" t="n">
        <v>28210</v>
      </c>
      <c r="B535" t="n">
        <v>2671000</v>
      </c>
      <c r="C535" t="n">
        <v>356000</v>
      </c>
    </row>
    <row r="536">
      <c r="A536" s="78" t="n">
        <v>28217</v>
      </c>
      <c r="B536" t="n">
        <v>2655000</v>
      </c>
      <c r="C536" t="n">
        <v>350000</v>
      </c>
    </row>
    <row r="537">
      <c r="A537" s="78" t="n">
        <v>28224</v>
      </c>
      <c r="B537" t="n">
        <v>2717000</v>
      </c>
      <c r="C537" t="n">
        <v>376000</v>
      </c>
    </row>
    <row r="538">
      <c r="A538" s="78" t="n">
        <v>28231</v>
      </c>
      <c r="B538" t="n">
        <v>2680000</v>
      </c>
      <c r="C538" t="n">
        <v>361000</v>
      </c>
    </row>
    <row r="539">
      <c r="A539" s="78" t="n">
        <v>28238</v>
      </c>
      <c r="B539" t="n">
        <v>2660000</v>
      </c>
      <c r="C539" t="n">
        <v>375000</v>
      </c>
    </row>
    <row r="540">
      <c r="A540" s="78" t="n">
        <v>28245</v>
      </c>
      <c r="B540" t="n">
        <v>2644000</v>
      </c>
      <c r="C540" t="n">
        <v>375000</v>
      </c>
    </row>
    <row r="541">
      <c r="A541" s="78" t="n">
        <v>28252</v>
      </c>
      <c r="B541" t="n">
        <v>2618000</v>
      </c>
      <c r="C541" t="n">
        <v>384000</v>
      </c>
    </row>
    <row r="542">
      <c r="A542" s="78" t="n">
        <v>28259</v>
      </c>
      <c r="B542" t="n">
        <v>2635000</v>
      </c>
      <c r="C542" t="n">
        <v>381000</v>
      </c>
    </row>
    <row r="543">
      <c r="A543" s="78" t="n">
        <v>28266</v>
      </c>
      <c r="B543" t="n">
        <v>2647000</v>
      </c>
      <c r="C543" t="n">
        <v>375000</v>
      </c>
    </row>
    <row r="544">
      <c r="A544" s="78" t="n">
        <v>28273</v>
      </c>
      <c r="B544" t="n">
        <v>2625000</v>
      </c>
      <c r="C544" t="n">
        <v>381000</v>
      </c>
    </row>
    <row r="545">
      <c r="A545" s="78" t="n">
        <v>28280</v>
      </c>
      <c r="B545" t="n">
        <v>2650000</v>
      </c>
      <c r="C545" t="n">
        <v>363000</v>
      </c>
    </row>
    <row r="546">
      <c r="A546" s="78" t="n">
        <v>28287</v>
      </c>
      <c r="B546" t="n">
        <v>2589000</v>
      </c>
      <c r="C546" t="n">
        <v>358000</v>
      </c>
    </row>
    <row r="547">
      <c r="A547" s="78" t="n">
        <v>28294</v>
      </c>
      <c r="B547" t="n">
        <v>2622000</v>
      </c>
      <c r="C547" t="n">
        <v>359000</v>
      </c>
    </row>
    <row r="548">
      <c r="A548" s="78" t="n">
        <v>28301</v>
      </c>
      <c r="B548" t="n">
        <v>2616000</v>
      </c>
      <c r="C548" t="n">
        <v>365000</v>
      </c>
    </row>
    <row r="549">
      <c r="A549" s="78" t="n">
        <v>28308</v>
      </c>
      <c r="B549" t="n">
        <v>2572000</v>
      </c>
      <c r="C549" t="n">
        <v>350000</v>
      </c>
    </row>
    <row r="550">
      <c r="A550" s="78" t="n">
        <v>28315</v>
      </c>
      <c r="B550" t="n">
        <v>2563000</v>
      </c>
      <c r="C550" t="n">
        <v>361000</v>
      </c>
    </row>
    <row r="551">
      <c r="A551" s="78" t="n">
        <v>28322</v>
      </c>
      <c r="B551" t="n">
        <v>2591000</v>
      </c>
      <c r="C551" t="n">
        <v>366000</v>
      </c>
    </row>
    <row r="552">
      <c r="A552" s="78" t="n">
        <v>28329</v>
      </c>
      <c r="B552" t="n">
        <v>2584000</v>
      </c>
      <c r="C552" t="n">
        <v>365000</v>
      </c>
    </row>
    <row r="553">
      <c r="A553" s="78" t="n">
        <v>28336</v>
      </c>
      <c r="B553" t="n">
        <v>2605000</v>
      </c>
      <c r="C553" t="n">
        <v>365000</v>
      </c>
    </row>
    <row r="554">
      <c r="A554" s="78" t="n">
        <v>28343</v>
      </c>
      <c r="B554" t="n">
        <v>2605000</v>
      </c>
      <c r="C554" t="n">
        <v>378000</v>
      </c>
    </row>
    <row r="555">
      <c r="A555" s="78" t="n">
        <v>28350</v>
      </c>
      <c r="B555" t="n">
        <v>2618000</v>
      </c>
      <c r="C555" t="n">
        <v>359000</v>
      </c>
    </row>
    <row r="556">
      <c r="A556" s="78" t="n">
        <v>28357</v>
      </c>
      <c r="B556" t="n">
        <v>2612000</v>
      </c>
      <c r="C556" t="n">
        <v>367000</v>
      </c>
    </row>
    <row r="557">
      <c r="A557" s="78" t="n">
        <v>28364</v>
      </c>
      <c r="B557" t="n">
        <v>2607000</v>
      </c>
      <c r="C557" t="n">
        <v>365000</v>
      </c>
    </row>
    <row r="558">
      <c r="A558" s="78" t="n">
        <v>28371</v>
      </c>
      <c r="B558" t="n">
        <v>2571000</v>
      </c>
      <c r="C558" t="n">
        <v>374000</v>
      </c>
    </row>
    <row r="559">
      <c r="A559" s="78" t="n">
        <v>28378</v>
      </c>
      <c r="B559" t="n">
        <v>2601000</v>
      </c>
      <c r="C559" t="n">
        <v>359000</v>
      </c>
    </row>
    <row r="560">
      <c r="A560" s="78" t="n">
        <v>28385</v>
      </c>
      <c r="B560" t="n">
        <v>2605000</v>
      </c>
      <c r="C560" t="n">
        <v>362000</v>
      </c>
    </row>
    <row r="561">
      <c r="A561" s="78" t="n">
        <v>28392</v>
      </c>
      <c r="B561" t="n">
        <v>2581000</v>
      </c>
      <c r="C561" t="n">
        <v>380000</v>
      </c>
    </row>
    <row r="562">
      <c r="A562" s="78" t="n">
        <v>28399</v>
      </c>
      <c r="B562" t="n">
        <v>2583000</v>
      </c>
      <c r="C562" t="n">
        <v>348000</v>
      </c>
    </row>
    <row r="563">
      <c r="A563" s="78" t="n">
        <v>28406</v>
      </c>
      <c r="B563" t="n">
        <v>2575000</v>
      </c>
      <c r="C563" t="n">
        <v>365000</v>
      </c>
    </row>
    <row r="564">
      <c r="A564" s="78" t="n">
        <v>28413</v>
      </c>
      <c r="B564" t="n">
        <v>2575000</v>
      </c>
      <c r="C564" t="n">
        <v>358000</v>
      </c>
    </row>
    <row r="565">
      <c r="A565" s="78" t="n">
        <v>28420</v>
      </c>
      <c r="B565" t="n">
        <v>2561000</v>
      </c>
      <c r="C565" t="n">
        <v>375000</v>
      </c>
    </row>
    <row r="566">
      <c r="A566" s="78" t="n">
        <v>28427</v>
      </c>
      <c r="B566" t="n">
        <v>2587000</v>
      </c>
      <c r="C566" t="n">
        <v>349000</v>
      </c>
    </row>
    <row r="567">
      <c r="A567" s="78" t="n">
        <v>28434</v>
      </c>
      <c r="B567" t="n">
        <v>2535000</v>
      </c>
      <c r="C567" t="n">
        <v>366000</v>
      </c>
    </row>
    <row r="568">
      <c r="A568" s="78" t="n">
        <v>28441</v>
      </c>
      <c r="B568" t="n">
        <v>2592000</v>
      </c>
      <c r="C568" t="n">
        <v>334000</v>
      </c>
    </row>
    <row r="569">
      <c r="A569" s="78" t="n">
        <v>28448</v>
      </c>
      <c r="B569" t="n">
        <v>2527000</v>
      </c>
      <c r="C569" t="n">
        <v>360000</v>
      </c>
    </row>
    <row r="570">
      <c r="A570" s="78" t="n">
        <v>28455</v>
      </c>
      <c r="B570" t="n">
        <v>2620000</v>
      </c>
      <c r="C570" t="n">
        <v>354000</v>
      </c>
    </row>
    <row r="571">
      <c r="A571" s="78" t="n">
        <v>28462</v>
      </c>
      <c r="B571" t="n">
        <v>2505000</v>
      </c>
      <c r="C571" t="n">
        <v>367000</v>
      </c>
    </row>
    <row r="572">
      <c r="A572" s="78" t="n">
        <v>28469</v>
      </c>
      <c r="B572" t="n">
        <v>2529000</v>
      </c>
      <c r="C572" t="n">
        <v>364000</v>
      </c>
    </row>
    <row r="573">
      <c r="A573" s="78" t="n">
        <v>28476</v>
      </c>
      <c r="B573" t="n">
        <v>2558000</v>
      </c>
      <c r="C573" t="n">
        <v>359000</v>
      </c>
    </row>
    <row r="574">
      <c r="A574" s="78" t="n">
        <v>28483</v>
      </c>
      <c r="B574" t="n">
        <v>2482000</v>
      </c>
      <c r="C574" t="n">
        <v>344000</v>
      </c>
    </row>
    <row r="575">
      <c r="A575" s="78" t="n">
        <v>28490</v>
      </c>
      <c r="B575" t="n">
        <v>2461000</v>
      </c>
      <c r="C575" t="n">
        <v>364000</v>
      </c>
    </row>
    <row r="576">
      <c r="A576" s="78" t="n">
        <v>28497</v>
      </c>
      <c r="B576" t="n">
        <v>2456000</v>
      </c>
      <c r="C576" t="n">
        <v>346000</v>
      </c>
    </row>
    <row r="577">
      <c r="A577" s="78" t="n">
        <v>28504</v>
      </c>
      <c r="B577" t="n">
        <v>2418000</v>
      </c>
      <c r="C577" t="n">
        <v>343000</v>
      </c>
    </row>
    <row r="578">
      <c r="A578" s="78" t="n">
        <v>28511</v>
      </c>
      <c r="B578" t="n">
        <v>2522000</v>
      </c>
      <c r="C578" t="n">
        <v>352000</v>
      </c>
    </row>
    <row r="579">
      <c r="A579" s="78" t="n">
        <v>28518</v>
      </c>
      <c r="B579" t="n">
        <v>2578000</v>
      </c>
      <c r="C579" t="n">
        <v>363000</v>
      </c>
    </row>
    <row r="580">
      <c r="A580" s="78" t="n">
        <v>28525</v>
      </c>
      <c r="B580" t="n">
        <v>2468000</v>
      </c>
      <c r="C580" t="n">
        <v>360000</v>
      </c>
    </row>
    <row r="581">
      <c r="A581" s="78" t="n">
        <v>28532</v>
      </c>
      <c r="B581" t="n">
        <v>2656000</v>
      </c>
      <c r="C581" t="n">
        <v>373000</v>
      </c>
    </row>
    <row r="582">
      <c r="A582" s="78" t="n">
        <v>28539</v>
      </c>
      <c r="B582" t="n">
        <v>2545000</v>
      </c>
      <c r="C582" t="n">
        <v>429000</v>
      </c>
    </row>
    <row r="583">
      <c r="A583" s="78" t="n">
        <v>28546</v>
      </c>
      <c r="B583" t="n">
        <v>2553000</v>
      </c>
      <c r="C583" t="n">
        <v>371000</v>
      </c>
    </row>
    <row r="584">
      <c r="A584" s="78" t="n">
        <v>28553</v>
      </c>
      <c r="B584" t="n">
        <v>2529000</v>
      </c>
      <c r="C584" t="n">
        <v>355000</v>
      </c>
    </row>
    <row r="585">
      <c r="A585" s="78" t="n">
        <v>28560</v>
      </c>
      <c r="B585" t="n">
        <v>2526000</v>
      </c>
      <c r="C585" t="n">
        <v>359000</v>
      </c>
    </row>
    <row r="586">
      <c r="A586" s="78" t="n">
        <v>28567</v>
      </c>
      <c r="B586" t="n">
        <v>2471000</v>
      </c>
      <c r="C586" t="n">
        <v>347000</v>
      </c>
    </row>
    <row r="587">
      <c r="A587" s="78" t="n">
        <v>28574</v>
      </c>
      <c r="B587" t="n">
        <v>2473000</v>
      </c>
      <c r="C587" t="n">
        <v>335000</v>
      </c>
    </row>
    <row r="588">
      <c r="A588" s="78" t="n">
        <v>28581</v>
      </c>
      <c r="B588" t="n">
        <v>2453000</v>
      </c>
      <c r="C588" t="n">
        <v>333000</v>
      </c>
    </row>
    <row r="589">
      <c r="A589" s="78" t="n">
        <v>28588</v>
      </c>
      <c r="B589" t="n">
        <v>2397000</v>
      </c>
      <c r="C589" t="n">
        <v>345000</v>
      </c>
    </row>
    <row r="590">
      <c r="A590" s="78" t="n">
        <v>28595</v>
      </c>
      <c r="B590" t="n">
        <v>2339000</v>
      </c>
      <c r="C590" t="n">
        <v>309000</v>
      </c>
    </row>
    <row r="591">
      <c r="A591" s="78" t="n">
        <v>28602</v>
      </c>
      <c r="B591" t="n">
        <v>2287000</v>
      </c>
      <c r="C591" t="n">
        <v>319000</v>
      </c>
    </row>
    <row r="592">
      <c r="A592" s="78" t="n">
        <v>28609</v>
      </c>
      <c r="B592" t="n">
        <v>2272000</v>
      </c>
      <c r="C592" t="n">
        <v>324000</v>
      </c>
    </row>
    <row r="593">
      <c r="A593" s="78" t="n">
        <v>28616</v>
      </c>
      <c r="B593" t="n">
        <v>2246000</v>
      </c>
      <c r="C593" t="n">
        <v>334000</v>
      </c>
    </row>
    <row r="594">
      <c r="A594" s="78" t="n">
        <v>28623</v>
      </c>
      <c r="B594" t="n">
        <v>2231000</v>
      </c>
      <c r="C594" t="n">
        <v>322000</v>
      </c>
    </row>
    <row r="595">
      <c r="A595" s="78" t="n">
        <v>28630</v>
      </c>
      <c r="B595" t="n">
        <v>2238000</v>
      </c>
      <c r="C595" t="n">
        <v>334000</v>
      </c>
    </row>
    <row r="596">
      <c r="A596" s="78" t="n">
        <v>28637</v>
      </c>
      <c r="B596" t="n">
        <v>2211000</v>
      </c>
      <c r="C596" t="n">
        <v>318000</v>
      </c>
    </row>
    <row r="597">
      <c r="A597" s="78" t="n">
        <v>28644</v>
      </c>
      <c r="B597" t="n">
        <v>2224000</v>
      </c>
      <c r="C597" t="n">
        <v>310000</v>
      </c>
    </row>
    <row r="598">
      <c r="A598" s="78" t="n">
        <v>28651</v>
      </c>
      <c r="B598" t="n">
        <v>2189000</v>
      </c>
      <c r="C598" t="n">
        <v>331000</v>
      </c>
    </row>
    <row r="599">
      <c r="A599" s="78" t="n">
        <v>28658</v>
      </c>
      <c r="B599" t="n">
        <v>2225000</v>
      </c>
      <c r="C599" t="n">
        <v>326000</v>
      </c>
    </row>
    <row r="600">
      <c r="A600" s="78" t="n">
        <v>28665</v>
      </c>
      <c r="B600" t="n">
        <v>2249000</v>
      </c>
      <c r="C600" t="n">
        <v>330000</v>
      </c>
    </row>
    <row r="601">
      <c r="A601" s="78" t="n">
        <v>28672</v>
      </c>
      <c r="B601" t="n">
        <v>2242000</v>
      </c>
      <c r="C601" t="n">
        <v>348000</v>
      </c>
    </row>
    <row r="602">
      <c r="A602" s="78" t="n">
        <v>28679</v>
      </c>
      <c r="B602" t="n">
        <v>2331000</v>
      </c>
      <c r="C602" t="n">
        <v>356000</v>
      </c>
    </row>
    <row r="603">
      <c r="A603" s="78" t="n">
        <v>28686</v>
      </c>
      <c r="B603" t="n">
        <v>2328000</v>
      </c>
      <c r="C603" t="n">
        <v>352000</v>
      </c>
    </row>
    <row r="604">
      <c r="A604" s="78" t="n">
        <v>28693</v>
      </c>
      <c r="B604" t="n">
        <v>2321000</v>
      </c>
      <c r="C604" t="n">
        <v>349000</v>
      </c>
    </row>
    <row r="605">
      <c r="A605" s="78" t="n">
        <v>28700</v>
      </c>
      <c r="B605" t="n">
        <v>2344000</v>
      </c>
      <c r="C605" t="n">
        <v>346000</v>
      </c>
    </row>
    <row r="606">
      <c r="A606" s="78" t="n">
        <v>28707</v>
      </c>
      <c r="B606" t="n">
        <v>2395000</v>
      </c>
      <c r="C606" t="n">
        <v>365000</v>
      </c>
    </row>
    <row r="607">
      <c r="A607" s="78" t="n">
        <v>28714</v>
      </c>
      <c r="B607" t="n">
        <v>2422000</v>
      </c>
      <c r="C607" t="n">
        <v>354000</v>
      </c>
    </row>
    <row r="608">
      <c r="A608" s="78" t="n">
        <v>28721</v>
      </c>
      <c r="B608" t="n">
        <v>2405000</v>
      </c>
      <c r="C608" t="n">
        <v>343000</v>
      </c>
    </row>
    <row r="609">
      <c r="A609" s="78" t="n">
        <v>28728</v>
      </c>
      <c r="B609" t="n">
        <v>2370000</v>
      </c>
      <c r="C609" t="n">
        <v>333000</v>
      </c>
    </row>
    <row r="610">
      <c r="A610" s="78" t="n">
        <v>28735</v>
      </c>
      <c r="B610" t="n">
        <v>2336000</v>
      </c>
      <c r="C610" t="n">
        <v>313000</v>
      </c>
    </row>
    <row r="611">
      <c r="A611" s="78" t="n">
        <v>28742</v>
      </c>
      <c r="B611" t="n">
        <v>2278000</v>
      </c>
      <c r="C611" t="n">
        <v>337000</v>
      </c>
    </row>
    <row r="612">
      <c r="A612" s="78" t="n">
        <v>28749</v>
      </c>
      <c r="B612" t="n">
        <v>2271000</v>
      </c>
      <c r="C612" t="n">
        <v>322000</v>
      </c>
    </row>
    <row r="613">
      <c r="A613" s="78" t="n">
        <v>28756</v>
      </c>
      <c r="B613" t="n">
        <v>2247000</v>
      </c>
      <c r="C613" t="n">
        <v>323000</v>
      </c>
    </row>
    <row r="614">
      <c r="A614" s="78" t="n">
        <v>28763</v>
      </c>
      <c r="B614" t="n">
        <v>2217000</v>
      </c>
      <c r="C614" t="n">
        <v>318000</v>
      </c>
    </row>
    <row r="615">
      <c r="A615" s="78" t="n">
        <v>28770</v>
      </c>
      <c r="B615" t="n">
        <v>2219000</v>
      </c>
      <c r="C615" t="n">
        <v>343000</v>
      </c>
    </row>
    <row r="616">
      <c r="A616" s="78" t="n">
        <v>28777</v>
      </c>
      <c r="B616" t="n">
        <v>2274000</v>
      </c>
      <c r="C616" t="n">
        <v>316000</v>
      </c>
    </row>
    <row r="617">
      <c r="A617" s="78" t="n">
        <v>28784</v>
      </c>
      <c r="B617" t="n">
        <v>2207000</v>
      </c>
      <c r="C617" t="n">
        <v>338000</v>
      </c>
    </row>
    <row r="618">
      <c r="A618" s="78" t="n">
        <v>28791</v>
      </c>
      <c r="B618" t="n">
        <v>2222000</v>
      </c>
      <c r="C618" t="n">
        <v>316000</v>
      </c>
    </row>
    <row r="619">
      <c r="A619" s="78" t="n">
        <v>28798</v>
      </c>
      <c r="B619" t="n">
        <v>2188000</v>
      </c>
      <c r="C619" t="n">
        <v>317000</v>
      </c>
    </row>
    <row r="620">
      <c r="A620" s="78" t="n">
        <v>28805</v>
      </c>
      <c r="B620" t="n">
        <v>2200000</v>
      </c>
      <c r="C620" t="n">
        <v>304000</v>
      </c>
    </row>
    <row r="621">
      <c r="A621" s="78" t="n">
        <v>28812</v>
      </c>
      <c r="B621" t="n">
        <v>2158000</v>
      </c>
      <c r="C621" t="n">
        <v>342000</v>
      </c>
    </row>
    <row r="622">
      <c r="A622" s="78" t="n">
        <v>28819</v>
      </c>
      <c r="B622" t="n">
        <v>2349000</v>
      </c>
      <c r="C622" t="n">
        <v>359000</v>
      </c>
    </row>
    <row r="623">
      <c r="A623" s="78" t="n">
        <v>28826</v>
      </c>
      <c r="B623" t="n">
        <v>2248000</v>
      </c>
      <c r="C623" t="n">
        <v>377000</v>
      </c>
    </row>
    <row r="624">
      <c r="A624" s="78" t="n">
        <v>28833</v>
      </c>
      <c r="B624" t="n">
        <v>2292000</v>
      </c>
      <c r="C624" t="n">
        <v>344000</v>
      </c>
    </row>
    <row r="625">
      <c r="A625" s="78" t="n">
        <v>28840</v>
      </c>
      <c r="B625" t="n">
        <v>2328000</v>
      </c>
      <c r="C625" t="n">
        <v>347000</v>
      </c>
    </row>
    <row r="626">
      <c r="A626" s="78" t="n">
        <v>28847</v>
      </c>
      <c r="B626" t="n">
        <v>2276000</v>
      </c>
      <c r="C626" t="n">
        <v>352000</v>
      </c>
    </row>
    <row r="627">
      <c r="A627" s="78" t="n">
        <v>28854</v>
      </c>
      <c r="B627" t="n">
        <v>2289000</v>
      </c>
      <c r="C627" t="n">
        <v>358000</v>
      </c>
    </row>
    <row r="628">
      <c r="A628" s="78" t="n">
        <v>28861</v>
      </c>
      <c r="B628" t="n">
        <v>2366000</v>
      </c>
      <c r="C628" t="n">
        <v>359000</v>
      </c>
    </row>
    <row r="629">
      <c r="A629" s="78" t="n">
        <v>28868</v>
      </c>
      <c r="B629" t="n">
        <v>2368000</v>
      </c>
      <c r="C629" t="n">
        <v>392000</v>
      </c>
    </row>
    <row r="630">
      <c r="A630" s="78" t="n">
        <v>28875</v>
      </c>
      <c r="B630" t="n">
        <v>2403000</v>
      </c>
      <c r="C630" t="n">
        <v>337000</v>
      </c>
    </row>
    <row r="631">
      <c r="A631" s="78" t="n">
        <v>28882</v>
      </c>
      <c r="B631" t="n">
        <v>2393000</v>
      </c>
      <c r="C631" t="n">
        <v>342000</v>
      </c>
    </row>
    <row r="632">
      <c r="A632" s="78" t="n">
        <v>28889</v>
      </c>
      <c r="B632" t="n">
        <v>2411000</v>
      </c>
      <c r="C632" t="n">
        <v>348000</v>
      </c>
    </row>
    <row r="633">
      <c r="A633" s="78" t="n">
        <v>28896</v>
      </c>
      <c r="B633" t="n">
        <v>2412000</v>
      </c>
      <c r="C633" t="n">
        <v>359000</v>
      </c>
    </row>
    <row r="634">
      <c r="A634" s="78" t="n">
        <v>28903</v>
      </c>
      <c r="B634" t="n">
        <v>2383000</v>
      </c>
      <c r="C634" t="n">
        <v>367000</v>
      </c>
    </row>
    <row r="635">
      <c r="A635" s="78" t="n">
        <v>28910</v>
      </c>
      <c r="B635" t="n">
        <v>2451000</v>
      </c>
      <c r="C635" t="n">
        <v>360000</v>
      </c>
    </row>
    <row r="636">
      <c r="A636" s="78" t="n">
        <v>28917</v>
      </c>
      <c r="B636" t="n">
        <v>2451000</v>
      </c>
      <c r="C636" t="n">
        <v>355000</v>
      </c>
    </row>
    <row r="637">
      <c r="A637" s="78" t="n">
        <v>28924</v>
      </c>
      <c r="B637" t="n">
        <v>2413000</v>
      </c>
      <c r="C637" t="n">
        <v>363000</v>
      </c>
    </row>
    <row r="638">
      <c r="A638" s="78" t="n">
        <v>28931</v>
      </c>
      <c r="B638" t="n">
        <v>2377000</v>
      </c>
      <c r="C638" t="n">
        <v>359000</v>
      </c>
    </row>
    <row r="639">
      <c r="A639" s="78" t="n">
        <v>28938</v>
      </c>
      <c r="B639" t="n">
        <v>2353000</v>
      </c>
      <c r="C639" t="n">
        <v>353000</v>
      </c>
    </row>
    <row r="640">
      <c r="A640" s="78" t="n">
        <v>28945</v>
      </c>
      <c r="B640" t="n">
        <v>2335000</v>
      </c>
      <c r="C640" t="n">
        <v>360000</v>
      </c>
    </row>
    <row r="641">
      <c r="A641" s="78" t="n">
        <v>28952</v>
      </c>
      <c r="B641" t="n">
        <v>2368000</v>
      </c>
      <c r="C641" t="n">
        <v>465000</v>
      </c>
    </row>
    <row r="642">
      <c r="A642" s="78" t="n">
        <v>28959</v>
      </c>
      <c r="B642" t="n">
        <v>2467000</v>
      </c>
      <c r="C642" t="n">
        <v>457000</v>
      </c>
    </row>
    <row r="643">
      <c r="A643" s="78" t="n">
        <v>28966</v>
      </c>
      <c r="B643" t="n">
        <v>2408000</v>
      </c>
      <c r="C643" t="n">
        <v>383000</v>
      </c>
    </row>
    <row r="644">
      <c r="A644" s="78" t="n">
        <v>28973</v>
      </c>
      <c r="B644" t="n">
        <v>2351000</v>
      </c>
      <c r="C644" t="n">
        <v>357000</v>
      </c>
    </row>
    <row r="645">
      <c r="A645" s="78" t="n">
        <v>28980</v>
      </c>
      <c r="B645" t="n">
        <v>2292000</v>
      </c>
      <c r="C645" t="n">
        <v>353000</v>
      </c>
    </row>
    <row r="646">
      <c r="A646" s="78" t="n">
        <v>28987</v>
      </c>
      <c r="B646" t="n">
        <v>2261000</v>
      </c>
      <c r="C646" t="n">
        <v>344000</v>
      </c>
    </row>
    <row r="647">
      <c r="A647" s="78" t="n">
        <v>28994</v>
      </c>
      <c r="B647" t="n">
        <v>2238000</v>
      </c>
      <c r="C647" t="n">
        <v>346000</v>
      </c>
    </row>
    <row r="648">
      <c r="A648" s="78" t="n">
        <v>29001</v>
      </c>
      <c r="B648" t="n">
        <v>2246000</v>
      </c>
      <c r="C648" t="n">
        <v>349000</v>
      </c>
    </row>
    <row r="649">
      <c r="A649" s="78" t="n">
        <v>29008</v>
      </c>
      <c r="B649" t="n">
        <v>2260000</v>
      </c>
      <c r="C649" t="n">
        <v>336000</v>
      </c>
    </row>
    <row r="650">
      <c r="A650" s="78" t="n">
        <v>29015</v>
      </c>
      <c r="B650" t="n">
        <v>2207000</v>
      </c>
      <c r="C650" t="n">
        <v>365000</v>
      </c>
    </row>
    <row r="651">
      <c r="A651" s="78" t="n">
        <v>29022</v>
      </c>
      <c r="B651" t="n">
        <v>2234000</v>
      </c>
      <c r="C651" t="n">
        <v>351000</v>
      </c>
    </row>
    <row r="652">
      <c r="A652" s="78" t="n">
        <v>29029</v>
      </c>
      <c r="B652" t="n">
        <v>2275000</v>
      </c>
      <c r="C652" t="n">
        <v>379000</v>
      </c>
    </row>
    <row r="653">
      <c r="A653" s="78" t="n">
        <v>29036</v>
      </c>
      <c r="B653" t="n">
        <v>2282000</v>
      </c>
      <c r="C653" t="n">
        <v>369000</v>
      </c>
    </row>
    <row r="654">
      <c r="A654" s="78" t="n">
        <v>29043</v>
      </c>
      <c r="B654" t="n">
        <v>2368000</v>
      </c>
      <c r="C654" t="n">
        <v>368000</v>
      </c>
    </row>
    <row r="655">
      <c r="A655" s="78" t="n">
        <v>29050</v>
      </c>
      <c r="B655" t="n">
        <v>2356000</v>
      </c>
      <c r="C655" t="n">
        <v>368000</v>
      </c>
    </row>
    <row r="656">
      <c r="A656" s="78" t="n">
        <v>29057</v>
      </c>
      <c r="B656" t="n">
        <v>2335000</v>
      </c>
      <c r="C656" t="n">
        <v>395000</v>
      </c>
    </row>
    <row r="657">
      <c r="A657" s="78" t="n">
        <v>29064</v>
      </c>
      <c r="B657" t="n">
        <v>2375000</v>
      </c>
      <c r="C657" t="n">
        <v>386000</v>
      </c>
    </row>
    <row r="658">
      <c r="A658" s="78" t="n">
        <v>29071</v>
      </c>
      <c r="B658" t="n">
        <v>2422000</v>
      </c>
      <c r="C658" t="n">
        <v>412000</v>
      </c>
    </row>
    <row r="659">
      <c r="A659" s="78" t="n">
        <v>29078</v>
      </c>
      <c r="B659" t="n">
        <v>2466000</v>
      </c>
      <c r="C659" t="n">
        <v>386000</v>
      </c>
    </row>
    <row r="660">
      <c r="A660" s="78" t="n">
        <v>29085</v>
      </c>
      <c r="B660" t="n">
        <v>2474000</v>
      </c>
      <c r="C660" t="n">
        <v>387000</v>
      </c>
    </row>
    <row r="661">
      <c r="A661" s="78" t="n">
        <v>29092</v>
      </c>
      <c r="B661" t="n">
        <v>2471000</v>
      </c>
      <c r="C661" t="n">
        <v>390000</v>
      </c>
    </row>
    <row r="662">
      <c r="A662" s="78" t="n">
        <v>29099</v>
      </c>
      <c r="B662" t="n">
        <v>2448000</v>
      </c>
      <c r="C662" t="n">
        <v>389000</v>
      </c>
    </row>
    <row r="663">
      <c r="A663" s="78" t="n">
        <v>29106</v>
      </c>
      <c r="B663" t="n">
        <v>2432000</v>
      </c>
      <c r="C663" t="n">
        <v>378000</v>
      </c>
    </row>
    <row r="664">
      <c r="A664" s="78" t="n">
        <v>29113</v>
      </c>
      <c r="B664" t="n">
        <v>2431000</v>
      </c>
      <c r="C664" t="n">
        <v>384000</v>
      </c>
    </row>
    <row r="665">
      <c r="A665" s="78" t="n">
        <v>29120</v>
      </c>
      <c r="B665" t="n">
        <v>2404000</v>
      </c>
      <c r="C665" t="n">
        <v>388000</v>
      </c>
    </row>
    <row r="666">
      <c r="A666" s="78" t="n">
        <v>29127</v>
      </c>
      <c r="B666" t="n">
        <v>2426000</v>
      </c>
      <c r="C666" t="n">
        <v>390000</v>
      </c>
    </row>
    <row r="667">
      <c r="A667" s="78" t="n">
        <v>29134</v>
      </c>
      <c r="B667" t="n">
        <v>2428000</v>
      </c>
      <c r="C667" t="n">
        <v>412000</v>
      </c>
    </row>
    <row r="668">
      <c r="A668" s="78" t="n">
        <v>29141</v>
      </c>
      <c r="B668" t="n">
        <v>2535000</v>
      </c>
      <c r="C668" t="n">
        <v>393000</v>
      </c>
    </row>
    <row r="669">
      <c r="A669" s="78" t="n">
        <v>29148</v>
      </c>
      <c r="B669" t="n">
        <v>2475000</v>
      </c>
      <c r="C669" t="n">
        <v>406000</v>
      </c>
    </row>
    <row r="670">
      <c r="A670" s="78" t="n">
        <v>29155</v>
      </c>
      <c r="B670" t="n">
        <v>2522000</v>
      </c>
      <c r="C670" t="n">
        <v>398000</v>
      </c>
    </row>
    <row r="671">
      <c r="A671" s="78" t="n">
        <v>29162</v>
      </c>
      <c r="B671" t="n">
        <v>2569000</v>
      </c>
      <c r="C671" t="n">
        <v>395000</v>
      </c>
    </row>
    <row r="672">
      <c r="A672" s="78" t="n">
        <v>29169</v>
      </c>
      <c r="B672" t="n">
        <v>2537000</v>
      </c>
      <c r="C672" t="n">
        <v>414000</v>
      </c>
    </row>
    <row r="673">
      <c r="A673" s="78" t="n">
        <v>29176</v>
      </c>
      <c r="B673" t="n">
        <v>2656000</v>
      </c>
      <c r="C673" t="n">
        <v>430000</v>
      </c>
    </row>
    <row r="674">
      <c r="A674" s="78" t="n">
        <v>29183</v>
      </c>
      <c r="B674" t="n">
        <v>2648000</v>
      </c>
      <c r="C674" t="n">
        <v>414000</v>
      </c>
    </row>
    <row r="675">
      <c r="A675" s="78" t="n">
        <v>29190</v>
      </c>
      <c r="B675" t="n">
        <v>2698000</v>
      </c>
      <c r="C675" t="n">
        <v>416000</v>
      </c>
    </row>
    <row r="676">
      <c r="A676" s="78" t="n">
        <v>29197</v>
      </c>
      <c r="B676" t="n">
        <v>2685000</v>
      </c>
      <c r="C676" t="n">
        <v>415000</v>
      </c>
    </row>
    <row r="677">
      <c r="A677" s="78" t="n">
        <v>29204</v>
      </c>
      <c r="B677" t="n">
        <v>2712000</v>
      </c>
      <c r="C677" t="n">
        <v>411000</v>
      </c>
    </row>
    <row r="678">
      <c r="A678" s="78" t="n">
        <v>29211</v>
      </c>
      <c r="B678" t="n">
        <v>2674000</v>
      </c>
      <c r="C678" t="n">
        <v>471000</v>
      </c>
    </row>
    <row r="679">
      <c r="A679" s="78" t="n">
        <v>29218</v>
      </c>
      <c r="B679" t="n">
        <v>2725000</v>
      </c>
      <c r="C679" t="n">
        <v>428000</v>
      </c>
    </row>
    <row r="680">
      <c r="A680" s="78" t="n">
        <v>29225</v>
      </c>
      <c r="B680" t="n">
        <v>2749000</v>
      </c>
      <c r="C680" t="n">
        <v>394000</v>
      </c>
    </row>
    <row r="681">
      <c r="A681" s="78" t="n">
        <v>29232</v>
      </c>
      <c r="B681" t="n">
        <v>2778000</v>
      </c>
      <c r="C681" t="n">
        <v>405000</v>
      </c>
    </row>
    <row r="682">
      <c r="A682" s="78" t="n">
        <v>29239</v>
      </c>
      <c r="B682" t="n">
        <v>2783000</v>
      </c>
      <c r="C682" t="n">
        <v>446000</v>
      </c>
    </row>
    <row r="683">
      <c r="A683" s="78" t="n">
        <v>29246</v>
      </c>
      <c r="B683" t="n">
        <v>2817000</v>
      </c>
      <c r="C683" t="n">
        <v>412000</v>
      </c>
    </row>
    <row r="684">
      <c r="A684" s="78" t="n">
        <v>29253</v>
      </c>
      <c r="B684" t="n">
        <v>2864000</v>
      </c>
      <c r="C684" t="n">
        <v>404000</v>
      </c>
    </row>
    <row r="685">
      <c r="A685" s="78" t="n">
        <v>29260</v>
      </c>
      <c r="B685" t="n">
        <v>2867000</v>
      </c>
      <c r="C685" t="n">
        <v>425000</v>
      </c>
    </row>
    <row r="686">
      <c r="A686" s="78" t="n">
        <v>29267</v>
      </c>
      <c r="B686" t="n">
        <v>2877000</v>
      </c>
      <c r="C686" t="n">
        <v>415000</v>
      </c>
    </row>
    <row r="687">
      <c r="A687" s="78" t="n">
        <v>29274</v>
      </c>
      <c r="B687" t="n">
        <v>2866000</v>
      </c>
      <c r="C687" t="n">
        <v>428000</v>
      </c>
    </row>
    <row r="688">
      <c r="A688" s="78" t="n">
        <v>29281</v>
      </c>
      <c r="B688" t="n">
        <v>2848000</v>
      </c>
      <c r="C688" t="n">
        <v>409000</v>
      </c>
    </row>
    <row r="689">
      <c r="A689" s="78" t="n">
        <v>29288</v>
      </c>
      <c r="B689" t="n">
        <v>2883000</v>
      </c>
      <c r="C689" t="n">
        <v>418000</v>
      </c>
    </row>
    <row r="690">
      <c r="A690" s="78" t="n">
        <v>29295</v>
      </c>
      <c r="B690" t="n">
        <v>2888000</v>
      </c>
      <c r="C690" t="n">
        <v>432000</v>
      </c>
    </row>
    <row r="691">
      <c r="A691" s="78" t="n">
        <v>29302</v>
      </c>
      <c r="B691" t="n">
        <v>2921000</v>
      </c>
      <c r="C691" t="n">
        <v>435000</v>
      </c>
    </row>
    <row r="692">
      <c r="A692" s="78" t="n">
        <v>29309</v>
      </c>
      <c r="B692" t="n">
        <v>2866000</v>
      </c>
      <c r="C692" t="n">
        <v>475000</v>
      </c>
    </row>
    <row r="693">
      <c r="A693" s="78" t="n">
        <v>29316</v>
      </c>
      <c r="B693" t="n">
        <v>3007000</v>
      </c>
      <c r="C693" t="n">
        <v>464000</v>
      </c>
    </row>
    <row r="694">
      <c r="A694" s="78" t="n">
        <v>29323</v>
      </c>
      <c r="B694" t="n">
        <v>3085000</v>
      </c>
      <c r="C694" t="n">
        <v>544000</v>
      </c>
    </row>
    <row r="695">
      <c r="A695" s="78" t="n">
        <v>29330</v>
      </c>
      <c r="B695" t="n">
        <v>3188000</v>
      </c>
      <c r="C695" t="n">
        <v>548000</v>
      </c>
    </row>
    <row r="696">
      <c r="A696" s="78" t="n">
        <v>29337</v>
      </c>
      <c r="B696" t="n">
        <v>3226000</v>
      </c>
      <c r="C696" t="n">
        <v>563000</v>
      </c>
    </row>
    <row r="697">
      <c r="A697" s="78" t="n">
        <v>29344</v>
      </c>
      <c r="B697" t="n">
        <v>3334000</v>
      </c>
      <c r="C697" t="n">
        <v>572000</v>
      </c>
    </row>
    <row r="698">
      <c r="A698" s="78" t="n">
        <v>29351</v>
      </c>
      <c r="B698" t="n">
        <v>3417000</v>
      </c>
      <c r="C698" t="n">
        <v>601000</v>
      </c>
    </row>
    <row r="699">
      <c r="A699" s="78" t="n">
        <v>29358</v>
      </c>
      <c r="B699" t="n">
        <v>3544000</v>
      </c>
      <c r="C699" t="n">
        <v>642000</v>
      </c>
    </row>
    <row r="700">
      <c r="A700" s="78" t="n">
        <v>29365</v>
      </c>
      <c r="B700" t="n">
        <v>3698000</v>
      </c>
      <c r="C700" t="n">
        <v>627000</v>
      </c>
    </row>
    <row r="701">
      <c r="A701" s="78" t="n">
        <v>29372</v>
      </c>
      <c r="B701" t="n">
        <v>3731000</v>
      </c>
      <c r="C701" t="n">
        <v>637000</v>
      </c>
    </row>
    <row r="702">
      <c r="A702" s="78" t="n">
        <v>29379</v>
      </c>
      <c r="B702" t="n">
        <v>3781000</v>
      </c>
      <c r="C702" t="n">
        <v>610000</v>
      </c>
    </row>
    <row r="703">
      <c r="A703" s="78" t="n">
        <v>29386</v>
      </c>
      <c r="B703" t="n">
        <v>3779000</v>
      </c>
      <c r="C703" t="n">
        <v>592000</v>
      </c>
    </row>
    <row r="704">
      <c r="A704" s="78" t="n">
        <v>29393</v>
      </c>
      <c r="B704" t="n">
        <v>3858000</v>
      </c>
      <c r="C704" t="n">
        <v>599000</v>
      </c>
    </row>
    <row r="705">
      <c r="A705" s="78" t="n">
        <v>29400</v>
      </c>
      <c r="B705" t="n">
        <v>3912000</v>
      </c>
      <c r="C705" t="n">
        <v>627000</v>
      </c>
    </row>
    <row r="706">
      <c r="A706" s="78" t="n">
        <v>29407</v>
      </c>
      <c r="B706" t="n">
        <v>3823000</v>
      </c>
      <c r="C706" t="n">
        <v>579000</v>
      </c>
    </row>
    <row r="707">
      <c r="A707" s="78" t="n">
        <v>29414</v>
      </c>
      <c r="B707" t="n">
        <v>3836000</v>
      </c>
      <c r="C707" t="n">
        <v>533000</v>
      </c>
    </row>
    <row r="708">
      <c r="A708" s="78" t="n">
        <v>29421</v>
      </c>
      <c r="B708" t="n">
        <v>3872000</v>
      </c>
      <c r="C708" t="n">
        <v>567000</v>
      </c>
    </row>
    <row r="709">
      <c r="A709" s="78" t="n">
        <v>29428</v>
      </c>
      <c r="B709" t="n">
        <v>3851000</v>
      </c>
      <c r="C709" t="n">
        <v>558000</v>
      </c>
    </row>
    <row r="710">
      <c r="A710" s="78" t="n">
        <v>29435</v>
      </c>
      <c r="B710" t="n">
        <v>3789000</v>
      </c>
      <c r="C710" t="n">
        <v>569000</v>
      </c>
    </row>
    <row r="711">
      <c r="A711" s="78" t="n">
        <v>29442</v>
      </c>
      <c r="B711" t="n">
        <v>3862000</v>
      </c>
      <c r="C711" t="n">
        <v>533000</v>
      </c>
    </row>
    <row r="712">
      <c r="A712" s="78" t="n">
        <v>29449</v>
      </c>
      <c r="B712" t="n">
        <v>3813000</v>
      </c>
      <c r="C712" t="n">
        <v>525000</v>
      </c>
    </row>
    <row r="713">
      <c r="A713" s="78" t="n">
        <v>29456</v>
      </c>
      <c r="B713" t="n">
        <v>3754000</v>
      </c>
      <c r="C713" t="n">
        <v>512000</v>
      </c>
    </row>
    <row r="714">
      <c r="A714" s="78" t="n">
        <v>29463</v>
      </c>
      <c r="B714" t="n">
        <v>3808000</v>
      </c>
      <c r="C714" t="n">
        <v>502000</v>
      </c>
    </row>
    <row r="715">
      <c r="A715" s="78" t="n">
        <v>29470</v>
      </c>
      <c r="B715" t="n">
        <v>3698000</v>
      </c>
      <c r="C715" t="n">
        <v>511000</v>
      </c>
    </row>
    <row r="716">
      <c r="A716" s="78" t="n">
        <v>29477</v>
      </c>
      <c r="B716" t="n">
        <v>3699000</v>
      </c>
      <c r="C716" t="n">
        <v>492000</v>
      </c>
    </row>
    <row r="717">
      <c r="A717" s="78" t="n">
        <v>29484</v>
      </c>
      <c r="B717" t="n">
        <v>3698000</v>
      </c>
      <c r="C717" t="n">
        <v>465000</v>
      </c>
    </row>
    <row r="718">
      <c r="A718" s="78" t="n">
        <v>29491</v>
      </c>
      <c r="B718" t="n">
        <v>3679000</v>
      </c>
      <c r="C718" t="n">
        <v>463000</v>
      </c>
    </row>
    <row r="719">
      <c r="A719" s="78" t="n">
        <v>29498</v>
      </c>
      <c r="B719" t="n">
        <v>3672000</v>
      </c>
      <c r="C719" t="n">
        <v>462000</v>
      </c>
    </row>
    <row r="720">
      <c r="A720" s="78" t="n">
        <v>29505</v>
      </c>
      <c r="B720" t="n">
        <v>3549000</v>
      </c>
      <c r="C720" t="n">
        <v>447000</v>
      </c>
    </row>
    <row r="721">
      <c r="A721" s="78" t="n">
        <v>29512</v>
      </c>
      <c r="B721" t="n">
        <v>3477000</v>
      </c>
      <c r="C721" t="n">
        <v>425000</v>
      </c>
    </row>
    <row r="722">
      <c r="A722" s="78" t="n">
        <v>29519</v>
      </c>
      <c r="B722" t="n">
        <v>3527000</v>
      </c>
      <c r="C722" t="n">
        <v>418000</v>
      </c>
    </row>
    <row r="723">
      <c r="A723" s="78" t="n">
        <v>29526</v>
      </c>
      <c r="B723" t="n">
        <v>3391000</v>
      </c>
      <c r="C723" t="n">
        <v>419000</v>
      </c>
    </row>
    <row r="724">
      <c r="A724" s="78" t="n">
        <v>29533</v>
      </c>
      <c r="B724" t="n">
        <v>3380000</v>
      </c>
      <c r="C724" t="n">
        <v>407000</v>
      </c>
    </row>
    <row r="725">
      <c r="A725" s="78" t="n">
        <v>29540</v>
      </c>
      <c r="B725" t="n">
        <v>3260000</v>
      </c>
      <c r="C725" t="n">
        <v>427000</v>
      </c>
    </row>
    <row r="726">
      <c r="A726" s="78" t="n">
        <v>29547</v>
      </c>
      <c r="B726" t="n">
        <v>3303000</v>
      </c>
      <c r="C726" t="n">
        <v>398000</v>
      </c>
    </row>
    <row r="727">
      <c r="A727" s="78" t="n">
        <v>29554</v>
      </c>
      <c r="B727" t="n">
        <v>3169000</v>
      </c>
      <c r="C727" t="n">
        <v>412000</v>
      </c>
    </row>
    <row r="728">
      <c r="A728" s="78" t="n">
        <v>29561</v>
      </c>
      <c r="B728" t="n">
        <v>3185000</v>
      </c>
      <c r="C728" t="n">
        <v>416000</v>
      </c>
    </row>
    <row r="729">
      <c r="A729" s="78" t="n">
        <v>29568</v>
      </c>
      <c r="B729" t="n">
        <v>3125000</v>
      </c>
      <c r="C729" t="n">
        <v>413000</v>
      </c>
    </row>
    <row r="730">
      <c r="A730" s="78" t="n">
        <v>29575</v>
      </c>
      <c r="B730" t="n">
        <v>3056000</v>
      </c>
      <c r="C730" t="n">
        <v>412000</v>
      </c>
    </row>
    <row r="731">
      <c r="A731" s="78" t="n">
        <v>29582</v>
      </c>
      <c r="B731" t="n">
        <v>3136000</v>
      </c>
      <c r="C731" t="n">
        <v>399000</v>
      </c>
    </row>
    <row r="732">
      <c r="A732" s="78" t="n">
        <v>29589</v>
      </c>
      <c r="B732" t="n">
        <v>3123000</v>
      </c>
      <c r="C732" t="n">
        <v>410000</v>
      </c>
    </row>
    <row r="733">
      <c r="A733" s="78" t="n">
        <v>29596</v>
      </c>
      <c r="B733" t="n">
        <v>3082000</v>
      </c>
      <c r="C733" t="n">
        <v>419000</v>
      </c>
    </row>
    <row r="734">
      <c r="A734" s="78" t="n">
        <v>29603</v>
      </c>
      <c r="B734" t="n">
        <v>3023000</v>
      </c>
      <c r="C734" t="n">
        <v>421000</v>
      </c>
    </row>
    <row r="735">
      <c r="A735" s="78" t="n">
        <v>29610</v>
      </c>
      <c r="B735" t="n">
        <v>2988000</v>
      </c>
      <c r="C735" t="n">
        <v>396000</v>
      </c>
    </row>
    <row r="736">
      <c r="A736" s="78" t="n">
        <v>29617</v>
      </c>
      <c r="B736" t="n">
        <v>2975000</v>
      </c>
      <c r="C736" t="n">
        <v>419000</v>
      </c>
    </row>
    <row r="737">
      <c r="A737" s="78" t="n">
        <v>29624</v>
      </c>
      <c r="B737" t="n">
        <v>2945000</v>
      </c>
      <c r="C737" t="n">
        <v>420000</v>
      </c>
    </row>
    <row r="738">
      <c r="A738" s="78" t="n">
        <v>29631</v>
      </c>
      <c r="B738" t="n">
        <v>3043000</v>
      </c>
      <c r="C738" t="n">
        <v>423000</v>
      </c>
    </row>
    <row r="739">
      <c r="A739" s="78" t="n">
        <v>29638</v>
      </c>
      <c r="B739" t="n">
        <v>3023000</v>
      </c>
      <c r="C739" t="n">
        <v>438000</v>
      </c>
    </row>
    <row r="740">
      <c r="A740" s="78" t="n">
        <v>29645</v>
      </c>
      <c r="B740" t="n">
        <v>2901000</v>
      </c>
      <c r="C740" t="n">
        <v>434000</v>
      </c>
    </row>
    <row r="741">
      <c r="A741" s="78" t="n">
        <v>29652</v>
      </c>
      <c r="B741" t="n">
        <v>2931000</v>
      </c>
      <c r="C741" t="n">
        <v>409000</v>
      </c>
    </row>
    <row r="742">
      <c r="A742" s="78" t="n">
        <v>29659</v>
      </c>
      <c r="B742" t="n">
        <v>2905000</v>
      </c>
      <c r="C742" t="n">
        <v>408000</v>
      </c>
    </row>
    <row r="743">
      <c r="A743" s="78" t="n">
        <v>29666</v>
      </c>
      <c r="B743" t="n">
        <v>2885000</v>
      </c>
      <c r="C743" t="n">
        <v>401000</v>
      </c>
    </row>
    <row r="744">
      <c r="A744" s="78" t="n">
        <v>29673</v>
      </c>
      <c r="B744" t="n">
        <v>2876000</v>
      </c>
      <c r="C744" t="n">
        <v>412000</v>
      </c>
    </row>
    <row r="745">
      <c r="A745" s="78" t="n">
        <v>29680</v>
      </c>
      <c r="B745" t="n">
        <v>2875000</v>
      </c>
      <c r="C745" t="n">
        <v>417000</v>
      </c>
    </row>
    <row r="746">
      <c r="A746" s="78" t="n">
        <v>29687</v>
      </c>
      <c r="B746" t="n">
        <v>2800000</v>
      </c>
      <c r="C746" t="n">
        <v>396000</v>
      </c>
    </row>
    <row r="747">
      <c r="A747" s="78" t="n">
        <v>29694</v>
      </c>
      <c r="B747" t="n">
        <v>2860000</v>
      </c>
      <c r="C747" t="n">
        <v>392000</v>
      </c>
    </row>
    <row r="748">
      <c r="A748" s="78" t="n">
        <v>29701</v>
      </c>
      <c r="B748" t="n">
        <v>2893000</v>
      </c>
      <c r="C748" t="n">
        <v>436000</v>
      </c>
    </row>
    <row r="749">
      <c r="A749" s="78" t="n">
        <v>29708</v>
      </c>
      <c r="B749" t="n">
        <v>2944000</v>
      </c>
      <c r="C749" t="n">
        <v>413000</v>
      </c>
    </row>
    <row r="750">
      <c r="A750" s="78" t="n">
        <v>29715</v>
      </c>
      <c r="B750" t="n">
        <v>2887000</v>
      </c>
      <c r="C750" t="n">
        <v>423000</v>
      </c>
    </row>
    <row r="751">
      <c r="A751" s="78" t="n">
        <v>29722</v>
      </c>
      <c r="B751" t="n">
        <v>2865000</v>
      </c>
      <c r="C751" t="n">
        <v>414000</v>
      </c>
    </row>
    <row r="752">
      <c r="A752" s="78" t="n">
        <v>29729</v>
      </c>
      <c r="B752" t="n">
        <v>2862000</v>
      </c>
      <c r="C752" t="n">
        <v>415000</v>
      </c>
    </row>
    <row r="753">
      <c r="A753" s="78" t="n">
        <v>29736</v>
      </c>
      <c r="B753" t="n">
        <v>2962000</v>
      </c>
      <c r="C753" t="n">
        <v>417000</v>
      </c>
    </row>
    <row r="754">
      <c r="A754" s="78" t="n">
        <v>29743</v>
      </c>
      <c r="B754" t="n">
        <v>2877000</v>
      </c>
      <c r="C754" t="n">
        <v>428000</v>
      </c>
    </row>
    <row r="755">
      <c r="A755" s="78" t="n">
        <v>29750</v>
      </c>
      <c r="B755" t="n">
        <v>2867000</v>
      </c>
      <c r="C755" t="n">
        <v>425000</v>
      </c>
    </row>
    <row r="756">
      <c r="A756" s="78" t="n">
        <v>29757</v>
      </c>
      <c r="B756" t="n">
        <v>2886000</v>
      </c>
      <c r="C756" t="n">
        <v>435000</v>
      </c>
    </row>
    <row r="757">
      <c r="A757" s="78" t="n">
        <v>29764</v>
      </c>
      <c r="B757" t="n">
        <v>2983000</v>
      </c>
      <c r="C757" t="n">
        <v>444000</v>
      </c>
    </row>
    <row r="758">
      <c r="A758" s="78" t="n">
        <v>29771</v>
      </c>
      <c r="B758" t="n">
        <v>2886000</v>
      </c>
      <c r="C758" t="n">
        <v>460000</v>
      </c>
    </row>
    <row r="759">
      <c r="A759" s="78" t="n">
        <v>29778</v>
      </c>
      <c r="B759" t="n">
        <v>2845000</v>
      </c>
      <c r="C759" t="n">
        <v>426000</v>
      </c>
    </row>
    <row r="760">
      <c r="A760" s="78" t="n">
        <v>29785</v>
      </c>
      <c r="B760" t="n">
        <v>2902000</v>
      </c>
      <c r="C760" t="n">
        <v>430000</v>
      </c>
    </row>
    <row r="761">
      <c r="A761" s="78" t="n">
        <v>29792</v>
      </c>
      <c r="B761" t="n">
        <v>2899000</v>
      </c>
      <c r="C761" t="n">
        <v>407000</v>
      </c>
    </row>
    <row r="762">
      <c r="A762" s="78" t="n">
        <v>29799</v>
      </c>
      <c r="B762" t="n">
        <v>2867000</v>
      </c>
      <c r="C762" t="n">
        <v>476000</v>
      </c>
    </row>
    <row r="763">
      <c r="A763" s="78" t="n">
        <v>29806</v>
      </c>
      <c r="B763" t="n">
        <v>2998000</v>
      </c>
      <c r="C763" t="n">
        <v>448000</v>
      </c>
    </row>
    <row r="764">
      <c r="A764" s="78" t="n">
        <v>29813</v>
      </c>
      <c r="B764" t="n">
        <v>2966000</v>
      </c>
      <c r="C764" t="n">
        <v>442000</v>
      </c>
    </row>
    <row r="765">
      <c r="A765" s="78" t="n">
        <v>29820</v>
      </c>
      <c r="B765" t="n">
        <v>2957000</v>
      </c>
      <c r="C765" t="n">
        <v>434000</v>
      </c>
    </row>
    <row r="766">
      <c r="A766" s="78" t="n">
        <v>29827</v>
      </c>
      <c r="B766" t="n">
        <v>2954000</v>
      </c>
      <c r="C766" t="n">
        <v>451000</v>
      </c>
    </row>
    <row r="767">
      <c r="A767" s="78" t="n">
        <v>29834</v>
      </c>
      <c r="B767" t="n">
        <v>2914000</v>
      </c>
      <c r="C767" t="n">
        <v>473000</v>
      </c>
    </row>
    <row r="768">
      <c r="A768" s="78" t="n">
        <v>29841</v>
      </c>
      <c r="B768" t="n">
        <v>3051000</v>
      </c>
      <c r="C768" t="n">
        <v>454000</v>
      </c>
    </row>
    <row r="769">
      <c r="A769" s="78" t="n">
        <v>29848</v>
      </c>
      <c r="B769" t="n">
        <v>3014000</v>
      </c>
      <c r="C769" t="n">
        <v>475000</v>
      </c>
    </row>
    <row r="770">
      <c r="A770" s="78" t="n">
        <v>29855</v>
      </c>
      <c r="B770" t="n">
        <v>3073000</v>
      </c>
      <c r="C770" t="n">
        <v>491000</v>
      </c>
    </row>
    <row r="771">
      <c r="A771" s="78" t="n">
        <v>29862</v>
      </c>
      <c r="B771" t="n">
        <v>3069000</v>
      </c>
      <c r="C771" t="n">
        <v>489000</v>
      </c>
    </row>
    <row r="772">
      <c r="A772" s="78" t="n">
        <v>29869</v>
      </c>
      <c r="B772" t="n">
        <v>3098000</v>
      </c>
      <c r="C772" t="n">
        <v>491000</v>
      </c>
    </row>
    <row r="773">
      <c r="A773" s="78" t="n">
        <v>29876</v>
      </c>
      <c r="B773" t="n">
        <v>3104000</v>
      </c>
      <c r="C773" t="n">
        <v>487000</v>
      </c>
    </row>
    <row r="774">
      <c r="A774" s="78" t="n">
        <v>29883</v>
      </c>
      <c r="B774" t="n">
        <v>3181000</v>
      </c>
      <c r="C774" t="n">
        <v>483000</v>
      </c>
    </row>
    <row r="775">
      <c r="A775" s="78" t="n">
        <v>29890</v>
      </c>
      <c r="B775" t="n">
        <v>3183000</v>
      </c>
      <c r="C775" t="n">
        <v>514000</v>
      </c>
    </row>
    <row r="776">
      <c r="A776" s="78" t="n">
        <v>29897</v>
      </c>
      <c r="B776" t="n">
        <v>3282000</v>
      </c>
      <c r="C776" t="n">
        <v>514000</v>
      </c>
    </row>
    <row r="777">
      <c r="A777" s="78" t="n">
        <v>29904</v>
      </c>
      <c r="B777" t="n">
        <v>3291000</v>
      </c>
      <c r="C777" t="n">
        <v>517000</v>
      </c>
    </row>
    <row r="778">
      <c r="A778" s="78" t="n">
        <v>29911</v>
      </c>
      <c r="B778" t="n">
        <v>3416000</v>
      </c>
      <c r="C778" t="n">
        <v>464000</v>
      </c>
    </row>
    <row r="779">
      <c r="A779" s="78" t="n">
        <v>29918</v>
      </c>
      <c r="B779" t="n">
        <v>3360000</v>
      </c>
      <c r="C779" t="n">
        <v>552000</v>
      </c>
    </row>
    <row r="780">
      <c r="A780" s="78" t="n">
        <v>29925</v>
      </c>
      <c r="B780" t="n">
        <v>3517000</v>
      </c>
      <c r="C780" t="n">
        <v>558000</v>
      </c>
    </row>
    <row r="781">
      <c r="A781" s="78" t="n">
        <v>29932</v>
      </c>
      <c r="B781" t="n">
        <v>3397000</v>
      </c>
      <c r="C781" t="n">
        <v>551000</v>
      </c>
    </row>
    <row r="782">
      <c r="A782" s="78" t="n">
        <v>29939</v>
      </c>
      <c r="B782" t="n">
        <v>3551000</v>
      </c>
      <c r="C782" t="n">
        <v>539000</v>
      </c>
    </row>
    <row r="783">
      <c r="A783" s="78" t="n">
        <v>29946</v>
      </c>
      <c r="B783" t="n">
        <v>3636000</v>
      </c>
      <c r="C783" t="n">
        <v>556000</v>
      </c>
    </row>
    <row r="784">
      <c r="A784" s="78" t="n">
        <v>29953</v>
      </c>
      <c r="B784" t="n">
        <v>3523000</v>
      </c>
      <c r="C784" t="n">
        <v>495000</v>
      </c>
    </row>
    <row r="785">
      <c r="A785" s="78" t="n">
        <v>29960</v>
      </c>
      <c r="B785" t="n">
        <v>3398000</v>
      </c>
      <c r="C785" t="n">
        <v>545000</v>
      </c>
    </row>
    <row r="786">
      <c r="A786" s="78" t="n">
        <v>29967</v>
      </c>
      <c r="B786" t="n">
        <v>3624000</v>
      </c>
      <c r="C786" t="n">
        <v>489000</v>
      </c>
    </row>
    <row r="787">
      <c r="A787" s="78" t="n">
        <v>29974</v>
      </c>
      <c r="B787" t="n">
        <v>3602000</v>
      </c>
      <c r="C787" t="n">
        <v>564000</v>
      </c>
    </row>
    <row r="788">
      <c r="A788" s="78" t="n">
        <v>29981</v>
      </c>
      <c r="B788" t="n">
        <v>3521000</v>
      </c>
      <c r="C788" t="n">
        <v>583000</v>
      </c>
    </row>
    <row r="789">
      <c r="A789" s="78" t="n">
        <v>29988</v>
      </c>
      <c r="B789" t="n">
        <v>3617000</v>
      </c>
      <c r="C789" t="n">
        <v>556000</v>
      </c>
    </row>
    <row r="790">
      <c r="A790" s="78" t="n">
        <v>29995</v>
      </c>
      <c r="B790" t="n">
        <v>3490000</v>
      </c>
      <c r="C790" t="n">
        <v>507000</v>
      </c>
    </row>
    <row r="791">
      <c r="A791" s="78" t="n">
        <v>30002</v>
      </c>
      <c r="B791" t="n">
        <v>3562000</v>
      </c>
      <c r="C791" t="n">
        <v>544000</v>
      </c>
    </row>
    <row r="792">
      <c r="A792" s="78" t="n">
        <v>30009</v>
      </c>
      <c r="B792" t="n">
        <v>3553000</v>
      </c>
      <c r="C792" t="n">
        <v>528000</v>
      </c>
    </row>
    <row r="793">
      <c r="A793" s="78" t="n">
        <v>30016</v>
      </c>
      <c r="B793" t="n">
        <v>3619000</v>
      </c>
      <c r="C793" t="n">
        <v>556000</v>
      </c>
    </row>
    <row r="794">
      <c r="A794" s="78" t="n">
        <v>30023</v>
      </c>
      <c r="B794" t="n">
        <v>3605000</v>
      </c>
      <c r="C794" t="n">
        <v>539000</v>
      </c>
    </row>
    <row r="795">
      <c r="A795" s="78" t="n">
        <v>30030</v>
      </c>
      <c r="B795" t="n">
        <v>3684000</v>
      </c>
      <c r="C795" t="n">
        <v>557000</v>
      </c>
    </row>
    <row r="796">
      <c r="A796" s="78" t="n">
        <v>30037</v>
      </c>
      <c r="B796" t="n">
        <v>3714000</v>
      </c>
      <c r="C796" t="n">
        <v>574000</v>
      </c>
    </row>
    <row r="797">
      <c r="A797" s="78" t="n">
        <v>30044</v>
      </c>
      <c r="B797" t="n">
        <v>3720000</v>
      </c>
      <c r="C797" t="n">
        <v>578000</v>
      </c>
    </row>
    <row r="798">
      <c r="A798" s="78" t="n">
        <v>30051</v>
      </c>
      <c r="B798" t="n">
        <v>3841000</v>
      </c>
      <c r="C798" t="n">
        <v>585000</v>
      </c>
    </row>
    <row r="799">
      <c r="A799" s="78" t="n">
        <v>30058</v>
      </c>
      <c r="B799" t="n">
        <v>3967000</v>
      </c>
      <c r="C799" t="n">
        <v>597000</v>
      </c>
    </row>
    <row r="800">
      <c r="A800" s="78" t="n">
        <v>30065</v>
      </c>
      <c r="B800" t="n">
        <v>3930000</v>
      </c>
      <c r="C800" t="n">
        <v>588000</v>
      </c>
    </row>
    <row r="801">
      <c r="A801" s="78" t="n">
        <v>30072</v>
      </c>
      <c r="B801" t="n">
        <v>3960000</v>
      </c>
      <c r="C801" t="n">
        <v>576000</v>
      </c>
    </row>
    <row r="802">
      <c r="A802" s="78" t="n">
        <v>30079</v>
      </c>
      <c r="B802" t="n">
        <v>3972000</v>
      </c>
      <c r="C802" t="n">
        <v>584000</v>
      </c>
    </row>
    <row r="803">
      <c r="A803" s="78" t="n">
        <v>30086</v>
      </c>
      <c r="B803" t="n">
        <v>3968000</v>
      </c>
      <c r="C803" t="n">
        <v>585000</v>
      </c>
    </row>
    <row r="804">
      <c r="A804" s="78" t="n">
        <v>30093</v>
      </c>
      <c r="B804" t="n">
        <v>4103000</v>
      </c>
      <c r="C804" t="n">
        <v>586000</v>
      </c>
    </row>
    <row r="805">
      <c r="A805" s="78" t="n">
        <v>30100</v>
      </c>
      <c r="B805" t="n">
        <v>3956000</v>
      </c>
      <c r="C805" t="n">
        <v>588000</v>
      </c>
    </row>
    <row r="806">
      <c r="A806" s="78" t="n">
        <v>30107</v>
      </c>
      <c r="B806" t="n">
        <v>4094000</v>
      </c>
      <c r="C806" t="n">
        <v>611000</v>
      </c>
    </row>
    <row r="807">
      <c r="A807" s="78" t="n">
        <v>30114</v>
      </c>
      <c r="B807" t="n">
        <v>4121000</v>
      </c>
      <c r="C807" t="n">
        <v>614000</v>
      </c>
    </row>
    <row r="808">
      <c r="A808" s="78" t="n">
        <v>30121</v>
      </c>
      <c r="B808" t="n">
        <v>4105000</v>
      </c>
      <c r="C808" t="n">
        <v>591000</v>
      </c>
    </row>
    <row r="809">
      <c r="A809" s="78" t="n">
        <v>30128</v>
      </c>
      <c r="B809" t="n">
        <v>4057000</v>
      </c>
      <c r="C809" t="n">
        <v>582000</v>
      </c>
    </row>
    <row r="810">
      <c r="A810" s="78" t="n">
        <v>30135</v>
      </c>
      <c r="B810" t="n">
        <v>4139000</v>
      </c>
      <c r="C810" t="n">
        <v>600000</v>
      </c>
    </row>
    <row r="811">
      <c r="A811" s="78" t="n">
        <v>30142</v>
      </c>
      <c r="B811" t="n">
        <v>4025000</v>
      </c>
      <c r="C811" t="n">
        <v>572000</v>
      </c>
    </row>
    <row r="812">
      <c r="A812" s="78" t="n">
        <v>30149</v>
      </c>
      <c r="B812" t="n">
        <v>4148000</v>
      </c>
      <c r="C812" t="n">
        <v>567000</v>
      </c>
    </row>
    <row r="813">
      <c r="A813" s="78" t="n">
        <v>30156</v>
      </c>
      <c r="B813" t="n">
        <v>4155000</v>
      </c>
      <c r="C813" t="n">
        <v>536000</v>
      </c>
    </row>
    <row r="814">
      <c r="A814" s="78" t="n">
        <v>30163</v>
      </c>
      <c r="B814" t="n">
        <v>4040000</v>
      </c>
      <c r="C814" t="n">
        <v>605000</v>
      </c>
    </row>
    <row r="815">
      <c r="A815" s="78" t="n">
        <v>30170</v>
      </c>
      <c r="B815" t="n">
        <v>4191000</v>
      </c>
      <c r="C815" t="n">
        <v>606000</v>
      </c>
    </row>
    <row r="816">
      <c r="A816" s="78" t="n">
        <v>30177</v>
      </c>
      <c r="B816" t="n">
        <v>4234000</v>
      </c>
      <c r="C816" t="n">
        <v>637000</v>
      </c>
    </row>
    <row r="817">
      <c r="A817" s="78" t="n">
        <v>30184</v>
      </c>
      <c r="B817" t="n">
        <v>4300000</v>
      </c>
      <c r="C817" t="n">
        <v>628000</v>
      </c>
    </row>
    <row r="818">
      <c r="A818" s="78" t="n">
        <v>30191</v>
      </c>
      <c r="B818" t="n">
        <v>4316000</v>
      </c>
      <c r="C818" t="n">
        <v>647000</v>
      </c>
    </row>
    <row r="819">
      <c r="A819" s="78" t="n">
        <v>30198</v>
      </c>
      <c r="B819" t="n">
        <v>4356000</v>
      </c>
      <c r="C819" t="n">
        <v>651000</v>
      </c>
    </row>
    <row r="820">
      <c r="A820" s="78" t="n">
        <v>30205</v>
      </c>
      <c r="B820" t="n">
        <v>4445000</v>
      </c>
      <c r="C820" t="n">
        <v>641000</v>
      </c>
    </row>
    <row r="821">
      <c r="A821" s="78" t="n">
        <v>30212</v>
      </c>
      <c r="B821" t="n">
        <v>4468000</v>
      </c>
      <c r="C821" t="n">
        <v>680000</v>
      </c>
    </row>
    <row r="822">
      <c r="A822" s="78" t="n">
        <v>30219</v>
      </c>
      <c r="B822" t="n">
        <v>4542000</v>
      </c>
      <c r="C822" t="n">
        <v>671000</v>
      </c>
    </row>
    <row r="823">
      <c r="A823" s="78" t="n">
        <v>30226</v>
      </c>
      <c r="B823" t="n">
        <v>4629000</v>
      </c>
      <c r="C823" t="n">
        <v>695000</v>
      </c>
    </row>
    <row r="824">
      <c r="A824" s="78" t="n">
        <v>30233</v>
      </c>
      <c r="B824" t="n">
        <v>4689000</v>
      </c>
      <c r="C824" t="n">
        <v>651000</v>
      </c>
    </row>
    <row r="825">
      <c r="A825" s="78" t="n">
        <v>30240</v>
      </c>
      <c r="B825" t="n">
        <v>4599000</v>
      </c>
      <c r="C825" t="n">
        <v>656000</v>
      </c>
    </row>
    <row r="826">
      <c r="A826" s="78" t="n">
        <v>30247</v>
      </c>
      <c r="B826" t="n">
        <v>4686000</v>
      </c>
      <c r="C826" t="n">
        <v>623000</v>
      </c>
    </row>
    <row r="827">
      <c r="A827" s="78" t="n">
        <v>30254</v>
      </c>
      <c r="B827" t="n">
        <v>4595000</v>
      </c>
      <c r="C827" t="n">
        <v>637000</v>
      </c>
    </row>
    <row r="828">
      <c r="A828" s="78" t="n">
        <v>30261</v>
      </c>
      <c r="B828" t="n">
        <v>4713000</v>
      </c>
      <c r="C828" t="n">
        <v>589000</v>
      </c>
    </row>
    <row r="829">
      <c r="A829" s="78" t="n">
        <v>30268</v>
      </c>
      <c r="B829" t="n">
        <v>4554000</v>
      </c>
      <c r="C829" t="n">
        <v>599000</v>
      </c>
    </row>
    <row r="830">
      <c r="A830" s="78" t="n">
        <v>30275</v>
      </c>
      <c r="B830" t="n">
        <v>4695000</v>
      </c>
      <c r="C830" t="n">
        <v>577000</v>
      </c>
    </row>
    <row r="831">
      <c r="A831" s="78" t="n">
        <v>30282</v>
      </c>
      <c r="B831" t="n">
        <v>4442000</v>
      </c>
      <c r="C831" t="n">
        <v>612000</v>
      </c>
    </row>
    <row r="832">
      <c r="A832" s="78" t="n">
        <v>30289</v>
      </c>
      <c r="B832" t="n">
        <v>4509000</v>
      </c>
      <c r="C832" t="n">
        <v>557000</v>
      </c>
    </row>
    <row r="833">
      <c r="A833" s="78" t="n">
        <v>30296</v>
      </c>
      <c r="B833" t="n">
        <v>4339000</v>
      </c>
      <c r="C833" t="n">
        <v>533000</v>
      </c>
    </row>
    <row r="834">
      <c r="A834" s="78" t="n">
        <v>30303</v>
      </c>
      <c r="B834" t="n">
        <v>4371000</v>
      </c>
      <c r="C834" t="n">
        <v>516000</v>
      </c>
    </row>
    <row r="835">
      <c r="A835" s="78" t="n">
        <v>30310</v>
      </c>
      <c r="B835" t="n">
        <v>4381000</v>
      </c>
      <c r="C835" t="n">
        <v>489000</v>
      </c>
    </row>
    <row r="836">
      <c r="A836" s="78" t="n">
        <v>30317</v>
      </c>
      <c r="B836" t="n">
        <v>4010000</v>
      </c>
      <c r="C836" t="n">
        <v>534000</v>
      </c>
    </row>
    <row r="837">
      <c r="A837" s="78" t="n">
        <v>30324</v>
      </c>
      <c r="B837" t="n">
        <v>3885000</v>
      </c>
      <c r="C837" t="n">
        <v>510000</v>
      </c>
    </row>
    <row r="838">
      <c r="A838" s="78" t="n">
        <v>30331</v>
      </c>
      <c r="B838" t="n">
        <v>3950000</v>
      </c>
      <c r="C838" t="n">
        <v>479000</v>
      </c>
    </row>
    <row r="839">
      <c r="A839" s="78" t="n">
        <v>30338</v>
      </c>
      <c r="B839" t="n">
        <v>3860000</v>
      </c>
      <c r="C839" t="n">
        <v>479000</v>
      </c>
    </row>
    <row r="840">
      <c r="A840" s="78" t="n">
        <v>30345</v>
      </c>
      <c r="B840" t="n">
        <v>3890000</v>
      </c>
      <c r="C840" t="n">
        <v>503000</v>
      </c>
    </row>
    <row r="841">
      <c r="A841" s="78" t="n">
        <v>30352</v>
      </c>
      <c r="B841" t="n">
        <v>3877000</v>
      </c>
      <c r="C841" t="n">
        <v>501000</v>
      </c>
    </row>
    <row r="842">
      <c r="A842" s="78" t="n">
        <v>30359</v>
      </c>
      <c r="B842" t="n">
        <v>3865000</v>
      </c>
      <c r="C842" t="n">
        <v>486000</v>
      </c>
    </row>
    <row r="843">
      <c r="A843" s="78" t="n">
        <v>30366</v>
      </c>
      <c r="B843" t="n">
        <v>3819000</v>
      </c>
      <c r="C843" t="n">
        <v>487000</v>
      </c>
    </row>
    <row r="844">
      <c r="A844" s="78" t="n">
        <v>30373</v>
      </c>
      <c r="B844" t="n">
        <v>3876000</v>
      </c>
      <c r="C844" t="n">
        <v>481000</v>
      </c>
    </row>
    <row r="845">
      <c r="A845" s="78" t="n">
        <v>30380</v>
      </c>
      <c r="B845" t="n">
        <v>3797000</v>
      </c>
      <c r="C845" t="n">
        <v>495000</v>
      </c>
    </row>
    <row r="846">
      <c r="A846" s="78" t="n">
        <v>30387</v>
      </c>
      <c r="B846" t="n">
        <v>3787000</v>
      </c>
      <c r="C846" t="n">
        <v>475000</v>
      </c>
    </row>
    <row r="847">
      <c r="A847" s="78" t="n">
        <v>30394</v>
      </c>
      <c r="B847" t="n">
        <v>3752000</v>
      </c>
      <c r="C847" t="n">
        <v>470000</v>
      </c>
    </row>
    <row r="848">
      <c r="A848" s="78" t="n">
        <v>30401</v>
      </c>
      <c r="B848" t="n">
        <v>3734000</v>
      </c>
      <c r="C848" t="n">
        <v>481000</v>
      </c>
    </row>
    <row r="849">
      <c r="A849" s="78" t="n">
        <v>30408</v>
      </c>
      <c r="B849" t="n">
        <v>3759000</v>
      </c>
      <c r="C849" t="n">
        <v>491000</v>
      </c>
    </row>
    <row r="850">
      <c r="A850" s="78" t="n">
        <v>30415</v>
      </c>
      <c r="B850" t="n">
        <v>3814000</v>
      </c>
      <c r="C850" t="n">
        <v>496000</v>
      </c>
    </row>
    <row r="851">
      <c r="A851" s="78" t="n">
        <v>30422</v>
      </c>
      <c r="B851" t="n">
        <v>3744000</v>
      </c>
      <c r="C851" t="n">
        <v>515000</v>
      </c>
    </row>
    <row r="852">
      <c r="A852" s="78" t="n">
        <v>30429</v>
      </c>
      <c r="B852" t="n">
        <v>3762000</v>
      </c>
      <c r="C852" t="n">
        <v>488000</v>
      </c>
    </row>
    <row r="853">
      <c r="A853" s="78" t="n">
        <v>30436</v>
      </c>
      <c r="B853" t="n">
        <v>3722000</v>
      </c>
      <c r="C853" t="n">
        <v>490000</v>
      </c>
    </row>
    <row r="854">
      <c r="A854" s="78" t="n">
        <v>30443</v>
      </c>
      <c r="B854" t="n">
        <v>3714000</v>
      </c>
      <c r="C854" t="n">
        <v>494000</v>
      </c>
    </row>
    <row r="855">
      <c r="A855" s="78" t="n">
        <v>30450</v>
      </c>
      <c r="B855" t="n">
        <v>3625000</v>
      </c>
      <c r="C855" t="n">
        <v>464000</v>
      </c>
    </row>
    <row r="856">
      <c r="A856" s="78" t="n">
        <v>30457</v>
      </c>
      <c r="B856" t="n">
        <v>3701000</v>
      </c>
      <c r="C856" t="n">
        <v>460000</v>
      </c>
    </row>
    <row r="857">
      <c r="A857" s="78" t="n">
        <v>30464</v>
      </c>
      <c r="B857" t="n">
        <v>3457000</v>
      </c>
      <c r="C857" t="n">
        <v>454000</v>
      </c>
    </row>
    <row r="858">
      <c r="A858" s="78" t="n">
        <v>30471</v>
      </c>
      <c r="B858" t="n">
        <v>3548000</v>
      </c>
      <c r="C858" t="n">
        <v>459000</v>
      </c>
    </row>
    <row r="859">
      <c r="A859" s="78" t="n">
        <v>30478</v>
      </c>
      <c r="B859" t="n">
        <v>3453000</v>
      </c>
      <c r="C859" t="n">
        <v>442000</v>
      </c>
    </row>
    <row r="860">
      <c r="A860" s="78" t="n">
        <v>30485</v>
      </c>
      <c r="B860" t="n">
        <v>3452000</v>
      </c>
      <c r="C860" t="n">
        <v>434000</v>
      </c>
    </row>
    <row r="861">
      <c r="A861" s="78" t="n">
        <v>30492</v>
      </c>
      <c r="B861" t="n">
        <v>3369000</v>
      </c>
      <c r="C861" t="n">
        <v>442000</v>
      </c>
    </row>
    <row r="862">
      <c r="A862" s="78" t="n">
        <v>30499</v>
      </c>
      <c r="B862" t="n">
        <v>3239000</v>
      </c>
      <c r="C862" t="n">
        <v>422000</v>
      </c>
    </row>
    <row r="863">
      <c r="A863" s="78" t="n">
        <v>30506</v>
      </c>
      <c r="B863" t="n">
        <v>3226000</v>
      </c>
      <c r="C863" t="n">
        <v>412000</v>
      </c>
    </row>
    <row r="864">
      <c r="A864" s="78" t="n">
        <v>30513</v>
      </c>
      <c r="B864" t="n">
        <v>3216000</v>
      </c>
      <c r="C864" t="n">
        <v>396000</v>
      </c>
    </row>
    <row r="865">
      <c r="A865" s="78" t="n">
        <v>30520</v>
      </c>
      <c r="B865" t="n">
        <v>3155000</v>
      </c>
      <c r="C865" t="n">
        <v>395000</v>
      </c>
    </row>
    <row r="866">
      <c r="A866" s="78" t="n">
        <v>30527</v>
      </c>
      <c r="B866" t="n">
        <v>3112000</v>
      </c>
      <c r="C866" t="n">
        <v>415000</v>
      </c>
    </row>
    <row r="867">
      <c r="A867" s="78" t="n">
        <v>30534</v>
      </c>
      <c r="B867" t="n">
        <v>3106000</v>
      </c>
      <c r="C867" t="n">
        <v>415000</v>
      </c>
    </row>
    <row r="868">
      <c r="A868" s="78" t="n">
        <v>30541</v>
      </c>
      <c r="B868" t="n">
        <v>3107000</v>
      </c>
      <c r="C868" t="n">
        <v>457000</v>
      </c>
    </row>
    <row r="869">
      <c r="A869" s="78" t="n">
        <v>30548</v>
      </c>
      <c r="B869" t="n">
        <v>3131000</v>
      </c>
      <c r="C869" t="n">
        <v>445000</v>
      </c>
    </row>
    <row r="870">
      <c r="A870" s="78" t="n">
        <v>30555</v>
      </c>
      <c r="B870" t="n">
        <v>3079000</v>
      </c>
      <c r="C870" t="n">
        <v>426000</v>
      </c>
    </row>
    <row r="871">
      <c r="A871" s="78" t="n">
        <v>30562</v>
      </c>
      <c r="B871" t="n">
        <v>3055000</v>
      </c>
      <c r="C871" t="n">
        <v>411000</v>
      </c>
    </row>
    <row r="872">
      <c r="A872" s="78" t="n">
        <v>30569</v>
      </c>
      <c r="B872" t="n">
        <v>3007000</v>
      </c>
      <c r="C872" t="n">
        <v>403000</v>
      </c>
    </row>
    <row r="873">
      <c r="A873" s="78" t="n">
        <v>30576</v>
      </c>
      <c r="B873" t="n">
        <v>2993000</v>
      </c>
      <c r="C873" t="n">
        <v>405000</v>
      </c>
    </row>
    <row r="874">
      <c r="A874" s="78" t="n">
        <v>30583</v>
      </c>
      <c r="B874" t="n">
        <v>2973000</v>
      </c>
      <c r="C874" t="n">
        <v>416000</v>
      </c>
    </row>
    <row r="875">
      <c r="A875" s="78" t="n">
        <v>30590</v>
      </c>
      <c r="B875" t="n">
        <v>2926000</v>
      </c>
      <c r="C875" t="n">
        <v>413000</v>
      </c>
    </row>
    <row r="876">
      <c r="A876" s="78" t="n">
        <v>30597</v>
      </c>
      <c r="B876" t="n">
        <v>2929000</v>
      </c>
      <c r="C876" t="n">
        <v>406000</v>
      </c>
    </row>
    <row r="877">
      <c r="A877" s="78" t="n">
        <v>30604</v>
      </c>
      <c r="B877" t="n">
        <v>2913000</v>
      </c>
      <c r="C877" t="n">
        <v>394000</v>
      </c>
    </row>
    <row r="878">
      <c r="A878" s="78" t="n">
        <v>30611</v>
      </c>
      <c r="B878" t="n">
        <v>2886000</v>
      </c>
      <c r="C878" t="n">
        <v>394000</v>
      </c>
    </row>
    <row r="879">
      <c r="A879" s="78" t="n">
        <v>30618</v>
      </c>
      <c r="B879" t="n">
        <v>2860000</v>
      </c>
      <c r="C879" t="n">
        <v>404000</v>
      </c>
    </row>
    <row r="880">
      <c r="A880" s="78" t="n">
        <v>30625</v>
      </c>
      <c r="B880" t="n">
        <v>2750000</v>
      </c>
      <c r="C880" t="n">
        <v>395000</v>
      </c>
    </row>
    <row r="881">
      <c r="A881" s="78" t="n">
        <v>30632</v>
      </c>
      <c r="B881" t="n">
        <v>2789000</v>
      </c>
      <c r="C881" t="n">
        <v>390000</v>
      </c>
    </row>
    <row r="882">
      <c r="A882" s="78" t="n">
        <v>30639</v>
      </c>
      <c r="B882" t="n">
        <v>2879000</v>
      </c>
      <c r="C882" t="n">
        <v>387000</v>
      </c>
    </row>
    <row r="883">
      <c r="A883" s="78" t="n">
        <v>30646</v>
      </c>
      <c r="B883" t="n">
        <v>2733000</v>
      </c>
      <c r="C883" t="n">
        <v>398000</v>
      </c>
    </row>
    <row r="884">
      <c r="A884" s="78" t="n">
        <v>30653</v>
      </c>
      <c r="B884" t="n">
        <v>2737000</v>
      </c>
      <c r="C884" t="n">
        <v>365000</v>
      </c>
    </row>
    <row r="885">
      <c r="A885" s="78" t="n">
        <v>30660</v>
      </c>
      <c r="B885" t="n">
        <v>2666000</v>
      </c>
      <c r="C885" t="n">
        <v>368000</v>
      </c>
    </row>
    <row r="886">
      <c r="A886" s="78" t="n">
        <v>30667</v>
      </c>
      <c r="B886" t="n">
        <v>2796000</v>
      </c>
      <c r="C886" t="n">
        <v>362000</v>
      </c>
    </row>
    <row r="887">
      <c r="A887" s="78" t="n">
        <v>30674</v>
      </c>
      <c r="B887" t="n">
        <v>2718000</v>
      </c>
      <c r="C887" t="n">
        <v>377000</v>
      </c>
    </row>
    <row r="888">
      <c r="A888" s="78" t="n">
        <v>30681</v>
      </c>
      <c r="B888" t="n">
        <v>2644000</v>
      </c>
      <c r="C888" t="n">
        <v>372000</v>
      </c>
    </row>
    <row r="889">
      <c r="A889" s="78" t="n">
        <v>30688</v>
      </c>
      <c r="B889" t="n">
        <v>2588000</v>
      </c>
      <c r="C889" t="n">
        <v>356000</v>
      </c>
    </row>
    <row r="890">
      <c r="A890" s="78" t="n">
        <v>30695</v>
      </c>
      <c r="B890" t="n">
        <v>2522000</v>
      </c>
      <c r="C890" t="n">
        <v>351000</v>
      </c>
    </row>
    <row r="891">
      <c r="A891" s="78" t="n">
        <v>30702</v>
      </c>
      <c r="B891" t="n">
        <v>2531000</v>
      </c>
      <c r="C891" t="n">
        <v>333000</v>
      </c>
    </row>
    <row r="892">
      <c r="A892" s="78" t="n">
        <v>30709</v>
      </c>
      <c r="B892" t="n">
        <v>2556000</v>
      </c>
      <c r="C892" t="n">
        <v>364000</v>
      </c>
    </row>
    <row r="893">
      <c r="A893" s="78" t="n">
        <v>30716</v>
      </c>
      <c r="B893" t="n">
        <v>2531000</v>
      </c>
      <c r="C893" t="n">
        <v>342000</v>
      </c>
    </row>
    <row r="894">
      <c r="A894" s="78" t="n">
        <v>30723</v>
      </c>
      <c r="B894" t="n">
        <v>2453000</v>
      </c>
      <c r="C894" t="n">
        <v>338000</v>
      </c>
    </row>
    <row r="895">
      <c r="A895" s="78" t="n">
        <v>30730</v>
      </c>
      <c r="B895" t="n">
        <v>2425000</v>
      </c>
      <c r="C895" t="n">
        <v>334000</v>
      </c>
    </row>
    <row r="896">
      <c r="A896" s="78" t="n">
        <v>30737</v>
      </c>
      <c r="B896" t="n">
        <v>2469000</v>
      </c>
      <c r="C896" t="n">
        <v>343000</v>
      </c>
    </row>
    <row r="897">
      <c r="A897" s="78" t="n">
        <v>30744</v>
      </c>
      <c r="B897" t="n">
        <v>2441000</v>
      </c>
      <c r="C897" t="n">
        <v>347000</v>
      </c>
    </row>
    <row r="898">
      <c r="A898" s="78" t="n">
        <v>30751</v>
      </c>
      <c r="B898" t="n">
        <v>2431000</v>
      </c>
      <c r="C898" t="n">
        <v>346000</v>
      </c>
    </row>
    <row r="899">
      <c r="A899" s="78" t="n">
        <v>30758</v>
      </c>
      <c r="B899" t="n">
        <v>2426000</v>
      </c>
      <c r="C899" t="n">
        <v>349000</v>
      </c>
    </row>
    <row r="900">
      <c r="A900" s="78" t="n">
        <v>30765</v>
      </c>
      <c r="B900" t="n">
        <v>2412000</v>
      </c>
      <c r="C900" t="n">
        <v>346000</v>
      </c>
    </row>
    <row r="901">
      <c r="A901" s="78" t="n">
        <v>30772</v>
      </c>
      <c r="B901" t="n">
        <v>2412000</v>
      </c>
      <c r="C901" t="n">
        <v>341000</v>
      </c>
    </row>
    <row r="902">
      <c r="A902" s="78" t="n">
        <v>30779</v>
      </c>
      <c r="B902" t="n">
        <v>2425000</v>
      </c>
      <c r="C902" t="n">
        <v>381000</v>
      </c>
    </row>
    <row r="903">
      <c r="A903" s="78" t="n">
        <v>30786</v>
      </c>
      <c r="B903" t="n">
        <v>2396000</v>
      </c>
      <c r="C903" t="n">
        <v>357000</v>
      </c>
    </row>
    <row r="904">
      <c r="A904" s="78" t="n">
        <v>30793</v>
      </c>
      <c r="B904" t="n">
        <v>2433000</v>
      </c>
      <c r="C904" t="n">
        <v>364000</v>
      </c>
    </row>
    <row r="905">
      <c r="A905" s="78" t="n">
        <v>30800</v>
      </c>
      <c r="B905" t="n">
        <v>2435000</v>
      </c>
      <c r="C905" t="n">
        <v>375000</v>
      </c>
    </row>
    <row r="906">
      <c r="A906" s="78" t="n">
        <v>30807</v>
      </c>
      <c r="B906" t="n">
        <v>2430000</v>
      </c>
      <c r="C906" t="n">
        <v>365000</v>
      </c>
    </row>
    <row r="907">
      <c r="A907" s="78" t="n">
        <v>30814</v>
      </c>
      <c r="B907" t="n">
        <v>2386000</v>
      </c>
      <c r="C907" t="n">
        <v>368000</v>
      </c>
    </row>
    <row r="908">
      <c r="A908" s="78" t="n">
        <v>30821</v>
      </c>
      <c r="B908" t="n">
        <v>2401000</v>
      </c>
      <c r="C908" t="n">
        <v>354000</v>
      </c>
    </row>
    <row r="909">
      <c r="A909" s="78" t="n">
        <v>30828</v>
      </c>
      <c r="B909" t="n">
        <v>2323000</v>
      </c>
      <c r="C909" t="n">
        <v>354000</v>
      </c>
    </row>
    <row r="910">
      <c r="A910" s="78" t="n">
        <v>30835</v>
      </c>
      <c r="B910" t="n">
        <v>2379000</v>
      </c>
      <c r="C910" t="n">
        <v>355000</v>
      </c>
    </row>
    <row r="911">
      <c r="A911" s="78" t="n">
        <v>30842</v>
      </c>
      <c r="B911" t="n">
        <v>2391000</v>
      </c>
      <c r="C911" t="n">
        <v>369000</v>
      </c>
    </row>
    <row r="912">
      <c r="A912" s="78" t="n">
        <v>30849</v>
      </c>
      <c r="B912" t="n">
        <v>2364000</v>
      </c>
      <c r="C912" t="n">
        <v>361000</v>
      </c>
    </row>
    <row r="913">
      <c r="A913" s="78" t="n">
        <v>30856</v>
      </c>
      <c r="B913" t="n">
        <v>2339000</v>
      </c>
      <c r="C913" t="n">
        <v>362000</v>
      </c>
    </row>
    <row r="914">
      <c r="A914" s="78" t="n">
        <v>30863</v>
      </c>
      <c r="B914" t="n">
        <v>2329000</v>
      </c>
      <c r="C914" t="n">
        <v>360000</v>
      </c>
    </row>
    <row r="915">
      <c r="A915" s="78" t="n">
        <v>30870</v>
      </c>
      <c r="B915" t="n">
        <v>2375000</v>
      </c>
      <c r="C915" t="n">
        <v>366000</v>
      </c>
    </row>
    <row r="916">
      <c r="A916" s="78" t="n">
        <v>30877</v>
      </c>
      <c r="B916" t="n">
        <v>2371000</v>
      </c>
      <c r="C916" t="n">
        <v>360000</v>
      </c>
    </row>
    <row r="917">
      <c r="A917" s="78" t="n">
        <v>30884</v>
      </c>
      <c r="B917" t="n">
        <v>2337000</v>
      </c>
      <c r="C917" t="n">
        <v>357000</v>
      </c>
    </row>
    <row r="918">
      <c r="A918" s="78" t="n">
        <v>30891</v>
      </c>
      <c r="B918" t="n">
        <v>2329000</v>
      </c>
      <c r="C918" t="n">
        <v>359000</v>
      </c>
    </row>
    <row r="919">
      <c r="A919" s="78" t="n">
        <v>30898</v>
      </c>
      <c r="B919" t="n">
        <v>2332000</v>
      </c>
      <c r="C919" t="n">
        <v>382000</v>
      </c>
    </row>
    <row r="920">
      <c r="A920" s="78" t="n">
        <v>30905</v>
      </c>
      <c r="B920" t="n">
        <v>2390000</v>
      </c>
      <c r="C920" t="n">
        <v>380000</v>
      </c>
    </row>
    <row r="921">
      <c r="A921" s="78" t="n">
        <v>30912</v>
      </c>
      <c r="B921" t="n">
        <v>2416000</v>
      </c>
      <c r="C921" t="n">
        <v>401000</v>
      </c>
    </row>
    <row r="922">
      <c r="A922" s="78" t="n">
        <v>30919</v>
      </c>
      <c r="B922" t="n">
        <v>2405000</v>
      </c>
      <c r="C922" t="n">
        <v>395000</v>
      </c>
    </row>
    <row r="923">
      <c r="A923" s="78" t="n">
        <v>30926</v>
      </c>
      <c r="B923" t="n">
        <v>2410000</v>
      </c>
      <c r="C923" t="n">
        <v>385000</v>
      </c>
    </row>
    <row r="924">
      <c r="A924" s="78" t="n">
        <v>30933</v>
      </c>
      <c r="B924" t="n">
        <v>2435000</v>
      </c>
      <c r="C924" t="n">
        <v>402000</v>
      </c>
    </row>
    <row r="925">
      <c r="A925" s="78" t="n">
        <v>30940</v>
      </c>
      <c r="B925" t="n">
        <v>2434000</v>
      </c>
      <c r="C925" t="n">
        <v>393000</v>
      </c>
    </row>
    <row r="926">
      <c r="A926" s="78" t="n">
        <v>30947</v>
      </c>
      <c r="B926" t="n">
        <v>2421000</v>
      </c>
      <c r="C926" t="n">
        <v>395000</v>
      </c>
    </row>
    <row r="927">
      <c r="A927" s="78" t="n">
        <v>30954</v>
      </c>
      <c r="B927" t="n">
        <v>2474000</v>
      </c>
      <c r="C927" t="n">
        <v>402000</v>
      </c>
    </row>
    <row r="928">
      <c r="A928" s="78" t="n">
        <v>30961</v>
      </c>
      <c r="B928" t="n">
        <v>2455000</v>
      </c>
      <c r="C928" t="n">
        <v>403000</v>
      </c>
    </row>
    <row r="929">
      <c r="A929" s="78" t="n">
        <v>30968</v>
      </c>
      <c r="B929" t="n">
        <v>2538000</v>
      </c>
      <c r="C929" t="n">
        <v>410000</v>
      </c>
    </row>
    <row r="930">
      <c r="A930" s="78" t="n">
        <v>30975</v>
      </c>
      <c r="B930" t="n">
        <v>2529000</v>
      </c>
      <c r="C930" t="n">
        <v>439000</v>
      </c>
    </row>
    <row r="931">
      <c r="A931" s="78" t="n">
        <v>30982</v>
      </c>
      <c r="B931" t="n">
        <v>2574000</v>
      </c>
      <c r="C931" t="n">
        <v>425000</v>
      </c>
    </row>
    <row r="932">
      <c r="A932" s="78" t="n">
        <v>30989</v>
      </c>
      <c r="B932" t="n">
        <v>2578000</v>
      </c>
      <c r="C932" t="n">
        <v>423000</v>
      </c>
    </row>
    <row r="933">
      <c r="A933" s="78" t="n">
        <v>30996</v>
      </c>
      <c r="B933" t="n">
        <v>2545000</v>
      </c>
      <c r="C933" t="n">
        <v>393000</v>
      </c>
    </row>
    <row r="934">
      <c r="A934" s="78" t="n">
        <v>31003</v>
      </c>
      <c r="B934" t="n">
        <v>2645000</v>
      </c>
      <c r="C934" t="n">
        <v>383000</v>
      </c>
    </row>
    <row r="935">
      <c r="A935" s="78" t="n">
        <v>31010</v>
      </c>
      <c r="B935" t="n">
        <v>2569000</v>
      </c>
      <c r="C935" t="n">
        <v>429000</v>
      </c>
    </row>
    <row r="936">
      <c r="A936" s="78" t="n">
        <v>31017</v>
      </c>
      <c r="B936" t="n">
        <v>2529000</v>
      </c>
      <c r="C936" t="n">
        <v>401000</v>
      </c>
    </row>
    <row r="937">
      <c r="A937" s="78" t="n">
        <v>31024</v>
      </c>
      <c r="B937" t="n">
        <v>2589000</v>
      </c>
      <c r="C937" t="n">
        <v>383000</v>
      </c>
    </row>
    <row r="938">
      <c r="A938" s="78" t="n">
        <v>31031</v>
      </c>
      <c r="B938" t="n">
        <v>2594000</v>
      </c>
      <c r="C938" t="n">
        <v>386000</v>
      </c>
    </row>
    <row r="939">
      <c r="A939" s="78" t="n">
        <v>31038</v>
      </c>
      <c r="B939" t="n">
        <v>2487000</v>
      </c>
      <c r="C939" t="n">
        <v>379000</v>
      </c>
    </row>
    <row r="940">
      <c r="A940" s="78" t="n">
        <v>31045</v>
      </c>
      <c r="B940" t="n">
        <v>2536000</v>
      </c>
      <c r="C940" t="n">
        <v>379000</v>
      </c>
    </row>
    <row r="941">
      <c r="A941" s="78" t="n">
        <v>31052</v>
      </c>
      <c r="B941" t="n">
        <v>2593000</v>
      </c>
      <c r="C941" t="n">
        <v>369000</v>
      </c>
    </row>
    <row r="942">
      <c r="A942" s="78" t="n">
        <v>31059</v>
      </c>
      <c r="B942" t="n">
        <v>2543000</v>
      </c>
      <c r="C942" t="n">
        <v>387000</v>
      </c>
    </row>
    <row r="943">
      <c r="A943" s="78" t="n">
        <v>31066</v>
      </c>
      <c r="B943" t="n">
        <v>2472000</v>
      </c>
      <c r="C943" t="n">
        <v>359000</v>
      </c>
    </row>
    <row r="944">
      <c r="A944" s="78" t="n">
        <v>31073</v>
      </c>
      <c r="B944" t="n">
        <v>2601000</v>
      </c>
      <c r="C944" t="n">
        <v>368000</v>
      </c>
    </row>
    <row r="945">
      <c r="A945" s="78" t="n">
        <v>31080</v>
      </c>
      <c r="B945" t="n">
        <v>2632000</v>
      </c>
      <c r="C945" t="n">
        <v>386000</v>
      </c>
    </row>
    <row r="946">
      <c r="A946" s="78" t="n">
        <v>31087</v>
      </c>
      <c r="B946" t="n">
        <v>2608000</v>
      </c>
      <c r="C946" t="n">
        <v>401000</v>
      </c>
    </row>
    <row r="947">
      <c r="A947" s="78" t="n">
        <v>31094</v>
      </c>
      <c r="B947" t="n">
        <v>2613000</v>
      </c>
      <c r="C947" t="n">
        <v>390000</v>
      </c>
    </row>
    <row r="948">
      <c r="A948" s="78" t="n">
        <v>31101</v>
      </c>
      <c r="B948" t="n">
        <v>2641000</v>
      </c>
      <c r="C948" t="n">
        <v>390000</v>
      </c>
    </row>
    <row r="949">
      <c r="A949" s="78" t="n">
        <v>31108</v>
      </c>
      <c r="B949" t="n">
        <v>2571000</v>
      </c>
      <c r="C949" t="n">
        <v>374000</v>
      </c>
    </row>
    <row r="950">
      <c r="A950" s="78" t="n">
        <v>31115</v>
      </c>
      <c r="B950" t="n">
        <v>2591000</v>
      </c>
      <c r="C950" t="n">
        <v>385000</v>
      </c>
    </row>
    <row r="951">
      <c r="A951" s="78" t="n">
        <v>31122</v>
      </c>
      <c r="B951" t="n">
        <v>2578000</v>
      </c>
      <c r="C951" t="n">
        <v>386000</v>
      </c>
    </row>
    <row r="952">
      <c r="A952" s="78" t="n">
        <v>31129</v>
      </c>
      <c r="B952" t="n">
        <v>2556000</v>
      </c>
      <c r="C952" t="n">
        <v>373000</v>
      </c>
    </row>
    <row r="953">
      <c r="A953" s="78" t="n">
        <v>31136</v>
      </c>
      <c r="B953" t="n">
        <v>2526000</v>
      </c>
      <c r="C953" t="n">
        <v>386000</v>
      </c>
    </row>
    <row r="954">
      <c r="A954" s="78" t="n">
        <v>31143</v>
      </c>
      <c r="B954" t="n">
        <v>2569000</v>
      </c>
      <c r="C954" t="n">
        <v>405000</v>
      </c>
    </row>
    <row r="955">
      <c r="A955" s="78" t="n">
        <v>31150</v>
      </c>
      <c r="B955" t="n">
        <v>2600000</v>
      </c>
      <c r="C955" t="n">
        <v>411000</v>
      </c>
    </row>
    <row r="956">
      <c r="A956" s="78" t="n">
        <v>31157</v>
      </c>
      <c r="B956" t="n">
        <v>2584000</v>
      </c>
      <c r="C956" t="n">
        <v>391000</v>
      </c>
    </row>
    <row r="957">
      <c r="A957" s="78" t="n">
        <v>31164</v>
      </c>
      <c r="B957" t="n">
        <v>2562000</v>
      </c>
      <c r="C957" t="n">
        <v>386000</v>
      </c>
    </row>
    <row r="958">
      <c r="A958" s="78" t="n">
        <v>31171</v>
      </c>
      <c r="B958" t="n">
        <v>2582000</v>
      </c>
      <c r="C958" t="n">
        <v>390000</v>
      </c>
    </row>
    <row r="959">
      <c r="A959" s="78" t="n">
        <v>31178</v>
      </c>
      <c r="B959" t="n">
        <v>2569000</v>
      </c>
      <c r="C959" t="n">
        <v>394000</v>
      </c>
    </row>
    <row r="960">
      <c r="A960" s="78" t="n">
        <v>31185</v>
      </c>
      <c r="B960" t="n">
        <v>2547000</v>
      </c>
      <c r="C960" t="n">
        <v>391000</v>
      </c>
    </row>
    <row r="961">
      <c r="A961" s="78" t="n">
        <v>31192</v>
      </c>
      <c r="B961" t="n">
        <v>2545000</v>
      </c>
      <c r="C961" t="n">
        <v>396000</v>
      </c>
    </row>
    <row r="962">
      <c r="A962" s="78" t="n">
        <v>31199</v>
      </c>
      <c r="B962" t="n">
        <v>2591000</v>
      </c>
      <c r="C962" t="n">
        <v>393000</v>
      </c>
    </row>
    <row r="963">
      <c r="A963" s="78" t="n">
        <v>31206</v>
      </c>
      <c r="B963" t="n">
        <v>2564000</v>
      </c>
      <c r="C963" t="n">
        <v>403000</v>
      </c>
    </row>
    <row r="964">
      <c r="A964" s="78" t="n">
        <v>31213</v>
      </c>
      <c r="B964" t="n">
        <v>2549000</v>
      </c>
      <c r="C964" t="n">
        <v>390000</v>
      </c>
    </row>
    <row r="965">
      <c r="A965" s="78" t="n">
        <v>31220</v>
      </c>
      <c r="B965" t="n">
        <v>2550000</v>
      </c>
      <c r="C965" t="n">
        <v>386000</v>
      </c>
    </row>
    <row r="966">
      <c r="A966" s="78" t="n">
        <v>31227</v>
      </c>
      <c r="B966" t="n">
        <v>2505000</v>
      </c>
      <c r="C966" t="n">
        <v>390000</v>
      </c>
    </row>
    <row r="967">
      <c r="A967" s="78" t="n">
        <v>31234</v>
      </c>
      <c r="B967" t="n">
        <v>2609000</v>
      </c>
      <c r="C967" t="n">
        <v>395000</v>
      </c>
    </row>
    <row r="968">
      <c r="A968" s="78" t="n">
        <v>31241</v>
      </c>
      <c r="B968" t="n">
        <v>2519000</v>
      </c>
      <c r="C968" t="n">
        <v>386000</v>
      </c>
    </row>
    <row r="969">
      <c r="A969" s="78" t="n">
        <v>31248</v>
      </c>
      <c r="B969" t="n">
        <v>2520000</v>
      </c>
      <c r="C969" t="n">
        <v>370000</v>
      </c>
    </row>
    <row r="970">
      <c r="A970" s="78" t="n">
        <v>31255</v>
      </c>
      <c r="B970" t="n">
        <v>2522000</v>
      </c>
      <c r="C970" t="n">
        <v>362000</v>
      </c>
    </row>
    <row r="971">
      <c r="A971" s="78" t="n">
        <v>31262</v>
      </c>
      <c r="B971" t="n">
        <v>2518000</v>
      </c>
      <c r="C971" t="n">
        <v>407000</v>
      </c>
    </row>
    <row r="972">
      <c r="A972" s="78" t="n">
        <v>31269</v>
      </c>
      <c r="B972" t="n">
        <v>2565000</v>
      </c>
      <c r="C972" t="n">
        <v>402000</v>
      </c>
    </row>
    <row r="973">
      <c r="A973" s="78" t="n">
        <v>31276</v>
      </c>
      <c r="B973" t="n">
        <v>2574000</v>
      </c>
      <c r="C973" t="n">
        <v>399000</v>
      </c>
    </row>
    <row r="974">
      <c r="A974" s="78" t="n">
        <v>31283</v>
      </c>
      <c r="B974" t="n">
        <v>2561000</v>
      </c>
      <c r="C974" t="n">
        <v>405000</v>
      </c>
    </row>
    <row r="975">
      <c r="A975" s="78" t="n">
        <v>31290</v>
      </c>
      <c r="B975" t="n">
        <v>2595000</v>
      </c>
      <c r="C975" t="n">
        <v>409000</v>
      </c>
    </row>
    <row r="976">
      <c r="A976" s="78" t="n">
        <v>31297</v>
      </c>
      <c r="B976" t="n">
        <v>2596000</v>
      </c>
      <c r="C976" t="n">
        <v>426000</v>
      </c>
    </row>
    <row r="977">
      <c r="A977" s="78" t="n">
        <v>31304</v>
      </c>
      <c r="B977" t="n">
        <v>2590000</v>
      </c>
      <c r="C977" t="n">
        <v>408000</v>
      </c>
    </row>
    <row r="978">
      <c r="A978" s="78" t="n">
        <v>31311</v>
      </c>
      <c r="B978" t="n">
        <v>2513000</v>
      </c>
      <c r="C978" t="n">
        <v>401000</v>
      </c>
    </row>
    <row r="979">
      <c r="A979" s="78" t="n">
        <v>31318</v>
      </c>
      <c r="B979" t="n">
        <v>2623000</v>
      </c>
      <c r="C979" t="n">
        <v>399000</v>
      </c>
    </row>
    <row r="980">
      <c r="A980" s="78" t="n">
        <v>31325</v>
      </c>
      <c r="B980" t="n">
        <v>2657000</v>
      </c>
      <c r="C980" t="n">
        <v>405000</v>
      </c>
    </row>
    <row r="981">
      <c r="A981" s="78" t="n">
        <v>31332</v>
      </c>
      <c r="B981" t="n">
        <v>2569000</v>
      </c>
      <c r="C981" t="n">
        <v>400000</v>
      </c>
    </row>
    <row r="982">
      <c r="A982" s="78" t="n">
        <v>31339</v>
      </c>
      <c r="B982" t="n">
        <v>2644000</v>
      </c>
      <c r="C982" t="n">
        <v>400000</v>
      </c>
    </row>
    <row r="983">
      <c r="A983" s="78" t="n">
        <v>31346</v>
      </c>
      <c r="B983" t="n">
        <v>2657000</v>
      </c>
      <c r="C983" t="n">
        <v>418000</v>
      </c>
    </row>
    <row r="984">
      <c r="A984" s="78" t="n">
        <v>31353</v>
      </c>
      <c r="B984" t="n">
        <v>2673000</v>
      </c>
      <c r="C984" t="n">
        <v>398000</v>
      </c>
    </row>
    <row r="985">
      <c r="A985" s="78" t="n">
        <v>31360</v>
      </c>
      <c r="B985" t="n">
        <v>2612000</v>
      </c>
      <c r="C985" t="n">
        <v>397000</v>
      </c>
    </row>
    <row r="986">
      <c r="A986" s="78" t="n">
        <v>31367</v>
      </c>
      <c r="B986" t="n">
        <v>2618000</v>
      </c>
      <c r="C986" t="n">
        <v>397000</v>
      </c>
    </row>
    <row r="987">
      <c r="A987" s="78" t="n">
        <v>31374</v>
      </c>
      <c r="B987" t="n">
        <v>2585000</v>
      </c>
      <c r="C987" t="n">
        <v>382000</v>
      </c>
    </row>
    <row r="988">
      <c r="A988" s="78" t="n">
        <v>31381</v>
      </c>
      <c r="B988" t="n">
        <v>2638000</v>
      </c>
      <c r="C988" t="n">
        <v>393000</v>
      </c>
    </row>
    <row r="989">
      <c r="A989" s="78" t="n">
        <v>31388</v>
      </c>
      <c r="B989" t="n">
        <v>2744000</v>
      </c>
      <c r="C989" t="n">
        <v>399000</v>
      </c>
    </row>
    <row r="990">
      <c r="A990" s="78" t="n">
        <v>31395</v>
      </c>
      <c r="B990" t="n">
        <v>2680000</v>
      </c>
      <c r="C990" t="n">
        <v>382000</v>
      </c>
    </row>
    <row r="991">
      <c r="A991" s="78" t="n">
        <v>31402</v>
      </c>
      <c r="B991" t="n">
        <v>2543000</v>
      </c>
      <c r="C991" t="n">
        <v>370000</v>
      </c>
    </row>
    <row r="992">
      <c r="A992" s="78" t="n">
        <v>31409</v>
      </c>
      <c r="B992" t="n">
        <v>2608000</v>
      </c>
      <c r="C992" t="n">
        <v>390000</v>
      </c>
    </row>
    <row r="993">
      <c r="A993" s="78" t="n">
        <v>31416</v>
      </c>
      <c r="B993" t="n">
        <v>2694000</v>
      </c>
      <c r="C993" t="n">
        <v>362000</v>
      </c>
    </row>
    <row r="994">
      <c r="A994" s="78" t="n">
        <v>31423</v>
      </c>
      <c r="B994" t="n">
        <v>2636000</v>
      </c>
      <c r="C994" t="n">
        <v>397000</v>
      </c>
    </row>
    <row r="995">
      <c r="A995" s="78" t="n">
        <v>31430</v>
      </c>
      <c r="B995" t="n">
        <v>2516000</v>
      </c>
      <c r="C995" t="n">
        <v>364000</v>
      </c>
    </row>
    <row r="996">
      <c r="A996" s="78" t="n">
        <v>31437</v>
      </c>
      <c r="B996" t="n">
        <v>2570000</v>
      </c>
      <c r="C996" t="n">
        <v>344000</v>
      </c>
    </row>
    <row r="997">
      <c r="A997" s="78" t="n">
        <v>31444</v>
      </c>
      <c r="B997" t="n">
        <v>2531000</v>
      </c>
      <c r="C997" t="n">
        <v>364000</v>
      </c>
    </row>
    <row r="998">
      <c r="A998" s="78" t="n">
        <v>31451</v>
      </c>
      <c r="B998" t="n">
        <v>2548000</v>
      </c>
      <c r="C998" t="n">
        <v>366000</v>
      </c>
    </row>
    <row r="999">
      <c r="A999" s="78" t="n">
        <v>31458</v>
      </c>
      <c r="B999" t="n">
        <v>2569000</v>
      </c>
      <c r="C999" t="n">
        <v>358000</v>
      </c>
    </row>
    <row r="1000">
      <c r="A1000" s="78" t="n">
        <v>31465</v>
      </c>
      <c r="B1000" t="n">
        <v>2626000</v>
      </c>
      <c r="C1000" t="n">
        <v>390000</v>
      </c>
    </row>
    <row r="1001">
      <c r="A1001" s="78" t="n">
        <v>31472</v>
      </c>
      <c r="B1001" t="n">
        <v>2570000</v>
      </c>
      <c r="C1001" t="n">
        <v>375000</v>
      </c>
    </row>
    <row r="1002">
      <c r="A1002" s="78" t="n">
        <v>31479</v>
      </c>
      <c r="B1002" t="n">
        <v>2603000</v>
      </c>
      <c r="C1002" t="n">
        <v>366000</v>
      </c>
    </row>
    <row r="1003">
      <c r="A1003" s="78" t="n">
        <v>31486</v>
      </c>
      <c r="B1003" t="n">
        <v>2589000</v>
      </c>
      <c r="C1003" t="n">
        <v>382000</v>
      </c>
    </row>
    <row r="1004">
      <c r="A1004" s="78" t="n">
        <v>31493</v>
      </c>
      <c r="B1004" t="n">
        <v>2592000</v>
      </c>
      <c r="C1004" t="n">
        <v>387000</v>
      </c>
    </row>
    <row r="1005">
      <c r="A1005" s="78" t="n">
        <v>31500</v>
      </c>
      <c r="B1005" t="n">
        <v>2614000</v>
      </c>
      <c r="C1005" t="n">
        <v>396000</v>
      </c>
    </row>
    <row r="1006">
      <c r="A1006" s="78" t="n">
        <v>31507</v>
      </c>
      <c r="B1006" t="n">
        <v>2625000</v>
      </c>
      <c r="C1006" t="n">
        <v>381000</v>
      </c>
    </row>
    <row r="1007">
      <c r="A1007" s="78" t="n">
        <v>31514</v>
      </c>
      <c r="B1007" t="n">
        <v>2570000</v>
      </c>
      <c r="C1007" t="n">
        <v>388000</v>
      </c>
    </row>
    <row r="1008">
      <c r="A1008" s="78" t="n">
        <v>31521</v>
      </c>
      <c r="B1008" t="n">
        <v>2613000</v>
      </c>
      <c r="C1008" t="n">
        <v>383000</v>
      </c>
    </row>
    <row r="1009">
      <c r="A1009" s="78" t="n">
        <v>31528</v>
      </c>
      <c r="B1009" t="n">
        <v>2627000</v>
      </c>
      <c r="C1009" t="n">
        <v>391000</v>
      </c>
    </row>
    <row r="1010">
      <c r="A1010" s="78" t="n">
        <v>31535</v>
      </c>
      <c r="B1010" t="n">
        <v>2670000</v>
      </c>
      <c r="C1010" t="n">
        <v>392000</v>
      </c>
    </row>
    <row r="1011">
      <c r="A1011" s="78" t="n">
        <v>31542</v>
      </c>
      <c r="B1011" t="n">
        <v>2670000</v>
      </c>
      <c r="C1011" t="n">
        <v>395000</v>
      </c>
    </row>
    <row r="1012">
      <c r="A1012" s="78" t="n">
        <v>31549</v>
      </c>
      <c r="B1012" t="n">
        <v>2669000</v>
      </c>
      <c r="C1012" t="n">
        <v>384000</v>
      </c>
    </row>
    <row r="1013">
      <c r="A1013" s="78" t="n">
        <v>31556</v>
      </c>
      <c r="B1013" t="n">
        <v>2638000</v>
      </c>
      <c r="C1013" t="n">
        <v>386000</v>
      </c>
    </row>
    <row r="1014">
      <c r="A1014" s="78" t="n">
        <v>31563</v>
      </c>
      <c r="B1014" t="n">
        <v>2708000</v>
      </c>
      <c r="C1014" t="n">
        <v>373000</v>
      </c>
    </row>
    <row r="1015">
      <c r="A1015" s="78" t="n">
        <v>31570</v>
      </c>
      <c r="B1015" t="n">
        <v>2653000</v>
      </c>
      <c r="C1015" t="n">
        <v>375000</v>
      </c>
    </row>
    <row r="1016">
      <c r="A1016" s="78" t="n">
        <v>31577</v>
      </c>
      <c r="B1016" t="n">
        <v>2644000</v>
      </c>
      <c r="C1016" t="n">
        <v>369000</v>
      </c>
    </row>
    <row r="1017">
      <c r="A1017" s="78" t="n">
        <v>31584</v>
      </c>
      <c r="B1017" t="n">
        <v>2637000</v>
      </c>
      <c r="C1017" t="n">
        <v>367000</v>
      </c>
    </row>
    <row r="1018">
      <c r="A1018" s="78" t="n">
        <v>31591</v>
      </c>
      <c r="B1018" t="n">
        <v>2606000</v>
      </c>
      <c r="C1018" t="n">
        <v>371000</v>
      </c>
    </row>
    <row r="1019">
      <c r="A1019" s="78" t="n">
        <v>31598</v>
      </c>
      <c r="B1019" t="n">
        <v>2669000</v>
      </c>
      <c r="C1019" t="n">
        <v>371000</v>
      </c>
    </row>
    <row r="1020">
      <c r="A1020" s="78" t="n">
        <v>31605</v>
      </c>
      <c r="B1020" t="n">
        <v>2552000</v>
      </c>
      <c r="C1020" t="n">
        <v>361000</v>
      </c>
    </row>
    <row r="1021">
      <c r="A1021" s="78" t="n">
        <v>31612</v>
      </c>
      <c r="B1021" t="n">
        <v>2593000</v>
      </c>
      <c r="C1021" t="n">
        <v>354000</v>
      </c>
    </row>
    <row r="1022">
      <c r="A1022" s="78" t="n">
        <v>31619</v>
      </c>
      <c r="B1022" t="n">
        <v>2618000</v>
      </c>
      <c r="C1022" t="n">
        <v>362000</v>
      </c>
    </row>
    <row r="1023">
      <c r="A1023" s="78" t="n">
        <v>31626</v>
      </c>
      <c r="B1023" t="n">
        <v>2583000</v>
      </c>
      <c r="C1023" t="n">
        <v>416000</v>
      </c>
    </row>
    <row r="1024">
      <c r="A1024" s="78" t="n">
        <v>31633</v>
      </c>
      <c r="B1024" t="n">
        <v>2686000</v>
      </c>
      <c r="C1024" t="n">
        <v>416000</v>
      </c>
    </row>
    <row r="1025">
      <c r="A1025" s="78" t="n">
        <v>31640</v>
      </c>
      <c r="B1025" t="n">
        <v>2658000</v>
      </c>
      <c r="C1025" t="n">
        <v>407000</v>
      </c>
    </row>
    <row r="1026">
      <c r="A1026" s="78" t="n">
        <v>31647</v>
      </c>
      <c r="B1026" t="n">
        <v>2687000</v>
      </c>
      <c r="C1026" t="n">
        <v>397000</v>
      </c>
    </row>
    <row r="1027">
      <c r="A1027" s="78" t="n">
        <v>31654</v>
      </c>
      <c r="B1027" t="n">
        <v>2664000</v>
      </c>
      <c r="C1027" t="n">
        <v>401000</v>
      </c>
    </row>
    <row r="1028">
      <c r="A1028" s="78" t="n">
        <v>31661</v>
      </c>
      <c r="B1028" t="n">
        <v>2756000</v>
      </c>
      <c r="C1028" t="n">
        <v>400000</v>
      </c>
    </row>
    <row r="1029">
      <c r="A1029" s="78" t="n">
        <v>31668</v>
      </c>
      <c r="B1029" t="n">
        <v>2671000</v>
      </c>
      <c r="C1029" t="n">
        <v>394000</v>
      </c>
    </row>
    <row r="1030">
      <c r="A1030" s="78" t="n">
        <v>31675</v>
      </c>
      <c r="B1030" t="n">
        <v>2703000</v>
      </c>
      <c r="C1030" t="n">
        <v>399000</v>
      </c>
    </row>
    <row r="1031">
      <c r="A1031" s="78" t="n">
        <v>31682</v>
      </c>
      <c r="B1031" t="n">
        <v>2698000</v>
      </c>
      <c r="C1031" t="n">
        <v>389000</v>
      </c>
    </row>
    <row r="1032">
      <c r="A1032" s="78" t="n">
        <v>31689</v>
      </c>
      <c r="B1032" t="n">
        <v>2780000</v>
      </c>
      <c r="C1032" t="n">
        <v>391000</v>
      </c>
    </row>
    <row r="1033">
      <c r="A1033" s="78" t="n">
        <v>31696</v>
      </c>
      <c r="B1033" t="n">
        <v>2665000</v>
      </c>
      <c r="C1033" t="n">
        <v>387000</v>
      </c>
    </row>
    <row r="1034">
      <c r="A1034" s="78" t="n">
        <v>31703</v>
      </c>
      <c r="B1034" t="n">
        <v>2723000</v>
      </c>
      <c r="C1034" t="n">
        <v>385000</v>
      </c>
    </row>
    <row r="1035">
      <c r="A1035" s="78" t="n">
        <v>31710</v>
      </c>
      <c r="B1035" t="n">
        <v>2707000</v>
      </c>
      <c r="C1035" t="n">
        <v>370000</v>
      </c>
    </row>
    <row r="1036">
      <c r="A1036" s="78" t="n">
        <v>31717</v>
      </c>
      <c r="B1036" t="n">
        <v>2646000</v>
      </c>
      <c r="C1036" t="n">
        <v>364000</v>
      </c>
    </row>
    <row r="1037">
      <c r="A1037" s="78" t="n">
        <v>31724</v>
      </c>
      <c r="B1037" t="n">
        <v>2614000</v>
      </c>
      <c r="C1037" t="n">
        <v>349000</v>
      </c>
    </row>
    <row r="1038">
      <c r="A1038" s="78" t="n">
        <v>31731</v>
      </c>
      <c r="B1038" t="n">
        <v>2653000</v>
      </c>
      <c r="C1038" t="n">
        <v>368000</v>
      </c>
    </row>
    <row r="1039">
      <c r="A1039" s="78" t="n">
        <v>31738</v>
      </c>
      <c r="B1039" t="n">
        <v>2555000</v>
      </c>
      <c r="C1039" t="n">
        <v>369000</v>
      </c>
    </row>
    <row r="1040">
      <c r="A1040" s="78" t="n">
        <v>31745</v>
      </c>
      <c r="B1040" t="n">
        <v>2686000</v>
      </c>
      <c r="C1040" t="n">
        <v>366000</v>
      </c>
    </row>
    <row r="1041">
      <c r="A1041" s="78" t="n">
        <v>31752</v>
      </c>
      <c r="B1041" t="n">
        <v>2634000</v>
      </c>
      <c r="C1041" t="n">
        <v>363000</v>
      </c>
    </row>
    <row r="1042">
      <c r="A1042" s="78" t="n">
        <v>31759</v>
      </c>
      <c r="B1042" t="n">
        <v>2587000</v>
      </c>
      <c r="C1042" t="n">
        <v>375000</v>
      </c>
    </row>
    <row r="1043">
      <c r="A1043" s="78" t="n">
        <v>31766</v>
      </c>
      <c r="B1043" t="n">
        <v>2499000</v>
      </c>
      <c r="C1043" t="n">
        <v>350000</v>
      </c>
    </row>
    <row r="1044">
      <c r="A1044" s="78" t="n">
        <v>31773</v>
      </c>
      <c r="B1044" t="n">
        <v>2565000</v>
      </c>
      <c r="C1044" t="n">
        <v>345000</v>
      </c>
    </row>
    <row r="1045">
      <c r="A1045" s="78" t="n">
        <v>31780</v>
      </c>
      <c r="B1045" t="n">
        <v>2590000</v>
      </c>
      <c r="C1045" t="n">
        <v>323000</v>
      </c>
    </row>
    <row r="1046">
      <c r="A1046" s="78" t="n">
        <v>31787</v>
      </c>
      <c r="B1046" t="n">
        <v>2508000</v>
      </c>
      <c r="C1046" t="n">
        <v>348000</v>
      </c>
    </row>
    <row r="1047">
      <c r="A1047" s="78" t="n">
        <v>31794</v>
      </c>
      <c r="B1047" t="n">
        <v>2443000</v>
      </c>
      <c r="C1047" t="n">
        <v>341000</v>
      </c>
    </row>
    <row r="1048">
      <c r="A1048" s="78" t="n">
        <v>31801</v>
      </c>
      <c r="B1048" t="n">
        <v>2506000</v>
      </c>
      <c r="C1048" t="n">
        <v>346000</v>
      </c>
    </row>
    <row r="1049">
      <c r="A1049" s="78" t="n">
        <v>31808</v>
      </c>
      <c r="B1049" t="n">
        <v>2515000</v>
      </c>
      <c r="C1049" t="n">
        <v>370000</v>
      </c>
    </row>
    <row r="1050">
      <c r="A1050" s="78" t="n">
        <v>31815</v>
      </c>
      <c r="B1050" t="n">
        <v>2496000</v>
      </c>
      <c r="C1050" t="n">
        <v>368000</v>
      </c>
    </row>
    <row r="1051">
      <c r="A1051" s="78" t="n">
        <v>31822</v>
      </c>
      <c r="B1051" t="n">
        <v>2451000</v>
      </c>
      <c r="C1051" t="n">
        <v>338000</v>
      </c>
    </row>
    <row r="1052">
      <c r="A1052" s="78" t="n">
        <v>31829</v>
      </c>
      <c r="B1052" t="n">
        <v>2481000</v>
      </c>
      <c r="C1052" t="n">
        <v>341000</v>
      </c>
    </row>
    <row r="1053">
      <c r="A1053" s="78" t="n">
        <v>31836</v>
      </c>
      <c r="B1053" t="n">
        <v>2460000</v>
      </c>
      <c r="C1053" t="n">
        <v>348000</v>
      </c>
    </row>
    <row r="1054">
      <c r="A1054" s="78" t="n">
        <v>31843</v>
      </c>
      <c r="B1054" t="n">
        <v>2456000</v>
      </c>
      <c r="C1054" t="n">
        <v>337000</v>
      </c>
    </row>
    <row r="1055">
      <c r="A1055" s="78" t="n">
        <v>31850</v>
      </c>
      <c r="B1055" t="n">
        <v>2450000</v>
      </c>
      <c r="C1055" t="n">
        <v>335000</v>
      </c>
    </row>
    <row r="1056">
      <c r="A1056" s="78" t="n">
        <v>31857</v>
      </c>
      <c r="B1056" t="n">
        <v>2401000</v>
      </c>
      <c r="C1056" t="n">
        <v>335000</v>
      </c>
    </row>
    <row r="1057">
      <c r="A1057" s="78" t="n">
        <v>31864</v>
      </c>
      <c r="B1057" t="n">
        <v>2410000</v>
      </c>
      <c r="C1057" t="n">
        <v>326000</v>
      </c>
    </row>
    <row r="1058">
      <c r="A1058" s="78" t="n">
        <v>31871</v>
      </c>
      <c r="B1058" t="n">
        <v>2482000</v>
      </c>
      <c r="C1058" t="n">
        <v>330000</v>
      </c>
    </row>
    <row r="1059">
      <c r="A1059" s="78" t="n">
        <v>31878</v>
      </c>
      <c r="B1059" t="n">
        <v>2366000</v>
      </c>
      <c r="C1059" t="n">
        <v>338000</v>
      </c>
    </row>
    <row r="1060">
      <c r="A1060" s="78" t="n">
        <v>31885</v>
      </c>
      <c r="B1060" t="n">
        <v>2410000</v>
      </c>
      <c r="C1060" t="n">
        <v>349000</v>
      </c>
    </row>
    <row r="1061">
      <c r="A1061" s="78" t="n">
        <v>31892</v>
      </c>
      <c r="B1061" t="n">
        <v>2386000</v>
      </c>
      <c r="C1061" t="n">
        <v>328000</v>
      </c>
    </row>
    <row r="1062">
      <c r="A1062" s="78" t="n">
        <v>31899</v>
      </c>
      <c r="B1062" t="n">
        <v>2302000</v>
      </c>
      <c r="C1062" t="n">
        <v>330000</v>
      </c>
    </row>
    <row r="1063">
      <c r="A1063" s="78" t="n">
        <v>31906</v>
      </c>
      <c r="B1063" t="n">
        <v>2347000</v>
      </c>
      <c r="C1063" t="n">
        <v>315000</v>
      </c>
    </row>
    <row r="1064">
      <c r="A1064" s="78" t="n">
        <v>31913</v>
      </c>
      <c r="B1064" t="n">
        <v>2326000</v>
      </c>
      <c r="C1064" t="n">
        <v>341000</v>
      </c>
    </row>
    <row r="1065">
      <c r="A1065" s="78" t="n">
        <v>31920</v>
      </c>
      <c r="B1065" t="n">
        <v>2275000</v>
      </c>
      <c r="C1065" t="n">
        <v>343000</v>
      </c>
    </row>
    <row r="1066">
      <c r="A1066" s="78" t="n">
        <v>31927</v>
      </c>
      <c r="B1066" t="n">
        <v>2370000</v>
      </c>
      <c r="C1066" t="n">
        <v>326000</v>
      </c>
    </row>
    <row r="1067">
      <c r="A1067" s="78" t="n">
        <v>31934</v>
      </c>
      <c r="B1067" t="n">
        <v>2259000</v>
      </c>
      <c r="C1067" t="n">
        <v>328000</v>
      </c>
    </row>
    <row r="1068">
      <c r="A1068" s="78" t="n">
        <v>31941</v>
      </c>
      <c r="B1068" t="n">
        <v>2278000</v>
      </c>
      <c r="C1068" t="n">
        <v>316000</v>
      </c>
    </row>
    <row r="1069">
      <c r="A1069" s="78" t="n">
        <v>31948</v>
      </c>
      <c r="B1069" t="n">
        <v>2258000</v>
      </c>
      <c r="C1069" t="n">
        <v>319000</v>
      </c>
    </row>
    <row r="1070">
      <c r="A1070" s="78" t="n">
        <v>31955</v>
      </c>
      <c r="B1070" t="n">
        <v>2321000</v>
      </c>
      <c r="C1070" t="n">
        <v>326000</v>
      </c>
    </row>
    <row r="1071">
      <c r="A1071" s="78" t="n">
        <v>31962</v>
      </c>
      <c r="B1071" t="n">
        <v>2173000</v>
      </c>
      <c r="C1071" t="n">
        <v>326000</v>
      </c>
    </row>
    <row r="1072">
      <c r="A1072" s="78" t="n">
        <v>31969</v>
      </c>
      <c r="B1072" t="n">
        <v>2155000</v>
      </c>
      <c r="C1072" t="n">
        <v>317000</v>
      </c>
    </row>
    <row r="1073">
      <c r="A1073" s="78" t="n">
        <v>31976</v>
      </c>
      <c r="B1073" t="n">
        <v>2211000</v>
      </c>
      <c r="C1073" t="n">
        <v>310000</v>
      </c>
    </row>
    <row r="1074">
      <c r="A1074" s="78" t="n">
        <v>31983</v>
      </c>
      <c r="B1074" t="n">
        <v>2247000</v>
      </c>
      <c r="C1074" t="n">
        <v>324000</v>
      </c>
    </row>
    <row r="1075">
      <c r="A1075" s="78" t="n">
        <v>31990</v>
      </c>
      <c r="B1075" t="n">
        <v>2232000</v>
      </c>
      <c r="C1075" t="n">
        <v>348000</v>
      </c>
    </row>
    <row r="1076">
      <c r="A1076" s="78" t="n">
        <v>31997</v>
      </c>
      <c r="B1076" t="n">
        <v>2263000</v>
      </c>
      <c r="C1076" t="n">
        <v>327000</v>
      </c>
    </row>
    <row r="1077">
      <c r="A1077" s="78" t="n">
        <v>32004</v>
      </c>
      <c r="B1077" t="n">
        <v>2194000</v>
      </c>
      <c r="C1077" t="n">
        <v>319000</v>
      </c>
    </row>
    <row r="1078">
      <c r="A1078" s="78" t="n">
        <v>32011</v>
      </c>
      <c r="B1078" t="n">
        <v>2190000</v>
      </c>
      <c r="C1078" t="n">
        <v>312000</v>
      </c>
    </row>
    <row r="1079">
      <c r="A1079" s="78" t="n">
        <v>32018</v>
      </c>
      <c r="B1079" t="n">
        <v>2179000</v>
      </c>
      <c r="C1079" t="n">
        <v>322000</v>
      </c>
    </row>
    <row r="1080">
      <c r="A1080" s="78" t="n">
        <v>32025</v>
      </c>
      <c r="B1080" t="n">
        <v>2125000</v>
      </c>
      <c r="C1080" t="n">
        <v>316000</v>
      </c>
    </row>
    <row r="1081">
      <c r="A1081" s="78" t="n">
        <v>32032</v>
      </c>
      <c r="B1081" t="n">
        <v>2172000</v>
      </c>
      <c r="C1081" t="n">
        <v>297000</v>
      </c>
    </row>
    <row r="1082">
      <c r="A1082" s="78" t="n">
        <v>32039</v>
      </c>
      <c r="B1082" t="n">
        <v>2351000</v>
      </c>
      <c r="C1082" t="n">
        <v>309000</v>
      </c>
    </row>
    <row r="1083">
      <c r="A1083" s="78" t="n">
        <v>32046</v>
      </c>
      <c r="B1083" t="n">
        <v>2139000</v>
      </c>
      <c r="C1083" t="n">
        <v>317000</v>
      </c>
    </row>
    <row r="1084">
      <c r="A1084" s="78" t="n">
        <v>32053</v>
      </c>
      <c r="B1084" t="n">
        <v>2151000</v>
      </c>
      <c r="C1084" t="n">
        <v>301000</v>
      </c>
    </row>
    <row r="1085">
      <c r="A1085" s="78" t="n">
        <v>32060</v>
      </c>
      <c r="B1085" t="n">
        <v>2101000</v>
      </c>
      <c r="C1085" t="n">
        <v>308000</v>
      </c>
    </row>
    <row r="1086">
      <c r="A1086" s="78" t="n">
        <v>32067</v>
      </c>
      <c r="B1086" t="n">
        <v>2074000</v>
      </c>
      <c r="C1086" t="n">
        <v>301000</v>
      </c>
    </row>
    <row r="1087">
      <c r="A1087" s="78" t="n">
        <v>32074</v>
      </c>
      <c r="B1087" t="n">
        <v>1966000</v>
      </c>
      <c r="C1087" t="n">
        <v>301000</v>
      </c>
    </row>
    <row r="1088">
      <c r="A1088" s="78" t="n">
        <v>32081</v>
      </c>
      <c r="B1088" t="n">
        <v>1942000</v>
      </c>
      <c r="C1088" t="n">
        <v>289000</v>
      </c>
    </row>
    <row r="1089">
      <c r="A1089" s="78" t="n">
        <v>32088</v>
      </c>
      <c r="B1089" t="n">
        <v>2054000</v>
      </c>
      <c r="C1089" t="n">
        <v>297000</v>
      </c>
    </row>
    <row r="1090">
      <c r="A1090" s="78" t="n">
        <v>32095</v>
      </c>
      <c r="B1090" t="n">
        <v>2109000</v>
      </c>
      <c r="C1090" t="n">
        <v>307000</v>
      </c>
    </row>
    <row r="1091">
      <c r="A1091" s="78" t="n">
        <v>32102</v>
      </c>
      <c r="B1091" t="n">
        <v>2064000</v>
      </c>
      <c r="C1091" t="n">
        <v>317000</v>
      </c>
    </row>
    <row r="1092">
      <c r="A1092" s="78" t="n">
        <v>32109</v>
      </c>
      <c r="B1092" t="n">
        <v>2102000</v>
      </c>
      <c r="C1092" t="n">
        <v>306000</v>
      </c>
    </row>
    <row r="1093">
      <c r="A1093" s="78" t="n">
        <v>32116</v>
      </c>
      <c r="B1093" t="n">
        <v>2125000</v>
      </c>
      <c r="C1093" t="n">
        <v>319000</v>
      </c>
    </row>
    <row r="1094">
      <c r="A1094" s="78" t="n">
        <v>32123</v>
      </c>
      <c r="B1094" t="n">
        <v>2092000</v>
      </c>
      <c r="C1094" t="n">
        <v>317000</v>
      </c>
    </row>
    <row r="1095">
      <c r="A1095" s="78" t="n">
        <v>32130</v>
      </c>
      <c r="B1095" t="n">
        <v>2105000</v>
      </c>
      <c r="C1095" t="n">
        <v>323000</v>
      </c>
    </row>
    <row r="1096">
      <c r="A1096" s="78" t="n">
        <v>32137</v>
      </c>
      <c r="B1096" t="n">
        <v>2140000</v>
      </c>
      <c r="C1096" t="n">
        <v>316000</v>
      </c>
    </row>
    <row r="1097">
      <c r="A1097" s="78" t="n">
        <v>32144</v>
      </c>
      <c r="B1097" t="n">
        <v>2096000</v>
      </c>
      <c r="C1097" t="n">
        <v>315000</v>
      </c>
    </row>
    <row r="1098">
      <c r="A1098" s="78" t="n">
        <v>32151</v>
      </c>
      <c r="B1098" t="n">
        <v>2231000</v>
      </c>
      <c r="C1098" t="n">
        <v>325000</v>
      </c>
    </row>
    <row r="1099">
      <c r="A1099" s="78" t="n">
        <v>32158</v>
      </c>
      <c r="B1099" t="n">
        <v>2186000</v>
      </c>
      <c r="C1099" t="n">
        <v>361000</v>
      </c>
    </row>
    <row r="1100">
      <c r="A1100" s="78" t="n">
        <v>32165</v>
      </c>
      <c r="B1100" t="n">
        <v>2214000</v>
      </c>
      <c r="C1100" t="n">
        <v>335000</v>
      </c>
    </row>
    <row r="1101">
      <c r="A1101" s="78" t="n">
        <v>32172</v>
      </c>
      <c r="B1101" t="n">
        <v>2213000</v>
      </c>
      <c r="C1101" t="n">
        <v>342000</v>
      </c>
    </row>
    <row r="1102">
      <c r="A1102" s="78" t="n">
        <v>32179</v>
      </c>
      <c r="B1102" t="n">
        <v>2180000</v>
      </c>
      <c r="C1102" t="n">
        <v>318000</v>
      </c>
    </row>
    <row r="1103">
      <c r="A1103" s="78" t="n">
        <v>32186</v>
      </c>
      <c r="B1103" t="n">
        <v>2184000</v>
      </c>
      <c r="C1103" t="n">
        <v>311000</v>
      </c>
    </row>
    <row r="1104">
      <c r="A1104" s="78" t="n">
        <v>32193</v>
      </c>
      <c r="B1104" t="n">
        <v>2091000</v>
      </c>
      <c r="C1104" t="n">
        <v>327000</v>
      </c>
    </row>
    <row r="1105">
      <c r="A1105" s="78" t="n">
        <v>32200</v>
      </c>
      <c r="B1105" t="n">
        <v>2111000</v>
      </c>
      <c r="C1105" t="n">
        <v>319000</v>
      </c>
    </row>
    <row r="1106">
      <c r="A1106" s="78" t="n">
        <v>32207</v>
      </c>
      <c r="B1106" t="n">
        <v>2147000</v>
      </c>
      <c r="C1106" t="n">
        <v>307000</v>
      </c>
    </row>
    <row r="1107">
      <c r="A1107" s="78" t="n">
        <v>32214</v>
      </c>
      <c r="B1107" t="n">
        <v>2112000</v>
      </c>
      <c r="C1107" t="n">
        <v>304000</v>
      </c>
    </row>
    <row r="1108">
      <c r="A1108" s="78" t="n">
        <v>32221</v>
      </c>
      <c r="B1108" t="n">
        <v>2112000</v>
      </c>
      <c r="C1108" t="n">
        <v>307000</v>
      </c>
    </row>
    <row r="1109">
      <c r="A1109" s="78" t="n">
        <v>32228</v>
      </c>
      <c r="B1109" t="n">
        <v>2077000</v>
      </c>
      <c r="C1109" t="n">
        <v>304000</v>
      </c>
    </row>
    <row r="1110">
      <c r="A1110" s="78" t="n">
        <v>32235</v>
      </c>
      <c r="B1110" t="n">
        <v>2086000</v>
      </c>
      <c r="C1110" t="n">
        <v>309000</v>
      </c>
    </row>
    <row r="1111">
      <c r="A1111" s="78" t="n">
        <v>32242</v>
      </c>
      <c r="B1111" t="n">
        <v>2104000</v>
      </c>
      <c r="C1111" t="n">
        <v>313000</v>
      </c>
    </row>
    <row r="1112">
      <c r="A1112" s="78" t="n">
        <v>32249</v>
      </c>
      <c r="B1112" t="n">
        <v>2072000</v>
      </c>
      <c r="C1112" t="n">
        <v>314000</v>
      </c>
    </row>
    <row r="1113">
      <c r="A1113" s="78" t="n">
        <v>32256</v>
      </c>
      <c r="B1113" t="n">
        <v>2067000</v>
      </c>
      <c r="C1113" t="n">
        <v>312000</v>
      </c>
    </row>
    <row r="1114">
      <c r="A1114" s="78" t="n">
        <v>32263</v>
      </c>
      <c r="B1114" t="n">
        <v>2077000</v>
      </c>
      <c r="C1114" t="n">
        <v>313000</v>
      </c>
    </row>
    <row r="1115">
      <c r="A1115" s="78" t="n">
        <v>32270</v>
      </c>
      <c r="B1115" t="n">
        <v>2059000</v>
      </c>
      <c r="C1115" t="n">
        <v>309000</v>
      </c>
    </row>
    <row r="1116">
      <c r="A1116" s="78" t="n">
        <v>32277</v>
      </c>
      <c r="B1116" t="n">
        <v>2068000</v>
      </c>
      <c r="C1116" t="n">
        <v>314000</v>
      </c>
    </row>
    <row r="1117">
      <c r="A1117" s="78" t="n">
        <v>32284</v>
      </c>
      <c r="B1117" t="n">
        <v>2099000</v>
      </c>
      <c r="C1117" t="n">
        <v>319000</v>
      </c>
    </row>
    <row r="1118">
      <c r="A1118" s="78" t="n">
        <v>32291</v>
      </c>
      <c r="B1118" t="n">
        <v>2045000</v>
      </c>
      <c r="C1118" t="n">
        <v>313000</v>
      </c>
    </row>
    <row r="1119">
      <c r="A1119" s="78" t="n">
        <v>32298</v>
      </c>
      <c r="B1119" t="n">
        <v>2040000</v>
      </c>
      <c r="C1119" t="n">
        <v>310000</v>
      </c>
    </row>
    <row r="1120">
      <c r="A1120" s="78" t="n">
        <v>32305</v>
      </c>
      <c r="B1120" t="n">
        <v>2068000</v>
      </c>
      <c r="C1120" t="n">
        <v>305000</v>
      </c>
    </row>
    <row r="1121">
      <c r="A1121" s="78" t="n">
        <v>32312</v>
      </c>
      <c r="B1121" t="n">
        <v>2034000</v>
      </c>
      <c r="C1121" t="n">
        <v>311000</v>
      </c>
    </row>
    <row r="1122">
      <c r="A1122" s="78" t="n">
        <v>32319</v>
      </c>
      <c r="B1122" t="n">
        <v>2030000</v>
      </c>
      <c r="C1122" t="n">
        <v>307000</v>
      </c>
    </row>
    <row r="1123">
      <c r="A1123" s="78" t="n">
        <v>32326</v>
      </c>
      <c r="B1123" t="n">
        <v>2035000</v>
      </c>
      <c r="C1123" t="n">
        <v>305000</v>
      </c>
    </row>
    <row r="1124">
      <c r="A1124" s="78" t="n">
        <v>32333</v>
      </c>
      <c r="B1124" t="n">
        <v>2027000</v>
      </c>
      <c r="C1124" t="n">
        <v>303000</v>
      </c>
    </row>
    <row r="1125">
      <c r="A1125" s="78" t="n">
        <v>32340</v>
      </c>
      <c r="B1125" t="n">
        <v>2073000</v>
      </c>
      <c r="C1125" t="n">
        <v>315000</v>
      </c>
    </row>
    <row r="1126">
      <c r="A1126" s="78" t="n">
        <v>32347</v>
      </c>
      <c r="B1126" t="n">
        <v>2083000</v>
      </c>
      <c r="C1126" t="n">
        <v>354000</v>
      </c>
    </row>
    <row r="1127">
      <c r="A1127" s="78" t="n">
        <v>32354</v>
      </c>
      <c r="B1127" t="n">
        <v>2108000</v>
      </c>
      <c r="C1127" t="n">
        <v>331000</v>
      </c>
    </row>
    <row r="1128">
      <c r="A1128" s="78" t="n">
        <v>32361</v>
      </c>
      <c r="B1128" t="n">
        <v>2101000</v>
      </c>
      <c r="C1128" t="n">
        <v>316000</v>
      </c>
    </row>
    <row r="1129">
      <c r="A1129" s="78" t="n">
        <v>32368</v>
      </c>
      <c r="B1129" t="n">
        <v>2070000</v>
      </c>
      <c r="C1129" t="n">
        <v>312000</v>
      </c>
    </row>
    <row r="1130">
      <c r="A1130" s="78" t="n">
        <v>32375</v>
      </c>
      <c r="B1130" t="n">
        <v>2099000</v>
      </c>
      <c r="C1130" t="n">
        <v>316000</v>
      </c>
    </row>
    <row r="1131">
      <c r="A1131" s="78" t="n">
        <v>32382</v>
      </c>
      <c r="B1131" t="n">
        <v>2082000</v>
      </c>
      <c r="C1131" t="n">
        <v>315000</v>
      </c>
    </row>
    <row r="1132">
      <c r="A1132" s="78" t="n">
        <v>32389</v>
      </c>
      <c r="B1132" t="n">
        <v>2091000</v>
      </c>
      <c r="C1132" t="n">
        <v>306000</v>
      </c>
    </row>
    <row r="1133">
      <c r="A1133" s="78" t="n">
        <v>32396</v>
      </c>
      <c r="B1133" t="n">
        <v>2053000</v>
      </c>
      <c r="C1133" t="n">
        <v>305000</v>
      </c>
    </row>
    <row r="1134">
      <c r="A1134" s="78" t="n">
        <v>32403</v>
      </c>
      <c r="B1134" t="n">
        <v>2106000</v>
      </c>
      <c r="C1134" t="n">
        <v>306000</v>
      </c>
    </row>
    <row r="1135">
      <c r="A1135" s="78" t="n">
        <v>32410</v>
      </c>
      <c r="B1135" t="n">
        <v>2053000</v>
      </c>
      <c r="C1135" t="n">
        <v>301000</v>
      </c>
    </row>
    <row r="1136">
      <c r="A1136" s="78" t="n">
        <v>32417</v>
      </c>
      <c r="B1136" t="n">
        <v>2041000</v>
      </c>
      <c r="C1136" t="n">
        <v>292000</v>
      </c>
    </row>
    <row r="1137">
      <c r="A1137" s="78" t="n">
        <v>32424</v>
      </c>
      <c r="B1137" t="n">
        <v>2017000</v>
      </c>
      <c r="C1137" t="n">
        <v>292000</v>
      </c>
    </row>
    <row r="1138">
      <c r="A1138" s="78" t="n">
        <v>32431</v>
      </c>
      <c r="B1138" t="n">
        <v>1994000</v>
      </c>
      <c r="C1138" t="n">
        <v>293000</v>
      </c>
    </row>
    <row r="1139">
      <c r="A1139" s="78" t="n">
        <v>32438</v>
      </c>
      <c r="B1139" t="n">
        <v>2011000</v>
      </c>
      <c r="C1139" t="n">
        <v>286000</v>
      </c>
    </row>
    <row r="1140">
      <c r="A1140" s="78" t="n">
        <v>32445</v>
      </c>
      <c r="B1140" t="n">
        <v>2015000</v>
      </c>
      <c r="C1140" t="n">
        <v>294000</v>
      </c>
    </row>
    <row r="1141">
      <c r="A1141" s="78" t="n">
        <v>32452</v>
      </c>
      <c r="B1141" t="n">
        <v>1898000</v>
      </c>
      <c r="C1141" t="n">
        <v>285000</v>
      </c>
    </row>
    <row r="1142">
      <c r="A1142" s="78" t="n">
        <v>32459</v>
      </c>
      <c r="B1142" t="n">
        <v>2011000</v>
      </c>
      <c r="C1142" t="n">
        <v>284000</v>
      </c>
    </row>
    <row r="1143">
      <c r="A1143" s="78" t="n">
        <v>32466</v>
      </c>
      <c r="B1143" t="n">
        <v>1981000</v>
      </c>
      <c r="C1143" t="n">
        <v>294000</v>
      </c>
    </row>
    <row r="1144">
      <c r="A1144" s="78" t="n">
        <v>32473</v>
      </c>
      <c r="B1144" t="n">
        <v>2023000</v>
      </c>
      <c r="C1144" t="n">
        <v>299000</v>
      </c>
    </row>
    <row r="1145">
      <c r="A1145" s="78" t="n">
        <v>32480</v>
      </c>
      <c r="B1145" t="n">
        <v>2006000</v>
      </c>
      <c r="C1145" t="n">
        <v>298000</v>
      </c>
    </row>
    <row r="1146">
      <c r="A1146" s="78" t="n">
        <v>32487</v>
      </c>
      <c r="B1146" t="n">
        <v>2013000</v>
      </c>
      <c r="C1146" t="n">
        <v>285000</v>
      </c>
    </row>
    <row r="1147">
      <c r="A1147" s="78" t="n">
        <v>32494</v>
      </c>
      <c r="B1147" t="n">
        <v>2054000</v>
      </c>
      <c r="C1147" t="n">
        <v>293000</v>
      </c>
    </row>
    <row r="1148">
      <c r="A1148" s="78" t="n">
        <v>32501</v>
      </c>
      <c r="B1148" t="n">
        <v>2061000</v>
      </c>
      <c r="C1148" t="n">
        <v>286000</v>
      </c>
    </row>
    <row r="1149">
      <c r="A1149" s="78" t="n">
        <v>32508</v>
      </c>
      <c r="B1149" t="n">
        <v>2092000</v>
      </c>
      <c r="C1149" t="n">
        <v>304000</v>
      </c>
    </row>
    <row r="1150">
      <c r="A1150" s="78" t="n">
        <v>32515</v>
      </c>
      <c r="B1150" t="n">
        <v>2056000</v>
      </c>
      <c r="C1150" t="n">
        <v>299000</v>
      </c>
    </row>
    <row r="1151">
      <c r="A1151" s="78" t="n">
        <v>32522</v>
      </c>
      <c r="B1151" t="n">
        <v>2069000</v>
      </c>
      <c r="C1151" t="n">
        <v>283000</v>
      </c>
    </row>
    <row r="1152">
      <c r="A1152" s="78" t="n">
        <v>32529</v>
      </c>
      <c r="B1152" t="n">
        <v>2048000</v>
      </c>
      <c r="C1152" t="n">
        <v>282000</v>
      </c>
    </row>
    <row r="1153">
      <c r="A1153" s="78" t="n">
        <v>32536</v>
      </c>
      <c r="B1153" t="n">
        <v>2071000</v>
      </c>
      <c r="C1153" t="n">
        <v>295000</v>
      </c>
    </row>
    <row r="1154">
      <c r="A1154" s="78" t="n">
        <v>32543</v>
      </c>
      <c r="B1154" t="n">
        <v>2074000</v>
      </c>
      <c r="C1154" t="n">
        <v>288000</v>
      </c>
    </row>
    <row r="1155">
      <c r="A1155" s="78" t="n">
        <v>32550</v>
      </c>
      <c r="B1155" t="n">
        <v>2103000</v>
      </c>
      <c r="C1155" t="n">
        <v>322000</v>
      </c>
    </row>
    <row r="1156">
      <c r="A1156" s="78" t="n">
        <v>32557</v>
      </c>
      <c r="B1156" t="n">
        <v>2111000</v>
      </c>
      <c r="C1156" t="n">
        <v>305000</v>
      </c>
    </row>
    <row r="1157">
      <c r="A1157" s="78" t="n">
        <v>32564</v>
      </c>
      <c r="B1157" t="n">
        <v>2167000</v>
      </c>
      <c r="C1157" t="n">
        <v>300000</v>
      </c>
    </row>
    <row r="1158">
      <c r="A1158" s="78" t="n">
        <v>32571</v>
      </c>
      <c r="B1158" t="n">
        <v>2110000</v>
      </c>
      <c r="C1158" t="n">
        <v>325000</v>
      </c>
    </row>
    <row r="1159">
      <c r="A1159" s="78" t="n">
        <v>32578</v>
      </c>
      <c r="B1159" t="n">
        <v>2163000</v>
      </c>
      <c r="C1159" t="n">
        <v>325000</v>
      </c>
    </row>
    <row r="1160">
      <c r="A1160" s="78" t="n">
        <v>32585</v>
      </c>
      <c r="B1160" t="n">
        <v>2108000</v>
      </c>
      <c r="C1160" t="n">
        <v>319000</v>
      </c>
    </row>
    <row r="1161">
      <c r="A1161" s="78" t="n">
        <v>32592</v>
      </c>
      <c r="B1161" t="n">
        <v>2145000</v>
      </c>
      <c r="C1161" t="n">
        <v>319000</v>
      </c>
    </row>
    <row r="1162">
      <c r="A1162" s="78" t="n">
        <v>32599</v>
      </c>
      <c r="B1162" t="n">
        <v>2117000</v>
      </c>
      <c r="C1162" t="n">
        <v>323000</v>
      </c>
    </row>
    <row r="1163">
      <c r="A1163" s="78" t="n">
        <v>32606</v>
      </c>
      <c r="B1163" t="n">
        <v>2117000</v>
      </c>
      <c r="C1163" t="n">
        <v>314000</v>
      </c>
    </row>
    <row r="1164">
      <c r="A1164" s="78" t="n">
        <v>32613</v>
      </c>
      <c r="B1164" t="n">
        <v>2092000</v>
      </c>
      <c r="C1164" t="n">
        <v>307000</v>
      </c>
    </row>
    <row r="1165">
      <c r="A1165" s="78" t="n">
        <v>32620</v>
      </c>
      <c r="B1165" t="n">
        <v>2104000</v>
      </c>
      <c r="C1165" t="n">
        <v>304000</v>
      </c>
    </row>
    <row r="1166">
      <c r="A1166" s="78" t="n">
        <v>32627</v>
      </c>
      <c r="B1166" t="n">
        <v>2064000</v>
      </c>
      <c r="C1166" t="n">
        <v>311000</v>
      </c>
    </row>
    <row r="1167">
      <c r="A1167" s="78" t="n">
        <v>32634</v>
      </c>
      <c r="B1167" t="n">
        <v>2089000</v>
      </c>
      <c r="C1167" t="n">
        <v>320000</v>
      </c>
    </row>
    <row r="1168">
      <c r="A1168" s="78" t="n">
        <v>32641</v>
      </c>
      <c r="B1168" t="n">
        <v>2144000</v>
      </c>
      <c r="C1168" t="n">
        <v>332000</v>
      </c>
    </row>
    <row r="1169">
      <c r="A1169" s="78" t="n">
        <v>32648</v>
      </c>
      <c r="B1169" t="n">
        <v>2085000</v>
      </c>
      <c r="C1169" t="n">
        <v>321000</v>
      </c>
    </row>
    <row r="1170">
      <c r="A1170" s="78" t="n">
        <v>32655</v>
      </c>
      <c r="B1170" t="n">
        <v>2056000</v>
      </c>
      <c r="C1170" t="n">
        <v>325000</v>
      </c>
    </row>
    <row r="1171">
      <c r="A1171" s="78" t="n">
        <v>32662</v>
      </c>
      <c r="B1171" t="n">
        <v>2117000</v>
      </c>
      <c r="C1171" t="n">
        <v>325000</v>
      </c>
    </row>
    <row r="1172">
      <c r="A1172" s="78" t="n">
        <v>32669</v>
      </c>
      <c r="B1172" t="n">
        <v>2110000</v>
      </c>
      <c r="C1172" t="n">
        <v>332000</v>
      </c>
    </row>
    <row r="1173">
      <c r="A1173" s="78" t="n">
        <v>32676</v>
      </c>
      <c r="B1173" t="n">
        <v>2113000</v>
      </c>
      <c r="C1173" t="n">
        <v>337000</v>
      </c>
    </row>
    <row r="1174">
      <c r="A1174" s="78" t="n">
        <v>32683</v>
      </c>
      <c r="B1174" t="n">
        <v>2151000</v>
      </c>
      <c r="C1174" t="n">
        <v>338000</v>
      </c>
    </row>
    <row r="1175">
      <c r="A1175" s="78" t="n">
        <v>32690</v>
      </c>
      <c r="B1175" t="n">
        <v>2133000</v>
      </c>
      <c r="C1175" t="n">
        <v>349000</v>
      </c>
    </row>
    <row r="1176">
      <c r="A1176" s="78" t="n">
        <v>32697</v>
      </c>
      <c r="B1176" t="n">
        <v>2207000</v>
      </c>
      <c r="C1176" t="n">
        <v>341000</v>
      </c>
    </row>
    <row r="1177">
      <c r="A1177" s="78" t="n">
        <v>32704</v>
      </c>
      <c r="B1177" t="n">
        <v>2217000</v>
      </c>
      <c r="C1177" t="n">
        <v>349000</v>
      </c>
    </row>
    <row r="1178">
      <c r="A1178" s="78" t="n">
        <v>32711</v>
      </c>
      <c r="B1178" t="n">
        <v>2159000</v>
      </c>
      <c r="C1178" t="n">
        <v>332000</v>
      </c>
    </row>
    <row r="1179">
      <c r="A1179" s="78" t="n">
        <v>32718</v>
      </c>
      <c r="B1179" t="n">
        <v>2181000</v>
      </c>
      <c r="C1179" t="n">
        <v>337000</v>
      </c>
    </row>
    <row r="1180">
      <c r="A1180" s="78" t="n">
        <v>32725</v>
      </c>
      <c r="B1180" t="n">
        <v>2236000</v>
      </c>
      <c r="C1180" t="n">
        <v>338000</v>
      </c>
    </row>
    <row r="1181">
      <c r="A1181" s="78" t="n">
        <v>32732</v>
      </c>
      <c r="B1181" t="n">
        <v>2214000</v>
      </c>
      <c r="C1181" t="n">
        <v>341000</v>
      </c>
    </row>
    <row r="1182">
      <c r="A1182" s="78" t="n">
        <v>32739</v>
      </c>
      <c r="B1182" t="n">
        <v>2195000</v>
      </c>
      <c r="C1182" t="n">
        <v>327000</v>
      </c>
    </row>
    <row r="1183">
      <c r="A1183" s="78" t="n">
        <v>32746</v>
      </c>
      <c r="B1183" t="n">
        <v>2184000</v>
      </c>
      <c r="C1183" t="n">
        <v>332000</v>
      </c>
    </row>
    <row r="1184">
      <c r="A1184" s="78" t="n">
        <v>32753</v>
      </c>
      <c r="B1184" t="n">
        <v>2199000</v>
      </c>
      <c r="C1184" t="n">
        <v>329000</v>
      </c>
    </row>
    <row r="1185">
      <c r="A1185" s="78" t="n">
        <v>32760</v>
      </c>
      <c r="B1185" t="n">
        <v>2207000</v>
      </c>
      <c r="C1185" t="n">
        <v>336000</v>
      </c>
    </row>
    <row r="1186">
      <c r="A1186" s="78" t="n">
        <v>32767</v>
      </c>
      <c r="B1186" t="n">
        <v>2169000</v>
      </c>
      <c r="C1186" t="n">
        <v>334000</v>
      </c>
    </row>
    <row r="1187">
      <c r="A1187" s="78" t="n">
        <v>32774</v>
      </c>
      <c r="B1187" t="n">
        <v>2249000</v>
      </c>
      <c r="C1187" t="n">
        <v>334000</v>
      </c>
    </row>
    <row r="1188">
      <c r="A1188" s="78" t="n">
        <v>32781</v>
      </c>
      <c r="B1188" t="n">
        <v>2220000</v>
      </c>
      <c r="C1188" t="n">
        <v>347000</v>
      </c>
    </row>
    <row r="1189">
      <c r="A1189" s="78" t="n">
        <v>32788</v>
      </c>
      <c r="B1189" t="n">
        <v>2279000</v>
      </c>
      <c r="C1189" t="n">
        <v>407000</v>
      </c>
    </row>
    <row r="1190">
      <c r="A1190" s="78" t="n">
        <v>32795</v>
      </c>
      <c r="B1190" t="n">
        <v>2293000</v>
      </c>
      <c r="C1190" t="n">
        <v>345000</v>
      </c>
    </row>
    <row r="1191">
      <c r="A1191" s="78" t="n">
        <v>32802</v>
      </c>
      <c r="B1191" t="n">
        <v>2295000</v>
      </c>
      <c r="C1191" t="n">
        <v>347000</v>
      </c>
    </row>
    <row r="1192">
      <c r="A1192" s="78" t="n">
        <v>32809</v>
      </c>
      <c r="B1192" t="n">
        <v>2257000</v>
      </c>
      <c r="C1192" t="n">
        <v>354000</v>
      </c>
    </row>
    <row r="1193">
      <c r="A1193" s="78" t="n">
        <v>32816</v>
      </c>
      <c r="B1193" t="n">
        <v>2280000</v>
      </c>
      <c r="C1193" t="n">
        <v>333000</v>
      </c>
    </row>
    <row r="1194">
      <c r="A1194" s="78" t="n">
        <v>32823</v>
      </c>
      <c r="B1194" t="n">
        <v>2271000</v>
      </c>
      <c r="C1194" t="n">
        <v>336000</v>
      </c>
    </row>
    <row r="1195">
      <c r="A1195" s="78" t="n">
        <v>32830</v>
      </c>
      <c r="B1195" t="n">
        <v>2289000</v>
      </c>
      <c r="C1195" t="n">
        <v>336000</v>
      </c>
    </row>
    <row r="1196">
      <c r="A1196" s="78" t="n">
        <v>32837</v>
      </c>
      <c r="B1196" t="n">
        <v>2300000</v>
      </c>
      <c r="C1196" t="n">
        <v>342000</v>
      </c>
    </row>
    <row r="1197">
      <c r="A1197" s="78" t="n">
        <v>32844</v>
      </c>
      <c r="B1197" t="n">
        <v>2271000</v>
      </c>
      <c r="C1197" t="n">
        <v>344000</v>
      </c>
    </row>
    <row r="1198">
      <c r="A1198" s="78" t="n">
        <v>32851</v>
      </c>
      <c r="B1198" t="n">
        <v>2265000</v>
      </c>
      <c r="C1198" t="n">
        <v>338000</v>
      </c>
    </row>
    <row r="1199">
      <c r="A1199" s="78" t="n">
        <v>32858</v>
      </c>
      <c r="B1199" t="n">
        <v>2295000</v>
      </c>
      <c r="C1199" t="n">
        <v>355000</v>
      </c>
    </row>
    <row r="1200">
      <c r="A1200" s="78" t="n">
        <v>32865</v>
      </c>
      <c r="B1200" t="n">
        <v>2292000</v>
      </c>
      <c r="C1200" t="n">
        <v>381000</v>
      </c>
    </row>
    <row r="1201">
      <c r="A1201" s="78" t="n">
        <v>32872</v>
      </c>
      <c r="B1201" t="n">
        <v>2302000</v>
      </c>
      <c r="C1201" t="n">
        <v>358000</v>
      </c>
    </row>
    <row r="1202">
      <c r="A1202" s="78" t="n">
        <v>32879</v>
      </c>
      <c r="B1202" t="n">
        <v>2347000</v>
      </c>
      <c r="C1202" t="n">
        <v>355000</v>
      </c>
    </row>
    <row r="1203">
      <c r="A1203" s="78" t="n">
        <v>32886</v>
      </c>
      <c r="B1203" t="n">
        <v>2349000</v>
      </c>
      <c r="C1203" t="n">
        <v>369000</v>
      </c>
    </row>
    <row r="1204">
      <c r="A1204" s="78" t="n">
        <v>32893</v>
      </c>
      <c r="B1204" t="n">
        <v>2407000</v>
      </c>
      <c r="C1204" t="n">
        <v>375000</v>
      </c>
    </row>
    <row r="1205">
      <c r="A1205" s="78" t="n">
        <v>32900</v>
      </c>
      <c r="B1205" t="n">
        <v>2316000</v>
      </c>
      <c r="C1205" t="n">
        <v>345000</v>
      </c>
    </row>
    <row r="1206">
      <c r="A1206" s="78" t="n">
        <v>32907</v>
      </c>
      <c r="B1206" t="n">
        <v>2364000</v>
      </c>
      <c r="C1206" t="n">
        <v>368000</v>
      </c>
    </row>
    <row r="1207">
      <c r="A1207" s="78" t="n">
        <v>32914</v>
      </c>
      <c r="B1207" t="n">
        <v>2323000</v>
      </c>
      <c r="C1207" t="n">
        <v>367000</v>
      </c>
    </row>
    <row r="1208">
      <c r="A1208" s="78" t="n">
        <v>32921</v>
      </c>
      <c r="B1208" t="n">
        <v>2382000</v>
      </c>
      <c r="C1208" t="n">
        <v>348000</v>
      </c>
    </row>
    <row r="1209">
      <c r="A1209" s="78" t="n">
        <v>32928</v>
      </c>
      <c r="B1209" t="n">
        <v>2347000</v>
      </c>
      <c r="C1209" t="n">
        <v>350000</v>
      </c>
    </row>
    <row r="1210">
      <c r="A1210" s="78" t="n">
        <v>32935</v>
      </c>
      <c r="B1210" t="n">
        <v>2385000</v>
      </c>
      <c r="C1210" t="n">
        <v>351000</v>
      </c>
    </row>
    <row r="1211">
      <c r="A1211" s="78" t="n">
        <v>32942</v>
      </c>
      <c r="B1211" t="n">
        <v>2341000</v>
      </c>
      <c r="C1211" t="n">
        <v>349000</v>
      </c>
    </row>
    <row r="1212">
      <c r="A1212" s="78" t="n">
        <v>32949</v>
      </c>
      <c r="B1212" t="n">
        <v>2384000</v>
      </c>
      <c r="C1212" t="n">
        <v>349000</v>
      </c>
    </row>
    <row r="1213">
      <c r="A1213" s="78" t="n">
        <v>32956</v>
      </c>
      <c r="B1213" t="n">
        <v>2344000</v>
      </c>
      <c r="C1213" t="n">
        <v>331000</v>
      </c>
    </row>
    <row r="1214">
      <c r="A1214" s="78" t="n">
        <v>32963</v>
      </c>
      <c r="B1214" t="n">
        <v>2365000</v>
      </c>
      <c r="C1214" t="n">
        <v>346000</v>
      </c>
    </row>
    <row r="1215">
      <c r="A1215" s="78" t="n">
        <v>32970</v>
      </c>
      <c r="B1215" t="n">
        <v>2323000</v>
      </c>
      <c r="C1215" t="n">
        <v>367000</v>
      </c>
    </row>
    <row r="1216">
      <c r="A1216" s="78" t="n">
        <v>32977</v>
      </c>
      <c r="B1216" t="n">
        <v>2410000</v>
      </c>
      <c r="C1216" t="n">
        <v>357000</v>
      </c>
    </row>
    <row r="1217">
      <c r="A1217" s="78" t="n">
        <v>32984</v>
      </c>
      <c r="B1217" t="n">
        <v>2385000</v>
      </c>
      <c r="C1217" t="n">
        <v>360000</v>
      </c>
    </row>
    <row r="1218">
      <c r="A1218" s="78" t="n">
        <v>32991</v>
      </c>
      <c r="B1218" t="n">
        <v>2403000</v>
      </c>
      <c r="C1218" t="n">
        <v>363000</v>
      </c>
    </row>
    <row r="1219">
      <c r="A1219" s="78" t="n">
        <v>32998</v>
      </c>
      <c r="B1219" t="n">
        <v>2374000</v>
      </c>
      <c r="C1219" t="n">
        <v>354000</v>
      </c>
    </row>
    <row r="1220">
      <c r="A1220" s="78" t="n">
        <v>33005</v>
      </c>
      <c r="B1220" t="n">
        <v>2374000</v>
      </c>
      <c r="C1220" t="n">
        <v>355000</v>
      </c>
    </row>
    <row r="1221">
      <c r="A1221" s="78" t="n">
        <v>33012</v>
      </c>
      <c r="B1221" t="n">
        <v>2381000</v>
      </c>
      <c r="C1221" t="n">
        <v>353000</v>
      </c>
    </row>
    <row r="1222">
      <c r="A1222" s="78" t="n">
        <v>33019</v>
      </c>
      <c r="B1222" t="n">
        <v>2431000</v>
      </c>
      <c r="C1222" t="n">
        <v>359000</v>
      </c>
    </row>
    <row r="1223">
      <c r="A1223" s="78" t="n">
        <v>33026</v>
      </c>
      <c r="B1223" t="n">
        <v>2406000</v>
      </c>
      <c r="C1223" t="n">
        <v>368000</v>
      </c>
    </row>
    <row r="1224">
      <c r="A1224" s="78" t="n">
        <v>33033</v>
      </c>
      <c r="B1224" t="n">
        <v>2438000</v>
      </c>
      <c r="C1224" t="n">
        <v>359000</v>
      </c>
    </row>
    <row r="1225">
      <c r="A1225" s="78" t="n">
        <v>33040</v>
      </c>
      <c r="B1225" t="n">
        <v>2402000</v>
      </c>
      <c r="C1225" t="n">
        <v>359000</v>
      </c>
    </row>
    <row r="1226">
      <c r="A1226" s="78" t="n">
        <v>33047</v>
      </c>
      <c r="B1226" t="n">
        <v>2431000</v>
      </c>
      <c r="C1226" t="n">
        <v>362000</v>
      </c>
    </row>
    <row r="1227">
      <c r="A1227" s="78" t="n">
        <v>33054</v>
      </c>
      <c r="B1227" t="n">
        <v>2442000</v>
      </c>
      <c r="C1227" t="n">
        <v>364000</v>
      </c>
    </row>
    <row r="1228">
      <c r="A1228" s="78" t="n">
        <v>33061</v>
      </c>
      <c r="B1228" t="n">
        <v>2487000</v>
      </c>
      <c r="C1228" t="n">
        <v>362000</v>
      </c>
    </row>
    <row r="1229">
      <c r="A1229" s="78" t="n">
        <v>33068</v>
      </c>
      <c r="B1229" t="n">
        <v>2498000</v>
      </c>
      <c r="C1229" t="n">
        <v>367000</v>
      </c>
    </row>
    <row r="1230">
      <c r="A1230" s="78" t="n">
        <v>33075</v>
      </c>
      <c r="B1230" t="n">
        <v>2441000</v>
      </c>
      <c r="C1230" t="n">
        <v>370000</v>
      </c>
    </row>
    <row r="1231">
      <c r="A1231" s="78" t="n">
        <v>33082</v>
      </c>
      <c r="B1231" t="n">
        <v>2461000</v>
      </c>
      <c r="C1231" t="n">
        <v>369000</v>
      </c>
    </row>
    <row r="1232">
      <c r="A1232" s="78" t="n">
        <v>33089</v>
      </c>
      <c r="B1232" t="n">
        <v>2460000</v>
      </c>
      <c r="C1232" t="n">
        <v>369000</v>
      </c>
    </row>
    <row r="1233">
      <c r="A1233" s="78" t="n">
        <v>33096</v>
      </c>
      <c r="B1233" t="n">
        <v>2500000</v>
      </c>
      <c r="C1233" t="n">
        <v>381000</v>
      </c>
    </row>
    <row r="1234">
      <c r="A1234" s="78" t="n">
        <v>33103</v>
      </c>
      <c r="B1234" t="n">
        <v>2537000</v>
      </c>
      <c r="C1234" t="n">
        <v>393000</v>
      </c>
    </row>
    <row r="1235">
      <c r="A1235" s="78" t="n">
        <v>33110</v>
      </c>
      <c r="B1235" t="n">
        <v>2540000</v>
      </c>
      <c r="C1235" t="n">
        <v>394000</v>
      </c>
    </row>
    <row r="1236">
      <c r="A1236" s="78" t="n">
        <v>33117</v>
      </c>
      <c r="B1236" t="n">
        <v>2579000</v>
      </c>
      <c r="C1236" t="n">
        <v>392000</v>
      </c>
    </row>
    <row r="1237">
      <c r="A1237" s="78" t="n">
        <v>33124</v>
      </c>
      <c r="B1237" t="n">
        <v>2585000</v>
      </c>
      <c r="C1237" t="n">
        <v>390000</v>
      </c>
    </row>
    <row r="1238">
      <c r="A1238" s="78" t="n">
        <v>33131</v>
      </c>
      <c r="B1238" t="n">
        <v>2591000</v>
      </c>
      <c r="C1238" t="n">
        <v>395000</v>
      </c>
    </row>
    <row r="1239">
      <c r="A1239" s="78" t="n">
        <v>33138</v>
      </c>
      <c r="B1239" t="n">
        <v>2578000</v>
      </c>
      <c r="C1239" t="n">
        <v>389000</v>
      </c>
    </row>
    <row r="1240">
      <c r="A1240" s="78" t="n">
        <v>33145</v>
      </c>
      <c r="B1240" t="n">
        <v>2644000</v>
      </c>
      <c r="C1240" t="n">
        <v>404000</v>
      </c>
    </row>
    <row r="1241">
      <c r="A1241" s="78" t="n">
        <v>33152</v>
      </c>
      <c r="B1241" t="n">
        <v>2621000</v>
      </c>
      <c r="C1241" t="n">
        <v>404000</v>
      </c>
    </row>
    <row r="1242">
      <c r="A1242" s="78" t="n">
        <v>33159</v>
      </c>
      <c r="B1242" t="n">
        <v>2753000</v>
      </c>
      <c r="C1242" t="n">
        <v>422000</v>
      </c>
    </row>
    <row r="1243">
      <c r="A1243" s="78" t="n">
        <v>33166</v>
      </c>
      <c r="B1243" t="n">
        <v>2722000</v>
      </c>
      <c r="C1243" t="n">
        <v>435000</v>
      </c>
    </row>
    <row r="1244">
      <c r="A1244" s="78" t="n">
        <v>33173</v>
      </c>
      <c r="B1244" t="n">
        <v>2787000</v>
      </c>
      <c r="C1244" t="n">
        <v>440000</v>
      </c>
    </row>
    <row r="1245">
      <c r="A1245" s="78" t="n">
        <v>33180</v>
      </c>
      <c r="B1245" t="n">
        <v>2813000</v>
      </c>
      <c r="C1245" t="n">
        <v>430000</v>
      </c>
    </row>
    <row r="1246">
      <c r="A1246" s="78" t="n">
        <v>33187</v>
      </c>
      <c r="B1246" t="n">
        <v>2789000</v>
      </c>
      <c r="C1246" t="n">
        <v>448000</v>
      </c>
    </row>
    <row r="1247">
      <c r="A1247" s="78" t="n">
        <v>33194</v>
      </c>
      <c r="B1247" t="n">
        <v>2996000</v>
      </c>
      <c r="C1247" t="n">
        <v>447000</v>
      </c>
    </row>
    <row r="1248">
      <c r="A1248" s="78" t="n">
        <v>33201</v>
      </c>
      <c r="B1248" t="n">
        <v>2955000</v>
      </c>
      <c r="C1248" t="n">
        <v>462000</v>
      </c>
    </row>
    <row r="1249">
      <c r="A1249" s="78" t="n">
        <v>33208</v>
      </c>
      <c r="B1249" t="n">
        <v>2918000</v>
      </c>
      <c r="C1249" t="n">
        <v>451000</v>
      </c>
    </row>
    <row r="1250">
      <c r="A1250" s="78" t="n">
        <v>33215</v>
      </c>
      <c r="B1250" t="n">
        <v>3000000</v>
      </c>
      <c r="C1250" t="n">
        <v>449000</v>
      </c>
    </row>
    <row r="1251">
      <c r="A1251" s="78" t="n">
        <v>33222</v>
      </c>
      <c r="B1251" t="n">
        <v>2984000</v>
      </c>
      <c r="C1251" t="n">
        <v>447000</v>
      </c>
    </row>
    <row r="1252">
      <c r="A1252" s="78" t="n">
        <v>33229</v>
      </c>
      <c r="B1252" t="n">
        <v>3001000</v>
      </c>
      <c r="C1252" t="n">
        <v>474000</v>
      </c>
    </row>
    <row r="1253">
      <c r="A1253" s="78" t="n">
        <v>33236</v>
      </c>
      <c r="B1253" t="n">
        <v>2938000</v>
      </c>
      <c r="C1253" t="n">
        <v>454000</v>
      </c>
    </row>
    <row r="1254">
      <c r="A1254" s="78" t="n">
        <v>33243</v>
      </c>
      <c r="B1254" t="n">
        <v>3062000</v>
      </c>
      <c r="C1254" t="n">
        <v>415000</v>
      </c>
    </row>
    <row r="1255">
      <c r="A1255" s="78" t="n">
        <v>33250</v>
      </c>
      <c r="B1255" t="n">
        <v>3111000</v>
      </c>
      <c r="C1255" t="n">
        <v>437000</v>
      </c>
    </row>
    <row r="1256">
      <c r="A1256" s="78" t="n">
        <v>33257</v>
      </c>
      <c r="B1256" t="n">
        <v>3017000</v>
      </c>
      <c r="C1256" t="n">
        <v>445000</v>
      </c>
    </row>
    <row r="1257">
      <c r="A1257" s="78" t="n">
        <v>33264</v>
      </c>
      <c r="B1257" t="n">
        <v>3162000</v>
      </c>
      <c r="C1257" t="n">
        <v>462000</v>
      </c>
    </row>
    <row r="1258">
      <c r="A1258" s="78" t="n">
        <v>33271</v>
      </c>
      <c r="B1258" t="n">
        <v>3228000</v>
      </c>
      <c r="C1258" t="n">
        <v>483000</v>
      </c>
    </row>
    <row r="1259">
      <c r="A1259" s="78" t="n">
        <v>33278</v>
      </c>
      <c r="B1259" t="n">
        <v>3226000</v>
      </c>
      <c r="C1259" t="n">
        <v>480000</v>
      </c>
    </row>
    <row r="1260">
      <c r="A1260" s="78" t="n">
        <v>33285</v>
      </c>
      <c r="B1260" t="n">
        <v>3293000</v>
      </c>
      <c r="C1260" t="n">
        <v>474000</v>
      </c>
    </row>
    <row r="1261">
      <c r="A1261" s="78" t="n">
        <v>33292</v>
      </c>
      <c r="B1261" t="n">
        <v>3304000</v>
      </c>
      <c r="C1261" t="n">
        <v>499000</v>
      </c>
    </row>
    <row r="1262">
      <c r="A1262" s="78" t="n">
        <v>33299</v>
      </c>
      <c r="B1262" t="n">
        <v>3357000</v>
      </c>
      <c r="C1262" t="n">
        <v>488000</v>
      </c>
    </row>
    <row r="1263">
      <c r="A1263" s="78" t="n">
        <v>33306</v>
      </c>
      <c r="B1263" t="n">
        <v>3384000</v>
      </c>
      <c r="C1263" t="n">
        <v>499000</v>
      </c>
    </row>
    <row r="1264">
      <c r="A1264" s="78" t="n">
        <v>33313</v>
      </c>
      <c r="B1264" t="n">
        <v>3448000</v>
      </c>
      <c r="C1264" t="n">
        <v>498000</v>
      </c>
    </row>
    <row r="1265">
      <c r="A1265" s="78" t="n">
        <v>33320</v>
      </c>
      <c r="B1265" t="n">
        <v>3404000</v>
      </c>
      <c r="C1265" t="n">
        <v>509000</v>
      </c>
    </row>
    <row r="1266">
      <c r="A1266" s="78" t="n">
        <v>33327</v>
      </c>
      <c r="B1266" t="n">
        <v>3502000</v>
      </c>
      <c r="C1266" t="n">
        <v>499000</v>
      </c>
    </row>
    <row r="1267">
      <c r="A1267" s="78" t="n">
        <v>33334</v>
      </c>
      <c r="B1267" t="n">
        <v>3493000</v>
      </c>
      <c r="C1267" t="n">
        <v>452000</v>
      </c>
    </row>
    <row r="1268">
      <c r="A1268" s="78" t="n">
        <v>33341</v>
      </c>
      <c r="B1268" t="n">
        <v>3464000</v>
      </c>
      <c r="C1268" t="n">
        <v>477000</v>
      </c>
    </row>
    <row r="1269">
      <c r="A1269" s="78" t="n">
        <v>33348</v>
      </c>
      <c r="B1269" t="n">
        <v>3502000</v>
      </c>
      <c r="C1269" t="n">
        <v>478000</v>
      </c>
    </row>
    <row r="1270">
      <c r="A1270" s="78" t="n">
        <v>33355</v>
      </c>
      <c r="B1270" t="n">
        <v>3474000</v>
      </c>
      <c r="C1270" t="n">
        <v>462000</v>
      </c>
    </row>
    <row r="1271">
      <c r="A1271" s="78" t="n">
        <v>33362</v>
      </c>
      <c r="B1271" t="n">
        <v>3524000</v>
      </c>
      <c r="C1271" t="n">
        <v>451000</v>
      </c>
    </row>
    <row r="1272">
      <c r="A1272" s="78" t="n">
        <v>33369</v>
      </c>
      <c r="B1272" t="n">
        <v>3492000</v>
      </c>
      <c r="C1272" t="n">
        <v>446000</v>
      </c>
    </row>
    <row r="1273">
      <c r="A1273" s="78" t="n">
        <v>33376</v>
      </c>
      <c r="B1273" t="n">
        <v>3459000</v>
      </c>
      <c r="C1273" t="n">
        <v>448000</v>
      </c>
    </row>
    <row r="1274">
      <c r="A1274" s="78" t="n">
        <v>33383</v>
      </c>
      <c r="B1274" t="n">
        <v>3472000</v>
      </c>
      <c r="C1274" t="n">
        <v>443000</v>
      </c>
    </row>
    <row r="1275">
      <c r="A1275" s="78" t="n">
        <v>33390</v>
      </c>
      <c r="B1275" t="n">
        <v>3522000</v>
      </c>
      <c r="C1275" t="n">
        <v>432000</v>
      </c>
    </row>
    <row r="1276">
      <c r="A1276" s="78" t="n">
        <v>33397</v>
      </c>
      <c r="B1276" t="n">
        <v>3439000</v>
      </c>
      <c r="C1276" t="n">
        <v>441000</v>
      </c>
    </row>
    <row r="1277">
      <c r="A1277" s="78" t="n">
        <v>33404</v>
      </c>
      <c r="B1277" t="n">
        <v>3428000</v>
      </c>
      <c r="C1277" t="n">
        <v>429000</v>
      </c>
    </row>
    <row r="1278">
      <c r="A1278" s="78" t="n">
        <v>33411</v>
      </c>
      <c r="B1278" t="n">
        <v>3389000</v>
      </c>
      <c r="C1278" t="n">
        <v>423000</v>
      </c>
    </row>
    <row r="1279">
      <c r="A1279" s="78" t="n">
        <v>33418</v>
      </c>
      <c r="B1279" t="n">
        <v>3356000</v>
      </c>
      <c r="C1279" t="n">
        <v>418000</v>
      </c>
    </row>
    <row r="1280">
      <c r="A1280" s="78" t="n">
        <v>33425</v>
      </c>
      <c r="B1280" t="n">
        <v>3393000</v>
      </c>
      <c r="C1280" t="n">
        <v>422000</v>
      </c>
    </row>
    <row r="1281">
      <c r="A1281" s="78" t="n">
        <v>33432</v>
      </c>
      <c r="B1281" t="n">
        <v>3255000</v>
      </c>
      <c r="C1281" t="n">
        <v>420000</v>
      </c>
    </row>
    <row r="1282">
      <c r="A1282" s="78" t="n">
        <v>33439</v>
      </c>
      <c r="B1282" t="n">
        <v>3276000</v>
      </c>
      <c r="C1282" t="n">
        <v>408000</v>
      </c>
    </row>
    <row r="1283">
      <c r="A1283" s="78" t="n">
        <v>33446</v>
      </c>
      <c r="B1283" t="n">
        <v>3306000</v>
      </c>
      <c r="C1283" t="n">
        <v>423000</v>
      </c>
    </row>
    <row r="1284">
      <c r="A1284" s="78" t="n">
        <v>33453</v>
      </c>
      <c r="B1284" t="n">
        <v>3307000</v>
      </c>
      <c r="C1284" t="n">
        <v>438000</v>
      </c>
    </row>
    <row r="1285">
      <c r="A1285" s="78" t="n">
        <v>33460</v>
      </c>
      <c r="B1285" t="n">
        <v>3314000</v>
      </c>
      <c r="C1285" t="n">
        <v>437000</v>
      </c>
    </row>
    <row r="1286">
      <c r="A1286" s="78" t="n">
        <v>33467</v>
      </c>
      <c r="B1286" t="n">
        <v>3282000</v>
      </c>
      <c r="C1286" t="n">
        <v>433000</v>
      </c>
    </row>
    <row r="1287">
      <c r="A1287" s="78" t="n">
        <v>33474</v>
      </c>
      <c r="B1287" t="n">
        <v>3277000</v>
      </c>
      <c r="C1287" t="n">
        <v>425000</v>
      </c>
    </row>
    <row r="1288">
      <c r="A1288" s="78" t="n">
        <v>33481</v>
      </c>
      <c r="B1288" t="n">
        <v>3279000</v>
      </c>
      <c r="C1288" t="n">
        <v>425000</v>
      </c>
    </row>
    <row r="1289">
      <c r="A1289" s="78" t="n">
        <v>33488</v>
      </c>
      <c r="B1289" t="n">
        <v>3326000</v>
      </c>
      <c r="C1289" t="n">
        <v>424000</v>
      </c>
    </row>
    <row r="1290">
      <c r="A1290" s="78" t="n">
        <v>33495</v>
      </c>
      <c r="B1290" t="n">
        <v>3275000</v>
      </c>
      <c r="C1290" t="n">
        <v>418000</v>
      </c>
    </row>
    <row r="1291">
      <c r="A1291" s="78" t="n">
        <v>33502</v>
      </c>
      <c r="B1291" t="n">
        <v>3294000</v>
      </c>
      <c r="C1291" t="n">
        <v>419000</v>
      </c>
    </row>
    <row r="1292">
      <c r="A1292" s="78" t="n">
        <v>33509</v>
      </c>
      <c r="B1292" t="n">
        <v>3290000</v>
      </c>
      <c r="C1292" t="n">
        <v>437000</v>
      </c>
    </row>
    <row r="1293">
      <c r="A1293" s="78" t="n">
        <v>33516</v>
      </c>
      <c r="B1293" t="n">
        <v>3388000</v>
      </c>
      <c r="C1293" t="n">
        <v>424000</v>
      </c>
    </row>
    <row r="1294">
      <c r="A1294" s="78" t="n">
        <v>33523</v>
      </c>
      <c r="B1294" t="n">
        <v>3237000</v>
      </c>
      <c r="C1294" t="n">
        <v>425000</v>
      </c>
    </row>
    <row r="1295">
      <c r="A1295" s="78" t="n">
        <v>33530</v>
      </c>
      <c r="B1295" t="n">
        <v>3320000</v>
      </c>
      <c r="C1295" t="n">
        <v>419000</v>
      </c>
    </row>
    <row r="1296">
      <c r="A1296" s="78" t="n">
        <v>33537</v>
      </c>
      <c r="B1296" t="n">
        <v>3299000</v>
      </c>
      <c r="C1296" t="n">
        <v>423000</v>
      </c>
    </row>
    <row r="1297">
      <c r="A1297" s="78" t="n">
        <v>33544</v>
      </c>
      <c r="B1297" t="n">
        <v>3336000</v>
      </c>
      <c r="C1297" t="n">
        <v>447000</v>
      </c>
    </row>
    <row r="1298">
      <c r="A1298" s="78" t="n">
        <v>33551</v>
      </c>
      <c r="B1298" t="n">
        <v>3328000</v>
      </c>
      <c r="C1298" t="n">
        <v>453000</v>
      </c>
    </row>
    <row r="1299">
      <c r="A1299" s="78" t="n">
        <v>33558</v>
      </c>
      <c r="B1299" t="n">
        <v>3315000</v>
      </c>
      <c r="C1299" t="n">
        <v>439000</v>
      </c>
    </row>
    <row r="1300">
      <c r="A1300" s="78" t="n">
        <v>33565</v>
      </c>
      <c r="B1300" t="n">
        <v>3226000</v>
      </c>
      <c r="C1300" t="n">
        <v>444000</v>
      </c>
    </row>
    <row r="1301">
      <c r="A1301" s="78" t="n">
        <v>33572</v>
      </c>
      <c r="B1301" t="n">
        <v>3348000</v>
      </c>
      <c r="C1301" t="n">
        <v>444000</v>
      </c>
    </row>
    <row r="1302">
      <c r="A1302" s="78" t="n">
        <v>33579</v>
      </c>
      <c r="B1302" t="n">
        <v>3388000</v>
      </c>
      <c r="C1302" t="n">
        <v>475000</v>
      </c>
    </row>
    <row r="1303">
      <c r="A1303" s="78" t="n">
        <v>33586</v>
      </c>
      <c r="B1303" t="n">
        <v>3405000</v>
      </c>
      <c r="C1303" t="n">
        <v>475000</v>
      </c>
    </row>
    <row r="1304">
      <c r="A1304" s="78" t="n">
        <v>33593</v>
      </c>
      <c r="B1304" t="n">
        <v>3264000</v>
      </c>
      <c r="C1304" t="n">
        <v>436000</v>
      </c>
    </row>
    <row r="1305">
      <c r="A1305" s="78" t="n">
        <v>33600</v>
      </c>
      <c r="B1305" t="n">
        <v>3340000</v>
      </c>
      <c r="C1305" t="n">
        <v>441000</v>
      </c>
    </row>
    <row r="1306">
      <c r="A1306" s="78" t="n">
        <v>33607</v>
      </c>
      <c r="B1306" t="n">
        <v>3410000</v>
      </c>
      <c r="C1306" t="n">
        <v>432000</v>
      </c>
    </row>
    <row r="1307">
      <c r="A1307" s="78" t="n">
        <v>33614</v>
      </c>
      <c r="B1307" t="n">
        <v>3342000</v>
      </c>
      <c r="C1307" t="n">
        <v>440000</v>
      </c>
    </row>
    <row r="1308">
      <c r="A1308" s="78" t="n">
        <v>33621</v>
      </c>
      <c r="B1308" t="n">
        <v>3297000</v>
      </c>
      <c r="C1308" t="n">
        <v>443000</v>
      </c>
    </row>
    <row r="1309">
      <c r="A1309" s="78" t="n">
        <v>33628</v>
      </c>
      <c r="B1309" t="n">
        <v>3364000</v>
      </c>
      <c r="C1309" t="n">
        <v>441000</v>
      </c>
    </row>
    <row r="1310">
      <c r="A1310" s="78" t="n">
        <v>33635</v>
      </c>
      <c r="B1310" t="n">
        <v>3301000</v>
      </c>
      <c r="C1310" t="n">
        <v>440000</v>
      </c>
    </row>
    <row r="1311">
      <c r="A1311" s="78" t="n">
        <v>33642</v>
      </c>
      <c r="B1311" t="n">
        <v>3320000</v>
      </c>
      <c r="C1311" t="n">
        <v>445000</v>
      </c>
    </row>
    <row r="1312">
      <c r="A1312" s="78" t="n">
        <v>33649</v>
      </c>
      <c r="B1312" t="n">
        <v>3260000</v>
      </c>
      <c r="C1312" t="n">
        <v>446000</v>
      </c>
    </row>
    <row r="1313">
      <c r="A1313" s="78" t="n">
        <v>33656</v>
      </c>
      <c r="B1313" t="n">
        <v>3412000</v>
      </c>
      <c r="C1313" t="n">
        <v>436000</v>
      </c>
    </row>
    <row r="1314">
      <c r="A1314" s="78" t="n">
        <v>33663</v>
      </c>
      <c r="B1314" t="n">
        <v>3280000</v>
      </c>
      <c r="C1314" t="n">
        <v>444000</v>
      </c>
    </row>
    <row r="1315">
      <c r="A1315" s="78" t="n">
        <v>33670</v>
      </c>
      <c r="B1315" t="n">
        <v>3288000</v>
      </c>
      <c r="C1315" t="n">
        <v>421000</v>
      </c>
    </row>
    <row r="1316">
      <c r="A1316" s="78" t="n">
        <v>33677</v>
      </c>
      <c r="B1316" t="n">
        <v>3280000</v>
      </c>
      <c r="C1316" t="n">
        <v>437000</v>
      </c>
    </row>
    <row r="1317">
      <c r="A1317" s="78" t="n">
        <v>33684</v>
      </c>
      <c r="B1317" t="n">
        <v>3344000</v>
      </c>
      <c r="C1317" t="n">
        <v>440000</v>
      </c>
    </row>
    <row r="1318">
      <c r="A1318" s="78" t="n">
        <v>33691</v>
      </c>
      <c r="B1318" t="n">
        <v>3336000</v>
      </c>
      <c r="C1318" t="n">
        <v>420000</v>
      </c>
    </row>
    <row r="1319">
      <c r="A1319" s="78" t="n">
        <v>33698</v>
      </c>
      <c r="B1319" t="n">
        <v>3383000</v>
      </c>
      <c r="C1319" t="n">
        <v>412000</v>
      </c>
    </row>
    <row r="1320">
      <c r="A1320" s="78" t="n">
        <v>33705</v>
      </c>
      <c r="B1320" t="n">
        <v>3288000</v>
      </c>
      <c r="C1320" t="n">
        <v>413000</v>
      </c>
    </row>
    <row r="1321">
      <c r="A1321" s="78" t="n">
        <v>33712</v>
      </c>
      <c r="B1321" t="n">
        <v>3339000</v>
      </c>
      <c r="C1321" t="n">
        <v>424000</v>
      </c>
    </row>
    <row r="1322">
      <c r="A1322" s="78" t="n">
        <v>33719</v>
      </c>
      <c r="B1322" t="n">
        <v>3365000</v>
      </c>
      <c r="C1322" t="n">
        <v>424000</v>
      </c>
    </row>
    <row r="1323">
      <c r="A1323" s="78" t="n">
        <v>33726</v>
      </c>
      <c r="B1323" t="n">
        <v>3397000</v>
      </c>
      <c r="C1323" t="n">
        <v>431000</v>
      </c>
    </row>
    <row r="1324">
      <c r="A1324" s="78" t="n">
        <v>33733</v>
      </c>
      <c r="B1324" t="n">
        <v>3354000</v>
      </c>
      <c r="C1324" t="n">
        <v>417000</v>
      </c>
    </row>
    <row r="1325">
      <c r="A1325" s="78" t="n">
        <v>33740</v>
      </c>
      <c r="B1325" t="n">
        <v>3296000</v>
      </c>
      <c r="C1325" t="n">
        <v>414000</v>
      </c>
    </row>
    <row r="1326">
      <c r="A1326" s="78" t="n">
        <v>33747</v>
      </c>
      <c r="B1326" t="n">
        <v>3285000</v>
      </c>
      <c r="C1326" t="n">
        <v>414000</v>
      </c>
    </row>
    <row r="1327">
      <c r="A1327" s="78" t="n">
        <v>33754</v>
      </c>
      <c r="B1327" t="n">
        <v>3392000</v>
      </c>
      <c r="C1327" t="n">
        <v>411000</v>
      </c>
    </row>
    <row r="1328">
      <c r="A1328" s="78" t="n">
        <v>33761</v>
      </c>
      <c r="B1328" t="n">
        <v>3265000</v>
      </c>
      <c r="C1328" t="n">
        <v>416000</v>
      </c>
    </row>
    <row r="1329">
      <c r="A1329" s="78" t="n">
        <v>33768</v>
      </c>
      <c r="B1329" t="n">
        <v>3270000</v>
      </c>
      <c r="C1329" t="n">
        <v>420000</v>
      </c>
    </row>
    <row r="1330">
      <c r="A1330" s="78" t="n">
        <v>33775</v>
      </c>
      <c r="B1330" t="n">
        <v>3284000</v>
      </c>
      <c r="C1330" t="n">
        <v>419000</v>
      </c>
    </row>
    <row r="1331">
      <c r="A1331" s="78" t="n">
        <v>33782</v>
      </c>
      <c r="B1331" t="n">
        <v>3340000</v>
      </c>
      <c r="C1331" t="n">
        <v>420000</v>
      </c>
    </row>
    <row r="1332">
      <c r="A1332" s="78" t="n">
        <v>33789</v>
      </c>
      <c r="B1332" t="n">
        <v>3212000</v>
      </c>
      <c r="C1332" t="n">
        <v>407000</v>
      </c>
    </row>
    <row r="1333">
      <c r="A1333" s="78" t="n">
        <v>33796</v>
      </c>
      <c r="B1333" t="n">
        <v>3103000</v>
      </c>
      <c r="C1333" t="n">
        <v>408000</v>
      </c>
    </row>
    <row r="1334">
      <c r="A1334" s="78" t="n">
        <v>33803</v>
      </c>
      <c r="B1334" t="n">
        <v>3238000</v>
      </c>
      <c r="C1334" t="n">
        <v>392000</v>
      </c>
    </row>
    <row r="1335">
      <c r="A1335" s="78" t="n">
        <v>33810</v>
      </c>
      <c r="B1335" t="n">
        <v>3318000</v>
      </c>
      <c r="C1335" t="n">
        <v>564000</v>
      </c>
    </row>
    <row r="1336">
      <c r="A1336" s="78" t="n">
        <v>33817</v>
      </c>
      <c r="B1336" t="n">
        <v>3467000</v>
      </c>
      <c r="C1336" t="n">
        <v>423000</v>
      </c>
    </row>
    <row r="1337">
      <c r="A1337" s="78" t="n">
        <v>33824</v>
      </c>
      <c r="B1337" t="n">
        <v>3211000</v>
      </c>
      <c r="C1337" t="n">
        <v>406000</v>
      </c>
    </row>
    <row r="1338">
      <c r="A1338" s="78" t="n">
        <v>33831</v>
      </c>
      <c r="B1338" t="n">
        <v>3210000</v>
      </c>
      <c r="C1338" t="n">
        <v>401000</v>
      </c>
    </row>
    <row r="1339">
      <c r="A1339" s="78" t="n">
        <v>33838</v>
      </c>
      <c r="B1339" t="n">
        <v>3188000</v>
      </c>
      <c r="C1339" t="n">
        <v>398000</v>
      </c>
    </row>
    <row r="1340">
      <c r="A1340" s="78" t="n">
        <v>33845</v>
      </c>
      <c r="B1340" t="n">
        <v>3175000</v>
      </c>
      <c r="C1340" t="n">
        <v>408000</v>
      </c>
    </row>
    <row r="1341">
      <c r="A1341" s="78" t="n">
        <v>33852</v>
      </c>
      <c r="B1341" t="n">
        <v>3167000</v>
      </c>
      <c r="C1341" t="n">
        <v>416000</v>
      </c>
    </row>
    <row r="1342">
      <c r="A1342" s="78" t="n">
        <v>33859</v>
      </c>
      <c r="B1342" t="n">
        <v>3261000</v>
      </c>
      <c r="C1342" t="n">
        <v>416000</v>
      </c>
    </row>
    <row r="1343">
      <c r="A1343" s="78" t="n">
        <v>33866</v>
      </c>
      <c r="B1343" t="n">
        <v>3195000</v>
      </c>
      <c r="C1343" t="n">
        <v>427000</v>
      </c>
    </row>
    <row r="1344">
      <c r="A1344" s="78" t="n">
        <v>33873</v>
      </c>
      <c r="B1344" t="n">
        <v>3194000</v>
      </c>
      <c r="C1344" t="n">
        <v>409000</v>
      </c>
    </row>
    <row r="1345">
      <c r="A1345" s="78" t="n">
        <v>33880</v>
      </c>
      <c r="B1345" t="n">
        <v>3121000</v>
      </c>
      <c r="C1345" t="n">
        <v>398000</v>
      </c>
    </row>
    <row r="1346">
      <c r="A1346" s="78" t="n">
        <v>33887</v>
      </c>
      <c r="B1346" t="n">
        <v>3072000</v>
      </c>
      <c r="C1346" t="n">
        <v>374000</v>
      </c>
    </row>
    <row r="1347">
      <c r="A1347" s="78" t="n">
        <v>33894</v>
      </c>
      <c r="B1347" t="n">
        <v>3083000</v>
      </c>
      <c r="C1347" t="n">
        <v>385000</v>
      </c>
    </row>
    <row r="1348">
      <c r="A1348" s="78" t="n">
        <v>33901</v>
      </c>
      <c r="B1348" t="n">
        <v>3063000</v>
      </c>
      <c r="C1348" t="n">
        <v>367000</v>
      </c>
    </row>
    <row r="1349">
      <c r="A1349" s="78" t="n">
        <v>33908</v>
      </c>
      <c r="B1349" t="n">
        <v>2973000</v>
      </c>
      <c r="C1349" t="n">
        <v>365000</v>
      </c>
    </row>
    <row r="1350">
      <c r="A1350" s="78" t="n">
        <v>33915</v>
      </c>
      <c r="B1350" t="n">
        <v>3017000</v>
      </c>
      <c r="C1350" t="n">
        <v>374000</v>
      </c>
    </row>
    <row r="1351">
      <c r="A1351" s="78" t="n">
        <v>33922</v>
      </c>
      <c r="B1351" t="n">
        <v>2962000</v>
      </c>
      <c r="C1351" t="n">
        <v>377000</v>
      </c>
    </row>
    <row r="1352">
      <c r="A1352" s="78" t="n">
        <v>33929</v>
      </c>
      <c r="B1352" t="n">
        <v>2906000</v>
      </c>
      <c r="C1352" t="n">
        <v>357000</v>
      </c>
    </row>
    <row r="1353">
      <c r="A1353" s="78" t="n">
        <v>33936</v>
      </c>
      <c r="B1353" t="n">
        <v>2911000</v>
      </c>
      <c r="C1353" t="n">
        <v>341000</v>
      </c>
    </row>
    <row r="1354">
      <c r="A1354" s="78" t="n">
        <v>33943</v>
      </c>
      <c r="B1354" t="n">
        <v>2918000</v>
      </c>
      <c r="C1354" t="n">
        <v>350000</v>
      </c>
    </row>
    <row r="1355">
      <c r="A1355" s="78" t="n">
        <v>33950</v>
      </c>
      <c r="B1355" t="n">
        <v>2807000</v>
      </c>
      <c r="C1355" t="n">
        <v>359000</v>
      </c>
    </row>
    <row r="1356">
      <c r="A1356" s="78" t="n">
        <v>33957</v>
      </c>
      <c r="B1356" t="n">
        <v>2770000</v>
      </c>
      <c r="C1356" t="n">
        <v>334000</v>
      </c>
    </row>
    <row r="1357">
      <c r="A1357" s="78" t="n">
        <v>33964</v>
      </c>
      <c r="B1357" t="n">
        <v>2800000</v>
      </c>
      <c r="C1357" t="n">
        <v>313000</v>
      </c>
    </row>
    <row r="1358">
      <c r="A1358" s="78" t="n">
        <v>33971</v>
      </c>
      <c r="B1358" t="n">
        <v>2729000</v>
      </c>
      <c r="C1358" t="n">
        <v>341000</v>
      </c>
    </row>
    <row r="1359">
      <c r="A1359" s="78" t="n">
        <v>33978</v>
      </c>
      <c r="B1359" t="n">
        <v>2697000</v>
      </c>
      <c r="C1359" t="n">
        <v>354000</v>
      </c>
    </row>
    <row r="1360">
      <c r="A1360" s="78" t="n">
        <v>33985</v>
      </c>
      <c r="B1360" t="n">
        <v>2749000</v>
      </c>
      <c r="C1360" t="n">
        <v>352000</v>
      </c>
    </row>
    <row r="1361">
      <c r="A1361" s="78" t="n">
        <v>33992</v>
      </c>
      <c r="B1361" t="n">
        <v>2727000</v>
      </c>
      <c r="C1361" t="n">
        <v>341000</v>
      </c>
    </row>
    <row r="1362">
      <c r="A1362" s="78" t="n">
        <v>33999</v>
      </c>
      <c r="B1362" t="n">
        <v>2663000</v>
      </c>
      <c r="C1362" t="n">
        <v>340000</v>
      </c>
    </row>
    <row r="1363">
      <c r="A1363" s="78" t="n">
        <v>34006</v>
      </c>
      <c r="B1363" t="n">
        <v>2645000</v>
      </c>
      <c r="C1363" t="n">
        <v>319000</v>
      </c>
    </row>
    <row r="1364">
      <c r="A1364" s="78" t="n">
        <v>34013</v>
      </c>
      <c r="B1364" t="n">
        <v>2628000</v>
      </c>
      <c r="C1364" t="n">
        <v>321000</v>
      </c>
    </row>
    <row r="1365">
      <c r="A1365" s="78" t="n">
        <v>34020</v>
      </c>
      <c r="B1365" t="n">
        <v>2646000</v>
      </c>
      <c r="C1365" t="n">
        <v>351000</v>
      </c>
    </row>
    <row r="1366">
      <c r="A1366" s="78" t="n">
        <v>34027</v>
      </c>
      <c r="B1366" t="n">
        <v>2645000</v>
      </c>
      <c r="C1366" t="n">
        <v>362000</v>
      </c>
    </row>
    <row r="1367">
      <c r="A1367" s="78" t="n">
        <v>34034</v>
      </c>
      <c r="B1367" t="n">
        <v>2683000</v>
      </c>
      <c r="C1367" t="n">
        <v>354000</v>
      </c>
    </row>
    <row r="1368">
      <c r="A1368" s="78" t="n">
        <v>34041</v>
      </c>
      <c r="B1368" t="n">
        <v>2618000</v>
      </c>
      <c r="C1368" t="n">
        <v>346000</v>
      </c>
    </row>
    <row r="1369">
      <c r="A1369" s="78" t="n">
        <v>34048</v>
      </c>
      <c r="B1369" t="n">
        <v>2724000</v>
      </c>
      <c r="C1369" t="n">
        <v>338000</v>
      </c>
    </row>
    <row r="1370">
      <c r="A1370" s="78" t="n">
        <v>34055</v>
      </c>
      <c r="B1370" t="n">
        <v>2725000</v>
      </c>
      <c r="C1370" t="n">
        <v>366000</v>
      </c>
    </row>
    <row r="1371">
      <c r="A1371" s="78" t="n">
        <v>34062</v>
      </c>
      <c r="B1371" t="n">
        <v>2729000</v>
      </c>
      <c r="C1371" t="n">
        <v>365000</v>
      </c>
    </row>
    <row r="1372">
      <c r="A1372" s="78" t="n">
        <v>34069</v>
      </c>
      <c r="B1372" t="n">
        <v>2781000</v>
      </c>
      <c r="C1372" t="n">
        <v>353000</v>
      </c>
    </row>
    <row r="1373">
      <c r="A1373" s="78" t="n">
        <v>34076</v>
      </c>
      <c r="B1373" t="n">
        <v>2800000</v>
      </c>
      <c r="C1373" t="n">
        <v>351000</v>
      </c>
    </row>
    <row r="1374">
      <c r="A1374" s="78" t="n">
        <v>34083</v>
      </c>
      <c r="B1374" t="n">
        <v>2792000</v>
      </c>
      <c r="C1374" t="n">
        <v>350000</v>
      </c>
    </row>
    <row r="1375">
      <c r="A1375" s="78" t="n">
        <v>34090</v>
      </c>
      <c r="B1375" t="n">
        <v>2747000</v>
      </c>
      <c r="C1375" t="n">
        <v>343000</v>
      </c>
    </row>
    <row r="1376">
      <c r="A1376" s="78" t="n">
        <v>34097</v>
      </c>
      <c r="B1376" t="n">
        <v>2820000</v>
      </c>
      <c r="C1376" t="n">
        <v>339000</v>
      </c>
    </row>
    <row r="1377">
      <c r="A1377" s="78" t="n">
        <v>34104</v>
      </c>
      <c r="B1377" t="n">
        <v>2772000</v>
      </c>
      <c r="C1377" t="n">
        <v>345000</v>
      </c>
    </row>
    <row r="1378">
      <c r="A1378" s="78" t="n">
        <v>34111</v>
      </c>
      <c r="B1378" t="n">
        <v>2816000</v>
      </c>
      <c r="C1378" t="n">
        <v>342000</v>
      </c>
    </row>
    <row r="1379">
      <c r="A1379" s="78" t="n">
        <v>34118</v>
      </c>
      <c r="B1379" t="n">
        <v>2737000</v>
      </c>
      <c r="C1379" t="n">
        <v>349000</v>
      </c>
    </row>
    <row r="1380">
      <c r="A1380" s="78" t="n">
        <v>34125</v>
      </c>
      <c r="B1380" t="n">
        <v>2808000</v>
      </c>
      <c r="C1380" t="n">
        <v>343000</v>
      </c>
    </row>
    <row r="1381">
      <c r="A1381" s="78" t="n">
        <v>34132</v>
      </c>
      <c r="B1381" t="n">
        <v>2836000</v>
      </c>
      <c r="C1381" t="n">
        <v>343000</v>
      </c>
    </row>
    <row r="1382">
      <c r="A1382" s="78" t="n">
        <v>34139</v>
      </c>
      <c r="B1382" t="n">
        <v>2857000</v>
      </c>
      <c r="C1382" t="n">
        <v>345000</v>
      </c>
    </row>
    <row r="1383">
      <c r="A1383" s="78" t="n">
        <v>34146</v>
      </c>
      <c r="B1383" t="n">
        <v>2747000</v>
      </c>
      <c r="C1383" t="n">
        <v>340000</v>
      </c>
    </row>
    <row r="1384">
      <c r="A1384" s="78" t="n">
        <v>34153</v>
      </c>
      <c r="B1384" t="n">
        <v>2724000</v>
      </c>
      <c r="C1384" t="n">
        <v>334000</v>
      </c>
    </row>
    <row r="1385">
      <c r="A1385" s="78" t="n">
        <v>34160</v>
      </c>
      <c r="B1385" t="n">
        <v>2778000</v>
      </c>
      <c r="C1385" t="n">
        <v>314000</v>
      </c>
    </row>
    <row r="1386">
      <c r="A1386" s="78" t="n">
        <v>34167</v>
      </c>
      <c r="B1386" t="n">
        <v>2766000</v>
      </c>
      <c r="C1386" t="n">
        <v>335000</v>
      </c>
    </row>
    <row r="1387">
      <c r="A1387" s="78" t="n">
        <v>34174</v>
      </c>
      <c r="B1387" t="n">
        <v>2803000</v>
      </c>
      <c r="C1387" t="n">
        <v>415000</v>
      </c>
    </row>
    <row r="1388">
      <c r="A1388" s="78" t="n">
        <v>34181</v>
      </c>
      <c r="B1388" t="n">
        <v>2843000</v>
      </c>
      <c r="C1388" t="n">
        <v>356000</v>
      </c>
    </row>
    <row r="1389">
      <c r="A1389" s="78" t="n">
        <v>34188</v>
      </c>
      <c r="B1389" t="n">
        <v>2813000</v>
      </c>
      <c r="C1389" t="n">
        <v>346000</v>
      </c>
    </row>
    <row r="1390">
      <c r="A1390" s="78" t="n">
        <v>34195</v>
      </c>
      <c r="B1390" t="n">
        <v>2791000</v>
      </c>
      <c r="C1390" t="n">
        <v>339000</v>
      </c>
    </row>
    <row r="1391">
      <c r="A1391" s="78" t="n">
        <v>34202</v>
      </c>
      <c r="B1391" t="n">
        <v>2821000</v>
      </c>
      <c r="C1391" t="n">
        <v>342000</v>
      </c>
    </row>
    <row r="1392">
      <c r="A1392" s="78" t="n">
        <v>34209</v>
      </c>
      <c r="B1392" t="n">
        <v>2788000</v>
      </c>
      <c r="C1392" t="n">
        <v>337000</v>
      </c>
    </row>
    <row r="1393">
      <c r="A1393" s="78" t="n">
        <v>34216</v>
      </c>
      <c r="B1393" t="n">
        <v>2768000</v>
      </c>
      <c r="C1393" t="n">
        <v>334000</v>
      </c>
    </row>
    <row r="1394">
      <c r="A1394" s="78" t="n">
        <v>34223</v>
      </c>
      <c r="B1394" t="n">
        <v>2844000</v>
      </c>
      <c r="C1394" t="n">
        <v>333000</v>
      </c>
    </row>
    <row r="1395">
      <c r="A1395" s="78" t="n">
        <v>34230</v>
      </c>
      <c r="B1395" t="n">
        <v>2856000</v>
      </c>
      <c r="C1395" t="n">
        <v>346000</v>
      </c>
    </row>
    <row r="1396">
      <c r="A1396" s="78" t="n">
        <v>34237</v>
      </c>
      <c r="B1396" t="n">
        <v>2836000</v>
      </c>
      <c r="C1396" t="n">
        <v>343000</v>
      </c>
    </row>
    <row r="1397">
      <c r="A1397" s="78" t="n">
        <v>34244</v>
      </c>
      <c r="B1397" t="n">
        <v>2810000</v>
      </c>
      <c r="C1397" t="n">
        <v>333000</v>
      </c>
    </row>
    <row r="1398">
      <c r="A1398" s="78" t="n">
        <v>34251</v>
      </c>
      <c r="B1398" t="n">
        <v>2799000</v>
      </c>
      <c r="C1398" t="n">
        <v>355000</v>
      </c>
    </row>
    <row r="1399">
      <c r="A1399" s="78" t="n">
        <v>34258</v>
      </c>
      <c r="B1399" t="n">
        <v>2833000</v>
      </c>
      <c r="C1399" t="n">
        <v>359000</v>
      </c>
    </row>
    <row r="1400">
      <c r="A1400" s="78" t="n">
        <v>34265</v>
      </c>
      <c r="B1400" t="n">
        <v>2882000</v>
      </c>
      <c r="C1400" t="n">
        <v>354000</v>
      </c>
    </row>
    <row r="1401">
      <c r="A1401" s="78" t="n">
        <v>34272</v>
      </c>
      <c r="B1401" t="n">
        <v>2801000</v>
      </c>
      <c r="C1401" t="n">
        <v>348000</v>
      </c>
    </row>
    <row r="1402">
      <c r="A1402" s="78" t="n">
        <v>34279</v>
      </c>
      <c r="B1402" t="n">
        <v>2833000</v>
      </c>
      <c r="C1402" t="n">
        <v>350000</v>
      </c>
    </row>
    <row r="1403">
      <c r="A1403" s="78" t="n">
        <v>34286</v>
      </c>
      <c r="B1403" t="n">
        <v>2785000</v>
      </c>
      <c r="C1403" t="n">
        <v>341000</v>
      </c>
    </row>
    <row r="1404">
      <c r="A1404" s="78" t="n">
        <v>34293</v>
      </c>
      <c r="B1404" t="n">
        <v>2801000</v>
      </c>
      <c r="C1404" t="n">
        <v>336000</v>
      </c>
    </row>
    <row r="1405">
      <c r="A1405" s="78" t="n">
        <v>34300</v>
      </c>
      <c r="B1405" t="n">
        <v>2784000</v>
      </c>
      <c r="C1405" t="n">
        <v>337000</v>
      </c>
    </row>
    <row r="1406">
      <c r="A1406" s="78" t="n">
        <v>34307</v>
      </c>
      <c r="B1406" t="n">
        <v>2802000</v>
      </c>
      <c r="C1406" t="n">
        <v>337000</v>
      </c>
    </row>
    <row r="1407">
      <c r="A1407" s="78" t="n">
        <v>34314</v>
      </c>
      <c r="B1407" t="n">
        <v>2747000</v>
      </c>
      <c r="C1407" t="n">
        <v>334000</v>
      </c>
    </row>
    <row r="1408">
      <c r="A1408" s="78" t="n">
        <v>34321</v>
      </c>
      <c r="B1408" t="n">
        <v>2780000</v>
      </c>
      <c r="C1408" t="n">
        <v>331000</v>
      </c>
    </row>
    <row r="1409">
      <c r="A1409" s="78" t="n">
        <v>34328</v>
      </c>
      <c r="B1409" t="n">
        <v>2720000</v>
      </c>
      <c r="C1409" t="n">
        <v>290000</v>
      </c>
    </row>
    <row r="1410">
      <c r="A1410" s="78" t="n">
        <v>34335</v>
      </c>
      <c r="B1410" t="n">
        <v>2633000</v>
      </c>
      <c r="C1410" t="n">
        <v>341000</v>
      </c>
    </row>
    <row r="1411">
      <c r="A1411" s="78" t="n">
        <v>34342</v>
      </c>
      <c r="B1411" t="n">
        <v>2705000</v>
      </c>
      <c r="C1411" t="n">
        <v>343000</v>
      </c>
    </row>
    <row r="1412">
      <c r="A1412" s="78" t="n">
        <v>34349</v>
      </c>
      <c r="B1412" t="n">
        <v>2634000</v>
      </c>
      <c r="C1412" t="n">
        <v>355000</v>
      </c>
    </row>
    <row r="1413">
      <c r="A1413" s="78" t="n">
        <v>34356</v>
      </c>
      <c r="B1413" t="n">
        <v>2814000</v>
      </c>
      <c r="C1413" t="n">
        <v>351000</v>
      </c>
    </row>
    <row r="1414">
      <c r="A1414" s="78" t="n">
        <v>34363</v>
      </c>
      <c r="B1414" t="n">
        <v>2762000</v>
      </c>
      <c r="C1414" t="n">
        <v>406000</v>
      </c>
    </row>
    <row r="1415">
      <c r="A1415" s="78" t="n">
        <v>34370</v>
      </c>
      <c r="B1415" t="n">
        <v>2764000</v>
      </c>
      <c r="C1415" t="n">
        <v>361000</v>
      </c>
    </row>
    <row r="1416">
      <c r="A1416" s="78" t="n">
        <v>34377</v>
      </c>
      <c r="B1416" t="n">
        <v>2861000</v>
      </c>
      <c r="C1416" t="n">
        <v>354000</v>
      </c>
    </row>
    <row r="1417">
      <c r="A1417" s="78" t="n">
        <v>34384</v>
      </c>
      <c r="B1417" t="n">
        <v>2748000</v>
      </c>
      <c r="C1417" t="n">
        <v>352000</v>
      </c>
    </row>
    <row r="1418">
      <c r="A1418" s="78" t="n">
        <v>34391</v>
      </c>
      <c r="B1418" t="n">
        <v>2797000</v>
      </c>
      <c r="C1418" t="n">
        <v>327000</v>
      </c>
    </row>
    <row r="1419">
      <c r="A1419" s="78" t="n">
        <v>34398</v>
      </c>
      <c r="B1419" t="n">
        <v>2779000</v>
      </c>
      <c r="C1419" t="n">
        <v>348000</v>
      </c>
    </row>
    <row r="1420">
      <c r="A1420" s="78" t="n">
        <v>34405</v>
      </c>
      <c r="B1420" t="n">
        <v>2783000</v>
      </c>
      <c r="C1420" t="n">
        <v>341000</v>
      </c>
    </row>
    <row r="1421">
      <c r="A1421" s="78" t="n">
        <v>34412</v>
      </c>
      <c r="B1421" t="n">
        <v>2746000</v>
      </c>
      <c r="C1421" t="n">
        <v>332000</v>
      </c>
    </row>
    <row r="1422">
      <c r="A1422" s="78" t="n">
        <v>34419</v>
      </c>
      <c r="B1422" t="n">
        <v>2710000</v>
      </c>
      <c r="C1422" t="n">
        <v>322000</v>
      </c>
    </row>
    <row r="1423">
      <c r="A1423" s="78" t="n">
        <v>34426</v>
      </c>
      <c r="B1423" t="n">
        <v>2730000</v>
      </c>
      <c r="C1423" t="n">
        <v>342000</v>
      </c>
    </row>
    <row r="1424">
      <c r="A1424" s="78" t="n">
        <v>34433</v>
      </c>
      <c r="B1424" t="n">
        <v>2773000</v>
      </c>
      <c r="C1424" t="n">
        <v>349000</v>
      </c>
    </row>
    <row r="1425">
      <c r="A1425" s="78" t="n">
        <v>34440</v>
      </c>
      <c r="B1425" t="n">
        <v>2716000</v>
      </c>
      <c r="C1425" t="n">
        <v>354000</v>
      </c>
    </row>
    <row r="1426">
      <c r="A1426" s="78" t="n">
        <v>34447</v>
      </c>
      <c r="B1426" t="n">
        <v>2695000</v>
      </c>
      <c r="C1426" t="n">
        <v>331000</v>
      </c>
    </row>
    <row r="1427">
      <c r="A1427" s="78" t="n">
        <v>34454</v>
      </c>
      <c r="B1427" t="n">
        <v>2769000</v>
      </c>
      <c r="C1427" t="n">
        <v>344000</v>
      </c>
    </row>
    <row r="1428">
      <c r="A1428" s="78" t="n">
        <v>34461</v>
      </c>
      <c r="B1428" t="n">
        <v>2726000</v>
      </c>
      <c r="C1428" t="n">
        <v>371000</v>
      </c>
    </row>
    <row r="1429">
      <c r="A1429" s="78" t="n">
        <v>34468</v>
      </c>
      <c r="B1429" t="n">
        <v>2792000</v>
      </c>
      <c r="C1429" t="n">
        <v>360000</v>
      </c>
    </row>
    <row r="1430">
      <c r="A1430" s="78" t="n">
        <v>34475</v>
      </c>
      <c r="B1430" t="n">
        <v>2766000</v>
      </c>
      <c r="C1430" t="n">
        <v>357000</v>
      </c>
    </row>
    <row r="1431">
      <c r="A1431" s="78" t="n">
        <v>34482</v>
      </c>
      <c r="B1431" t="n">
        <v>2727000</v>
      </c>
      <c r="C1431" t="n">
        <v>348000</v>
      </c>
    </row>
    <row r="1432">
      <c r="A1432" s="78" t="n">
        <v>34489</v>
      </c>
      <c r="B1432" t="n">
        <v>2740000</v>
      </c>
      <c r="C1432" t="n">
        <v>345000</v>
      </c>
    </row>
    <row r="1433">
      <c r="A1433" s="78" t="n">
        <v>34496</v>
      </c>
      <c r="B1433" t="n">
        <v>2755000</v>
      </c>
      <c r="C1433" t="n">
        <v>338000</v>
      </c>
    </row>
    <row r="1434">
      <c r="A1434" s="78" t="n">
        <v>34503</v>
      </c>
      <c r="B1434" t="n">
        <v>2698000</v>
      </c>
      <c r="C1434" t="n">
        <v>336000</v>
      </c>
    </row>
    <row r="1435">
      <c r="A1435" s="78" t="n">
        <v>34510</v>
      </c>
      <c r="B1435" t="n">
        <v>2687000</v>
      </c>
      <c r="C1435" t="n">
        <v>341000</v>
      </c>
    </row>
    <row r="1436">
      <c r="A1436" s="78" t="n">
        <v>34517</v>
      </c>
      <c r="B1436" t="n">
        <v>2672000</v>
      </c>
      <c r="C1436" t="n">
        <v>334000</v>
      </c>
    </row>
    <row r="1437">
      <c r="A1437" s="78" t="n">
        <v>34524</v>
      </c>
      <c r="B1437" t="n">
        <v>2670000</v>
      </c>
      <c r="C1437" t="n">
        <v>341000</v>
      </c>
    </row>
    <row r="1438">
      <c r="A1438" s="78" t="n">
        <v>34531</v>
      </c>
      <c r="B1438" t="n">
        <v>2680000</v>
      </c>
      <c r="C1438" t="n">
        <v>359000</v>
      </c>
    </row>
    <row r="1439">
      <c r="A1439" s="78" t="n">
        <v>34538</v>
      </c>
      <c r="B1439" t="n">
        <v>2650000</v>
      </c>
      <c r="C1439" t="n">
        <v>345000</v>
      </c>
    </row>
    <row r="1440">
      <c r="A1440" s="78" t="n">
        <v>34545</v>
      </c>
      <c r="B1440" t="n">
        <v>2626000</v>
      </c>
      <c r="C1440" t="n">
        <v>332000</v>
      </c>
    </row>
    <row r="1441">
      <c r="A1441" s="78" t="n">
        <v>34552</v>
      </c>
      <c r="B1441" t="n">
        <v>2644000</v>
      </c>
      <c r="C1441" t="n">
        <v>338000</v>
      </c>
    </row>
    <row r="1442">
      <c r="A1442" s="78" t="n">
        <v>34559</v>
      </c>
      <c r="B1442" t="n">
        <v>2639000</v>
      </c>
      <c r="C1442" t="n">
        <v>335000</v>
      </c>
    </row>
    <row r="1443">
      <c r="A1443" s="78" t="n">
        <v>34566</v>
      </c>
      <c r="B1443" t="n">
        <v>2659000</v>
      </c>
      <c r="C1443" t="n">
        <v>331000</v>
      </c>
    </row>
    <row r="1444">
      <c r="A1444" s="78" t="n">
        <v>34573</v>
      </c>
      <c r="B1444" t="n">
        <v>2648000</v>
      </c>
      <c r="C1444" t="n">
        <v>341000</v>
      </c>
    </row>
    <row r="1445">
      <c r="A1445" s="78" t="n">
        <v>34580</v>
      </c>
      <c r="B1445" t="n">
        <v>2645000</v>
      </c>
      <c r="C1445" t="n">
        <v>339000</v>
      </c>
    </row>
    <row r="1446">
      <c r="A1446" s="78" t="n">
        <v>34587</v>
      </c>
      <c r="B1446" t="n">
        <v>2633000</v>
      </c>
      <c r="C1446" t="n">
        <v>331000</v>
      </c>
    </row>
    <row r="1447">
      <c r="A1447" s="78" t="n">
        <v>34594</v>
      </c>
      <c r="B1447" t="n">
        <v>2638000</v>
      </c>
      <c r="C1447" t="n">
        <v>326000</v>
      </c>
    </row>
    <row r="1448">
      <c r="A1448" s="78" t="n">
        <v>34601</v>
      </c>
      <c r="B1448" t="n">
        <v>2601000</v>
      </c>
      <c r="C1448" t="n">
        <v>325000</v>
      </c>
    </row>
    <row r="1449">
      <c r="A1449" s="78" t="n">
        <v>34608</v>
      </c>
      <c r="B1449" t="n">
        <v>2597000</v>
      </c>
      <c r="C1449" t="n">
        <v>330000</v>
      </c>
    </row>
    <row r="1450">
      <c r="A1450" s="78" t="n">
        <v>34615</v>
      </c>
      <c r="B1450" t="n">
        <v>2561000</v>
      </c>
      <c r="C1450" t="n">
        <v>341000</v>
      </c>
    </row>
    <row r="1451">
      <c r="A1451" s="78" t="n">
        <v>34622</v>
      </c>
      <c r="B1451" t="n">
        <v>2620000</v>
      </c>
      <c r="C1451" t="n">
        <v>335000</v>
      </c>
    </row>
    <row r="1452">
      <c r="A1452" s="78" t="n">
        <v>34629</v>
      </c>
      <c r="B1452" t="n">
        <v>2556000</v>
      </c>
      <c r="C1452" t="n">
        <v>330000</v>
      </c>
    </row>
    <row r="1453">
      <c r="A1453" s="78" t="n">
        <v>34636</v>
      </c>
      <c r="B1453" t="n">
        <v>2536000</v>
      </c>
      <c r="C1453" t="n">
        <v>331000</v>
      </c>
    </row>
    <row r="1454">
      <c r="A1454" s="78" t="n">
        <v>34643</v>
      </c>
      <c r="B1454" t="n">
        <v>2538000</v>
      </c>
      <c r="C1454" t="n">
        <v>328000</v>
      </c>
    </row>
    <row r="1455">
      <c r="A1455" s="78" t="n">
        <v>34650</v>
      </c>
      <c r="B1455" t="n">
        <v>2528000</v>
      </c>
      <c r="C1455" t="n">
        <v>329000</v>
      </c>
    </row>
    <row r="1456">
      <c r="A1456" s="78" t="n">
        <v>34657</v>
      </c>
      <c r="B1456" t="n">
        <v>2533000</v>
      </c>
      <c r="C1456" t="n">
        <v>326000</v>
      </c>
    </row>
    <row r="1457">
      <c r="A1457" s="78" t="n">
        <v>34664</v>
      </c>
      <c r="B1457" t="n">
        <v>2530000</v>
      </c>
      <c r="C1457" t="n">
        <v>329000</v>
      </c>
    </row>
    <row r="1458">
      <c r="A1458" s="78" t="n">
        <v>34671</v>
      </c>
      <c r="B1458" t="n">
        <v>2513000</v>
      </c>
      <c r="C1458" t="n">
        <v>324000</v>
      </c>
    </row>
    <row r="1459">
      <c r="A1459" s="78" t="n">
        <v>34678</v>
      </c>
      <c r="B1459" t="n">
        <v>2508000</v>
      </c>
      <c r="C1459" t="n">
        <v>329000</v>
      </c>
    </row>
    <row r="1460">
      <c r="A1460" s="78" t="n">
        <v>34685</v>
      </c>
      <c r="B1460" t="n">
        <v>2557000</v>
      </c>
      <c r="C1460" t="n">
        <v>330000</v>
      </c>
    </row>
    <row r="1461">
      <c r="A1461" s="78" t="n">
        <v>34692</v>
      </c>
      <c r="B1461" t="n">
        <v>2567000</v>
      </c>
      <c r="C1461" t="n">
        <v>314000</v>
      </c>
    </row>
    <row r="1462">
      <c r="A1462" s="78" t="n">
        <v>34699</v>
      </c>
      <c r="B1462" t="n">
        <v>2499000</v>
      </c>
      <c r="C1462" t="n">
        <v>319000</v>
      </c>
    </row>
    <row r="1463">
      <c r="A1463" s="78" t="n">
        <v>34706</v>
      </c>
      <c r="B1463" t="n">
        <v>2486000</v>
      </c>
      <c r="C1463" t="n">
        <v>338000</v>
      </c>
    </row>
    <row r="1464">
      <c r="A1464" s="78" t="n">
        <v>34713</v>
      </c>
      <c r="B1464" t="n">
        <v>2559000</v>
      </c>
      <c r="C1464" t="n">
        <v>347000</v>
      </c>
    </row>
    <row r="1465">
      <c r="A1465" s="78" t="n">
        <v>34720</v>
      </c>
      <c r="B1465" t="n">
        <v>2473000</v>
      </c>
      <c r="C1465" t="n">
        <v>325000</v>
      </c>
    </row>
    <row r="1466">
      <c r="A1466" s="78" t="n">
        <v>34727</v>
      </c>
      <c r="B1466" t="n">
        <v>2532000</v>
      </c>
      <c r="C1466" t="n">
        <v>324000</v>
      </c>
    </row>
    <row r="1467">
      <c r="A1467" s="78" t="n">
        <v>34734</v>
      </c>
      <c r="B1467" t="n">
        <v>2501000</v>
      </c>
      <c r="C1467" t="n">
        <v>324000</v>
      </c>
    </row>
    <row r="1468">
      <c r="A1468" s="78" t="n">
        <v>34741</v>
      </c>
      <c r="B1468" t="n">
        <v>2515000</v>
      </c>
      <c r="C1468" t="n">
        <v>348000</v>
      </c>
    </row>
    <row r="1469">
      <c r="A1469" s="78" t="n">
        <v>34748</v>
      </c>
      <c r="B1469" t="n">
        <v>2541000</v>
      </c>
      <c r="C1469" t="n">
        <v>343000</v>
      </c>
    </row>
    <row r="1470">
      <c r="A1470" s="78" t="n">
        <v>34755</v>
      </c>
      <c r="B1470" t="n">
        <v>2533000</v>
      </c>
      <c r="C1470" t="n">
        <v>336000</v>
      </c>
    </row>
    <row r="1471">
      <c r="A1471" s="78" t="n">
        <v>34762</v>
      </c>
      <c r="B1471" t="n">
        <v>2518000</v>
      </c>
      <c r="C1471" t="n">
        <v>339000</v>
      </c>
    </row>
    <row r="1472">
      <c r="A1472" s="78" t="n">
        <v>34769</v>
      </c>
      <c r="B1472" t="n">
        <v>2564000</v>
      </c>
      <c r="C1472" t="n">
        <v>347000</v>
      </c>
    </row>
    <row r="1473">
      <c r="A1473" s="78" t="n">
        <v>34776</v>
      </c>
      <c r="B1473" t="n">
        <v>2513000</v>
      </c>
      <c r="C1473" t="n">
        <v>343000</v>
      </c>
    </row>
    <row r="1474">
      <c r="A1474" s="78" t="n">
        <v>34783</v>
      </c>
      <c r="B1474" t="n">
        <v>2530000</v>
      </c>
      <c r="C1474" t="n">
        <v>332000</v>
      </c>
    </row>
    <row r="1475">
      <c r="A1475" s="78" t="n">
        <v>34790</v>
      </c>
      <c r="B1475" t="n">
        <v>2484000</v>
      </c>
      <c r="C1475" t="n">
        <v>335000</v>
      </c>
    </row>
    <row r="1476">
      <c r="A1476" s="78" t="n">
        <v>34797</v>
      </c>
      <c r="B1476" t="n">
        <v>2500000</v>
      </c>
      <c r="C1476" t="n">
        <v>347000</v>
      </c>
    </row>
    <row r="1477">
      <c r="A1477" s="78" t="n">
        <v>34804</v>
      </c>
      <c r="B1477" t="n">
        <v>2505000</v>
      </c>
      <c r="C1477" t="n">
        <v>355000</v>
      </c>
    </row>
    <row r="1478">
      <c r="A1478" s="78" t="n">
        <v>34811</v>
      </c>
      <c r="B1478" t="n">
        <v>2569000</v>
      </c>
      <c r="C1478" t="n">
        <v>349000</v>
      </c>
    </row>
    <row r="1479">
      <c r="A1479" s="78" t="n">
        <v>34818</v>
      </c>
      <c r="B1479" t="n">
        <v>2539000</v>
      </c>
      <c r="C1479" t="n">
        <v>365000</v>
      </c>
    </row>
    <row r="1480">
      <c r="A1480" s="78" t="n">
        <v>34825</v>
      </c>
      <c r="B1480" t="n">
        <v>2535000</v>
      </c>
      <c r="C1480" t="n">
        <v>364000</v>
      </c>
    </row>
    <row r="1481">
      <c r="A1481" s="78" t="n">
        <v>34832</v>
      </c>
      <c r="B1481" t="n">
        <v>2567000</v>
      </c>
      <c r="C1481" t="n">
        <v>366000</v>
      </c>
    </row>
    <row r="1482">
      <c r="A1482" s="78" t="n">
        <v>34839</v>
      </c>
      <c r="B1482" t="n">
        <v>2616000</v>
      </c>
      <c r="C1482" t="n">
        <v>377000</v>
      </c>
    </row>
    <row r="1483">
      <c r="A1483" s="78" t="n">
        <v>34846</v>
      </c>
      <c r="B1483" t="n">
        <v>2574000</v>
      </c>
      <c r="C1483" t="n">
        <v>374000</v>
      </c>
    </row>
    <row r="1484">
      <c r="A1484" s="78" t="n">
        <v>34853</v>
      </c>
      <c r="B1484" t="n">
        <v>2608000</v>
      </c>
      <c r="C1484" t="n">
        <v>362000</v>
      </c>
    </row>
    <row r="1485">
      <c r="A1485" s="78" t="n">
        <v>34860</v>
      </c>
      <c r="B1485" t="n">
        <v>2614000</v>
      </c>
      <c r="C1485" t="n">
        <v>367000</v>
      </c>
    </row>
    <row r="1486">
      <c r="A1486" s="78" t="n">
        <v>34867</v>
      </c>
      <c r="B1486" t="n">
        <v>2603000</v>
      </c>
      <c r="C1486" t="n">
        <v>378000</v>
      </c>
    </row>
    <row r="1487">
      <c r="A1487" s="78" t="n">
        <v>34874</v>
      </c>
      <c r="B1487" t="n">
        <v>2602000</v>
      </c>
      <c r="C1487" t="n">
        <v>358000</v>
      </c>
    </row>
    <row r="1488">
      <c r="A1488" s="78" t="n">
        <v>34881</v>
      </c>
      <c r="B1488" t="n">
        <v>2596000</v>
      </c>
      <c r="C1488" t="n">
        <v>355000</v>
      </c>
    </row>
    <row r="1489">
      <c r="A1489" s="78" t="n">
        <v>34888</v>
      </c>
      <c r="B1489" t="n">
        <v>2651000</v>
      </c>
      <c r="C1489" t="n">
        <v>372000</v>
      </c>
    </row>
    <row r="1490">
      <c r="A1490" s="78" t="n">
        <v>34895</v>
      </c>
      <c r="B1490" t="n">
        <v>2677000</v>
      </c>
      <c r="C1490" t="n">
        <v>389000</v>
      </c>
    </row>
    <row r="1491">
      <c r="A1491" s="78" t="n">
        <v>34902</v>
      </c>
      <c r="B1491" t="n">
        <v>2605000</v>
      </c>
      <c r="C1491" t="n">
        <v>390000</v>
      </c>
    </row>
    <row r="1492">
      <c r="A1492" s="78" t="n">
        <v>34909</v>
      </c>
      <c r="B1492" t="n">
        <v>2585000</v>
      </c>
      <c r="C1492" t="n">
        <v>351000</v>
      </c>
    </row>
    <row r="1493">
      <c r="A1493" s="78" t="n">
        <v>34916</v>
      </c>
      <c r="B1493" t="n">
        <v>2592000</v>
      </c>
      <c r="C1493" t="n">
        <v>351000</v>
      </c>
    </row>
    <row r="1494">
      <c r="A1494" s="78" t="n">
        <v>34923</v>
      </c>
      <c r="B1494" t="n">
        <v>2612000</v>
      </c>
      <c r="C1494" t="n">
        <v>353000</v>
      </c>
    </row>
    <row r="1495">
      <c r="A1495" s="78" t="n">
        <v>34930</v>
      </c>
      <c r="B1495" t="n">
        <v>2615000</v>
      </c>
      <c r="C1495" t="n">
        <v>362000</v>
      </c>
    </row>
    <row r="1496">
      <c r="A1496" s="78" t="n">
        <v>34937</v>
      </c>
      <c r="B1496" t="n">
        <v>2610000</v>
      </c>
      <c r="C1496" t="n">
        <v>359000</v>
      </c>
    </row>
    <row r="1497">
      <c r="A1497" s="78" t="n">
        <v>34944</v>
      </c>
      <c r="B1497" t="n">
        <v>2613000</v>
      </c>
      <c r="C1497" t="n">
        <v>355000</v>
      </c>
    </row>
    <row r="1498">
      <c r="A1498" s="78" t="n">
        <v>34951</v>
      </c>
      <c r="B1498" t="n">
        <v>2636000</v>
      </c>
      <c r="C1498" t="n">
        <v>371000</v>
      </c>
    </row>
    <row r="1499">
      <c r="A1499" s="78" t="n">
        <v>34958</v>
      </c>
      <c r="B1499" t="n">
        <v>2650000</v>
      </c>
      <c r="C1499" t="n">
        <v>376000</v>
      </c>
    </row>
    <row r="1500">
      <c r="A1500" s="78" t="n">
        <v>34965</v>
      </c>
      <c r="B1500" t="n">
        <v>2626000</v>
      </c>
      <c r="C1500" t="n">
        <v>353000</v>
      </c>
    </row>
    <row r="1501">
      <c r="A1501" s="78" t="n">
        <v>34972</v>
      </c>
      <c r="B1501" t="n">
        <v>2609000</v>
      </c>
      <c r="C1501" t="n">
        <v>355000</v>
      </c>
    </row>
    <row r="1502">
      <c r="A1502" s="78" t="n">
        <v>34979</v>
      </c>
      <c r="B1502" t="n">
        <v>2651000</v>
      </c>
      <c r="C1502" t="n">
        <v>374000</v>
      </c>
    </row>
    <row r="1503">
      <c r="A1503" s="78" t="n">
        <v>34986</v>
      </c>
      <c r="B1503" t="n">
        <v>2688000</v>
      </c>
      <c r="C1503" t="n">
        <v>369000</v>
      </c>
    </row>
    <row r="1504">
      <c r="A1504" s="78" t="n">
        <v>34993</v>
      </c>
      <c r="B1504" t="n">
        <v>2640000</v>
      </c>
      <c r="C1504" t="n">
        <v>366000</v>
      </c>
    </row>
    <row r="1505">
      <c r="A1505" s="78" t="n">
        <v>35000</v>
      </c>
      <c r="B1505" t="n">
        <v>2674000</v>
      </c>
      <c r="C1505" t="n">
        <v>377000</v>
      </c>
    </row>
    <row r="1506">
      <c r="A1506" s="78" t="n">
        <v>35007</v>
      </c>
      <c r="B1506" t="n">
        <v>2649000</v>
      </c>
      <c r="C1506" t="n">
        <v>380000</v>
      </c>
    </row>
    <row r="1507">
      <c r="A1507" s="78" t="n">
        <v>35014</v>
      </c>
      <c r="B1507" t="n">
        <v>2674000</v>
      </c>
      <c r="C1507" t="n">
        <v>370000</v>
      </c>
    </row>
    <row r="1508">
      <c r="A1508" s="78" t="n">
        <v>35021</v>
      </c>
      <c r="B1508" t="n">
        <v>2653000</v>
      </c>
      <c r="C1508" t="n">
        <v>379000</v>
      </c>
    </row>
    <row r="1509">
      <c r="A1509" s="78" t="n">
        <v>35028</v>
      </c>
      <c r="B1509" t="n">
        <v>2712000</v>
      </c>
      <c r="C1509" t="n">
        <v>379000</v>
      </c>
    </row>
    <row r="1510">
      <c r="A1510" s="78" t="n">
        <v>35035</v>
      </c>
      <c r="B1510" t="n">
        <v>2623000</v>
      </c>
      <c r="C1510" t="n">
        <v>373000</v>
      </c>
    </row>
    <row r="1511">
      <c r="A1511" s="78" t="n">
        <v>35042</v>
      </c>
      <c r="B1511" t="n">
        <v>2629000</v>
      </c>
      <c r="C1511" t="n">
        <v>346000</v>
      </c>
    </row>
    <row r="1512">
      <c r="A1512" s="78" t="n">
        <v>35049</v>
      </c>
      <c r="B1512" t="n">
        <v>2631000</v>
      </c>
      <c r="C1512" t="n">
        <v>373000</v>
      </c>
    </row>
    <row r="1513">
      <c r="A1513" s="78" t="n">
        <v>35056</v>
      </c>
      <c r="B1513" t="n">
        <v>2622000</v>
      </c>
      <c r="C1513" t="n">
        <v>374000</v>
      </c>
    </row>
    <row r="1514">
      <c r="A1514" s="78" t="n">
        <v>35063</v>
      </c>
      <c r="B1514" t="n">
        <v>2558000</v>
      </c>
      <c r="C1514" t="n">
        <v>359000</v>
      </c>
    </row>
    <row r="1515">
      <c r="A1515" s="78" t="n">
        <v>35070</v>
      </c>
      <c r="B1515" t="n">
        <v>2549000</v>
      </c>
      <c r="C1515" t="n">
        <v>361000</v>
      </c>
    </row>
    <row r="1516">
      <c r="A1516" s="78" t="n">
        <v>35077</v>
      </c>
      <c r="B1516" t="n">
        <v>2702000</v>
      </c>
      <c r="C1516" t="n">
        <v>333000</v>
      </c>
    </row>
    <row r="1517">
      <c r="A1517" s="78" t="n">
        <v>35084</v>
      </c>
      <c r="B1517" t="n">
        <v>2707000</v>
      </c>
      <c r="C1517" t="n">
        <v>415000</v>
      </c>
    </row>
    <row r="1518">
      <c r="A1518" s="78" t="n">
        <v>35091</v>
      </c>
      <c r="B1518" t="n">
        <v>2637000</v>
      </c>
      <c r="C1518" t="n">
        <v>387000</v>
      </c>
    </row>
    <row r="1519">
      <c r="A1519" s="78" t="n">
        <v>35098</v>
      </c>
      <c r="B1519" t="n">
        <v>2750000</v>
      </c>
      <c r="C1519" t="n">
        <v>374000</v>
      </c>
    </row>
    <row r="1520">
      <c r="A1520" s="78" t="n">
        <v>35105</v>
      </c>
      <c r="B1520" t="n">
        <v>2672000</v>
      </c>
      <c r="C1520" t="n">
        <v>387000</v>
      </c>
    </row>
    <row r="1521">
      <c r="A1521" s="78" t="n">
        <v>35112</v>
      </c>
      <c r="B1521" t="n">
        <v>2694000</v>
      </c>
      <c r="C1521" t="n">
        <v>383000</v>
      </c>
    </row>
    <row r="1522">
      <c r="A1522" s="78" t="n">
        <v>35119</v>
      </c>
      <c r="B1522" t="n">
        <v>2655000</v>
      </c>
      <c r="C1522" t="n">
        <v>365000</v>
      </c>
    </row>
    <row r="1523">
      <c r="A1523" s="78" t="n">
        <v>35126</v>
      </c>
      <c r="B1523" t="n">
        <v>2688000</v>
      </c>
      <c r="C1523" t="n">
        <v>368000</v>
      </c>
    </row>
    <row r="1524">
      <c r="A1524" s="78" t="n">
        <v>35133</v>
      </c>
      <c r="B1524" t="n">
        <v>2647000</v>
      </c>
      <c r="C1524" t="n">
        <v>361000</v>
      </c>
    </row>
    <row r="1525">
      <c r="A1525" s="78" t="n">
        <v>35140</v>
      </c>
      <c r="B1525" t="n">
        <v>2677000</v>
      </c>
      <c r="C1525" t="n">
        <v>384000</v>
      </c>
    </row>
    <row r="1526">
      <c r="A1526" s="78" t="n">
        <v>35147</v>
      </c>
      <c r="B1526" t="n">
        <v>2738000</v>
      </c>
      <c r="C1526" t="n">
        <v>426000</v>
      </c>
    </row>
    <row r="1527">
      <c r="A1527" s="78" t="n">
        <v>35154</v>
      </c>
      <c r="B1527" t="n">
        <v>2675000</v>
      </c>
      <c r="C1527" t="n">
        <v>393000</v>
      </c>
    </row>
    <row r="1528">
      <c r="A1528" s="78" t="n">
        <v>35161</v>
      </c>
      <c r="B1528" t="n">
        <v>2648000</v>
      </c>
      <c r="C1528" t="n">
        <v>369000</v>
      </c>
    </row>
    <row r="1529">
      <c r="A1529" s="78" t="n">
        <v>35168</v>
      </c>
      <c r="B1529" t="n">
        <v>2657000</v>
      </c>
      <c r="C1529" t="n">
        <v>357000</v>
      </c>
    </row>
    <row r="1530">
      <c r="A1530" s="78" t="n">
        <v>35175</v>
      </c>
      <c r="B1530" t="n">
        <v>2620000</v>
      </c>
      <c r="C1530" t="n">
        <v>368000</v>
      </c>
    </row>
    <row r="1531">
      <c r="A1531" s="78" t="n">
        <v>35182</v>
      </c>
      <c r="B1531" t="n">
        <v>2609000</v>
      </c>
      <c r="C1531" t="n">
        <v>343000</v>
      </c>
    </row>
    <row r="1532">
      <c r="A1532" s="78" t="n">
        <v>35189</v>
      </c>
      <c r="B1532" t="n">
        <v>2602000</v>
      </c>
      <c r="C1532" t="n">
        <v>338000</v>
      </c>
    </row>
    <row r="1533">
      <c r="A1533" s="78" t="n">
        <v>35196</v>
      </c>
      <c r="B1533" t="n">
        <v>2586000</v>
      </c>
      <c r="C1533" t="n">
        <v>352000</v>
      </c>
    </row>
    <row r="1534">
      <c r="A1534" s="78" t="n">
        <v>35203</v>
      </c>
      <c r="B1534" t="n">
        <v>2584000</v>
      </c>
      <c r="C1534" t="n">
        <v>345000</v>
      </c>
    </row>
    <row r="1535">
      <c r="A1535" s="78" t="n">
        <v>35210</v>
      </c>
      <c r="B1535" t="n">
        <v>2590000</v>
      </c>
      <c r="C1535" t="n">
        <v>343000</v>
      </c>
    </row>
    <row r="1536">
      <c r="A1536" s="78" t="n">
        <v>35217</v>
      </c>
      <c r="B1536" t="n">
        <v>2553000</v>
      </c>
      <c r="C1536" t="n">
        <v>340000</v>
      </c>
    </row>
    <row r="1537">
      <c r="A1537" s="78" t="n">
        <v>35224</v>
      </c>
      <c r="B1537" t="n">
        <v>2521000</v>
      </c>
      <c r="C1537" t="n">
        <v>351000</v>
      </c>
    </row>
    <row r="1538">
      <c r="A1538" s="78" t="n">
        <v>35231</v>
      </c>
      <c r="B1538" t="n">
        <v>2560000</v>
      </c>
      <c r="C1538" t="n">
        <v>342000</v>
      </c>
    </row>
    <row r="1539">
      <c r="A1539" s="78" t="n">
        <v>35238</v>
      </c>
      <c r="B1539" t="n">
        <v>2550000</v>
      </c>
      <c r="C1539" t="n">
        <v>341000</v>
      </c>
    </row>
    <row r="1540">
      <c r="A1540" s="78" t="n">
        <v>35245</v>
      </c>
      <c r="B1540" t="n">
        <v>2556000</v>
      </c>
      <c r="C1540" t="n">
        <v>337000</v>
      </c>
    </row>
    <row r="1541">
      <c r="A1541" s="78" t="n">
        <v>35252</v>
      </c>
      <c r="B1541" t="n">
        <v>2501000</v>
      </c>
      <c r="C1541" t="n">
        <v>342000</v>
      </c>
    </row>
    <row r="1542">
      <c r="A1542" s="78" t="n">
        <v>35259</v>
      </c>
      <c r="B1542" t="n">
        <v>2495000</v>
      </c>
      <c r="C1542" t="n">
        <v>347000</v>
      </c>
    </row>
    <row r="1543">
      <c r="A1543" s="78" t="n">
        <v>35266</v>
      </c>
      <c r="B1543" t="n">
        <v>2492000</v>
      </c>
      <c r="C1543" t="n">
        <v>332000</v>
      </c>
    </row>
    <row r="1544">
      <c r="A1544" s="78" t="n">
        <v>35273</v>
      </c>
      <c r="B1544" t="n">
        <v>2472000</v>
      </c>
      <c r="C1544" t="n">
        <v>327000</v>
      </c>
    </row>
    <row r="1545">
      <c r="A1545" s="78" t="n">
        <v>35280</v>
      </c>
      <c r="B1545" t="n">
        <v>2476000</v>
      </c>
      <c r="C1545" t="n">
        <v>326000</v>
      </c>
    </row>
    <row r="1546">
      <c r="A1546" s="78" t="n">
        <v>35287</v>
      </c>
      <c r="B1546" t="n">
        <v>2492000</v>
      </c>
      <c r="C1546" t="n">
        <v>331000</v>
      </c>
    </row>
    <row r="1547">
      <c r="A1547" s="78" t="n">
        <v>35294</v>
      </c>
      <c r="B1547" t="n">
        <v>2495000</v>
      </c>
      <c r="C1547" t="n">
        <v>336000</v>
      </c>
    </row>
    <row r="1548">
      <c r="A1548" s="78" t="n">
        <v>35301</v>
      </c>
      <c r="B1548" t="n">
        <v>2493000</v>
      </c>
      <c r="C1548" t="n">
        <v>337000</v>
      </c>
    </row>
    <row r="1549">
      <c r="A1549" s="78" t="n">
        <v>35308</v>
      </c>
      <c r="B1549" t="n">
        <v>2516000</v>
      </c>
      <c r="C1549" t="n">
        <v>329000</v>
      </c>
    </row>
    <row r="1550">
      <c r="A1550" s="78" t="n">
        <v>35315</v>
      </c>
      <c r="B1550" t="n">
        <v>2443000</v>
      </c>
      <c r="C1550" t="n">
        <v>333000</v>
      </c>
    </row>
    <row r="1551">
      <c r="A1551" s="78" t="n">
        <v>35322</v>
      </c>
      <c r="B1551" t="n">
        <v>2486000</v>
      </c>
      <c r="C1551" t="n">
        <v>338000</v>
      </c>
    </row>
    <row r="1552">
      <c r="A1552" s="78" t="n">
        <v>35329</v>
      </c>
      <c r="B1552" t="n">
        <v>2484000</v>
      </c>
      <c r="C1552" t="n">
        <v>352000</v>
      </c>
    </row>
    <row r="1553">
      <c r="A1553" s="78" t="n">
        <v>35336</v>
      </c>
      <c r="B1553" t="n">
        <v>2479000</v>
      </c>
      <c r="C1553" t="n">
        <v>348000</v>
      </c>
    </row>
    <row r="1554">
      <c r="A1554" s="78" t="n">
        <v>35343</v>
      </c>
      <c r="B1554" t="n">
        <v>2496000</v>
      </c>
      <c r="C1554" t="n">
        <v>335000</v>
      </c>
    </row>
    <row r="1555">
      <c r="A1555" s="78" t="n">
        <v>35350</v>
      </c>
      <c r="B1555" t="n">
        <v>2422000</v>
      </c>
      <c r="C1555" t="n">
        <v>334000</v>
      </c>
    </row>
    <row r="1556">
      <c r="A1556" s="78" t="n">
        <v>35357</v>
      </c>
      <c r="B1556" t="n">
        <v>2449000</v>
      </c>
      <c r="C1556" t="n">
        <v>335000</v>
      </c>
    </row>
    <row r="1557">
      <c r="A1557" s="78" t="n">
        <v>35364</v>
      </c>
      <c r="B1557" t="n">
        <v>2474000</v>
      </c>
      <c r="C1557" t="n">
        <v>352000</v>
      </c>
    </row>
    <row r="1558">
      <c r="A1558" s="78" t="n">
        <v>35371</v>
      </c>
      <c r="B1558" t="n">
        <v>2452000</v>
      </c>
      <c r="C1558" t="n">
        <v>334000</v>
      </c>
    </row>
    <row r="1559">
      <c r="A1559" s="78" t="n">
        <v>35378</v>
      </c>
      <c r="B1559" t="n">
        <v>2475000</v>
      </c>
      <c r="C1559" t="n">
        <v>327000</v>
      </c>
    </row>
    <row r="1560">
      <c r="A1560" s="78" t="n">
        <v>35385</v>
      </c>
      <c r="B1560" t="n">
        <v>2406000</v>
      </c>
      <c r="C1560" t="n">
        <v>342000</v>
      </c>
    </row>
    <row r="1561">
      <c r="A1561" s="78" t="n">
        <v>35392</v>
      </c>
      <c r="B1561" t="n">
        <v>2350000</v>
      </c>
      <c r="C1561" t="n">
        <v>347000</v>
      </c>
    </row>
    <row r="1562">
      <c r="A1562" s="78" t="n">
        <v>35399</v>
      </c>
      <c r="B1562" t="n">
        <v>2460000</v>
      </c>
      <c r="C1562" t="n">
        <v>332000</v>
      </c>
    </row>
    <row r="1563">
      <c r="A1563" s="78" t="n">
        <v>35406</v>
      </c>
      <c r="B1563" t="n">
        <v>2484000</v>
      </c>
      <c r="C1563" t="n">
        <v>355000</v>
      </c>
    </row>
    <row r="1564">
      <c r="A1564" s="78" t="n">
        <v>35413</v>
      </c>
      <c r="B1564" t="n">
        <v>2464000</v>
      </c>
      <c r="C1564" t="n">
        <v>352000</v>
      </c>
    </row>
    <row r="1565">
      <c r="A1565" s="78" t="n">
        <v>35420</v>
      </c>
      <c r="B1565" t="n">
        <v>2506000</v>
      </c>
      <c r="C1565" t="n">
        <v>350000</v>
      </c>
    </row>
    <row r="1566">
      <c r="A1566" s="78" t="n">
        <v>35427</v>
      </c>
      <c r="B1566" t="n">
        <v>2497000</v>
      </c>
      <c r="C1566" t="n">
        <v>357000</v>
      </c>
    </row>
    <row r="1567">
      <c r="A1567" s="78" t="n">
        <v>35434</v>
      </c>
      <c r="B1567" t="n">
        <v>2552000</v>
      </c>
      <c r="C1567" t="n">
        <v>347000</v>
      </c>
    </row>
    <row r="1568">
      <c r="A1568" s="78" t="n">
        <v>35441</v>
      </c>
      <c r="B1568" t="n">
        <v>2473000</v>
      </c>
      <c r="C1568" t="n">
        <v>324000</v>
      </c>
    </row>
    <row r="1569">
      <c r="A1569" s="78" t="n">
        <v>35448</v>
      </c>
      <c r="B1569" t="n">
        <v>2434000</v>
      </c>
      <c r="C1569" t="n">
        <v>345000</v>
      </c>
    </row>
    <row r="1570">
      <c r="A1570" s="78" t="n">
        <v>35455</v>
      </c>
      <c r="B1570" t="n">
        <v>2492000</v>
      </c>
      <c r="C1570" t="n">
        <v>340000</v>
      </c>
    </row>
    <row r="1571">
      <c r="A1571" s="78" t="n">
        <v>35462</v>
      </c>
      <c r="B1571" t="n">
        <v>2403000</v>
      </c>
      <c r="C1571" t="n">
        <v>333000</v>
      </c>
    </row>
    <row r="1572">
      <c r="A1572" s="78" t="n">
        <v>35469</v>
      </c>
      <c r="B1572" t="n">
        <v>2436000</v>
      </c>
      <c r="C1572" t="n">
        <v>315000</v>
      </c>
    </row>
    <row r="1573">
      <c r="A1573" s="78" t="n">
        <v>35476</v>
      </c>
      <c r="B1573" t="n">
        <v>2407000</v>
      </c>
      <c r="C1573" t="n">
        <v>313000</v>
      </c>
    </row>
    <row r="1574">
      <c r="A1574" s="78" t="n">
        <v>35483</v>
      </c>
      <c r="B1574" t="n">
        <v>2414000</v>
      </c>
      <c r="C1574" t="n">
        <v>322000</v>
      </c>
    </row>
    <row r="1575">
      <c r="A1575" s="78" t="n">
        <v>35490</v>
      </c>
      <c r="B1575" t="n">
        <v>2370000</v>
      </c>
      <c r="C1575" t="n">
        <v>321000</v>
      </c>
    </row>
    <row r="1576">
      <c r="A1576" s="78" t="n">
        <v>35497</v>
      </c>
      <c r="B1576" t="n">
        <v>2371000</v>
      </c>
      <c r="C1576" t="n">
        <v>317000</v>
      </c>
    </row>
    <row r="1577">
      <c r="A1577" s="78" t="n">
        <v>35504</v>
      </c>
      <c r="B1577" t="n">
        <v>2344000</v>
      </c>
      <c r="C1577" t="n">
        <v>319000</v>
      </c>
    </row>
    <row r="1578">
      <c r="A1578" s="78" t="n">
        <v>35511</v>
      </c>
      <c r="B1578" t="n">
        <v>2322000</v>
      </c>
      <c r="C1578" t="n">
        <v>315000</v>
      </c>
    </row>
    <row r="1579">
      <c r="A1579" s="78" t="n">
        <v>35518</v>
      </c>
      <c r="B1579" t="n">
        <v>2331000</v>
      </c>
      <c r="C1579" t="n">
        <v>325000</v>
      </c>
    </row>
    <row r="1580">
      <c r="A1580" s="78" t="n">
        <v>35525</v>
      </c>
      <c r="B1580" t="n">
        <v>2359000</v>
      </c>
      <c r="C1580" t="n">
        <v>325000</v>
      </c>
    </row>
    <row r="1581">
      <c r="A1581" s="78" t="n">
        <v>35532</v>
      </c>
      <c r="B1581" t="n">
        <v>2307000</v>
      </c>
      <c r="C1581" t="n">
        <v>330000</v>
      </c>
    </row>
    <row r="1582">
      <c r="A1582" s="78" t="n">
        <v>35539</v>
      </c>
      <c r="B1582" t="n">
        <v>2304000</v>
      </c>
      <c r="C1582" t="n">
        <v>316000</v>
      </c>
    </row>
    <row r="1583">
      <c r="A1583" s="78" t="n">
        <v>35546</v>
      </c>
      <c r="B1583" t="n">
        <v>2327000</v>
      </c>
      <c r="C1583" t="n">
        <v>337000</v>
      </c>
    </row>
    <row r="1584">
      <c r="A1584" s="78" t="n">
        <v>35553</v>
      </c>
      <c r="B1584" t="n">
        <v>2339000</v>
      </c>
      <c r="C1584" t="n">
        <v>342000</v>
      </c>
    </row>
    <row r="1585">
      <c r="A1585" s="78" t="n">
        <v>35560</v>
      </c>
      <c r="B1585" t="n">
        <v>2318000</v>
      </c>
      <c r="C1585" t="n">
        <v>318000</v>
      </c>
    </row>
    <row r="1586">
      <c r="A1586" s="78" t="n">
        <v>35567</v>
      </c>
      <c r="B1586" t="n">
        <v>2276000</v>
      </c>
      <c r="C1586" t="n">
        <v>322000</v>
      </c>
    </row>
    <row r="1587">
      <c r="A1587" s="78" t="n">
        <v>35574</v>
      </c>
      <c r="B1587" t="n">
        <v>2274000</v>
      </c>
      <c r="C1587" t="n">
        <v>316000</v>
      </c>
    </row>
    <row r="1588">
      <c r="A1588" s="78" t="n">
        <v>35581</v>
      </c>
      <c r="B1588" t="n">
        <v>2307000</v>
      </c>
      <c r="C1588" t="n">
        <v>321000</v>
      </c>
    </row>
    <row r="1589">
      <c r="A1589" s="78" t="n">
        <v>35588</v>
      </c>
      <c r="B1589" t="n">
        <v>2276000</v>
      </c>
      <c r="C1589" t="n">
        <v>329000</v>
      </c>
    </row>
    <row r="1590">
      <c r="A1590" s="78" t="n">
        <v>35595</v>
      </c>
      <c r="B1590" t="n">
        <v>2265000</v>
      </c>
      <c r="C1590" t="n">
        <v>335000</v>
      </c>
    </row>
    <row r="1591">
      <c r="A1591" s="78" t="n">
        <v>35602</v>
      </c>
      <c r="B1591" t="n">
        <v>2303000</v>
      </c>
      <c r="C1591" t="n">
        <v>316000</v>
      </c>
    </row>
    <row r="1592">
      <c r="A1592" s="78" t="n">
        <v>35609</v>
      </c>
      <c r="B1592" t="n">
        <v>2338000</v>
      </c>
      <c r="C1592" t="n">
        <v>322000</v>
      </c>
    </row>
    <row r="1593">
      <c r="A1593" s="78" t="n">
        <v>35616</v>
      </c>
      <c r="B1593" t="n">
        <v>2289000</v>
      </c>
      <c r="C1593" t="n">
        <v>346000</v>
      </c>
    </row>
    <row r="1594">
      <c r="A1594" s="78" t="n">
        <v>35623</v>
      </c>
      <c r="B1594" t="n">
        <v>2262000</v>
      </c>
      <c r="C1594" t="n">
        <v>328000</v>
      </c>
    </row>
    <row r="1595">
      <c r="A1595" s="78" t="n">
        <v>35630</v>
      </c>
      <c r="B1595" t="n">
        <v>2268000</v>
      </c>
      <c r="C1595" t="n">
        <v>301000</v>
      </c>
    </row>
    <row r="1596">
      <c r="A1596" s="78" t="n">
        <v>35637</v>
      </c>
      <c r="B1596" t="n">
        <v>2259000</v>
      </c>
      <c r="C1596" t="n">
        <v>306000</v>
      </c>
    </row>
    <row r="1597">
      <c r="A1597" s="78" t="n">
        <v>35644</v>
      </c>
      <c r="B1597" t="n">
        <v>2235000</v>
      </c>
      <c r="C1597" t="n">
        <v>320000</v>
      </c>
    </row>
    <row r="1598">
      <c r="A1598" s="78" t="n">
        <v>35651</v>
      </c>
      <c r="B1598" t="n">
        <v>2270000</v>
      </c>
      <c r="C1598" t="n">
        <v>329000</v>
      </c>
    </row>
    <row r="1599">
      <c r="A1599" s="78" t="n">
        <v>35658</v>
      </c>
      <c r="B1599" t="n">
        <v>2290000</v>
      </c>
      <c r="C1599" t="n">
        <v>343000</v>
      </c>
    </row>
    <row r="1600">
      <c r="A1600" s="78" t="n">
        <v>35665</v>
      </c>
      <c r="B1600" t="n">
        <v>2283000</v>
      </c>
      <c r="C1600" t="n">
        <v>327000</v>
      </c>
    </row>
    <row r="1601">
      <c r="A1601" s="78" t="n">
        <v>35672</v>
      </c>
      <c r="B1601" t="n">
        <v>2284000</v>
      </c>
      <c r="C1601" t="n">
        <v>332000</v>
      </c>
    </row>
    <row r="1602">
      <c r="A1602" s="78" t="n">
        <v>35679</v>
      </c>
      <c r="B1602" t="n">
        <v>2265000</v>
      </c>
      <c r="C1602" t="n">
        <v>313000</v>
      </c>
    </row>
    <row r="1603">
      <c r="A1603" s="78" t="n">
        <v>35686</v>
      </c>
      <c r="B1603" t="n">
        <v>2200000</v>
      </c>
      <c r="C1603" t="n">
        <v>314000</v>
      </c>
    </row>
    <row r="1604">
      <c r="A1604" s="78" t="n">
        <v>35693</v>
      </c>
      <c r="B1604" t="n">
        <v>2241000</v>
      </c>
      <c r="C1604" t="n">
        <v>317000</v>
      </c>
    </row>
    <row r="1605">
      <c r="A1605" s="78" t="n">
        <v>35700</v>
      </c>
      <c r="B1605" t="n">
        <v>2233000</v>
      </c>
      <c r="C1605" t="n">
        <v>317000</v>
      </c>
    </row>
    <row r="1606">
      <c r="A1606" s="78" t="n">
        <v>35707</v>
      </c>
      <c r="B1606" t="n">
        <v>2239000</v>
      </c>
      <c r="C1606" t="n">
        <v>311000</v>
      </c>
    </row>
    <row r="1607">
      <c r="A1607" s="78" t="n">
        <v>35714</v>
      </c>
      <c r="B1607" t="n">
        <v>2213000</v>
      </c>
      <c r="C1607" t="n">
        <v>305000</v>
      </c>
    </row>
    <row r="1608">
      <c r="A1608" s="78" t="n">
        <v>35721</v>
      </c>
      <c r="B1608" t="n">
        <v>2182000</v>
      </c>
      <c r="C1608" t="n">
        <v>318000</v>
      </c>
    </row>
    <row r="1609">
      <c r="A1609" s="78" t="n">
        <v>35728</v>
      </c>
      <c r="B1609" t="n">
        <v>2228000</v>
      </c>
      <c r="C1609" t="n">
        <v>306000</v>
      </c>
    </row>
    <row r="1610">
      <c r="A1610" s="78" t="n">
        <v>35735</v>
      </c>
      <c r="B1610" t="n">
        <v>2201000</v>
      </c>
      <c r="C1610" t="n">
        <v>313000</v>
      </c>
    </row>
    <row r="1611">
      <c r="A1611" s="78" t="n">
        <v>35742</v>
      </c>
      <c r="B1611" t="n">
        <v>2207000</v>
      </c>
      <c r="C1611" t="n">
        <v>308000</v>
      </c>
    </row>
    <row r="1612">
      <c r="A1612" s="78" t="n">
        <v>35749</v>
      </c>
      <c r="B1612" t="n">
        <v>2209000</v>
      </c>
      <c r="C1612" t="n">
        <v>325000</v>
      </c>
    </row>
    <row r="1613">
      <c r="A1613" s="78" t="n">
        <v>35756</v>
      </c>
      <c r="B1613" t="n">
        <v>2216000</v>
      </c>
      <c r="C1613" t="n">
        <v>309000</v>
      </c>
    </row>
    <row r="1614">
      <c r="A1614" s="78" t="n">
        <v>35763</v>
      </c>
      <c r="B1614" t="n">
        <v>2242000</v>
      </c>
      <c r="C1614" t="n">
        <v>318000</v>
      </c>
    </row>
    <row r="1615">
      <c r="A1615" s="78" t="n">
        <v>35770</v>
      </c>
      <c r="B1615" t="n">
        <v>2230000</v>
      </c>
      <c r="C1615" t="n">
        <v>317000</v>
      </c>
    </row>
    <row r="1616">
      <c r="A1616" s="78" t="n">
        <v>35777</v>
      </c>
      <c r="B1616" t="n">
        <v>2231000</v>
      </c>
      <c r="C1616" t="n">
        <v>323000</v>
      </c>
    </row>
    <row r="1617">
      <c r="A1617" s="78" t="n">
        <v>35784</v>
      </c>
      <c r="B1617" t="n">
        <v>2189000</v>
      </c>
      <c r="C1617" t="n">
        <v>310000</v>
      </c>
    </row>
    <row r="1618">
      <c r="A1618" s="78" t="n">
        <v>35791</v>
      </c>
      <c r="B1618" t="n">
        <v>2291000</v>
      </c>
      <c r="C1618" t="n">
        <v>303000</v>
      </c>
    </row>
    <row r="1619">
      <c r="A1619" s="78" t="n">
        <v>35798</v>
      </c>
      <c r="B1619" t="n">
        <v>2369000</v>
      </c>
      <c r="C1619" t="n">
        <v>312000</v>
      </c>
    </row>
    <row r="1620">
      <c r="A1620" s="78" t="n">
        <v>35805</v>
      </c>
      <c r="B1620" t="n">
        <v>2291000</v>
      </c>
      <c r="C1620" t="n">
        <v>331000</v>
      </c>
    </row>
    <row r="1621">
      <c r="A1621" s="78" t="n">
        <v>35812</v>
      </c>
      <c r="B1621" t="n">
        <v>2241000</v>
      </c>
      <c r="C1621" t="n">
        <v>341000</v>
      </c>
    </row>
    <row r="1622">
      <c r="A1622" s="78" t="n">
        <v>35819</v>
      </c>
      <c r="B1622" t="n">
        <v>2275000</v>
      </c>
      <c r="C1622" t="n">
        <v>307000</v>
      </c>
    </row>
    <row r="1623">
      <c r="A1623" s="78" t="n">
        <v>35826</v>
      </c>
      <c r="B1623" t="n">
        <v>2200000</v>
      </c>
      <c r="C1623" t="n">
        <v>315000</v>
      </c>
    </row>
    <row r="1624">
      <c r="A1624" s="78" t="n">
        <v>35833</v>
      </c>
      <c r="B1624" t="n">
        <v>2253000</v>
      </c>
      <c r="C1624" t="n">
        <v>311000</v>
      </c>
    </row>
    <row r="1625">
      <c r="A1625" s="78" t="n">
        <v>35840</v>
      </c>
      <c r="B1625" t="n">
        <v>2227000</v>
      </c>
      <c r="C1625" t="n">
        <v>321000</v>
      </c>
    </row>
    <row r="1626">
      <c r="A1626" s="78" t="n">
        <v>35847</v>
      </c>
      <c r="B1626" t="n">
        <v>2208000</v>
      </c>
      <c r="C1626" t="n">
        <v>327000</v>
      </c>
    </row>
    <row r="1627">
      <c r="A1627" s="78" t="n">
        <v>35854</v>
      </c>
      <c r="B1627" t="n">
        <v>2209000</v>
      </c>
      <c r="C1627" t="n">
        <v>317000</v>
      </c>
    </row>
    <row r="1628">
      <c r="A1628" s="78" t="n">
        <v>35861</v>
      </c>
      <c r="B1628" t="n">
        <v>2208000</v>
      </c>
      <c r="C1628" t="n">
        <v>308000</v>
      </c>
    </row>
    <row r="1629">
      <c r="A1629" s="78" t="n">
        <v>35868</v>
      </c>
      <c r="B1629" t="n">
        <v>2237000</v>
      </c>
      <c r="C1629" t="n">
        <v>319000</v>
      </c>
    </row>
    <row r="1630">
      <c r="A1630" s="78" t="n">
        <v>35875</v>
      </c>
      <c r="B1630" t="n">
        <v>2227000</v>
      </c>
      <c r="C1630" t="n">
        <v>321000</v>
      </c>
    </row>
    <row r="1631">
      <c r="A1631" s="78" t="n">
        <v>35882</v>
      </c>
      <c r="B1631" t="n">
        <v>2215000</v>
      </c>
      <c r="C1631" t="n">
        <v>312000</v>
      </c>
    </row>
    <row r="1632">
      <c r="A1632" s="78" t="n">
        <v>35889</v>
      </c>
      <c r="B1632" t="n">
        <v>2166000</v>
      </c>
      <c r="C1632" t="n">
        <v>312000</v>
      </c>
    </row>
    <row r="1633">
      <c r="A1633" s="78" t="n">
        <v>35896</v>
      </c>
      <c r="B1633" t="n">
        <v>2202000</v>
      </c>
      <c r="C1633" t="n">
        <v>304000</v>
      </c>
    </row>
    <row r="1634">
      <c r="A1634" s="78" t="n">
        <v>35903</v>
      </c>
      <c r="B1634" t="n">
        <v>2210000</v>
      </c>
      <c r="C1634" t="n">
        <v>317000</v>
      </c>
    </row>
    <row r="1635">
      <c r="A1635" s="78" t="n">
        <v>35910</v>
      </c>
      <c r="B1635" t="n">
        <v>2152000</v>
      </c>
      <c r="C1635" t="n">
        <v>311000</v>
      </c>
    </row>
    <row r="1636">
      <c r="A1636" s="78" t="n">
        <v>35917</v>
      </c>
      <c r="B1636" t="n">
        <v>2135000</v>
      </c>
      <c r="C1636" t="n">
        <v>304000</v>
      </c>
    </row>
    <row r="1637">
      <c r="A1637" s="78" t="n">
        <v>35924</v>
      </c>
      <c r="B1637" t="n">
        <v>2140000</v>
      </c>
      <c r="C1637" t="n">
        <v>306000</v>
      </c>
    </row>
    <row r="1638">
      <c r="A1638" s="78" t="n">
        <v>35931</v>
      </c>
      <c r="B1638" t="n">
        <v>2118000</v>
      </c>
      <c r="C1638" t="n">
        <v>315000</v>
      </c>
    </row>
    <row r="1639">
      <c r="A1639" s="78" t="n">
        <v>35938</v>
      </c>
      <c r="B1639" t="n">
        <v>2134000</v>
      </c>
      <c r="C1639" t="n">
        <v>309000</v>
      </c>
    </row>
    <row r="1640">
      <c r="A1640" s="78" t="n">
        <v>35945</v>
      </c>
      <c r="B1640" t="n">
        <v>2146000</v>
      </c>
      <c r="C1640" t="n">
        <v>322000</v>
      </c>
    </row>
    <row r="1641">
      <c r="A1641" s="78" t="n">
        <v>35952</v>
      </c>
      <c r="B1641" t="n">
        <v>2122000</v>
      </c>
      <c r="C1641" t="n">
        <v>306000</v>
      </c>
    </row>
    <row r="1642">
      <c r="A1642" s="78" t="n">
        <v>35959</v>
      </c>
      <c r="B1642" t="n">
        <v>2159000</v>
      </c>
      <c r="C1642" t="n">
        <v>321000</v>
      </c>
    </row>
    <row r="1643">
      <c r="A1643" s="78" t="n">
        <v>35966</v>
      </c>
      <c r="B1643" t="n">
        <v>2188000</v>
      </c>
      <c r="C1643" t="n">
        <v>349000</v>
      </c>
    </row>
    <row r="1644">
      <c r="A1644" s="78" t="n">
        <v>35973</v>
      </c>
      <c r="B1644" t="n">
        <v>2388000</v>
      </c>
      <c r="C1644" t="n">
        <v>376000</v>
      </c>
    </row>
    <row r="1645">
      <c r="A1645" s="78" t="n">
        <v>35980</v>
      </c>
      <c r="B1645" t="n">
        <v>2290000</v>
      </c>
      <c r="C1645" t="n">
        <v>362000</v>
      </c>
    </row>
    <row r="1646">
      <c r="A1646" s="78" t="n">
        <v>35987</v>
      </c>
      <c r="B1646" t="n">
        <v>2323000</v>
      </c>
      <c r="C1646" t="n">
        <v>320000</v>
      </c>
    </row>
    <row r="1647">
      <c r="A1647" s="78" t="n">
        <v>35994</v>
      </c>
      <c r="B1647" t="n">
        <v>2339000</v>
      </c>
      <c r="C1647" t="n">
        <v>315000</v>
      </c>
    </row>
    <row r="1648">
      <c r="A1648" s="78" t="n">
        <v>36001</v>
      </c>
      <c r="B1648" t="n">
        <v>2383000</v>
      </c>
      <c r="C1648" t="n">
        <v>335000</v>
      </c>
    </row>
    <row r="1649">
      <c r="A1649" s="78" t="n">
        <v>36008</v>
      </c>
      <c r="B1649" t="n">
        <v>2336000</v>
      </c>
      <c r="C1649" t="n">
        <v>327000</v>
      </c>
    </row>
    <row r="1650">
      <c r="A1650" s="78" t="n">
        <v>36015</v>
      </c>
      <c r="B1650" t="n">
        <v>2258000</v>
      </c>
      <c r="C1650" t="n">
        <v>316000</v>
      </c>
    </row>
    <row r="1651">
      <c r="A1651" s="78" t="n">
        <v>36022</v>
      </c>
      <c r="B1651" t="n">
        <v>2210000</v>
      </c>
      <c r="C1651" t="n">
        <v>308000</v>
      </c>
    </row>
    <row r="1652">
      <c r="A1652" s="78" t="n">
        <v>36029</v>
      </c>
      <c r="B1652" t="n">
        <v>2202000</v>
      </c>
      <c r="C1652" t="n">
        <v>302000</v>
      </c>
    </row>
    <row r="1653">
      <c r="A1653" s="78" t="n">
        <v>36036</v>
      </c>
      <c r="B1653" t="n">
        <v>2182000</v>
      </c>
      <c r="C1653" t="n">
        <v>310000</v>
      </c>
    </row>
    <row r="1654">
      <c r="A1654" s="78" t="n">
        <v>36043</v>
      </c>
      <c r="B1654" t="n">
        <v>2160000</v>
      </c>
      <c r="C1654" t="n">
        <v>313000</v>
      </c>
    </row>
    <row r="1655">
      <c r="A1655" s="78" t="n">
        <v>36050</v>
      </c>
      <c r="B1655" t="n">
        <v>2190000</v>
      </c>
      <c r="C1655" t="n">
        <v>304000</v>
      </c>
    </row>
    <row r="1656">
      <c r="A1656" s="78" t="n">
        <v>36057</v>
      </c>
      <c r="B1656" t="n">
        <v>2114000</v>
      </c>
      <c r="C1656" t="n">
        <v>305000</v>
      </c>
    </row>
    <row r="1657">
      <c r="A1657" s="78" t="n">
        <v>36064</v>
      </c>
      <c r="B1657" t="n">
        <v>2148000</v>
      </c>
      <c r="C1657" t="n">
        <v>294000</v>
      </c>
    </row>
    <row r="1658">
      <c r="A1658" s="78" t="n">
        <v>36071</v>
      </c>
      <c r="B1658" t="n">
        <v>2156000</v>
      </c>
      <c r="C1658" t="n">
        <v>302000</v>
      </c>
    </row>
    <row r="1659">
      <c r="A1659" s="78" t="n">
        <v>36078</v>
      </c>
      <c r="B1659" t="n">
        <v>2167000</v>
      </c>
      <c r="C1659" t="n">
        <v>316000</v>
      </c>
    </row>
    <row r="1660">
      <c r="A1660" s="78" t="n">
        <v>36085</v>
      </c>
      <c r="B1660" t="n">
        <v>2168000</v>
      </c>
      <c r="C1660" t="n">
        <v>318000</v>
      </c>
    </row>
    <row r="1661">
      <c r="A1661" s="78" t="n">
        <v>36092</v>
      </c>
      <c r="B1661" t="n">
        <v>2169000</v>
      </c>
      <c r="C1661" t="n">
        <v>309000</v>
      </c>
    </row>
    <row r="1662">
      <c r="A1662" s="78" t="n">
        <v>36099</v>
      </c>
      <c r="B1662" t="n">
        <v>2162000</v>
      </c>
      <c r="C1662" t="n">
        <v>308000</v>
      </c>
    </row>
    <row r="1663">
      <c r="A1663" s="78" t="n">
        <v>36106</v>
      </c>
      <c r="B1663" t="n">
        <v>2195000</v>
      </c>
      <c r="C1663" t="n">
        <v>316000</v>
      </c>
    </row>
    <row r="1664">
      <c r="A1664" s="78" t="n">
        <v>36113</v>
      </c>
      <c r="B1664" t="n">
        <v>2177000</v>
      </c>
      <c r="C1664" t="n">
        <v>334000</v>
      </c>
    </row>
    <row r="1665">
      <c r="A1665" s="78" t="n">
        <v>36120</v>
      </c>
      <c r="B1665" t="n">
        <v>2207000</v>
      </c>
      <c r="C1665" t="n">
        <v>304000</v>
      </c>
    </row>
    <row r="1666">
      <c r="A1666" s="78" t="n">
        <v>36127</v>
      </c>
      <c r="B1666" t="n">
        <v>2236000</v>
      </c>
      <c r="C1666" t="n">
        <v>310000</v>
      </c>
    </row>
    <row r="1667">
      <c r="A1667" s="78" t="n">
        <v>36134</v>
      </c>
      <c r="B1667" t="n">
        <v>2239000</v>
      </c>
      <c r="C1667" t="n">
        <v>326000</v>
      </c>
    </row>
    <row r="1668">
      <c r="A1668" s="78" t="n">
        <v>36141</v>
      </c>
      <c r="B1668" t="n">
        <v>2205000</v>
      </c>
      <c r="C1668" t="n">
        <v>305000</v>
      </c>
    </row>
    <row r="1669">
      <c r="A1669" s="78" t="n">
        <v>36148</v>
      </c>
      <c r="B1669" t="n">
        <v>2171000</v>
      </c>
      <c r="C1669" t="n">
        <v>297000</v>
      </c>
    </row>
    <row r="1670">
      <c r="A1670" s="78" t="n">
        <v>36155</v>
      </c>
      <c r="B1670" t="n">
        <v>2266000</v>
      </c>
      <c r="C1670" t="n">
        <v>336000</v>
      </c>
    </row>
    <row r="1671">
      <c r="A1671" s="78" t="n">
        <v>36162</v>
      </c>
      <c r="B1671" t="n">
        <v>2303000</v>
      </c>
      <c r="C1671" t="n">
        <v>331000</v>
      </c>
    </row>
    <row r="1672">
      <c r="A1672" s="78" t="n">
        <v>36169</v>
      </c>
      <c r="B1672" t="n">
        <v>2289000</v>
      </c>
      <c r="C1672" t="n">
        <v>345000</v>
      </c>
    </row>
    <row r="1673">
      <c r="A1673" s="78" t="n">
        <v>36176</v>
      </c>
      <c r="B1673" t="n">
        <v>2316000</v>
      </c>
      <c r="C1673" t="n">
        <v>339000</v>
      </c>
    </row>
    <row r="1674">
      <c r="A1674" s="78" t="n">
        <v>36183</v>
      </c>
      <c r="B1674" t="n">
        <v>2269000</v>
      </c>
      <c r="C1674" t="n">
        <v>311000</v>
      </c>
    </row>
    <row r="1675">
      <c r="A1675" s="78" t="n">
        <v>36190</v>
      </c>
      <c r="B1675" t="n">
        <v>2259000</v>
      </c>
      <c r="C1675" t="n">
        <v>305000</v>
      </c>
    </row>
    <row r="1676">
      <c r="A1676" s="78" t="n">
        <v>36197</v>
      </c>
      <c r="B1676" t="n">
        <v>2253000</v>
      </c>
      <c r="C1676" t="n">
        <v>291000</v>
      </c>
    </row>
    <row r="1677">
      <c r="A1677" s="78" t="n">
        <v>36204</v>
      </c>
      <c r="B1677" t="n">
        <v>2253000</v>
      </c>
      <c r="C1677" t="n">
        <v>312000</v>
      </c>
    </row>
    <row r="1678">
      <c r="A1678" s="78" t="n">
        <v>36211</v>
      </c>
      <c r="B1678" t="n">
        <v>2237000</v>
      </c>
      <c r="C1678" t="n">
        <v>302000</v>
      </c>
    </row>
    <row r="1679">
      <c r="A1679" s="78" t="n">
        <v>36218</v>
      </c>
      <c r="B1679" t="n">
        <v>2219000</v>
      </c>
      <c r="C1679" t="n">
        <v>301000</v>
      </c>
    </row>
    <row r="1680">
      <c r="A1680" s="78" t="n">
        <v>36225</v>
      </c>
      <c r="B1680" t="n">
        <v>2238000</v>
      </c>
      <c r="C1680" t="n">
        <v>300000</v>
      </c>
    </row>
    <row r="1681">
      <c r="A1681" s="78" t="n">
        <v>36232</v>
      </c>
      <c r="B1681" t="n">
        <v>2232000</v>
      </c>
      <c r="C1681" t="n">
        <v>308000</v>
      </c>
    </row>
    <row r="1682">
      <c r="A1682" s="78" t="n">
        <v>36239</v>
      </c>
      <c r="B1682" t="n">
        <v>2247000</v>
      </c>
      <c r="C1682" t="n">
        <v>305000</v>
      </c>
    </row>
    <row r="1683">
      <c r="A1683" s="78" t="n">
        <v>36246</v>
      </c>
      <c r="B1683" t="n">
        <v>2191000</v>
      </c>
      <c r="C1683" t="n">
        <v>298000</v>
      </c>
    </row>
    <row r="1684">
      <c r="A1684" s="78" t="n">
        <v>36253</v>
      </c>
      <c r="B1684" t="n">
        <v>2280000</v>
      </c>
      <c r="C1684" t="n">
        <v>310000</v>
      </c>
    </row>
    <row r="1685">
      <c r="A1685" s="78" t="n">
        <v>36260</v>
      </c>
      <c r="B1685" t="n">
        <v>2247000</v>
      </c>
      <c r="C1685" t="n">
        <v>319000</v>
      </c>
    </row>
    <row r="1686">
      <c r="A1686" s="78" t="n">
        <v>36267</v>
      </c>
      <c r="B1686" t="n">
        <v>2230000</v>
      </c>
      <c r="C1686" t="n">
        <v>314000</v>
      </c>
    </row>
    <row r="1687">
      <c r="A1687" s="78" t="n">
        <v>36274</v>
      </c>
      <c r="B1687" t="n">
        <v>2193000</v>
      </c>
      <c r="C1687" t="n">
        <v>291000</v>
      </c>
    </row>
    <row r="1688">
      <c r="A1688" s="78" t="n">
        <v>36281</v>
      </c>
      <c r="B1688" t="n">
        <v>2226000</v>
      </c>
      <c r="C1688" t="n">
        <v>296000</v>
      </c>
    </row>
    <row r="1689">
      <c r="A1689" s="78" t="n">
        <v>36288</v>
      </c>
      <c r="B1689" t="n">
        <v>2200000</v>
      </c>
      <c r="C1689" t="n">
        <v>310000</v>
      </c>
    </row>
    <row r="1690">
      <c r="A1690" s="78" t="n">
        <v>36295</v>
      </c>
      <c r="B1690" t="n">
        <v>2232000</v>
      </c>
      <c r="C1690" t="n">
        <v>301000</v>
      </c>
    </row>
    <row r="1691">
      <c r="A1691" s="78" t="n">
        <v>36302</v>
      </c>
      <c r="B1691" t="n">
        <v>2223000</v>
      </c>
      <c r="C1691" t="n">
        <v>298000</v>
      </c>
    </row>
    <row r="1692">
      <c r="A1692" s="78" t="n">
        <v>36309</v>
      </c>
      <c r="B1692" t="n">
        <v>2191000</v>
      </c>
      <c r="C1692" t="n">
        <v>303000</v>
      </c>
    </row>
    <row r="1693">
      <c r="A1693" s="78" t="n">
        <v>36316</v>
      </c>
      <c r="B1693" t="n">
        <v>2194000</v>
      </c>
      <c r="C1693" t="n">
        <v>303000</v>
      </c>
    </row>
    <row r="1694">
      <c r="A1694" s="78" t="n">
        <v>36323</v>
      </c>
      <c r="B1694" t="n">
        <v>2215000</v>
      </c>
      <c r="C1694" t="n">
        <v>290000</v>
      </c>
    </row>
    <row r="1695">
      <c r="A1695" s="78" t="n">
        <v>36330</v>
      </c>
      <c r="B1695" t="n">
        <v>2183000</v>
      </c>
      <c r="C1695" t="n">
        <v>292000</v>
      </c>
    </row>
    <row r="1696">
      <c r="A1696" s="78" t="n">
        <v>36337</v>
      </c>
      <c r="B1696" t="n">
        <v>2177000</v>
      </c>
      <c r="C1696" t="n">
        <v>291000</v>
      </c>
    </row>
    <row r="1697">
      <c r="A1697" s="78" t="n">
        <v>36344</v>
      </c>
      <c r="B1697" t="n">
        <v>2202000</v>
      </c>
      <c r="C1697" t="n">
        <v>287000</v>
      </c>
    </row>
    <row r="1698">
      <c r="A1698" s="78" t="n">
        <v>36351</v>
      </c>
      <c r="B1698" t="n">
        <v>2171000</v>
      </c>
      <c r="C1698" t="n">
        <v>288000</v>
      </c>
    </row>
    <row r="1699">
      <c r="A1699" s="78" t="n">
        <v>36358</v>
      </c>
      <c r="B1699" t="n">
        <v>2226000</v>
      </c>
      <c r="C1699" t="n">
        <v>309000</v>
      </c>
    </row>
    <row r="1700">
      <c r="A1700" s="78" t="n">
        <v>36365</v>
      </c>
      <c r="B1700" t="n">
        <v>2203000</v>
      </c>
      <c r="C1700" t="n">
        <v>306000</v>
      </c>
    </row>
    <row r="1701">
      <c r="A1701" s="78" t="n">
        <v>36372</v>
      </c>
      <c r="B1701" t="n">
        <v>2164000</v>
      </c>
      <c r="C1701" t="n">
        <v>300000</v>
      </c>
    </row>
    <row r="1702">
      <c r="A1702" s="78" t="n">
        <v>36379</v>
      </c>
      <c r="B1702" t="n">
        <v>2192000</v>
      </c>
      <c r="C1702" t="n">
        <v>295000</v>
      </c>
    </row>
    <row r="1703">
      <c r="A1703" s="78" t="n">
        <v>36386</v>
      </c>
      <c r="B1703" t="n">
        <v>2176000</v>
      </c>
      <c r="C1703" t="n">
        <v>292000</v>
      </c>
    </row>
    <row r="1704">
      <c r="A1704" s="78" t="n">
        <v>36393</v>
      </c>
      <c r="B1704" t="n">
        <v>2185000</v>
      </c>
      <c r="C1704" t="n">
        <v>286000</v>
      </c>
    </row>
    <row r="1705">
      <c r="A1705" s="78" t="n">
        <v>36400</v>
      </c>
      <c r="B1705" t="n">
        <v>2168000</v>
      </c>
      <c r="C1705" t="n">
        <v>290000</v>
      </c>
    </row>
    <row r="1706">
      <c r="A1706" s="78" t="n">
        <v>36407</v>
      </c>
      <c r="B1706" t="n">
        <v>2157000</v>
      </c>
      <c r="C1706" t="n">
        <v>290000</v>
      </c>
    </row>
    <row r="1707">
      <c r="A1707" s="78" t="n">
        <v>36414</v>
      </c>
      <c r="B1707" t="n">
        <v>2163000</v>
      </c>
      <c r="C1707" t="n">
        <v>281000</v>
      </c>
    </row>
    <row r="1708">
      <c r="A1708" s="78" t="n">
        <v>36421</v>
      </c>
      <c r="B1708" t="n">
        <v>2170000</v>
      </c>
      <c r="C1708" t="n">
        <v>281000</v>
      </c>
    </row>
    <row r="1709">
      <c r="A1709" s="78" t="n">
        <v>36428</v>
      </c>
      <c r="B1709" t="n">
        <v>2158000</v>
      </c>
      <c r="C1709" t="n">
        <v>306000</v>
      </c>
    </row>
    <row r="1710">
      <c r="A1710" s="78" t="n">
        <v>36435</v>
      </c>
      <c r="B1710" t="n">
        <v>2139000</v>
      </c>
      <c r="C1710" t="n">
        <v>309000</v>
      </c>
    </row>
    <row r="1711">
      <c r="A1711" s="78" t="n">
        <v>36442</v>
      </c>
      <c r="B1711" t="n">
        <v>2105000</v>
      </c>
      <c r="C1711" t="n">
        <v>291000</v>
      </c>
    </row>
    <row r="1712">
      <c r="A1712" s="78" t="n">
        <v>36449</v>
      </c>
      <c r="B1712" t="n">
        <v>2102000</v>
      </c>
      <c r="C1712" t="n">
        <v>287000</v>
      </c>
    </row>
    <row r="1713">
      <c r="A1713" s="78" t="n">
        <v>36456</v>
      </c>
      <c r="B1713" t="n">
        <v>2086000</v>
      </c>
      <c r="C1713" t="n">
        <v>280000</v>
      </c>
    </row>
    <row r="1714">
      <c r="A1714" s="78" t="n">
        <v>36463</v>
      </c>
      <c r="B1714" t="n">
        <v>2082000</v>
      </c>
      <c r="C1714" t="n">
        <v>285000</v>
      </c>
    </row>
    <row r="1715">
      <c r="A1715" s="78" t="n">
        <v>36470</v>
      </c>
      <c r="B1715" t="n">
        <v>2099000</v>
      </c>
      <c r="C1715" t="n">
        <v>282000</v>
      </c>
    </row>
    <row r="1716">
      <c r="A1716" s="78" t="n">
        <v>36477</v>
      </c>
      <c r="B1716" t="n">
        <v>2035000</v>
      </c>
      <c r="C1716" t="n">
        <v>281000</v>
      </c>
    </row>
    <row r="1717">
      <c r="A1717" s="78" t="n">
        <v>36484</v>
      </c>
      <c r="B1717" t="n">
        <v>2111000</v>
      </c>
      <c r="C1717" t="n">
        <v>276000</v>
      </c>
    </row>
    <row r="1718">
      <c r="A1718" s="78" t="n">
        <v>36491</v>
      </c>
      <c r="B1718" t="n">
        <v>2098000</v>
      </c>
      <c r="C1718" t="n">
        <v>288000</v>
      </c>
    </row>
    <row r="1719">
      <c r="A1719" s="78" t="n">
        <v>36498</v>
      </c>
      <c r="B1719" t="n">
        <v>2094000</v>
      </c>
      <c r="C1719" t="n">
        <v>287000</v>
      </c>
    </row>
    <row r="1720">
      <c r="A1720" s="78" t="n">
        <v>36505</v>
      </c>
      <c r="B1720" t="n">
        <v>2070000</v>
      </c>
      <c r="C1720" t="n">
        <v>272000</v>
      </c>
    </row>
    <row r="1721">
      <c r="A1721" s="78" t="n">
        <v>36512</v>
      </c>
      <c r="B1721" t="n">
        <v>2123000</v>
      </c>
      <c r="C1721" t="n">
        <v>287000</v>
      </c>
    </row>
    <row r="1722">
      <c r="A1722" s="78" t="n">
        <v>36519</v>
      </c>
      <c r="B1722" t="n">
        <v>2102000</v>
      </c>
      <c r="C1722" t="n">
        <v>268000</v>
      </c>
    </row>
    <row r="1723">
      <c r="A1723" s="78" t="n">
        <v>36526</v>
      </c>
      <c r="B1723" t="n">
        <v>2102000</v>
      </c>
      <c r="C1723" t="n">
        <v>286000</v>
      </c>
    </row>
    <row r="1724">
      <c r="A1724" s="78" t="n">
        <v>36533</v>
      </c>
      <c r="B1724" t="n">
        <v>2107000</v>
      </c>
      <c r="C1724" t="n">
        <v>298000</v>
      </c>
    </row>
    <row r="1725">
      <c r="A1725" s="78" t="n">
        <v>36540</v>
      </c>
      <c r="B1725" t="n">
        <v>2115000</v>
      </c>
      <c r="C1725" t="n">
        <v>289000</v>
      </c>
    </row>
    <row r="1726">
      <c r="A1726" s="78" t="n">
        <v>36547</v>
      </c>
      <c r="B1726" t="n">
        <v>2061000</v>
      </c>
      <c r="C1726" t="n">
        <v>284000</v>
      </c>
    </row>
    <row r="1727">
      <c r="A1727" s="78" t="n">
        <v>36554</v>
      </c>
      <c r="B1727" t="n">
        <v>2164000</v>
      </c>
      <c r="C1727" t="n">
        <v>285000</v>
      </c>
    </row>
    <row r="1728">
      <c r="A1728" s="78" t="n">
        <v>36561</v>
      </c>
      <c r="B1728" t="n">
        <v>2160000</v>
      </c>
      <c r="C1728" t="n">
        <v>312000</v>
      </c>
    </row>
    <row r="1729">
      <c r="A1729" s="78" t="n">
        <v>36568</v>
      </c>
      <c r="B1729" t="n">
        <v>2141000</v>
      </c>
      <c r="C1729" t="n">
        <v>300000</v>
      </c>
    </row>
    <row r="1730">
      <c r="A1730" s="78" t="n">
        <v>36575</v>
      </c>
      <c r="B1730" t="n">
        <v>2132000</v>
      </c>
      <c r="C1730" t="n">
        <v>283000</v>
      </c>
    </row>
    <row r="1731">
      <c r="A1731" s="78" t="n">
        <v>36582</v>
      </c>
      <c r="B1731" t="n">
        <v>2157000</v>
      </c>
      <c r="C1731" t="n">
        <v>280000</v>
      </c>
    </row>
    <row r="1732">
      <c r="A1732" s="78" t="n">
        <v>36589</v>
      </c>
      <c r="B1732" t="n">
        <v>2098000</v>
      </c>
      <c r="C1732" t="n">
        <v>286000</v>
      </c>
    </row>
    <row r="1733">
      <c r="A1733" s="78" t="n">
        <v>36596</v>
      </c>
      <c r="B1733" t="n">
        <v>2099000</v>
      </c>
      <c r="C1733" t="n">
        <v>270000</v>
      </c>
    </row>
    <row r="1734">
      <c r="A1734" s="78" t="n">
        <v>36603</v>
      </c>
      <c r="B1734" t="n">
        <v>2051000</v>
      </c>
      <c r="C1734" t="n">
        <v>271000</v>
      </c>
    </row>
    <row r="1735">
      <c r="A1735" s="78" t="n">
        <v>36610</v>
      </c>
      <c r="B1735" t="n">
        <v>2068000</v>
      </c>
      <c r="C1735" t="n">
        <v>272000</v>
      </c>
    </row>
    <row r="1736">
      <c r="A1736" s="78" t="n">
        <v>36617</v>
      </c>
      <c r="B1736" t="n">
        <v>2026000</v>
      </c>
      <c r="C1736" t="n">
        <v>266000</v>
      </c>
    </row>
    <row r="1737">
      <c r="A1737" s="78" t="n">
        <v>36624</v>
      </c>
      <c r="B1737" t="n">
        <v>2027000</v>
      </c>
      <c r="C1737" t="n">
        <v>268000</v>
      </c>
    </row>
    <row r="1738">
      <c r="A1738" s="78" t="n">
        <v>36631</v>
      </c>
      <c r="B1738" t="n">
        <v>1962000</v>
      </c>
      <c r="C1738" t="n">
        <v>259000</v>
      </c>
    </row>
    <row r="1739">
      <c r="A1739" s="78" t="n">
        <v>36638</v>
      </c>
      <c r="B1739" t="n">
        <v>2035000</v>
      </c>
      <c r="C1739" t="n">
        <v>274000</v>
      </c>
    </row>
    <row r="1740">
      <c r="A1740" s="78" t="n">
        <v>36645</v>
      </c>
      <c r="B1740" t="n">
        <v>2027000</v>
      </c>
      <c r="C1740" t="n">
        <v>291000</v>
      </c>
    </row>
    <row r="1741">
      <c r="A1741" s="78" t="n">
        <v>36652</v>
      </c>
      <c r="B1741" t="n">
        <v>1991000</v>
      </c>
      <c r="C1741" t="n">
        <v>293000</v>
      </c>
    </row>
    <row r="1742">
      <c r="A1742" s="78" t="n">
        <v>36659</v>
      </c>
      <c r="B1742" t="n">
        <v>1982000</v>
      </c>
      <c r="C1742" t="n">
        <v>276000</v>
      </c>
    </row>
    <row r="1743">
      <c r="A1743" s="78" t="n">
        <v>36666</v>
      </c>
      <c r="B1743" t="n">
        <v>1998000</v>
      </c>
      <c r="C1743" t="n">
        <v>280000</v>
      </c>
    </row>
    <row r="1744">
      <c r="A1744" s="78" t="n">
        <v>36673</v>
      </c>
      <c r="B1744" t="n">
        <v>1987000</v>
      </c>
      <c r="C1744" t="n">
        <v>280000</v>
      </c>
    </row>
    <row r="1745">
      <c r="A1745" s="78" t="n">
        <v>36680</v>
      </c>
      <c r="B1745" t="n">
        <v>2019000</v>
      </c>
      <c r="C1745" t="n">
        <v>290000</v>
      </c>
    </row>
    <row r="1746">
      <c r="A1746" s="78" t="n">
        <v>36687</v>
      </c>
      <c r="B1746" t="n">
        <v>2020000</v>
      </c>
      <c r="C1746" t="n">
        <v>284000</v>
      </c>
    </row>
    <row r="1747">
      <c r="A1747" s="78" t="n">
        <v>36694</v>
      </c>
      <c r="B1747" t="n">
        <v>2041000</v>
      </c>
      <c r="C1747" t="n">
        <v>294000</v>
      </c>
    </row>
    <row r="1748">
      <c r="A1748" s="78" t="n">
        <v>36701</v>
      </c>
      <c r="B1748" t="n">
        <v>2033000</v>
      </c>
      <c r="C1748" t="n">
        <v>296000</v>
      </c>
    </row>
    <row r="1749">
      <c r="A1749" s="78" t="n">
        <v>36708</v>
      </c>
      <c r="B1749" t="n">
        <v>2052000</v>
      </c>
      <c r="C1749" t="n">
        <v>281000</v>
      </c>
    </row>
    <row r="1750">
      <c r="A1750" s="78" t="n">
        <v>36715</v>
      </c>
      <c r="B1750" t="n">
        <v>2099000</v>
      </c>
      <c r="C1750" t="n">
        <v>293000</v>
      </c>
    </row>
    <row r="1751">
      <c r="A1751" s="78" t="n">
        <v>36722</v>
      </c>
      <c r="B1751" t="n">
        <v>2122000</v>
      </c>
      <c r="C1751" t="n">
        <v>303000</v>
      </c>
    </row>
    <row r="1752">
      <c r="A1752" s="78" t="n">
        <v>36729</v>
      </c>
      <c r="B1752" t="n">
        <v>2070000</v>
      </c>
      <c r="C1752" t="n">
        <v>300000</v>
      </c>
    </row>
    <row r="1753">
      <c r="A1753" s="78" t="n">
        <v>36736</v>
      </c>
      <c r="B1753" t="n">
        <v>2085000</v>
      </c>
      <c r="C1753" t="n">
        <v>298000</v>
      </c>
    </row>
    <row r="1754">
      <c r="A1754" s="78" t="n">
        <v>36743</v>
      </c>
      <c r="B1754" t="n">
        <v>2096000</v>
      </c>
      <c r="C1754" t="n">
        <v>306000</v>
      </c>
    </row>
    <row r="1755">
      <c r="A1755" s="78" t="n">
        <v>36750</v>
      </c>
      <c r="B1755" t="n">
        <v>2109000</v>
      </c>
      <c r="C1755" t="n">
        <v>315000</v>
      </c>
    </row>
    <row r="1756">
      <c r="A1756" s="78" t="n">
        <v>36757</v>
      </c>
      <c r="B1756" t="n">
        <v>2145000</v>
      </c>
      <c r="C1756" t="n">
        <v>318000</v>
      </c>
    </row>
    <row r="1757">
      <c r="A1757" s="78" t="n">
        <v>36764</v>
      </c>
      <c r="B1757" t="n">
        <v>2119000</v>
      </c>
      <c r="C1757" t="n">
        <v>312000</v>
      </c>
    </row>
    <row r="1758">
      <c r="A1758" s="78" t="n">
        <v>36771</v>
      </c>
      <c r="B1758" t="n">
        <v>2169000</v>
      </c>
      <c r="C1758" t="n">
        <v>301000</v>
      </c>
    </row>
    <row r="1759">
      <c r="A1759" s="78" t="n">
        <v>36778</v>
      </c>
      <c r="B1759" t="n">
        <v>2139000</v>
      </c>
      <c r="C1759" t="n">
        <v>309000</v>
      </c>
    </row>
    <row r="1760">
      <c r="A1760" s="78" t="n">
        <v>36785</v>
      </c>
      <c r="B1760" t="n">
        <v>2115000</v>
      </c>
      <c r="C1760" t="n">
        <v>311000</v>
      </c>
    </row>
    <row r="1761">
      <c r="A1761" s="78" t="n">
        <v>36792</v>
      </c>
      <c r="B1761" t="n">
        <v>2098000</v>
      </c>
      <c r="C1761" t="n">
        <v>288000</v>
      </c>
    </row>
    <row r="1762">
      <c r="A1762" s="78" t="n">
        <v>36799</v>
      </c>
      <c r="B1762" t="n">
        <v>2077000</v>
      </c>
      <c r="C1762" t="n">
        <v>292000</v>
      </c>
    </row>
    <row r="1763">
      <c r="A1763" s="78" t="n">
        <v>36806</v>
      </c>
      <c r="B1763" t="n">
        <v>2133000</v>
      </c>
      <c r="C1763" t="n">
        <v>309000</v>
      </c>
    </row>
    <row r="1764">
      <c r="A1764" s="78" t="n">
        <v>36813</v>
      </c>
      <c r="B1764" t="n">
        <v>2124000</v>
      </c>
      <c r="C1764" t="n">
        <v>299000</v>
      </c>
    </row>
    <row r="1765">
      <c r="A1765" s="78" t="n">
        <v>36820</v>
      </c>
      <c r="B1765" t="n">
        <v>2082000</v>
      </c>
      <c r="C1765" t="n">
        <v>295000</v>
      </c>
    </row>
    <row r="1766">
      <c r="A1766" s="78" t="n">
        <v>36827</v>
      </c>
      <c r="B1766" t="n">
        <v>2126000</v>
      </c>
      <c r="C1766" t="n">
        <v>301000</v>
      </c>
    </row>
    <row r="1767">
      <c r="A1767" s="78" t="n">
        <v>36834</v>
      </c>
      <c r="B1767" t="n">
        <v>2110000</v>
      </c>
      <c r="C1767" t="n">
        <v>331000</v>
      </c>
    </row>
    <row r="1768">
      <c r="A1768" s="78" t="n">
        <v>36841</v>
      </c>
      <c r="B1768" t="n">
        <v>2161000</v>
      </c>
      <c r="C1768" t="n">
        <v>318000</v>
      </c>
    </row>
    <row r="1769">
      <c r="A1769" s="78" t="n">
        <v>36848</v>
      </c>
      <c r="B1769" t="n">
        <v>2279000</v>
      </c>
      <c r="C1769" t="n">
        <v>332000</v>
      </c>
    </row>
    <row r="1770">
      <c r="A1770" s="78" t="n">
        <v>36855</v>
      </c>
      <c r="B1770" t="n">
        <v>2295000</v>
      </c>
      <c r="C1770" t="n">
        <v>356000</v>
      </c>
    </row>
    <row r="1771">
      <c r="A1771" s="78" t="n">
        <v>36862</v>
      </c>
      <c r="B1771" t="n">
        <v>2229000</v>
      </c>
      <c r="C1771" t="n">
        <v>338000</v>
      </c>
    </row>
    <row r="1772">
      <c r="A1772" s="78" t="n">
        <v>36869</v>
      </c>
      <c r="B1772" t="n">
        <v>2263000</v>
      </c>
      <c r="C1772" t="n">
        <v>321000</v>
      </c>
    </row>
    <row r="1773">
      <c r="A1773" s="78" t="n">
        <v>36876</v>
      </c>
      <c r="B1773" t="n">
        <v>2322000</v>
      </c>
      <c r="C1773" t="n">
        <v>354000</v>
      </c>
    </row>
    <row r="1774">
      <c r="A1774" s="78" t="n">
        <v>36883</v>
      </c>
      <c r="B1774" t="n">
        <v>2340000</v>
      </c>
      <c r="C1774" t="n">
        <v>364000</v>
      </c>
    </row>
    <row r="1775">
      <c r="A1775" s="78" t="n">
        <v>36890</v>
      </c>
      <c r="B1775" t="n">
        <v>2378000</v>
      </c>
      <c r="C1775" t="n">
        <v>353000</v>
      </c>
    </row>
    <row r="1776">
      <c r="A1776" s="78" t="n">
        <v>36897</v>
      </c>
      <c r="B1776" t="n">
        <v>2357000</v>
      </c>
      <c r="C1776" t="n">
        <v>337000</v>
      </c>
    </row>
    <row r="1777">
      <c r="A1777" s="78" t="n">
        <v>36904</v>
      </c>
      <c r="B1777" t="n">
        <v>2367000</v>
      </c>
      <c r="C1777" t="n">
        <v>318000</v>
      </c>
    </row>
    <row r="1778">
      <c r="A1778" s="78" t="n">
        <v>36911</v>
      </c>
      <c r="B1778" t="n">
        <v>2419000</v>
      </c>
      <c r="C1778" t="n">
        <v>343000</v>
      </c>
    </row>
    <row r="1779">
      <c r="A1779" s="78" t="n">
        <v>36918</v>
      </c>
      <c r="B1779" t="n">
        <v>2440000</v>
      </c>
      <c r="C1779" t="n">
        <v>362000</v>
      </c>
    </row>
    <row r="1780">
      <c r="A1780" s="78" t="n">
        <v>36925</v>
      </c>
      <c r="B1780" t="n">
        <v>2489000</v>
      </c>
      <c r="C1780" t="n">
        <v>376000</v>
      </c>
    </row>
    <row r="1781">
      <c r="A1781" s="78" t="n">
        <v>36932</v>
      </c>
      <c r="B1781" t="n">
        <v>2435000</v>
      </c>
      <c r="C1781" t="n">
        <v>365000</v>
      </c>
    </row>
    <row r="1782">
      <c r="A1782" s="78" t="n">
        <v>36939</v>
      </c>
      <c r="B1782" t="n">
        <v>2516000</v>
      </c>
      <c r="C1782" t="n">
        <v>358000</v>
      </c>
    </row>
    <row r="1783">
      <c r="A1783" s="78" t="n">
        <v>36946</v>
      </c>
      <c r="B1783" t="n">
        <v>2506000</v>
      </c>
      <c r="C1783" t="n">
        <v>386000</v>
      </c>
    </row>
    <row r="1784">
      <c r="A1784" s="78" t="n">
        <v>36953</v>
      </c>
      <c r="B1784" t="n">
        <v>2558000</v>
      </c>
      <c r="C1784" t="n">
        <v>384000</v>
      </c>
    </row>
    <row r="1785">
      <c r="A1785" s="78" t="n">
        <v>36960</v>
      </c>
      <c r="B1785" t="n">
        <v>2557000</v>
      </c>
      <c r="C1785" t="n">
        <v>393000</v>
      </c>
    </row>
    <row r="1786">
      <c r="A1786" s="78" t="n">
        <v>36967</v>
      </c>
      <c r="B1786" t="n">
        <v>2605000</v>
      </c>
      <c r="C1786" t="n">
        <v>393000</v>
      </c>
    </row>
    <row r="1787">
      <c r="A1787" s="78" t="n">
        <v>36974</v>
      </c>
      <c r="B1787" t="n">
        <v>2587000</v>
      </c>
      <c r="C1787" t="n">
        <v>378000</v>
      </c>
    </row>
    <row r="1788">
      <c r="A1788" s="78" t="n">
        <v>36981</v>
      </c>
      <c r="B1788" t="n">
        <v>2620000</v>
      </c>
      <c r="C1788" t="n">
        <v>388000</v>
      </c>
    </row>
    <row r="1789">
      <c r="A1789" s="78" t="n">
        <v>36988</v>
      </c>
      <c r="B1789" t="n">
        <v>2582000</v>
      </c>
      <c r="C1789" t="n">
        <v>398000</v>
      </c>
    </row>
    <row r="1790">
      <c r="A1790" s="78" t="n">
        <v>36995</v>
      </c>
      <c r="B1790" t="n">
        <v>2742000</v>
      </c>
      <c r="C1790" t="n">
        <v>383000</v>
      </c>
    </row>
    <row r="1791">
      <c r="A1791" s="78" t="n">
        <v>37002</v>
      </c>
      <c r="B1791" t="n">
        <v>2737000</v>
      </c>
      <c r="C1791" t="n">
        <v>400000</v>
      </c>
    </row>
    <row r="1792">
      <c r="A1792" s="78" t="n">
        <v>37009</v>
      </c>
      <c r="B1792" t="n">
        <v>2728000</v>
      </c>
      <c r="C1792" t="n">
        <v>406000</v>
      </c>
    </row>
    <row r="1793">
      <c r="A1793" s="78" t="n">
        <v>37016</v>
      </c>
      <c r="B1793" t="n">
        <v>2732000</v>
      </c>
      <c r="C1793" t="n">
        <v>381000</v>
      </c>
    </row>
    <row r="1794">
      <c r="A1794" s="78" t="n">
        <v>37023</v>
      </c>
      <c r="B1794" t="n">
        <v>2800000</v>
      </c>
      <c r="C1794" t="n">
        <v>390000</v>
      </c>
    </row>
    <row r="1795">
      <c r="A1795" s="78" t="n">
        <v>37030</v>
      </c>
      <c r="B1795" t="n">
        <v>2819000</v>
      </c>
      <c r="C1795" t="n">
        <v>402000</v>
      </c>
    </row>
    <row r="1796">
      <c r="A1796" s="78" t="n">
        <v>37037</v>
      </c>
      <c r="B1796" t="n">
        <v>2926000</v>
      </c>
      <c r="C1796" t="n">
        <v>405000</v>
      </c>
    </row>
    <row r="1797">
      <c r="A1797" s="78" t="n">
        <v>37044</v>
      </c>
      <c r="B1797" t="n">
        <v>2919000</v>
      </c>
      <c r="C1797" t="n">
        <v>406000</v>
      </c>
    </row>
    <row r="1798">
      <c r="A1798" s="78" t="n">
        <v>37051</v>
      </c>
      <c r="B1798" t="n">
        <v>2948000</v>
      </c>
      <c r="C1798" t="n">
        <v>411000</v>
      </c>
    </row>
    <row r="1799">
      <c r="A1799" s="78" t="n">
        <v>37058</v>
      </c>
      <c r="B1799" t="n">
        <v>2939000</v>
      </c>
      <c r="C1799" t="n">
        <v>394000</v>
      </c>
    </row>
    <row r="1800">
      <c r="A1800" s="78" t="n">
        <v>37065</v>
      </c>
      <c r="B1800" t="n">
        <v>2972000</v>
      </c>
      <c r="C1800" t="n">
        <v>381000</v>
      </c>
    </row>
    <row r="1801">
      <c r="A1801" s="78" t="n">
        <v>37072</v>
      </c>
      <c r="B1801" t="n">
        <v>2959000</v>
      </c>
      <c r="C1801" t="n">
        <v>394000</v>
      </c>
    </row>
    <row r="1802">
      <c r="A1802" s="78" t="n">
        <v>37079</v>
      </c>
      <c r="B1802" t="n">
        <v>3063000</v>
      </c>
      <c r="C1802" t="n">
        <v>401000</v>
      </c>
    </row>
    <row r="1803">
      <c r="A1803" s="78" t="n">
        <v>37086</v>
      </c>
      <c r="B1803" t="n">
        <v>3029000</v>
      </c>
      <c r="C1803" t="n">
        <v>405000</v>
      </c>
    </row>
    <row r="1804">
      <c r="A1804" s="78" t="n">
        <v>37093</v>
      </c>
      <c r="B1804" t="n">
        <v>2975000</v>
      </c>
      <c r="C1804" t="n">
        <v>398000</v>
      </c>
    </row>
    <row r="1805">
      <c r="A1805" s="78" t="n">
        <v>37100</v>
      </c>
      <c r="B1805" t="n">
        <v>3056000</v>
      </c>
      <c r="C1805" t="n">
        <v>388000</v>
      </c>
    </row>
    <row r="1806">
      <c r="A1806" s="78" t="n">
        <v>37107</v>
      </c>
      <c r="B1806" t="n">
        <v>3079000</v>
      </c>
      <c r="C1806" t="n">
        <v>401000</v>
      </c>
    </row>
    <row r="1807">
      <c r="A1807" s="78" t="n">
        <v>37114</v>
      </c>
      <c r="B1807" t="n">
        <v>3125000</v>
      </c>
      <c r="C1807" t="n">
        <v>394000</v>
      </c>
    </row>
    <row r="1808">
      <c r="A1808" s="78" t="n">
        <v>37121</v>
      </c>
      <c r="B1808" t="n">
        <v>3113000</v>
      </c>
      <c r="C1808" t="n">
        <v>402000</v>
      </c>
    </row>
    <row r="1809">
      <c r="A1809" s="78" t="n">
        <v>37128</v>
      </c>
      <c r="B1809" t="n">
        <v>3163000</v>
      </c>
      <c r="C1809" t="n">
        <v>395000</v>
      </c>
    </row>
    <row r="1810">
      <c r="A1810" s="78" t="n">
        <v>37135</v>
      </c>
      <c r="B1810" t="n">
        <v>3213000</v>
      </c>
      <c r="C1810" t="n">
        <v>402000</v>
      </c>
    </row>
    <row r="1811">
      <c r="A1811" s="78" t="n">
        <v>37142</v>
      </c>
      <c r="B1811" t="n">
        <v>3197000</v>
      </c>
      <c r="C1811" t="n">
        <v>408000</v>
      </c>
    </row>
    <row r="1812">
      <c r="A1812" s="78" t="n">
        <v>37149</v>
      </c>
      <c r="B1812" t="n">
        <v>3214000</v>
      </c>
      <c r="C1812" t="n">
        <v>395000</v>
      </c>
    </row>
    <row r="1813">
      <c r="A1813" s="78" t="n">
        <v>37156</v>
      </c>
      <c r="B1813" t="n">
        <v>3302000</v>
      </c>
      <c r="C1813" t="n">
        <v>453000</v>
      </c>
    </row>
    <row r="1814">
      <c r="A1814" s="78" t="n">
        <v>37163</v>
      </c>
      <c r="B1814" t="n">
        <v>3385000</v>
      </c>
      <c r="C1814" t="n">
        <v>517000</v>
      </c>
    </row>
    <row r="1815">
      <c r="A1815" s="78" t="n">
        <v>37170</v>
      </c>
      <c r="B1815" t="n">
        <v>3432000</v>
      </c>
      <c r="C1815" t="n">
        <v>476000</v>
      </c>
    </row>
    <row r="1816">
      <c r="A1816" s="78" t="n">
        <v>37177</v>
      </c>
      <c r="B1816" t="n">
        <v>3521000</v>
      </c>
      <c r="C1816" t="n">
        <v>482000</v>
      </c>
    </row>
    <row r="1817">
      <c r="A1817" s="78" t="n">
        <v>37184</v>
      </c>
      <c r="B1817" t="n">
        <v>3557000</v>
      </c>
      <c r="C1817" t="n">
        <v>482000</v>
      </c>
    </row>
    <row r="1818">
      <c r="A1818" s="78" t="n">
        <v>37191</v>
      </c>
      <c r="B1818" t="n">
        <v>3600000</v>
      </c>
      <c r="C1818" t="n">
        <v>483000</v>
      </c>
    </row>
    <row r="1819">
      <c r="A1819" s="78" t="n">
        <v>37198</v>
      </c>
      <c r="B1819" t="n">
        <v>3616000</v>
      </c>
      <c r="C1819" t="n">
        <v>440000</v>
      </c>
    </row>
    <row r="1820">
      <c r="A1820" s="78" t="n">
        <v>37205</v>
      </c>
      <c r="B1820" t="n">
        <v>3627000</v>
      </c>
      <c r="C1820" t="n">
        <v>428000</v>
      </c>
    </row>
    <row r="1821">
      <c r="A1821" s="78" t="n">
        <v>37212</v>
      </c>
      <c r="B1821" t="n">
        <v>3790000</v>
      </c>
      <c r="C1821" t="n">
        <v>431000</v>
      </c>
    </row>
    <row r="1822">
      <c r="A1822" s="78" t="n">
        <v>37219</v>
      </c>
      <c r="B1822" t="n">
        <v>3593000</v>
      </c>
      <c r="C1822" t="n">
        <v>491000</v>
      </c>
    </row>
    <row r="1823">
      <c r="A1823" s="78" t="n">
        <v>37226</v>
      </c>
      <c r="B1823" t="n">
        <v>3619000</v>
      </c>
      <c r="C1823" t="n">
        <v>465000</v>
      </c>
    </row>
    <row r="1824">
      <c r="A1824" s="78" t="n">
        <v>37233</v>
      </c>
      <c r="B1824" t="n">
        <v>3626000</v>
      </c>
      <c r="C1824" t="n">
        <v>393000</v>
      </c>
    </row>
    <row r="1825">
      <c r="A1825" s="78" t="n">
        <v>37240</v>
      </c>
      <c r="B1825" t="n">
        <v>3637000</v>
      </c>
      <c r="C1825" t="n">
        <v>389000</v>
      </c>
    </row>
    <row r="1826">
      <c r="A1826" s="78" t="n">
        <v>37247</v>
      </c>
      <c r="B1826" t="n">
        <v>3591000</v>
      </c>
      <c r="C1826" t="n">
        <v>416000</v>
      </c>
    </row>
    <row r="1827">
      <c r="A1827" s="78" t="n">
        <v>37254</v>
      </c>
      <c r="B1827" t="n">
        <v>3474000</v>
      </c>
      <c r="C1827" t="n">
        <v>421000</v>
      </c>
    </row>
    <row r="1828">
      <c r="A1828" s="78" t="n">
        <v>37261</v>
      </c>
      <c r="B1828" t="n">
        <v>3587000</v>
      </c>
      <c r="C1828" t="n">
        <v>397000</v>
      </c>
    </row>
    <row r="1829">
      <c r="A1829" s="78" t="n">
        <v>37268</v>
      </c>
      <c r="B1829" t="n">
        <v>3500000</v>
      </c>
      <c r="C1829" t="n">
        <v>418000</v>
      </c>
    </row>
    <row r="1830">
      <c r="A1830" s="78" t="n">
        <v>37275</v>
      </c>
      <c r="B1830" t="n">
        <v>3557000</v>
      </c>
      <c r="C1830" t="n">
        <v>405000</v>
      </c>
    </row>
    <row r="1831">
      <c r="A1831" s="78" t="n">
        <v>37282</v>
      </c>
      <c r="B1831" t="n">
        <v>3558000</v>
      </c>
      <c r="C1831" t="n">
        <v>414000</v>
      </c>
    </row>
    <row r="1832">
      <c r="A1832" s="78" t="n">
        <v>37289</v>
      </c>
      <c r="B1832" t="n">
        <v>3537000</v>
      </c>
      <c r="C1832" t="n">
        <v>404000</v>
      </c>
    </row>
    <row r="1833">
      <c r="A1833" s="78" t="n">
        <v>37296</v>
      </c>
      <c r="B1833" t="n">
        <v>3562000</v>
      </c>
      <c r="C1833" t="n">
        <v>397000</v>
      </c>
    </row>
    <row r="1834">
      <c r="A1834" s="78" t="n">
        <v>37303</v>
      </c>
      <c r="B1834" t="n">
        <v>3580000</v>
      </c>
      <c r="C1834" t="n">
        <v>397000</v>
      </c>
    </row>
    <row r="1835">
      <c r="A1835" s="78" t="n">
        <v>37310</v>
      </c>
      <c r="B1835" t="n">
        <v>3538000</v>
      </c>
      <c r="C1835" t="n">
        <v>398000</v>
      </c>
    </row>
    <row r="1836">
      <c r="A1836" s="78" t="n">
        <v>37317</v>
      </c>
      <c r="B1836" t="n">
        <v>3567000</v>
      </c>
      <c r="C1836" t="n">
        <v>392000</v>
      </c>
    </row>
    <row r="1837">
      <c r="A1837" s="78" t="n">
        <v>37324</v>
      </c>
      <c r="B1837" t="n">
        <v>3567000</v>
      </c>
      <c r="C1837" t="n">
        <v>399000</v>
      </c>
    </row>
    <row r="1838">
      <c r="A1838" s="78" t="n">
        <v>37331</v>
      </c>
      <c r="B1838" t="n">
        <v>3598000</v>
      </c>
      <c r="C1838" t="n">
        <v>392000</v>
      </c>
    </row>
    <row r="1839">
      <c r="A1839" s="78" t="n">
        <v>37338</v>
      </c>
      <c r="B1839" t="n">
        <v>3599000</v>
      </c>
      <c r="C1839" t="n">
        <v>415000</v>
      </c>
    </row>
    <row r="1840">
      <c r="A1840" s="78" t="n">
        <v>37345</v>
      </c>
      <c r="B1840" t="n">
        <v>3723000</v>
      </c>
      <c r="C1840" t="n">
        <v>479000</v>
      </c>
    </row>
    <row r="1841">
      <c r="A1841" s="78" t="n">
        <v>37352</v>
      </c>
      <c r="B1841" t="n">
        <v>3732000</v>
      </c>
      <c r="C1841" t="n">
        <v>445000</v>
      </c>
    </row>
    <row r="1842">
      <c r="A1842" s="78" t="n">
        <v>37359</v>
      </c>
      <c r="B1842" t="n">
        <v>3650000</v>
      </c>
      <c r="C1842" t="n">
        <v>442000</v>
      </c>
    </row>
    <row r="1843">
      <c r="A1843" s="78" t="n">
        <v>37366</v>
      </c>
      <c r="B1843" t="n">
        <v>3675000</v>
      </c>
      <c r="C1843" t="n">
        <v>416000</v>
      </c>
    </row>
    <row r="1844">
      <c r="A1844" s="78" t="n">
        <v>37373</v>
      </c>
      <c r="B1844" t="n">
        <v>3700000</v>
      </c>
      <c r="C1844" t="n">
        <v>414000</v>
      </c>
    </row>
    <row r="1845">
      <c r="A1845" s="78" t="n">
        <v>37380</v>
      </c>
      <c r="B1845" t="n">
        <v>3712000</v>
      </c>
      <c r="C1845" t="n">
        <v>409000</v>
      </c>
    </row>
    <row r="1846">
      <c r="A1846" s="78" t="n">
        <v>37387</v>
      </c>
      <c r="B1846" t="n">
        <v>3729000</v>
      </c>
      <c r="C1846" t="n">
        <v>413000</v>
      </c>
    </row>
    <row r="1847">
      <c r="A1847" s="78" t="n">
        <v>37394</v>
      </c>
      <c r="B1847" t="n">
        <v>3695000</v>
      </c>
      <c r="C1847" t="n">
        <v>411000</v>
      </c>
    </row>
    <row r="1848">
      <c r="A1848" s="78" t="n">
        <v>37401</v>
      </c>
      <c r="B1848" t="n">
        <v>3712000</v>
      </c>
      <c r="C1848" t="n">
        <v>403000</v>
      </c>
    </row>
    <row r="1849">
      <c r="A1849" s="78" t="n">
        <v>37408</v>
      </c>
      <c r="B1849" t="n">
        <v>3664000</v>
      </c>
      <c r="C1849" t="n">
        <v>378000</v>
      </c>
    </row>
    <row r="1850">
      <c r="A1850" s="78" t="n">
        <v>37415</v>
      </c>
      <c r="B1850" t="n">
        <v>3681000</v>
      </c>
      <c r="C1850" t="n">
        <v>388000</v>
      </c>
    </row>
    <row r="1851">
      <c r="A1851" s="78" t="n">
        <v>37422</v>
      </c>
      <c r="B1851" t="n">
        <v>3604000</v>
      </c>
      <c r="C1851" t="n">
        <v>396000</v>
      </c>
    </row>
    <row r="1852">
      <c r="A1852" s="78" t="n">
        <v>37429</v>
      </c>
      <c r="B1852" t="n">
        <v>3639000</v>
      </c>
      <c r="C1852" t="n">
        <v>388000</v>
      </c>
    </row>
    <row r="1853">
      <c r="A1853" s="78" t="n">
        <v>37436</v>
      </c>
      <c r="B1853" t="n">
        <v>3588000</v>
      </c>
      <c r="C1853" t="n">
        <v>386000</v>
      </c>
    </row>
    <row r="1854">
      <c r="A1854" s="78" t="n">
        <v>37443</v>
      </c>
      <c r="B1854" t="n">
        <v>3554000</v>
      </c>
      <c r="C1854" t="n">
        <v>391000</v>
      </c>
    </row>
    <row r="1855">
      <c r="A1855" s="78" t="n">
        <v>37450</v>
      </c>
      <c r="B1855" t="n">
        <v>3495000</v>
      </c>
      <c r="C1855" t="n">
        <v>384000</v>
      </c>
    </row>
    <row r="1856">
      <c r="A1856" s="78" t="n">
        <v>37457</v>
      </c>
      <c r="B1856" t="n">
        <v>3473000</v>
      </c>
      <c r="C1856" t="n">
        <v>379000</v>
      </c>
    </row>
    <row r="1857">
      <c r="A1857" s="78" t="n">
        <v>37464</v>
      </c>
      <c r="B1857" t="n">
        <v>3495000</v>
      </c>
      <c r="C1857" t="n">
        <v>390000</v>
      </c>
    </row>
    <row r="1858">
      <c r="A1858" s="78" t="n">
        <v>37471</v>
      </c>
      <c r="B1858" t="n">
        <v>3498000</v>
      </c>
      <c r="C1858" t="n">
        <v>388000</v>
      </c>
    </row>
    <row r="1859">
      <c r="A1859" s="78" t="n">
        <v>37478</v>
      </c>
      <c r="B1859" t="n">
        <v>3485000</v>
      </c>
      <c r="C1859" t="n">
        <v>389000</v>
      </c>
    </row>
    <row r="1860">
      <c r="A1860" s="78" t="n">
        <v>37485</v>
      </c>
      <c r="B1860" t="n">
        <v>3531000</v>
      </c>
      <c r="C1860" t="n">
        <v>399000</v>
      </c>
    </row>
    <row r="1861">
      <c r="A1861" s="78" t="n">
        <v>37492</v>
      </c>
      <c r="B1861" t="n">
        <v>3521000</v>
      </c>
      <c r="C1861" t="n">
        <v>398000</v>
      </c>
    </row>
    <row r="1862">
      <c r="A1862" s="78" t="n">
        <v>37499</v>
      </c>
      <c r="B1862" t="n">
        <v>3549000</v>
      </c>
      <c r="C1862" t="n">
        <v>394000</v>
      </c>
    </row>
    <row r="1863">
      <c r="A1863" s="78" t="n">
        <v>37506</v>
      </c>
      <c r="B1863" t="n">
        <v>3532000</v>
      </c>
      <c r="C1863" t="n">
        <v>416000</v>
      </c>
    </row>
    <row r="1864">
      <c r="A1864" s="78" t="n">
        <v>37513</v>
      </c>
      <c r="B1864" t="n">
        <v>3554000</v>
      </c>
      <c r="C1864" t="n">
        <v>412000</v>
      </c>
    </row>
    <row r="1865">
      <c r="A1865" s="78" t="n">
        <v>37520</v>
      </c>
      <c r="B1865" t="n">
        <v>3579000</v>
      </c>
      <c r="C1865" t="n">
        <v>401000</v>
      </c>
    </row>
    <row r="1866">
      <c r="A1866" s="78" t="n">
        <v>37527</v>
      </c>
      <c r="B1866" t="n">
        <v>3555000</v>
      </c>
      <c r="C1866" t="n">
        <v>409000</v>
      </c>
    </row>
    <row r="1867">
      <c r="A1867" s="78" t="n">
        <v>37534</v>
      </c>
      <c r="B1867" t="n">
        <v>3619000</v>
      </c>
      <c r="C1867" t="n">
        <v>404000</v>
      </c>
    </row>
    <row r="1868">
      <c r="A1868" s="78" t="n">
        <v>37541</v>
      </c>
      <c r="B1868" t="n">
        <v>3529000</v>
      </c>
      <c r="C1868" t="n">
        <v>405000</v>
      </c>
    </row>
    <row r="1869">
      <c r="A1869" s="78" t="n">
        <v>37548</v>
      </c>
      <c r="B1869" t="n">
        <v>3518000</v>
      </c>
      <c r="C1869" t="n">
        <v>412000</v>
      </c>
    </row>
    <row r="1870">
      <c r="A1870" s="78" t="n">
        <v>37555</v>
      </c>
      <c r="B1870" t="n">
        <v>3557000</v>
      </c>
      <c r="C1870" t="n">
        <v>409000</v>
      </c>
    </row>
    <row r="1871">
      <c r="A1871" s="78" t="n">
        <v>37562</v>
      </c>
      <c r="B1871" t="n">
        <v>3557000</v>
      </c>
      <c r="C1871" t="n">
        <v>405000</v>
      </c>
    </row>
    <row r="1872">
      <c r="A1872" s="78" t="n">
        <v>37569</v>
      </c>
      <c r="B1872" t="n">
        <v>3539000</v>
      </c>
      <c r="C1872" t="n">
        <v>400000</v>
      </c>
    </row>
    <row r="1873">
      <c r="A1873" s="78" t="n">
        <v>37576</v>
      </c>
      <c r="B1873" t="n">
        <v>3438000</v>
      </c>
      <c r="C1873" t="n">
        <v>389000</v>
      </c>
    </row>
    <row r="1874">
      <c r="A1874" s="78" t="n">
        <v>37583</v>
      </c>
      <c r="B1874" t="n">
        <v>3474000</v>
      </c>
      <c r="C1874" t="n">
        <v>390000</v>
      </c>
    </row>
    <row r="1875">
      <c r="A1875" s="78" t="n">
        <v>37590</v>
      </c>
      <c r="B1875" t="n">
        <v>3404000</v>
      </c>
      <c r="C1875" t="n">
        <v>377000</v>
      </c>
    </row>
    <row r="1876">
      <c r="A1876" s="78" t="n">
        <v>37597</v>
      </c>
      <c r="B1876" t="n">
        <v>3537000</v>
      </c>
      <c r="C1876" t="n">
        <v>425000</v>
      </c>
    </row>
    <row r="1877">
      <c r="A1877" s="78" t="n">
        <v>37604</v>
      </c>
      <c r="B1877" t="n">
        <v>3497000</v>
      </c>
      <c r="C1877" t="n">
        <v>429000</v>
      </c>
    </row>
    <row r="1878">
      <c r="A1878" s="78" t="n">
        <v>37611</v>
      </c>
      <c r="B1878" t="n">
        <v>3435000</v>
      </c>
      <c r="C1878" t="n">
        <v>394000</v>
      </c>
    </row>
    <row r="1879">
      <c r="A1879" s="78" t="n">
        <v>37618</v>
      </c>
      <c r="B1879" t="n">
        <v>3462000</v>
      </c>
      <c r="C1879" t="n">
        <v>409000</v>
      </c>
    </row>
    <row r="1880">
      <c r="A1880" s="78" t="n">
        <v>37625</v>
      </c>
      <c r="B1880" t="n">
        <v>3438000</v>
      </c>
      <c r="C1880" t="n">
        <v>393000</v>
      </c>
    </row>
    <row r="1881">
      <c r="A1881" s="78" t="n">
        <v>37632</v>
      </c>
      <c r="B1881" t="n">
        <v>3388000</v>
      </c>
      <c r="C1881" t="n">
        <v>378000</v>
      </c>
    </row>
    <row r="1882">
      <c r="A1882" s="78" t="n">
        <v>37639</v>
      </c>
      <c r="B1882" t="n">
        <v>3357000</v>
      </c>
      <c r="C1882" t="n">
        <v>402000</v>
      </c>
    </row>
    <row r="1883">
      <c r="A1883" s="78" t="n">
        <v>37646</v>
      </c>
      <c r="B1883" t="n">
        <v>3475000</v>
      </c>
      <c r="C1883" t="n">
        <v>407000</v>
      </c>
    </row>
    <row r="1884">
      <c r="A1884" s="78" t="n">
        <v>37653</v>
      </c>
      <c r="B1884" t="n">
        <v>3368000</v>
      </c>
      <c r="C1884" t="n">
        <v>413000</v>
      </c>
    </row>
    <row r="1885">
      <c r="A1885" s="78" t="n">
        <v>37660</v>
      </c>
      <c r="B1885" t="n">
        <v>3457000</v>
      </c>
      <c r="C1885" t="n">
        <v>390000</v>
      </c>
    </row>
    <row r="1886">
      <c r="A1886" s="78" t="n">
        <v>37667</v>
      </c>
      <c r="B1886" t="n">
        <v>3423000</v>
      </c>
      <c r="C1886" t="n">
        <v>420000</v>
      </c>
    </row>
    <row r="1887">
      <c r="A1887" s="78" t="n">
        <v>37674</v>
      </c>
      <c r="B1887" t="n">
        <v>3500000</v>
      </c>
      <c r="C1887" t="n">
        <v>421000</v>
      </c>
    </row>
    <row r="1888">
      <c r="A1888" s="78" t="n">
        <v>37681</v>
      </c>
      <c r="B1888" t="n">
        <v>3496000</v>
      </c>
      <c r="C1888" t="n">
        <v>436000</v>
      </c>
    </row>
    <row r="1889">
      <c r="A1889" s="78" t="n">
        <v>37688</v>
      </c>
      <c r="B1889" t="n">
        <v>3559000</v>
      </c>
      <c r="C1889" t="n">
        <v>424000</v>
      </c>
    </row>
    <row r="1890">
      <c r="A1890" s="78" t="n">
        <v>37695</v>
      </c>
      <c r="B1890" t="n">
        <v>3528000</v>
      </c>
      <c r="C1890" t="n">
        <v>430000</v>
      </c>
    </row>
    <row r="1891">
      <c r="A1891" s="78" t="n">
        <v>37702</v>
      </c>
      <c r="B1891" t="n">
        <v>3585000</v>
      </c>
      <c r="C1891" t="n">
        <v>411000</v>
      </c>
    </row>
    <row r="1892">
      <c r="A1892" s="78" t="n">
        <v>37709</v>
      </c>
      <c r="B1892" t="n">
        <v>3536000</v>
      </c>
      <c r="C1892" t="n">
        <v>436000</v>
      </c>
    </row>
    <row r="1893">
      <c r="A1893" s="78" t="n">
        <v>37716</v>
      </c>
      <c r="B1893" t="n">
        <v>3583000</v>
      </c>
      <c r="C1893" t="n">
        <v>417000</v>
      </c>
    </row>
    <row r="1894">
      <c r="A1894" s="78" t="n">
        <v>37723</v>
      </c>
      <c r="B1894" t="n">
        <v>3586000</v>
      </c>
      <c r="C1894" t="n">
        <v>434000</v>
      </c>
    </row>
    <row r="1895">
      <c r="A1895" s="78" t="n">
        <v>37730</v>
      </c>
      <c r="B1895" t="n">
        <v>3674000</v>
      </c>
      <c r="C1895" t="n">
        <v>450000</v>
      </c>
    </row>
    <row r="1896">
      <c r="A1896" s="78" t="n">
        <v>37737</v>
      </c>
      <c r="B1896" t="n">
        <v>3676000</v>
      </c>
      <c r="C1896" t="n">
        <v>444000</v>
      </c>
    </row>
    <row r="1897">
      <c r="A1897" s="78" t="n">
        <v>37744</v>
      </c>
      <c r="B1897" t="n">
        <v>3730000</v>
      </c>
      <c r="C1897" t="n">
        <v>428000</v>
      </c>
    </row>
    <row r="1898">
      <c r="A1898" s="78" t="n">
        <v>37751</v>
      </c>
      <c r="B1898" t="n">
        <v>3704000</v>
      </c>
      <c r="C1898" t="n">
        <v>417000</v>
      </c>
    </row>
    <row r="1899">
      <c r="A1899" s="78" t="n">
        <v>37758</v>
      </c>
      <c r="B1899" t="n">
        <v>3716000</v>
      </c>
      <c r="C1899" t="n">
        <v>425000</v>
      </c>
    </row>
    <row r="1900">
      <c r="A1900" s="78" t="n">
        <v>37765</v>
      </c>
      <c r="B1900" t="n">
        <v>3672000</v>
      </c>
      <c r="C1900" t="n">
        <v>419000</v>
      </c>
    </row>
    <row r="1901">
      <c r="A1901" s="78" t="n">
        <v>37772</v>
      </c>
      <c r="B1901" t="n">
        <v>3774000</v>
      </c>
      <c r="C1901" t="n">
        <v>431000</v>
      </c>
    </row>
    <row r="1902">
      <c r="A1902" s="78" t="n">
        <v>37779</v>
      </c>
      <c r="B1902" t="n">
        <v>3682000</v>
      </c>
      <c r="C1902" t="n">
        <v>429000</v>
      </c>
    </row>
    <row r="1903">
      <c r="A1903" s="78" t="n">
        <v>37786</v>
      </c>
      <c r="B1903" t="n">
        <v>3695000</v>
      </c>
      <c r="C1903" t="n">
        <v>421000</v>
      </c>
    </row>
    <row r="1904">
      <c r="A1904" s="78" t="n">
        <v>37793</v>
      </c>
      <c r="B1904" t="n">
        <v>3692000</v>
      </c>
      <c r="C1904" t="n">
        <v>408000</v>
      </c>
    </row>
    <row r="1905">
      <c r="A1905" s="78" t="n">
        <v>37800</v>
      </c>
      <c r="B1905" t="n">
        <v>3737000</v>
      </c>
      <c r="C1905" t="n">
        <v>429000</v>
      </c>
    </row>
    <row r="1906">
      <c r="A1906" s="78" t="n">
        <v>37807</v>
      </c>
      <c r="B1906" t="n">
        <v>3627000</v>
      </c>
      <c r="C1906" t="n">
        <v>433000</v>
      </c>
    </row>
    <row r="1907">
      <c r="A1907" s="78" t="n">
        <v>37814</v>
      </c>
      <c r="B1907" t="n">
        <v>3599000</v>
      </c>
      <c r="C1907" t="n">
        <v>412000</v>
      </c>
    </row>
    <row r="1908">
      <c r="A1908" s="78" t="n">
        <v>37821</v>
      </c>
      <c r="B1908" t="n">
        <v>3592000</v>
      </c>
      <c r="C1908" t="n">
        <v>403000</v>
      </c>
    </row>
    <row r="1909">
      <c r="A1909" s="78" t="n">
        <v>37828</v>
      </c>
      <c r="B1909" t="n">
        <v>3647000</v>
      </c>
      <c r="C1909" t="n">
        <v>398000</v>
      </c>
    </row>
    <row r="1910">
      <c r="A1910" s="78" t="n">
        <v>37835</v>
      </c>
      <c r="B1910" t="n">
        <v>3601000</v>
      </c>
      <c r="C1910" t="n">
        <v>401000</v>
      </c>
    </row>
    <row r="1911">
      <c r="A1911" s="78" t="n">
        <v>37842</v>
      </c>
      <c r="B1911" t="n">
        <v>3596000</v>
      </c>
      <c r="C1911" t="n">
        <v>404000</v>
      </c>
    </row>
    <row r="1912">
      <c r="A1912" s="78" t="n">
        <v>37849</v>
      </c>
      <c r="B1912" t="n">
        <v>3603000</v>
      </c>
      <c r="C1912" t="n">
        <v>398000</v>
      </c>
    </row>
    <row r="1913">
      <c r="A1913" s="78" t="n">
        <v>37856</v>
      </c>
      <c r="B1913" t="n">
        <v>3574000</v>
      </c>
      <c r="C1913" t="n">
        <v>391000</v>
      </c>
    </row>
    <row r="1914">
      <c r="A1914" s="78" t="n">
        <v>37863</v>
      </c>
      <c r="B1914" t="n">
        <v>3608000</v>
      </c>
      <c r="C1914" t="n">
        <v>407000</v>
      </c>
    </row>
    <row r="1915">
      <c r="A1915" s="78" t="n">
        <v>37870</v>
      </c>
      <c r="B1915" t="n">
        <v>3598000</v>
      </c>
      <c r="C1915" t="n">
        <v>422000</v>
      </c>
    </row>
    <row r="1916">
      <c r="A1916" s="78" t="n">
        <v>37877</v>
      </c>
      <c r="B1916" t="n">
        <v>3559000</v>
      </c>
      <c r="C1916" t="n">
        <v>394000</v>
      </c>
    </row>
    <row r="1917">
      <c r="A1917" s="78" t="n">
        <v>37884</v>
      </c>
      <c r="B1917" t="n">
        <v>3588000</v>
      </c>
      <c r="C1917" t="n">
        <v>379000</v>
      </c>
    </row>
    <row r="1918">
      <c r="A1918" s="78" t="n">
        <v>37891</v>
      </c>
      <c r="B1918" t="n">
        <v>3558000</v>
      </c>
      <c r="C1918" t="n">
        <v>387000</v>
      </c>
    </row>
    <row r="1919">
      <c r="A1919" s="78" t="n">
        <v>37898</v>
      </c>
      <c r="B1919" t="n">
        <v>3570000</v>
      </c>
      <c r="C1919" t="n">
        <v>386000</v>
      </c>
    </row>
    <row r="1920">
      <c r="A1920" s="78" t="n">
        <v>37905</v>
      </c>
      <c r="B1920" t="n">
        <v>3468000</v>
      </c>
      <c r="C1920" t="n">
        <v>376000</v>
      </c>
    </row>
    <row r="1921">
      <c r="A1921" s="78" t="n">
        <v>37912</v>
      </c>
      <c r="B1921" t="n">
        <v>3466000</v>
      </c>
      <c r="C1921" t="n">
        <v>387000</v>
      </c>
    </row>
    <row r="1922">
      <c r="A1922" s="78" t="n">
        <v>37919</v>
      </c>
      <c r="B1922" t="n">
        <v>3441000</v>
      </c>
      <c r="C1922" t="n">
        <v>379000</v>
      </c>
    </row>
    <row r="1923">
      <c r="A1923" s="78" t="n">
        <v>37926</v>
      </c>
      <c r="B1923" t="n">
        <v>3427000</v>
      </c>
      <c r="C1923" t="n">
        <v>363000</v>
      </c>
    </row>
    <row r="1924">
      <c r="A1924" s="78" t="n">
        <v>37933</v>
      </c>
      <c r="B1924" t="n">
        <v>3441000</v>
      </c>
      <c r="C1924" t="n">
        <v>371000</v>
      </c>
    </row>
    <row r="1925">
      <c r="A1925" s="78" t="n">
        <v>37940</v>
      </c>
      <c r="B1925" t="n">
        <v>3331000</v>
      </c>
      <c r="C1925" t="n">
        <v>370000</v>
      </c>
    </row>
    <row r="1926">
      <c r="A1926" s="78" t="n">
        <v>37947</v>
      </c>
      <c r="B1926" t="n">
        <v>3337000</v>
      </c>
      <c r="C1926" t="n">
        <v>354000</v>
      </c>
    </row>
    <row r="1927">
      <c r="A1927" s="78" t="n">
        <v>37954</v>
      </c>
      <c r="B1927" t="n">
        <v>3331000</v>
      </c>
      <c r="C1927" t="n">
        <v>357000</v>
      </c>
    </row>
    <row r="1928">
      <c r="A1928" s="78" t="n">
        <v>37961</v>
      </c>
      <c r="B1928" t="n">
        <v>3318000</v>
      </c>
      <c r="C1928" t="n">
        <v>367000</v>
      </c>
    </row>
    <row r="1929">
      <c r="A1929" s="78" t="n">
        <v>37968</v>
      </c>
      <c r="B1929" t="n">
        <v>3251000</v>
      </c>
      <c r="C1929" t="n">
        <v>363000</v>
      </c>
    </row>
    <row r="1930">
      <c r="A1930" s="78" t="n">
        <v>37975</v>
      </c>
      <c r="B1930" t="n">
        <v>3254000</v>
      </c>
      <c r="C1930" t="n">
        <v>354000</v>
      </c>
    </row>
    <row r="1931">
      <c r="A1931" s="78" t="n">
        <v>37982</v>
      </c>
      <c r="B1931" t="n">
        <v>3258000</v>
      </c>
      <c r="C1931" t="n">
        <v>349000</v>
      </c>
    </row>
    <row r="1932">
      <c r="A1932" s="78" t="n">
        <v>37989</v>
      </c>
      <c r="B1932" t="n">
        <v>3188000</v>
      </c>
      <c r="C1932" t="n">
        <v>356000</v>
      </c>
    </row>
    <row r="1933">
      <c r="A1933" s="78" t="n">
        <v>37996</v>
      </c>
      <c r="B1933" t="n">
        <v>3154000</v>
      </c>
      <c r="C1933" t="n">
        <v>354000</v>
      </c>
    </row>
    <row r="1934">
      <c r="A1934" s="78" t="n">
        <v>38003</v>
      </c>
      <c r="B1934" t="n">
        <v>3139000</v>
      </c>
      <c r="C1934" t="n">
        <v>362000</v>
      </c>
    </row>
    <row r="1935">
      <c r="A1935" s="78" t="n">
        <v>38010</v>
      </c>
      <c r="B1935" t="n">
        <v>3142000</v>
      </c>
      <c r="C1935" t="n">
        <v>353000</v>
      </c>
    </row>
    <row r="1936">
      <c r="A1936" s="78" t="n">
        <v>38017</v>
      </c>
      <c r="B1936" t="n">
        <v>3118000</v>
      </c>
      <c r="C1936" t="n">
        <v>376000</v>
      </c>
    </row>
    <row r="1937">
      <c r="A1937" s="78" t="n">
        <v>38024</v>
      </c>
      <c r="B1937" t="n">
        <v>3179000</v>
      </c>
      <c r="C1937" t="n">
        <v>380000</v>
      </c>
    </row>
    <row r="1938">
      <c r="A1938" s="78" t="n">
        <v>38031</v>
      </c>
      <c r="B1938" t="n">
        <v>3131000</v>
      </c>
      <c r="C1938" t="n">
        <v>356000</v>
      </c>
    </row>
    <row r="1939">
      <c r="A1939" s="78" t="n">
        <v>38038</v>
      </c>
      <c r="B1939" t="n">
        <v>3092000</v>
      </c>
      <c r="C1939" t="n">
        <v>359000</v>
      </c>
    </row>
    <row r="1940">
      <c r="A1940" s="78" t="n">
        <v>38045</v>
      </c>
      <c r="B1940" t="n">
        <v>3057000</v>
      </c>
      <c r="C1940" t="n">
        <v>348000</v>
      </c>
    </row>
    <row r="1941">
      <c r="A1941" s="78" t="n">
        <v>38052</v>
      </c>
      <c r="B1941" t="n">
        <v>3072000</v>
      </c>
      <c r="C1941" t="n">
        <v>344000</v>
      </c>
    </row>
    <row r="1942">
      <c r="A1942" s="78" t="n">
        <v>38059</v>
      </c>
      <c r="B1942" t="n">
        <v>3040000</v>
      </c>
      <c r="C1942" t="n">
        <v>338000</v>
      </c>
    </row>
    <row r="1943">
      <c r="A1943" s="78" t="n">
        <v>38066</v>
      </c>
      <c r="B1943" t="n">
        <v>3066000</v>
      </c>
      <c r="C1943" t="n">
        <v>346000</v>
      </c>
    </row>
    <row r="1944">
      <c r="A1944" s="78" t="n">
        <v>38073</v>
      </c>
      <c r="B1944" t="n">
        <v>3007000</v>
      </c>
      <c r="C1944" t="n">
        <v>340000</v>
      </c>
    </row>
    <row r="1945">
      <c r="A1945" s="78" t="n">
        <v>38080</v>
      </c>
      <c r="B1945" t="n">
        <v>2990000</v>
      </c>
      <c r="C1945" t="n">
        <v>335000</v>
      </c>
    </row>
    <row r="1946">
      <c r="A1946" s="78" t="n">
        <v>38087</v>
      </c>
      <c r="B1946" t="n">
        <v>3022000</v>
      </c>
      <c r="C1946" t="n">
        <v>355000</v>
      </c>
    </row>
    <row r="1947">
      <c r="A1947" s="78" t="n">
        <v>38094</v>
      </c>
      <c r="B1947" t="n">
        <v>3031000</v>
      </c>
      <c r="C1947" t="n">
        <v>364000</v>
      </c>
    </row>
    <row r="1948">
      <c r="A1948" s="78" t="n">
        <v>38101</v>
      </c>
      <c r="B1948" t="n">
        <v>2960000</v>
      </c>
      <c r="C1948" t="n">
        <v>339000</v>
      </c>
    </row>
    <row r="1949">
      <c r="A1949" s="78" t="n">
        <v>38108</v>
      </c>
      <c r="B1949" t="n">
        <v>2998000</v>
      </c>
      <c r="C1949" t="n">
        <v>324000</v>
      </c>
    </row>
    <row r="1950">
      <c r="A1950" s="78" t="n">
        <v>38115</v>
      </c>
      <c r="B1950" t="n">
        <v>2978000</v>
      </c>
      <c r="C1950" t="n">
        <v>329000</v>
      </c>
    </row>
    <row r="1951">
      <c r="A1951" s="78" t="n">
        <v>38122</v>
      </c>
      <c r="B1951" t="n">
        <v>2976000</v>
      </c>
      <c r="C1951" t="n">
        <v>349000</v>
      </c>
    </row>
    <row r="1952">
      <c r="A1952" s="78" t="n">
        <v>38129</v>
      </c>
      <c r="B1952" t="n">
        <v>3010000</v>
      </c>
      <c r="C1952" t="n">
        <v>342000</v>
      </c>
    </row>
    <row r="1953">
      <c r="A1953" s="78" t="n">
        <v>38136</v>
      </c>
      <c r="B1953" t="n">
        <v>2916000</v>
      </c>
      <c r="C1953" t="n">
        <v>337000</v>
      </c>
    </row>
    <row r="1954">
      <c r="A1954" s="78" t="n">
        <v>38143</v>
      </c>
      <c r="B1954" t="n">
        <v>2923000</v>
      </c>
      <c r="C1954" t="n">
        <v>355000</v>
      </c>
    </row>
    <row r="1955">
      <c r="A1955" s="78" t="n">
        <v>38150</v>
      </c>
      <c r="B1955" t="n">
        <v>2990000</v>
      </c>
      <c r="C1955" t="n">
        <v>339000</v>
      </c>
    </row>
    <row r="1956">
      <c r="A1956" s="78" t="n">
        <v>38157</v>
      </c>
      <c r="B1956" t="n">
        <v>2973000</v>
      </c>
      <c r="C1956" t="n">
        <v>354000</v>
      </c>
    </row>
    <row r="1957">
      <c r="A1957" s="78" t="n">
        <v>38164</v>
      </c>
      <c r="B1957" t="n">
        <v>2917000</v>
      </c>
      <c r="C1957" t="n">
        <v>348000</v>
      </c>
    </row>
    <row r="1958">
      <c r="A1958" s="78" t="n">
        <v>38171</v>
      </c>
      <c r="B1958" t="n">
        <v>2948000</v>
      </c>
      <c r="C1958" t="n">
        <v>326000</v>
      </c>
    </row>
    <row r="1959">
      <c r="A1959" s="78" t="n">
        <v>38178</v>
      </c>
      <c r="B1959" t="n">
        <v>2852000</v>
      </c>
      <c r="C1959" t="n">
        <v>345000</v>
      </c>
    </row>
    <row r="1960">
      <c r="A1960" s="78" t="n">
        <v>38185</v>
      </c>
      <c r="B1960" t="n">
        <v>2956000</v>
      </c>
      <c r="C1960" t="n">
        <v>355000</v>
      </c>
    </row>
    <row r="1961">
      <c r="A1961" s="78" t="n">
        <v>38192</v>
      </c>
      <c r="B1961" t="n">
        <v>2935000</v>
      </c>
      <c r="C1961" t="n">
        <v>348000</v>
      </c>
    </row>
    <row r="1962">
      <c r="A1962" s="78" t="n">
        <v>38199</v>
      </c>
      <c r="B1962" t="n">
        <v>2894000</v>
      </c>
      <c r="C1962" t="n">
        <v>341000</v>
      </c>
    </row>
    <row r="1963">
      <c r="A1963" s="78" t="n">
        <v>38206</v>
      </c>
      <c r="B1963" t="n">
        <v>2920000</v>
      </c>
      <c r="C1963" t="n">
        <v>336000</v>
      </c>
    </row>
    <row r="1964">
      <c r="A1964" s="78" t="n">
        <v>38213</v>
      </c>
      <c r="B1964" t="n">
        <v>2889000</v>
      </c>
      <c r="C1964" t="n">
        <v>332000</v>
      </c>
    </row>
    <row r="1965">
      <c r="A1965" s="78" t="n">
        <v>38220</v>
      </c>
      <c r="B1965" t="n">
        <v>2877000</v>
      </c>
      <c r="C1965" t="n">
        <v>343000</v>
      </c>
    </row>
    <row r="1966">
      <c r="A1966" s="78" t="n">
        <v>38227</v>
      </c>
      <c r="B1966" t="n">
        <v>2880000</v>
      </c>
      <c r="C1966" t="n">
        <v>352000</v>
      </c>
    </row>
    <row r="1967">
      <c r="A1967" s="78" t="n">
        <v>38234</v>
      </c>
      <c r="B1967" t="n">
        <v>2872000</v>
      </c>
      <c r="C1967" t="n">
        <v>326000</v>
      </c>
    </row>
    <row r="1968">
      <c r="A1968" s="78" t="n">
        <v>38241</v>
      </c>
      <c r="B1968" t="n">
        <v>2875000</v>
      </c>
      <c r="C1968" t="n">
        <v>331000</v>
      </c>
    </row>
    <row r="1969">
      <c r="A1969" s="78" t="n">
        <v>38248</v>
      </c>
      <c r="B1969" t="n">
        <v>2865000</v>
      </c>
      <c r="C1969" t="n">
        <v>341000</v>
      </c>
    </row>
    <row r="1970">
      <c r="A1970" s="78" t="n">
        <v>38255</v>
      </c>
      <c r="B1970" t="n">
        <v>2839000</v>
      </c>
      <c r="C1970" t="n">
        <v>351000</v>
      </c>
    </row>
    <row r="1971">
      <c r="A1971" s="78" t="n">
        <v>38262</v>
      </c>
      <c r="B1971" t="n">
        <v>2799000</v>
      </c>
      <c r="C1971" t="n">
        <v>335000</v>
      </c>
    </row>
    <row r="1972">
      <c r="A1972" s="78" t="n">
        <v>38269</v>
      </c>
      <c r="B1972" t="n">
        <v>2773000</v>
      </c>
      <c r="C1972" t="n">
        <v>338000</v>
      </c>
    </row>
    <row r="1973">
      <c r="A1973" s="78" t="n">
        <v>38276</v>
      </c>
      <c r="B1973" t="n">
        <v>2781000</v>
      </c>
      <c r="C1973" t="n">
        <v>327000</v>
      </c>
    </row>
    <row r="1974">
      <c r="A1974" s="78" t="n">
        <v>38283</v>
      </c>
      <c r="B1974" t="n">
        <v>2774000</v>
      </c>
      <c r="C1974" t="n">
        <v>338000</v>
      </c>
    </row>
    <row r="1975">
      <c r="A1975" s="78" t="n">
        <v>38290</v>
      </c>
      <c r="B1975" t="n">
        <v>2763000</v>
      </c>
      <c r="C1975" t="n">
        <v>332000</v>
      </c>
    </row>
    <row r="1976">
      <c r="A1976" s="78" t="n">
        <v>38297</v>
      </c>
      <c r="B1976" t="n">
        <v>2765000</v>
      </c>
      <c r="C1976" t="n">
        <v>330000</v>
      </c>
    </row>
    <row r="1977">
      <c r="A1977" s="78" t="n">
        <v>38304</v>
      </c>
      <c r="B1977" t="n">
        <v>2707000</v>
      </c>
      <c r="C1977" t="n">
        <v>337000</v>
      </c>
    </row>
    <row r="1978">
      <c r="A1978" s="78" t="n">
        <v>38311</v>
      </c>
      <c r="B1978" t="n">
        <v>2705000</v>
      </c>
      <c r="C1978" t="n">
        <v>313000</v>
      </c>
    </row>
    <row r="1979">
      <c r="A1979" s="78" t="n">
        <v>38318</v>
      </c>
      <c r="B1979" t="n">
        <v>2761000</v>
      </c>
      <c r="C1979" t="n">
        <v>335000</v>
      </c>
    </row>
    <row r="1980">
      <c r="A1980" s="78" t="n">
        <v>38325</v>
      </c>
      <c r="B1980" t="n">
        <v>2725000</v>
      </c>
      <c r="C1980" t="n">
        <v>343000</v>
      </c>
    </row>
    <row r="1981">
      <c r="A1981" s="78" t="n">
        <v>38332</v>
      </c>
      <c r="B1981" t="n">
        <v>2692000</v>
      </c>
      <c r="C1981" t="n">
        <v>316000</v>
      </c>
    </row>
    <row r="1982">
      <c r="A1982" s="78" t="n">
        <v>38339</v>
      </c>
      <c r="B1982" t="n">
        <v>2688000</v>
      </c>
      <c r="C1982" t="n">
        <v>322000</v>
      </c>
    </row>
    <row r="1983">
      <c r="A1983" s="78" t="n">
        <v>38346</v>
      </c>
      <c r="B1983" t="n">
        <v>2771000</v>
      </c>
      <c r="C1983" t="n">
        <v>320000</v>
      </c>
    </row>
    <row r="1984">
      <c r="A1984" s="78" t="n">
        <v>38353</v>
      </c>
      <c r="B1984" t="n">
        <v>2672000</v>
      </c>
      <c r="C1984" t="n">
        <v>356000</v>
      </c>
    </row>
    <row r="1985">
      <c r="A1985" s="78" t="n">
        <v>38360</v>
      </c>
      <c r="B1985" t="n">
        <v>2720000</v>
      </c>
      <c r="C1985" t="n">
        <v>369000</v>
      </c>
    </row>
    <row r="1986">
      <c r="A1986" s="78" t="n">
        <v>38367</v>
      </c>
      <c r="B1986" t="n">
        <v>2790000</v>
      </c>
      <c r="C1986" t="n">
        <v>332000</v>
      </c>
    </row>
    <row r="1987">
      <c r="A1987" s="78" t="n">
        <v>38374</v>
      </c>
      <c r="B1987" t="n">
        <v>2706000</v>
      </c>
      <c r="C1987" t="n">
        <v>329000</v>
      </c>
    </row>
    <row r="1988">
      <c r="A1988" s="78" t="n">
        <v>38381</v>
      </c>
      <c r="B1988" t="n">
        <v>2731000</v>
      </c>
      <c r="C1988" t="n">
        <v>331000</v>
      </c>
    </row>
    <row r="1989">
      <c r="A1989" s="78" t="n">
        <v>38388</v>
      </c>
      <c r="B1989" t="n">
        <v>2710000</v>
      </c>
      <c r="C1989" t="n">
        <v>307000</v>
      </c>
    </row>
    <row r="1990">
      <c r="A1990" s="78" t="n">
        <v>38395</v>
      </c>
      <c r="B1990" t="n">
        <v>2666000</v>
      </c>
      <c r="C1990" t="n">
        <v>308000</v>
      </c>
    </row>
    <row r="1991">
      <c r="A1991" s="78" t="n">
        <v>38402</v>
      </c>
      <c r="B1991" t="n">
        <v>2667000</v>
      </c>
      <c r="C1991" t="n">
        <v>318000</v>
      </c>
    </row>
    <row r="1992">
      <c r="A1992" s="78" t="n">
        <v>38409</v>
      </c>
      <c r="B1992" t="n">
        <v>2703000</v>
      </c>
      <c r="C1992" t="n">
        <v>314000</v>
      </c>
    </row>
    <row r="1993">
      <c r="A1993" s="78" t="n">
        <v>38416</v>
      </c>
      <c r="B1993" t="n">
        <v>2658000</v>
      </c>
      <c r="C1993" t="n">
        <v>333000</v>
      </c>
    </row>
    <row r="1994">
      <c r="A1994" s="78" t="n">
        <v>38423</v>
      </c>
      <c r="B1994" t="n">
        <v>2681000</v>
      </c>
      <c r="C1994" t="n">
        <v>324000</v>
      </c>
    </row>
    <row r="1995">
      <c r="A1995" s="78" t="n">
        <v>38430</v>
      </c>
      <c r="B1995" t="n">
        <v>2616000</v>
      </c>
      <c r="C1995" t="n">
        <v>329000</v>
      </c>
    </row>
    <row r="1996">
      <c r="A1996" s="78" t="n">
        <v>38437</v>
      </c>
      <c r="B1996" t="n">
        <v>2683000</v>
      </c>
      <c r="C1996" t="n">
        <v>342000</v>
      </c>
    </row>
    <row r="1997">
      <c r="A1997" s="78" t="n">
        <v>38444</v>
      </c>
      <c r="B1997" t="n">
        <v>2653000</v>
      </c>
      <c r="C1997" t="n">
        <v>335000</v>
      </c>
    </row>
    <row r="1998">
      <c r="A1998" s="78" t="n">
        <v>38451</v>
      </c>
      <c r="B1998" t="n">
        <v>2626000</v>
      </c>
      <c r="C1998" t="n">
        <v>323000</v>
      </c>
    </row>
    <row r="1999">
      <c r="A1999" s="78" t="n">
        <v>38458</v>
      </c>
      <c r="B1999" t="n">
        <v>2559000</v>
      </c>
      <c r="C1999" t="n">
        <v>307000</v>
      </c>
    </row>
    <row r="2000">
      <c r="A2000" s="78" t="n">
        <v>38465</v>
      </c>
      <c r="B2000" t="n">
        <v>2588000</v>
      </c>
      <c r="C2000" t="n">
        <v>317000</v>
      </c>
    </row>
    <row r="2001">
      <c r="A2001" s="78" t="n">
        <v>38472</v>
      </c>
      <c r="B2001" t="n">
        <v>2596000</v>
      </c>
      <c r="C2001" t="n">
        <v>334000</v>
      </c>
    </row>
    <row r="2002">
      <c r="A2002" s="78" t="n">
        <v>38479</v>
      </c>
      <c r="B2002" t="n">
        <v>2605000</v>
      </c>
      <c r="C2002" t="n">
        <v>327000</v>
      </c>
    </row>
    <row r="2003">
      <c r="A2003" s="78" t="n">
        <v>38486</v>
      </c>
      <c r="B2003" t="n">
        <v>2568000</v>
      </c>
      <c r="C2003" t="n">
        <v>321000</v>
      </c>
    </row>
    <row r="2004">
      <c r="A2004" s="78" t="n">
        <v>38493</v>
      </c>
      <c r="B2004" t="n">
        <v>2595000</v>
      </c>
      <c r="C2004" t="n">
        <v>320000</v>
      </c>
    </row>
    <row r="2005">
      <c r="A2005" s="78" t="n">
        <v>38500</v>
      </c>
      <c r="B2005" t="n">
        <v>2577000</v>
      </c>
      <c r="C2005" t="n">
        <v>340000</v>
      </c>
    </row>
    <row r="2006">
      <c r="A2006" s="78" t="n">
        <v>38507</v>
      </c>
      <c r="B2006" t="n">
        <v>2630000</v>
      </c>
      <c r="C2006" t="n">
        <v>338000</v>
      </c>
    </row>
    <row r="2007">
      <c r="A2007" s="78" t="n">
        <v>38514</v>
      </c>
      <c r="B2007" t="n">
        <v>2599000</v>
      </c>
      <c r="C2007" t="n">
        <v>333000</v>
      </c>
    </row>
    <row r="2008">
      <c r="A2008" s="78" t="n">
        <v>38521</v>
      </c>
      <c r="B2008" t="n">
        <v>2602000</v>
      </c>
      <c r="C2008" t="n">
        <v>321000</v>
      </c>
    </row>
    <row r="2009">
      <c r="A2009" s="78" t="n">
        <v>38528</v>
      </c>
      <c r="B2009" t="n">
        <v>2569000</v>
      </c>
      <c r="C2009" t="n">
        <v>311000</v>
      </c>
    </row>
    <row r="2010">
      <c r="A2010" s="78" t="n">
        <v>38535</v>
      </c>
      <c r="B2010" t="n">
        <v>2612000</v>
      </c>
      <c r="C2010" t="n">
        <v>327000</v>
      </c>
    </row>
    <row r="2011">
      <c r="A2011" s="78" t="n">
        <v>38542</v>
      </c>
      <c r="B2011" t="n">
        <v>2583000</v>
      </c>
      <c r="C2011" t="n">
        <v>338000</v>
      </c>
    </row>
    <row r="2012">
      <c r="A2012" s="78" t="n">
        <v>38549</v>
      </c>
      <c r="B2012" t="n">
        <v>2619000</v>
      </c>
      <c r="C2012" t="n">
        <v>323000</v>
      </c>
    </row>
    <row r="2013">
      <c r="A2013" s="78" t="n">
        <v>38556</v>
      </c>
      <c r="B2013" t="n">
        <v>2592000</v>
      </c>
      <c r="C2013" t="n">
        <v>318000</v>
      </c>
    </row>
    <row r="2014">
      <c r="A2014" s="78" t="n">
        <v>38563</v>
      </c>
      <c r="B2014" t="n">
        <v>2570000</v>
      </c>
      <c r="C2014" t="n">
        <v>316000</v>
      </c>
    </row>
    <row r="2015">
      <c r="A2015" s="78" t="n">
        <v>38570</v>
      </c>
      <c r="B2015" t="n">
        <v>2584000</v>
      </c>
      <c r="C2015" t="n">
        <v>311000</v>
      </c>
    </row>
    <row r="2016">
      <c r="A2016" s="78" t="n">
        <v>38577</v>
      </c>
      <c r="B2016" t="n">
        <v>2573000</v>
      </c>
      <c r="C2016" t="n">
        <v>319000</v>
      </c>
    </row>
    <row r="2017">
      <c r="A2017" s="78" t="n">
        <v>38584</v>
      </c>
      <c r="B2017" t="n">
        <v>2598000</v>
      </c>
      <c r="C2017" t="n">
        <v>315000</v>
      </c>
    </row>
    <row r="2018">
      <c r="A2018" s="78" t="n">
        <v>38591</v>
      </c>
      <c r="B2018" t="n">
        <v>2568000</v>
      </c>
      <c r="C2018" t="n">
        <v>318000</v>
      </c>
    </row>
    <row r="2019">
      <c r="A2019" s="78" t="n">
        <v>38598</v>
      </c>
      <c r="B2019" t="n">
        <v>2575000</v>
      </c>
      <c r="C2019" t="n">
        <v>326000</v>
      </c>
    </row>
    <row r="2020">
      <c r="A2020" s="78" t="n">
        <v>38605</v>
      </c>
      <c r="B2020" t="n">
        <v>2651000</v>
      </c>
      <c r="C2020" t="n">
        <v>422000</v>
      </c>
    </row>
    <row r="2021">
      <c r="A2021" s="78" t="n">
        <v>38612</v>
      </c>
      <c r="B2021" t="n">
        <v>2787000</v>
      </c>
      <c r="C2021" t="n">
        <v>424000</v>
      </c>
    </row>
    <row r="2022">
      <c r="A2022" s="78" t="n">
        <v>38619</v>
      </c>
      <c r="B2022" t="n">
        <v>2853000</v>
      </c>
      <c r="C2022" t="n">
        <v>359000</v>
      </c>
    </row>
    <row r="2023">
      <c r="A2023" s="78" t="n">
        <v>38626</v>
      </c>
      <c r="B2023" t="n">
        <v>2841000</v>
      </c>
      <c r="C2023" t="n">
        <v>384000</v>
      </c>
    </row>
    <row r="2024">
      <c r="A2024" s="78" t="n">
        <v>38633</v>
      </c>
      <c r="B2024" t="n">
        <v>2831000</v>
      </c>
      <c r="C2024" t="n">
        <v>383000</v>
      </c>
    </row>
    <row r="2025">
      <c r="A2025" s="78" t="n">
        <v>38640</v>
      </c>
      <c r="B2025" t="n">
        <v>2821000</v>
      </c>
      <c r="C2025" t="n">
        <v>348000</v>
      </c>
    </row>
    <row r="2026">
      <c r="A2026" s="78" t="n">
        <v>38647</v>
      </c>
      <c r="B2026" t="n">
        <v>2772000</v>
      </c>
      <c r="C2026" t="n">
        <v>324000</v>
      </c>
    </row>
    <row r="2027">
      <c r="A2027" s="78" t="n">
        <v>38654</v>
      </c>
      <c r="B2027" t="n">
        <v>2752000</v>
      </c>
      <c r="C2027" t="n">
        <v>322000</v>
      </c>
    </row>
    <row r="2028">
      <c r="A2028" s="78" t="n">
        <v>38661</v>
      </c>
      <c r="B2028" t="n">
        <v>2746000</v>
      </c>
      <c r="C2028" t="n">
        <v>325000</v>
      </c>
    </row>
    <row r="2029">
      <c r="A2029" s="78" t="n">
        <v>38668</v>
      </c>
      <c r="B2029" t="n">
        <v>2760000</v>
      </c>
      <c r="C2029" t="n">
        <v>309000</v>
      </c>
    </row>
    <row r="2030">
      <c r="A2030" s="78" t="n">
        <v>38675</v>
      </c>
      <c r="B2030" t="n">
        <v>2712000</v>
      </c>
      <c r="C2030" t="n">
        <v>324000</v>
      </c>
    </row>
    <row r="2031">
      <c r="A2031" s="78" t="n">
        <v>38682</v>
      </c>
      <c r="B2031" t="n">
        <v>2587000</v>
      </c>
      <c r="C2031" t="n">
        <v>311000</v>
      </c>
    </row>
    <row r="2032">
      <c r="A2032" s="78" t="n">
        <v>38689</v>
      </c>
      <c r="B2032" t="n">
        <v>2589000</v>
      </c>
      <c r="C2032" t="n">
        <v>321000</v>
      </c>
    </row>
    <row r="2033">
      <c r="A2033" s="78" t="n">
        <v>38696</v>
      </c>
      <c r="B2033" t="n">
        <v>2620000</v>
      </c>
      <c r="C2033" t="n">
        <v>327000</v>
      </c>
    </row>
    <row r="2034">
      <c r="A2034" s="78" t="n">
        <v>38703</v>
      </c>
      <c r="B2034" t="n">
        <v>2660000</v>
      </c>
      <c r="C2034" t="n">
        <v>312000</v>
      </c>
    </row>
    <row r="2035">
      <c r="A2035" s="78" t="n">
        <v>38710</v>
      </c>
      <c r="B2035" t="n">
        <v>2668000</v>
      </c>
      <c r="C2035" t="n">
        <v>320000</v>
      </c>
    </row>
    <row r="2036">
      <c r="A2036" s="78" t="n">
        <v>38717</v>
      </c>
      <c r="B2036" t="n">
        <v>2660000</v>
      </c>
      <c r="C2036" t="n">
        <v>302000</v>
      </c>
    </row>
    <row r="2037">
      <c r="A2037" s="78" t="n">
        <v>38724</v>
      </c>
      <c r="B2037" t="n">
        <v>2561000</v>
      </c>
      <c r="C2037" t="n">
        <v>326000</v>
      </c>
    </row>
    <row r="2038">
      <c r="A2038" s="78" t="n">
        <v>38731</v>
      </c>
      <c r="B2038" t="n">
        <v>2586000</v>
      </c>
      <c r="C2038" t="n">
        <v>285000</v>
      </c>
    </row>
    <row r="2039">
      <c r="A2039" s="78" t="n">
        <v>38738</v>
      </c>
      <c r="B2039" t="n">
        <v>2516000</v>
      </c>
      <c r="C2039" t="n">
        <v>290000</v>
      </c>
    </row>
    <row r="2040">
      <c r="A2040" s="78" t="n">
        <v>38745</v>
      </c>
      <c r="B2040" t="n">
        <v>2565000</v>
      </c>
      <c r="C2040" t="n">
        <v>282000</v>
      </c>
    </row>
    <row r="2041">
      <c r="A2041" s="78" t="n">
        <v>38752</v>
      </c>
      <c r="B2041" t="n">
        <v>2520000</v>
      </c>
      <c r="C2041" t="n">
        <v>289000</v>
      </c>
    </row>
    <row r="2042">
      <c r="A2042" s="78" t="n">
        <v>38759</v>
      </c>
      <c r="B2042" t="n">
        <v>2517000</v>
      </c>
      <c r="C2042" t="n">
        <v>298000</v>
      </c>
    </row>
    <row r="2043">
      <c r="A2043" s="78" t="n">
        <v>38766</v>
      </c>
      <c r="B2043" t="n">
        <v>2488000</v>
      </c>
      <c r="C2043" t="n">
        <v>283000</v>
      </c>
    </row>
    <row r="2044">
      <c r="A2044" s="78" t="n">
        <v>38773</v>
      </c>
      <c r="B2044" t="n">
        <v>2504000</v>
      </c>
      <c r="C2044" t="n">
        <v>293000</v>
      </c>
    </row>
    <row r="2045">
      <c r="A2045" s="78" t="n">
        <v>38780</v>
      </c>
      <c r="B2045" t="n">
        <v>2453000</v>
      </c>
      <c r="C2045" t="n">
        <v>302000</v>
      </c>
    </row>
    <row r="2046">
      <c r="A2046" s="78" t="n">
        <v>38787</v>
      </c>
      <c r="B2046" t="n">
        <v>2474000</v>
      </c>
      <c r="C2046" t="n">
        <v>307000</v>
      </c>
    </row>
    <row r="2047">
      <c r="A2047" s="78" t="n">
        <v>38794</v>
      </c>
      <c r="B2047" t="n">
        <v>2456000</v>
      </c>
      <c r="C2047" t="n">
        <v>303000</v>
      </c>
    </row>
    <row r="2048">
      <c r="A2048" s="78" t="n">
        <v>38801</v>
      </c>
      <c r="B2048" t="n">
        <v>2439000</v>
      </c>
      <c r="C2048" t="n">
        <v>295000</v>
      </c>
    </row>
    <row r="2049">
      <c r="A2049" s="78" t="n">
        <v>38808</v>
      </c>
      <c r="B2049" t="n">
        <v>2405000</v>
      </c>
      <c r="C2049" t="n">
        <v>291000</v>
      </c>
    </row>
    <row r="2050">
      <c r="A2050" s="78" t="n">
        <v>38815</v>
      </c>
      <c r="B2050" t="n">
        <v>2411000</v>
      </c>
      <c r="C2050" t="n">
        <v>299000</v>
      </c>
    </row>
    <row r="2051">
      <c r="A2051" s="78" t="n">
        <v>38822</v>
      </c>
      <c r="B2051" t="n">
        <v>2408000</v>
      </c>
      <c r="C2051" t="n">
        <v>299000</v>
      </c>
    </row>
    <row r="2052">
      <c r="A2052" s="78" t="n">
        <v>38829</v>
      </c>
      <c r="B2052" t="n">
        <v>2424000</v>
      </c>
      <c r="C2052" t="n">
        <v>308000</v>
      </c>
    </row>
    <row r="2053">
      <c r="A2053" s="78" t="n">
        <v>38836</v>
      </c>
      <c r="B2053" t="n">
        <v>2357000</v>
      </c>
      <c r="C2053" t="n">
        <v>321000</v>
      </c>
    </row>
    <row r="2054">
      <c r="A2054" s="78" t="n">
        <v>38843</v>
      </c>
      <c r="B2054" t="n">
        <v>2372000</v>
      </c>
      <c r="C2054" t="n">
        <v>347000</v>
      </c>
    </row>
    <row r="2055">
      <c r="A2055" s="78" t="n">
        <v>38850</v>
      </c>
      <c r="B2055" t="n">
        <v>2383000</v>
      </c>
      <c r="C2055" t="n">
        <v>335000</v>
      </c>
    </row>
    <row r="2056">
      <c r="A2056" s="78" t="n">
        <v>38857</v>
      </c>
      <c r="B2056" t="n">
        <v>2399000</v>
      </c>
      <c r="C2056" t="n">
        <v>319000</v>
      </c>
    </row>
    <row r="2057">
      <c r="A2057" s="78" t="n">
        <v>38864</v>
      </c>
      <c r="B2057" t="n">
        <v>2381000</v>
      </c>
      <c r="C2057" t="n">
        <v>330000</v>
      </c>
    </row>
    <row r="2058">
      <c r="A2058" s="78" t="n">
        <v>38871</v>
      </c>
      <c r="B2058" t="n">
        <v>2408000</v>
      </c>
      <c r="C2058" t="n">
        <v>307000</v>
      </c>
    </row>
    <row r="2059">
      <c r="A2059" s="78" t="n">
        <v>38878</v>
      </c>
      <c r="B2059" t="n">
        <v>2412000</v>
      </c>
      <c r="C2059" t="n">
        <v>298000</v>
      </c>
    </row>
    <row r="2060">
      <c r="A2060" s="78" t="n">
        <v>38885</v>
      </c>
      <c r="B2060" t="n">
        <v>2395000</v>
      </c>
      <c r="C2060" t="n">
        <v>308000</v>
      </c>
    </row>
    <row r="2061">
      <c r="A2061" s="78" t="n">
        <v>38892</v>
      </c>
      <c r="B2061" t="n">
        <v>2419000</v>
      </c>
      <c r="C2061" t="n">
        <v>309000</v>
      </c>
    </row>
    <row r="2062">
      <c r="A2062" s="78" t="n">
        <v>38899</v>
      </c>
      <c r="B2062" t="n">
        <v>2399000</v>
      </c>
      <c r="C2062" t="n">
        <v>316000</v>
      </c>
    </row>
    <row r="2063">
      <c r="A2063" s="78" t="n">
        <v>38906</v>
      </c>
      <c r="B2063" t="n">
        <v>2491000</v>
      </c>
      <c r="C2063" t="n">
        <v>343000</v>
      </c>
    </row>
    <row r="2064">
      <c r="A2064" s="78" t="n">
        <v>38913</v>
      </c>
      <c r="B2064" t="n">
        <v>2475000</v>
      </c>
      <c r="C2064" t="n">
        <v>318000</v>
      </c>
    </row>
    <row r="2065">
      <c r="A2065" s="78" t="n">
        <v>38920</v>
      </c>
      <c r="B2065" t="n">
        <v>2422000</v>
      </c>
      <c r="C2065" t="n">
        <v>306000</v>
      </c>
    </row>
    <row r="2066">
      <c r="A2066" s="78" t="n">
        <v>38927</v>
      </c>
      <c r="B2066" t="n">
        <v>2460000</v>
      </c>
      <c r="C2066" t="n">
        <v>311000</v>
      </c>
    </row>
    <row r="2067">
      <c r="A2067" s="78" t="n">
        <v>38934</v>
      </c>
      <c r="B2067" t="n">
        <v>2477000</v>
      </c>
      <c r="C2067" t="n">
        <v>318000</v>
      </c>
    </row>
    <row r="2068">
      <c r="A2068" s="78" t="n">
        <v>38941</v>
      </c>
      <c r="B2068" t="n">
        <v>2467000</v>
      </c>
      <c r="C2068" t="n">
        <v>310000</v>
      </c>
    </row>
    <row r="2069">
      <c r="A2069" s="78" t="n">
        <v>38948</v>
      </c>
      <c r="B2069" t="n">
        <v>2464000</v>
      </c>
      <c r="C2069" t="n">
        <v>315000</v>
      </c>
    </row>
    <row r="2070">
      <c r="A2070" s="78" t="n">
        <v>38955</v>
      </c>
      <c r="B2070" t="n">
        <v>2457000</v>
      </c>
      <c r="C2070" t="n">
        <v>314000</v>
      </c>
    </row>
    <row r="2071">
      <c r="A2071" s="78" t="n">
        <v>38962</v>
      </c>
      <c r="B2071" t="n">
        <v>2467000</v>
      </c>
      <c r="C2071" t="n">
        <v>315000</v>
      </c>
    </row>
    <row r="2072">
      <c r="A2072" s="78" t="n">
        <v>38969</v>
      </c>
      <c r="B2072" t="n">
        <v>2449000</v>
      </c>
      <c r="C2072" t="n">
        <v>314000</v>
      </c>
    </row>
    <row r="2073">
      <c r="A2073" s="78" t="n">
        <v>38976</v>
      </c>
      <c r="B2073" t="n">
        <v>2438000</v>
      </c>
      <c r="C2073" t="n">
        <v>324000</v>
      </c>
    </row>
    <row r="2074">
      <c r="A2074" s="78" t="n">
        <v>38983</v>
      </c>
      <c r="B2074" t="n">
        <v>2440000</v>
      </c>
      <c r="C2074" t="n">
        <v>319000</v>
      </c>
    </row>
    <row r="2075">
      <c r="A2075" s="78" t="n">
        <v>38990</v>
      </c>
      <c r="B2075" t="n">
        <v>2437000</v>
      </c>
      <c r="C2075" t="n">
        <v>309000</v>
      </c>
    </row>
    <row r="2076">
      <c r="A2076" s="78" t="n">
        <v>38997</v>
      </c>
      <c r="B2076" t="n">
        <v>2449000</v>
      </c>
      <c r="C2076" t="n">
        <v>316000</v>
      </c>
    </row>
    <row r="2077">
      <c r="A2077" s="78" t="n">
        <v>39004</v>
      </c>
      <c r="B2077" t="n">
        <v>2459000</v>
      </c>
      <c r="C2077" t="n">
        <v>305000</v>
      </c>
    </row>
    <row r="2078">
      <c r="A2078" s="78" t="n">
        <v>39011</v>
      </c>
      <c r="B2078" t="n">
        <v>2428000</v>
      </c>
      <c r="C2078" t="n">
        <v>313000</v>
      </c>
    </row>
    <row r="2079">
      <c r="A2079" s="78" t="n">
        <v>39018</v>
      </c>
      <c r="B2079" t="n">
        <v>2449000</v>
      </c>
      <c r="C2079" t="n">
        <v>328000</v>
      </c>
    </row>
    <row r="2080">
      <c r="A2080" s="78" t="n">
        <v>39025</v>
      </c>
      <c r="B2080" t="n">
        <v>2414000</v>
      </c>
      <c r="C2080" t="n">
        <v>319000</v>
      </c>
    </row>
    <row r="2081">
      <c r="A2081" s="78" t="n">
        <v>39032</v>
      </c>
      <c r="B2081" t="n">
        <v>2467000</v>
      </c>
      <c r="C2081" t="n">
        <v>311000</v>
      </c>
    </row>
    <row r="2082">
      <c r="A2082" s="78" t="n">
        <v>39039</v>
      </c>
      <c r="B2082" t="n">
        <v>2506000</v>
      </c>
      <c r="C2082" t="n">
        <v>326000</v>
      </c>
    </row>
    <row r="2083">
      <c r="A2083" s="78" t="n">
        <v>39046</v>
      </c>
      <c r="B2083" t="n">
        <v>2517000</v>
      </c>
      <c r="C2083" t="n">
        <v>349000</v>
      </c>
    </row>
    <row r="2084">
      <c r="A2084" s="78" t="n">
        <v>39053</v>
      </c>
      <c r="B2084" t="n">
        <v>2472000</v>
      </c>
      <c r="C2084" t="n">
        <v>327000</v>
      </c>
    </row>
    <row r="2085">
      <c r="A2085" s="78" t="n">
        <v>39060</v>
      </c>
      <c r="B2085" t="n">
        <v>2517000</v>
      </c>
      <c r="C2085" t="n">
        <v>311000</v>
      </c>
    </row>
    <row r="2086">
      <c r="A2086" s="78" t="n">
        <v>39067</v>
      </c>
      <c r="B2086" t="n">
        <v>2513000</v>
      </c>
      <c r="C2086" t="n">
        <v>318000</v>
      </c>
    </row>
    <row r="2087">
      <c r="A2087" s="78" t="n">
        <v>39074</v>
      </c>
      <c r="B2087" t="n">
        <v>2449000</v>
      </c>
      <c r="C2087" t="n">
        <v>323000</v>
      </c>
    </row>
    <row r="2088">
      <c r="A2088" s="78" t="n">
        <v>39081</v>
      </c>
      <c r="B2088" t="n">
        <v>2455000</v>
      </c>
      <c r="C2088" t="n">
        <v>341000</v>
      </c>
    </row>
    <row r="2089">
      <c r="A2089" s="78" t="n">
        <v>39088</v>
      </c>
      <c r="B2089" t="n">
        <v>2518000</v>
      </c>
      <c r="C2089" t="n">
        <v>330000</v>
      </c>
    </row>
    <row r="2090">
      <c r="A2090" s="78" t="n">
        <v>39095</v>
      </c>
      <c r="B2090" t="n">
        <v>2507000</v>
      </c>
      <c r="C2090" t="n">
        <v>296000</v>
      </c>
    </row>
    <row r="2091">
      <c r="A2091" s="78" t="n">
        <v>39102</v>
      </c>
      <c r="B2091" t="n">
        <v>2552000</v>
      </c>
      <c r="C2091" t="n">
        <v>335000</v>
      </c>
    </row>
    <row r="2092">
      <c r="A2092" s="78" t="n">
        <v>39109</v>
      </c>
      <c r="B2092" t="n">
        <v>2520000</v>
      </c>
      <c r="C2092" t="n">
        <v>308000</v>
      </c>
    </row>
    <row r="2093">
      <c r="A2093" s="78" t="n">
        <v>39116</v>
      </c>
      <c r="B2093" t="n">
        <v>2575000</v>
      </c>
      <c r="C2093" t="n">
        <v>310000</v>
      </c>
    </row>
    <row r="2094">
      <c r="A2094" s="78" t="n">
        <v>39123</v>
      </c>
      <c r="B2094" t="n">
        <v>2527000</v>
      </c>
      <c r="C2094" t="n">
        <v>338000</v>
      </c>
    </row>
    <row r="2095">
      <c r="A2095" s="78" t="n">
        <v>39130</v>
      </c>
      <c r="B2095" t="n">
        <v>2626000</v>
      </c>
      <c r="C2095" t="n">
        <v>321000</v>
      </c>
    </row>
    <row r="2096">
      <c r="A2096" s="78" t="n">
        <v>39137</v>
      </c>
      <c r="B2096" t="n">
        <v>2549000</v>
      </c>
      <c r="C2096" t="n">
        <v>322000</v>
      </c>
    </row>
    <row r="2097">
      <c r="A2097" s="78" t="n">
        <v>39144</v>
      </c>
      <c r="B2097" t="n">
        <v>2581000</v>
      </c>
      <c r="C2097" t="n">
        <v>320000</v>
      </c>
    </row>
    <row r="2098">
      <c r="A2098" s="78" t="n">
        <v>39151</v>
      </c>
      <c r="B2098" t="n">
        <v>2511000</v>
      </c>
      <c r="C2098" t="n">
        <v>308000</v>
      </c>
    </row>
    <row r="2099">
      <c r="A2099" s="78" t="n">
        <v>39158</v>
      </c>
      <c r="B2099" t="n">
        <v>2515000</v>
      </c>
      <c r="C2099" t="n">
        <v>309000</v>
      </c>
    </row>
    <row r="2100">
      <c r="A2100" s="78" t="n">
        <v>39165</v>
      </c>
      <c r="B2100" t="n">
        <v>2489000</v>
      </c>
      <c r="C2100" t="n">
        <v>303000</v>
      </c>
    </row>
    <row r="2101">
      <c r="A2101" s="78" t="n">
        <v>39172</v>
      </c>
      <c r="B2101" t="n">
        <v>2499000</v>
      </c>
      <c r="C2101" t="n">
        <v>307000</v>
      </c>
    </row>
    <row r="2102">
      <c r="A2102" s="78" t="n">
        <v>39179</v>
      </c>
      <c r="B2102" t="n">
        <v>2497000</v>
      </c>
      <c r="C2102" t="n">
        <v>332000</v>
      </c>
    </row>
    <row r="2103">
      <c r="A2103" s="78" t="n">
        <v>39186</v>
      </c>
      <c r="B2103" t="n">
        <v>2538000</v>
      </c>
      <c r="C2103" t="n">
        <v>327000</v>
      </c>
    </row>
    <row r="2104">
      <c r="A2104" s="78" t="n">
        <v>39193</v>
      </c>
      <c r="B2104" t="n">
        <v>2463000</v>
      </c>
      <c r="C2104" t="n">
        <v>321000</v>
      </c>
    </row>
    <row r="2105">
      <c r="A2105" s="78" t="n">
        <v>39200</v>
      </c>
      <c r="B2105" t="n">
        <v>2486000</v>
      </c>
      <c r="C2105" t="n">
        <v>301000</v>
      </c>
    </row>
    <row r="2106">
      <c r="A2106" s="78" t="n">
        <v>39207</v>
      </c>
      <c r="B2106" t="n">
        <v>2429000</v>
      </c>
      <c r="C2106" t="n">
        <v>300000</v>
      </c>
    </row>
    <row r="2107">
      <c r="A2107" s="78" t="n">
        <v>39214</v>
      </c>
      <c r="B2107" t="n">
        <v>2465000</v>
      </c>
      <c r="C2107" t="n">
        <v>297000</v>
      </c>
    </row>
    <row r="2108">
      <c r="A2108" s="78" t="n">
        <v>39221</v>
      </c>
      <c r="B2108" t="n">
        <v>2417000</v>
      </c>
      <c r="C2108" t="n">
        <v>310000</v>
      </c>
    </row>
    <row r="2109">
      <c r="A2109" s="78" t="n">
        <v>39228</v>
      </c>
      <c r="B2109" t="n">
        <v>2480000</v>
      </c>
      <c r="C2109" t="n">
        <v>310000</v>
      </c>
    </row>
    <row r="2110">
      <c r="A2110" s="78" t="n">
        <v>39235</v>
      </c>
      <c r="B2110" t="n">
        <v>2452000</v>
      </c>
      <c r="C2110" t="n">
        <v>313000</v>
      </c>
    </row>
    <row r="2111">
      <c r="A2111" s="78" t="n">
        <v>39242</v>
      </c>
      <c r="B2111" t="n">
        <v>2484000</v>
      </c>
      <c r="C2111" t="n">
        <v>313000</v>
      </c>
    </row>
    <row r="2112">
      <c r="A2112" s="78" t="n">
        <v>39249</v>
      </c>
      <c r="B2112" t="n">
        <v>2453000</v>
      </c>
      <c r="C2112" t="n">
        <v>320000</v>
      </c>
    </row>
    <row r="2113">
      <c r="A2113" s="78" t="n">
        <v>39256</v>
      </c>
      <c r="B2113" t="n">
        <v>2520000</v>
      </c>
      <c r="C2113" t="n">
        <v>313000</v>
      </c>
    </row>
    <row r="2114">
      <c r="A2114" s="78" t="n">
        <v>39263</v>
      </c>
      <c r="B2114" t="n">
        <v>2501000</v>
      </c>
      <c r="C2114" t="n">
        <v>317000</v>
      </c>
    </row>
    <row r="2115">
      <c r="A2115" s="78" t="n">
        <v>39270</v>
      </c>
      <c r="B2115" t="n">
        <v>2563000</v>
      </c>
      <c r="C2115" t="n">
        <v>321000</v>
      </c>
    </row>
    <row r="2116">
      <c r="A2116" s="78" t="n">
        <v>39277</v>
      </c>
      <c r="B2116" t="n">
        <v>2555000</v>
      </c>
      <c r="C2116" t="n">
        <v>317000</v>
      </c>
    </row>
    <row r="2117">
      <c r="A2117" s="78" t="n">
        <v>39284</v>
      </c>
      <c r="B2117" t="n">
        <v>2514000</v>
      </c>
      <c r="C2117" t="n">
        <v>310000</v>
      </c>
    </row>
    <row r="2118">
      <c r="A2118" s="78" t="n">
        <v>39291</v>
      </c>
      <c r="B2118" t="n">
        <v>2537000</v>
      </c>
      <c r="C2118" t="n">
        <v>305000</v>
      </c>
    </row>
    <row r="2119">
      <c r="A2119" s="78" t="n">
        <v>39298</v>
      </c>
      <c r="B2119" t="n">
        <v>2531000</v>
      </c>
      <c r="C2119" t="n">
        <v>314000</v>
      </c>
    </row>
    <row r="2120">
      <c r="A2120" s="78" t="n">
        <v>39305</v>
      </c>
      <c r="B2120" t="n">
        <v>2556000</v>
      </c>
      <c r="C2120" t="n">
        <v>316000</v>
      </c>
    </row>
    <row r="2121">
      <c r="A2121" s="78" t="n">
        <v>39312</v>
      </c>
      <c r="B2121" t="n">
        <v>2556000</v>
      </c>
      <c r="C2121" t="n">
        <v>321000</v>
      </c>
    </row>
    <row r="2122">
      <c r="A2122" s="78" t="n">
        <v>39319</v>
      </c>
      <c r="B2122" t="n">
        <v>2569000</v>
      </c>
      <c r="C2122" t="n">
        <v>329000</v>
      </c>
    </row>
    <row r="2123">
      <c r="A2123" s="78" t="n">
        <v>39326</v>
      </c>
      <c r="B2123" t="n">
        <v>2565000</v>
      </c>
      <c r="C2123" t="n">
        <v>314000</v>
      </c>
    </row>
    <row r="2124">
      <c r="A2124" s="78" t="n">
        <v>39333</v>
      </c>
      <c r="B2124" t="n">
        <v>2537000</v>
      </c>
      <c r="C2124" t="n">
        <v>321000</v>
      </c>
    </row>
    <row r="2125">
      <c r="A2125" s="78" t="n">
        <v>39340</v>
      </c>
      <c r="B2125" t="n">
        <v>2536000</v>
      </c>
      <c r="C2125" t="n">
        <v>313000</v>
      </c>
    </row>
    <row r="2126">
      <c r="A2126" s="78" t="n">
        <v>39347</v>
      </c>
      <c r="B2126" t="n">
        <v>2530000</v>
      </c>
      <c r="C2126" t="n">
        <v>302000</v>
      </c>
    </row>
    <row r="2127">
      <c r="A2127" s="78" t="n">
        <v>39354</v>
      </c>
      <c r="B2127" t="n">
        <v>2518000</v>
      </c>
      <c r="C2127" t="n">
        <v>317000</v>
      </c>
    </row>
    <row r="2128">
      <c r="A2128" s="78" t="n">
        <v>39361</v>
      </c>
      <c r="B2128" t="n">
        <v>2521000</v>
      </c>
      <c r="C2128" t="n">
        <v>316000</v>
      </c>
    </row>
    <row r="2129">
      <c r="A2129" s="78" t="n">
        <v>39368</v>
      </c>
      <c r="B2129" t="n">
        <v>2541000</v>
      </c>
      <c r="C2129" t="n">
        <v>335000</v>
      </c>
    </row>
    <row r="2130">
      <c r="A2130" s="78" t="n">
        <v>39375</v>
      </c>
      <c r="B2130" t="n">
        <v>2598000</v>
      </c>
      <c r="C2130" t="n">
        <v>334000</v>
      </c>
    </row>
    <row r="2131">
      <c r="A2131" s="78" t="n">
        <v>39382</v>
      </c>
      <c r="B2131" t="n">
        <v>2587000</v>
      </c>
      <c r="C2131" t="n">
        <v>328000</v>
      </c>
    </row>
    <row r="2132">
      <c r="A2132" s="78" t="n">
        <v>39389</v>
      </c>
      <c r="B2132" t="n">
        <v>2617000</v>
      </c>
      <c r="C2132" t="n">
        <v>327000</v>
      </c>
    </row>
    <row r="2133">
      <c r="A2133" s="78" t="n">
        <v>39396</v>
      </c>
      <c r="B2133" t="n">
        <v>2607000</v>
      </c>
      <c r="C2133" t="n">
        <v>333000</v>
      </c>
    </row>
    <row r="2134">
      <c r="A2134" s="78" t="n">
        <v>39403</v>
      </c>
      <c r="B2134" t="n">
        <v>2609000</v>
      </c>
      <c r="C2134" t="n">
        <v>332000</v>
      </c>
    </row>
    <row r="2135">
      <c r="A2135" s="78" t="n">
        <v>39410</v>
      </c>
      <c r="B2135" t="n">
        <v>2634000</v>
      </c>
      <c r="C2135" t="n">
        <v>352000</v>
      </c>
    </row>
    <row r="2136">
      <c r="A2136" s="78" t="n">
        <v>39417</v>
      </c>
      <c r="B2136" t="n">
        <v>2639000</v>
      </c>
      <c r="C2136" t="n">
        <v>344000</v>
      </c>
    </row>
    <row r="2137">
      <c r="A2137" s="78" t="n">
        <v>39424</v>
      </c>
      <c r="B2137" t="n">
        <v>2672000</v>
      </c>
      <c r="C2137" t="n">
        <v>332000</v>
      </c>
    </row>
    <row r="2138">
      <c r="A2138" s="78" t="n">
        <v>39431</v>
      </c>
      <c r="B2138" t="n">
        <v>2737000</v>
      </c>
      <c r="C2138" t="n">
        <v>350000</v>
      </c>
    </row>
    <row r="2139">
      <c r="A2139" s="78" t="n">
        <v>39438</v>
      </c>
      <c r="B2139" t="n">
        <v>2752000</v>
      </c>
      <c r="C2139" t="n">
        <v>355000</v>
      </c>
    </row>
    <row r="2140">
      <c r="A2140" s="78" t="n">
        <v>39445</v>
      </c>
      <c r="B2140" t="n">
        <v>2760000</v>
      </c>
      <c r="C2140" t="n">
        <v>360000</v>
      </c>
    </row>
    <row r="2141">
      <c r="A2141" s="78" t="n">
        <v>39452</v>
      </c>
      <c r="B2141" t="n">
        <v>2828000</v>
      </c>
      <c r="C2141" t="n">
        <v>346000</v>
      </c>
    </row>
    <row r="2142">
      <c r="A2142" s="78" t="n">
        <v>39459</v>
      </c>
      <c r="B2142" t="n">
        <v>2752000</v>
      </c>
      <c r="C2142" t="n">
        <v>322000</v>
      </c>
    </row>
    <row r="2143">
      <c r="A2143" s="78" t="n">
        <v>39466</v>
      </c>
      <c r="B2143" t="n">
        <v>2770000</v>
      </c>
      <c r="C2143" t="n">
        <v>321000</v>
      </c>
    </row>
    <row r="2144">
      <c r="A2144" s="78" t="n">
        <v>39473</v>
      </c>
      <c r="B2144" t="n">
        <v>2845000</v>
      </c>
      <c r="C2144" t="n">
        <v>366000</v>
      </c>
    </row>
    <row r="2145">
      <c r="A2145" s="78" t="n">
        <v>39480</v>
      </c>
      <c r="B2145" t="n">
        <v>2810000</v>
      </c>
      <c r="C2145" t="n">
        <v>350000</v>
      </c>
    </row>
    <row r="2146">
      <c r="A2146" s="78" t="n">
        <v>39487</v>
      </c>
      <c r="B2146" t="n">
        <v>2846000</v>
      </c>
      <c r="C2146" t="n">
        <v>344000</v>
      </c>
    </row>
    <row r="2147">
      <c r="A2147" s="78" t="n">
        <v>39494</v>
      </c>
      <c r="B2147" t="n">
        <v>2837000</v>
      </c>
      <c r="C2147" t="n">
        <v>339000</v>
      </c>
    </row>
    <row r="2148">
      <c r="A2148" s="78" t="n">
        <v>39501</v>
      </c>
      <c r="B2148" t="n">
        <v>2884000</v>
      </c>
      <c r="C2148" t="n">
        <v>354000</v>
      </c>
    </row>
    <row r="2149">
      <c r="A2149" s="78" t="n">
        <v>39508</v>
      </c>
      <c r="B2149" t="n">
        <v>2867000</v>
      </c>
      <c r="C2149" t="n">
        <v>345000</v>
      </c>
    </row>
    <row r="2150">
      <c r="A2150" s="78" t="n">
        <v>39515</v>
      </c>
      <c r="B2150" t="n">
        <v>2895000</v>
      </c>
      <c r="C2150" t="n">
        <v>348000</v>
      </c>
    </row>
    <row r="2151">
      <c r="A2151" s="78" t="n">
        <v>39522</v>
      </c>
      <c r="B2151" t="n">
        <v>2897000</v>
      </c>
      <c r="C2151" t="n">
        <v>369000</v>
      </c>
    </row>
    <row r="2152">
      <c r="A2152" s="78" t="n">
        <v>39529</v>
      </c>
      <c r="B2152" t="n">
        <v>2938000</v>
      </c>
      <c r="C2152" t="n">
        <v>368000</v>
      </c>
    </row>
    <row r="2153">
      <c r="A2153" s="78" t="n">
        <v>39536</v>
      </c>
      <c r="B2153" t="n">
        <v>2967000</v>
      </c>
      <c r="C2153" t="n">
        <v>387000</v>
      </c>
    </row>
    <row r="2154">
      <c r="A2154" s="78" t="n">
        <v>39543</v>
      </c>
      <c r="B2154" t="n">
        <v>2969000</v>
      </c>
      <c r="C2154" t="n">
        <v>354000</v>
      </c>
    </row>
    <row r="2155">
      <c r="A2155" s="78" t="n">
        <v>39550</v>
      </c>
      <c r="B2155" t="n">
        <v>2937000</v>
      </c>
      <c r="C2155" t="n">
        <v>365000</v>
      </c>
    </row>
    <row r="2156">
      <c r="A2156" s="78" t="n">
        <v>39557</v>
      </c>
      <c r="B2156" t="n">
        <v>2964000</v>
      </c>
      <c r="C2156" t="n">
        <v>349000</v>
      </c>
    </row>
    <row r="2157">
      <c r="A2157" s="78" t="n">
        <v>39564</v>
      </c>
      <c r="B2157" t="n">
        <v>2986000</v>
      </c>
      <c r="C2157" t="n">
        <v>370000</v>
      </c>
    </row>
    <row r="2158">
      <c r="A2158" s="78" t="n">
        <v>39571</v>
      </c>
      <c r="B2158" t="n">
        <v>2993000</v>
      </c>
      <c r="C2158" t="n">
        <v>370000</v>
      </c>
    </row>
    <row r="2159">
      <c r="A2159" s="78" t="n">
        <v>39578</v>
      </c>
      <c r="B2159" t="n">
        <v>2997000</v>
      </c>
      <c r="C2159" t="n">
        <v>366000</v>
      </c>
    </row>
    <row r="2160">
      <c r="A2160" s="78" t="n">
        <v>39585</v>
      </c>
      <c r="B2160" t="n">
        <v>3016000</v>
      </c>
      <c r="C2160" t="n">
        <v>367000</v>
      </c>
    </row>
    <row r="2161">
      <c r="A2161" s="78" t="n">
        <v>39592</v>
      </c>
      <c r="B2161" t="n">
        <v>3007000</v>
      </c>
      <c r="C2161" t="n">
        <v>369000</v>
      </c>
    </row>
    <row r="2162">
      <c r="A2162" s="78" t="n">
        <v>39599</v>
      </c>
      <c r="B2162" t="n">
        <v>3055000</v>
      </c>
      <c r="C2162" t="n">
        <v>362000</v>
      </c>
    </row>
    <row r="2163">
      <c r="A2163" s="78" t="n">
        <v>39606</v>
      </c>
      <c r="B2163" t="n">
        <v>3010000</v>
      </c>
      <c r="C2163" t="n">
        <v>382000</v>
      </c>
    </row>
    <row r="2164">
      <c r="A2164" s="78" t="n">
        <v>39613</v>
      </c>
      <c r="B2164" t="n">
        <v>3057000</v>
      </c>
      <c r="C2164" t="n">
        <v>378000</v>
      </c>
    </row>
    <row r="2165">
      <c r="A2165" s="78" t="n">
        <v>39620</v>
      </c>
      <c r="B2165" t="n">
        <v>3054000</v>
      </c>
      <c r="C2165" t="n">
        <v>381000</v>
      </c>
    </row>
    <row r="2166">
      <c r="A2166" s="78" t="n">
        <v>39627</v>
      </c>
      <c r="B2166" t="n">
        <v>3110000</v>
      </c>
      <c r="C2166" t="n">
        <v>392000</v>
      </c>
    </row>
    <row r="2167">
      <c r="A2167" s="78" t="n">
        <v>39634</v>
      </c>
      <c r="B2167" t="n">
        <v>3113000</v>
      </c>
      <c r="C2167" t="n">
        <v>371000</v>
      </c>
    </row>
    <row r="2168">
      <c r="A2168" s="78" t="n">
        <v>39641</v>
      </c>
      <c r="B2168" t="n">
        <v>3104000</v>
      </c>
      <c r="C2168" t="n">
        <v>385000</v>
      </c>
    </row>
    <row r="2169">
      <c r="A2169" s="78" t="n">
        <v>39648</v>
      </c>
      <c r="B2169" t="n">
        <v>3227000</v>
      </c>
      <c r="C2169" t="n">
        <v>402000</v>
      </c>
    </row>
    <row r="2170">
      <c r="A2170" s="78" t="n">
        <v>39655</v>
      </c>
      <c r="B2170" t="n">
        <v>3261000</v>
      </c>
      <c r="C2170" t="n">
        <v>434000</v>
      </c>
    </row>
    <row r="2171">
      <c r="A2171" s="78" t="n">
        <v>39662</v>
      </c>
      <c r="B2171" t="n">
        <v>3330000</v>
      </c>
      <c r="C2171" t="n">
        <v>448000</v>
      </c>
    </row>
    <row r="2172">
      <c r="A2172" s="78" t="n">
        <v>39669</v>
      </c>
      <c r="B2172" t="n">
        <v>3327000</v>
      </c>
      <c r="C2172" t="n">
        <v>430000</v>
      </c>
    </row>
    <row r="2173">
      <c r="A2173" s="78" t="n">
        <v>39676</v>
      </c>
      <c r="B2173" t="n">
        <v>3385000</v>
      </c>
      <c r="C2173" t="n">
        <v>424000</v>
      </c>
    </row>
    <row r="2174">
      <c r="A2174" s="78" t="n">
        <v>39683</v>
      </c>
      <c r="B2174" t="n">
        <v>3384000</v>
      </c>
      <c r="C2174" t="n">
        <v>421000</v>
      </c>
    </row>
    <row r="2175">
      <c r="A2175" s="78" t="n">
        <v>39690</v>
      </c>
      <c r="B2175" t="n">
        <v>3464000</v>
      </c>
      <c r="C2175" t="n">
        <v>442000</v>
      </c>
    </row>
    <row r="2176">
      <c r="A2176" s="78" t="n">
        <v>39697</v>
      </c>
      <c r="B2176" t="n">
        <v>3420000</v>
      </c>
      <c r="C2176" t="n">
        <v>441000</v>
      </c>
    </row>
    <row r="2177">
      <c r="A2177" s="78" t="n">
        <v>39704</v>
      </c>
      <c r="B2177" t="n">
        <v>3493000</v>
      </c>
      <c r="C2177" t="n">
        <v>449000</v>
      </c>
    </row>
    <row r="2178">
      <c r="A2178" s="78" t="n">
        <v>39711</v>
      </c>
      <c r="B2178" t="n">
        <v>3551000</v>
      </c>
      <c r="C2178" t="n">
        <v>483000</v>
      </c>
    </row>
    <row r="2179">
      <c r="A2179" s="78" t="n">
        <v>39718</v>
      </c>
      <c r="B2179" t="n">
        <v>3623000</v>
      </c>
      <c r="C2179" t="n">
        <v>483000</v>
      </c>
    </row>
    <row r="2180">
      <c r="A2180" s="78" t="n">
        <v>39725</v>
      </c>
      <c r="B2180" t="n">
        <v>3676000</v>
      </c>
      <c r="C2180" t="n">
        <v>482000</v>
      </c>
    </row>
    <row r="2181">
      <c r="A2181" s="78" t="n">
        <v>39732</v>
      </c>
      <c r="B2181" t="n">
        <v>3696000</v>
      </c>
      <c r="C2181" t="n">
        <v>461000</v>
      </c>
    </row>
    <row r="2182">
      <c r="A2182" s="78" t="n">
        <v>39739</v>
      </c>
      <c r="B2182" t="n">
        <v>3729000</v>
      </c>
      <c r="C2182" t="n">
        <v>478000</v>
      </c>
    </row>
    <row r="2183">
      <c r="A2183" s="78" t="n">
        <v>39746</v>
      </c>
      <c r="B2183" t="n">
        <v>3823000</v>
      </c>
      <c r="C2183" t="n">
        <v>480000</v>
      </c>
    </row>
    <row r="2184">
      <c r="A2184" s="78" t="n">
        <v>39753</v>
      </c>
      <c r="B2184" t="n">
        <v>3928000</v>
      </c>
      <c r="C2184" t="n">
        <v>490000</v>
      </c>
    </row>
    <row r="2185">
      <c r="A2185" s="78" t="n">
        <v>39760</v>
      </c>
      <c r="B2185" t="n">
        <v>4011000</v>
      </c>
      <c r="C2185" t="n">
        <v>512000</v>
      </c>
    </row>
    <row r="2186">
      <c r="A2186" s="78" t="n">
        <v>39767</v>
      </c>
      <c r="B2186" t="n">
        <v>4002000</v>
      </c>
      <c r="C2186" t="n">
        <v>536000</v>
      </c>
    </row>
    <row r="2187">
      <c r="A2187" s="78" t="n">
        <v>39774</v>
      </c>
      <c r="B2187" t="n">
        <v>4095000</v>
      </c>
      <c r="C2187" t="n">
        <v>532000</v>
      </c>
    </row>
    <row r="2188">
      <c r="A2188" s="78" t="n">
        <v>39781</v>
      </c>
      <c r="B2188" t="n">
        <v>4447000</v>
      </c>
      <c r="C2188" t="n">
        <v>529000</v>
      </c>
    </row>
    <row r="2189">
      <c r="A2189" s="78" t="n">
        <v>39788</v>
      </c>
      <c r="B2189" t="n">
        <v>4417000</v>
      </c>
      <c r="C2189" t="n">
        <v>570000</v>
      </c>
    </row>
    <row r="2190">
      <c r="A2190" s="78" t="n">
        <v>39795</v>
      </c>
      <c r="B2190" t="n">
        <v>4445000</v>
      </c>
      <c r="C2190" t="n">
        <v>566000</v>
      </c>
    </row>
    <row r="2191">
      <c r="A2191" s="78" t="n">
        <v>39802</v>
      </c>
      <c r="B2191" t="n">
        <v>4548000</v>
      </c>
      <c r="C2191" t="n">
        <v>587000</v>
      </c>
    </row>
    <row r="2192">
      <c r="A2192" s="78" t="n">
        <v>39809</v>
      </c>
      <c r="B2192" t="n">
        <v>4679000</v>
      </c>
      <c r="C2192" t="n">
        <v>533000</v>
      </c>
    </row>
    <row r="2193">
      <c r="A2193" s="78" t="n">
        <v>39816</v>
      </c>
      <c r="B2193" t="n">
        <v>4692000</v>
      </c>
      <c r="C2193" t="n">
        <v>503000</v>
      </c>
    </row>
    <row r="2194">
      <c r="A2194" s="78" t="n">
        <v>39823</v>
      </c>
      <c r="B2194" t="n">
        <v>4760000</v>
      </c>
      <c r="C2194" t="n">
        <v>551000</v>
      </c>
    </row>
    <row r="2195">
      <c r="A2195" s="78" t="n">
        <v>39830</v>
      </c>
      <c r="B2195" t="n">
        <v>4864000</v>
      </c>
      <c r="C2195" t="n">
        <v>591000</v>
      </c>
    </row>
    <row r="2196">
      <c r="A2196" s="78" t="n">
        <v>39837</v>
      </c>
      <c r="B2196" t="n">
        <v>4980000</v>
      </c>
      <c r="C2196" t="n">
        <v>586000</v>
      </c>
    </row>
    <row r="2197">
      <c r="A2197" s="78" t="n">
        <v>39844</v>
      </c>
      <c r="B2197" t="n">
        <v>5010000</v>
      </c>
      <c r="C2197" t="n">
        <v>629000</v>
      </c>
    </row>
    <row r="2198">
      <c r="A2198" s="78" t="n">
        <v>39851</v>
      </c>
      <c r="B2198" t="n">
        <v>5157000</v>
      </c>
      <c r="C2198" t="n">
        <v>637000</v>
      </c>
    </row>
    <row r="2199">
      <c r="A2199" s="78" t="n">
        <v>39858</v>
      </c>
      <c r="B2199" t="n">
        <v>5279000</v>
      </c>
      <c r="C2199" t="n">
        <v>632000</v>
      </c>
    </row>
    <row r="2200">
      <c r="A2200" s="78" t="n">
        <v>39865</v>
      </c>
      <c r="B2200" t="n">
        <v>5307000</v>
      </c>
      <c r="C2200" t="n">
        <v>655000</v>
      </c>
    </row>
    <row r="2201">
      <c r="A2201" s="78" t="n">
        <v>39872</v>
      </c>
      <c r="B2201" t="n">
        <v>5445000</v>
      </c>
      <c r="C2201" t="n">
        <v>652000</v>
      </c>
    </row>
    <row r="2202">
      <c r="A2202" s="78" t="n">
        <v>39879</v>
      </c>
      <c r="B2202" t="n">
        <v>5600000</v>
      </c>
      <c r="C2202" t="n">
        <v>660000</v>
      </c>
    </row>
    <row r="2203">
      <c r="A2203" s="78" t="n">
        <v>39886</v>
      </c>
      <c r="B2203" t="n">
        <v>5699000</v>
      </c>
      <c r="C2203" t="n">
        <v>651000</v>
      </c>
    </row>
    <row r="2204">
      <c r="A2204" s="78" t="n">
        <v>39893</v>
      </c>
      <c r="B2204" t="n">
        <v>5829000</v>
      </c>
      <c r="C2204" t="n">
        <v>661000</v>
      </c>
    </row>
    <row r="2205">
      <c r="A2205" s="78" t="n">
        <v>39900</v>
      </c>
      <c r="B2205" t="n">
        <v>5935000</v>
      </c>
      <c r="C2205" t="n">
        <v>665000</v>
      </c>
    </row>
    <row r="2206">
      <c r="A2206" s="78" t="n">
        <v>39907</v>
      </c>
      <c r="B2206" t="n">
        <v>6044000</v>
      </c>
      <c r="C2206" t="n">
        <v>653000</v>
      </c>
    </row>
    <row r="2207">
      <c r="A2207" s="78" t="n">
        <v>39914</v>
      </c>
      <c r="B2207" t="n">
        <v>6130000</v>
      </c>
      <c r="C2207" t="n">
        <v>599000</v>
      </c>
    </row>
    <row r="2208">
      <c r="A2208" s="78" t="n">
        <v>39921</v>
      </c>
      <c r="B2208" t="n">
        <v>6264000</v>
      </c>
      <c r="C2208" t="n">
        <v>639000</v>
      </c>
    </row>
    <row r="2209">
      <c r="A2209" s="78" t="n">
        <v>39928</v>
      </c>
      <c r="B2209" t="n">
        <v>6300000</v>
      </c>
      <c r="C2209" t="n">
        <v>620000</v>
      </c>
    </row>
    <row r="2210">
      <c r="A2210" s="78" t="n">
        <v>39935</v>
      </c>
      <c r="B2210" t="n">
        <v>6416000</v>
      </c>
      <c r="C2210" t="n">
        <v>602000</v>
      </c>
    </row>
    <row r="2211">
      <c r="A2211" s="78" t="n">
        <v>39942</v>
      </c>
      <c r="B2211" t="n">
        <v>6516000</v>
      </c>
      <c r="C2211" t="n">
        <v>625000</v>
      </c>
    </row>
    <row r="2212">
      <c r="A2212" s="78" t="n">
        <v>39949</v>
      </c>
      <c r="B2212" t="n">
        <v>6539000</v>
      </c>
      <c r="C2212" t="n">
        <v>620000</v>
      </c>
    </row>
    <row r="2213">
      <c r="A2213" s="78" t="n">
        <v>39956</v>
      </c>
      <c r="B2213" t="n">
        <v>6522000</v>
      </c>
      <c r="C2213" t="n">
        <v>606000</v>
      </c>
    </row>
    <row r="2214">
      <c r="A2214" s="78" t="n">
        <v>39963</v>
      </c>
      <c r="B2214" t="n">
        <v>6635000</v>
      </c>
      <c r="C2214" t="n">
        <v>607000</v>
      </c>
    </row>
    <row r="2215">
      <c r="A2215" s="78" t="n">
        <v>39970</v>
      </c>
      <c r="B2215" t="n">
        <v>6506000</v>
      </c>
      <c r="C2215" t="n">
        <v>596000</v>
      </c>
    </row>
    <row r="2216">
      <c r="A2216" s="78" t="n">
        <v>39977</v>
      </c>
      <c r="B2216" t="n">
        <v>6525000</v>
      </c>
      <c r="C2216" t="n">
        <v>595000</v>
      </c>
    </row>
    <row r="2217">
      <c r="A2217" s="78" t="n">
        <v>39984</v>
      </c>
      <c r="B2217" t="n">
        <v>6488000</v>
      </c>
      <c r="C2217" t="n">
        <v>608000</v>
      </c>
    </row>
    <row r="2218">
      <c r="A2218" s="78" t="n">
        <v>39991</v>
      </c>
      <c r="B2218" t="n">
        <v>6618000</v>
      </c>
      <c r="C2218" t="n">
        <v>594000</v>
      </c>
    </row>
    <row r="2219">
      <c r="A2219" s="78" t="n">
        <v>39998</v>
      </c>
      <c r="B2219" t="n">
        <v>6145000</v>
      </c>
      <c r="C2219" t="n">
        <v>573000</v>
      </c>
    </row>
    <row r="2220">
      <c r="A2220" s="78" t="n">
        <v>40005</v>
      </c>
      <c r="B2220" t="n">
        <v>6136000</v>
      </c>
      <c r="C2220" t="n">
        <v>546000</v>
      </c>
    </row>
    <row r="2221">
      <c r="A2221" s="78" t="n">
        <v>40012</v>
      </c>
      <c r="B2221" t="n">
        <v>6118000</v>
      </c>
      <c r="C2221" t="n">
        <v>560000</v>
      </c>
    </row>
    <row r="2222">
      <c r="A2222" s="78" t="n">
        <v>40019</v>
      </c>
      <c r="B2222" t="n">
        <v>6157000</v>
      </c>
      <c r="C2222" t="n">
        <v>587000</v>
      </c>
    </row>
    <row r="2223">
      <c r="A2223" s="78" t="n">
        <v>40026</v>
      </c>
      <c r="B2223" t="n">
        <v>6111000</v>
      </c>
      <c r="C2223" t="n">
        <v>555000</v>
      </c>
    </row>
    <row r="2224">
      <c r="A2224" s="78" t="n">
        <v>40033</v>
      </c>
      <c r="B2224" t="n">
        <v>6090000</v>
      </c>
      <c r="C2224" t="n">
        <v>555000</v>
      </c>
    </row>
    <row r="2225">
      <c r="A2225" s="78" t="n">
        <v>40040</v>
      </c>
      <c r="B2225" t="n">
        <v>6008000</v>
      </c>
      <c r="C2225" t="n">
        <v>562000</v>
      </c>
    </row>
    <row r="2226">
      <c r="A2226" s="78" t="n">
        <v>40047</v>
      </c>
      <c r="B2226" t="n">
        <v>6060000</v>
      </c>
      <c r="C2226" t="n">
        <v>560000</v>
      </c>
    </row>
    <row r="2227">
      <c r="A2227" s="78" t="n">
        <v>40054</v>
      </c>
      <c r="B2227" t="n">
        <v>5970000</v>
      </c>
      <c r="C2227" t="n">
        <v>564000</v>
      </c>
    </row>
    <row r="2228">
      <c r="A2228" s="78" t="n">
        <v>40061</v>
      </c>
      <c r="B2228" t="n">
        <v>6079000</v>
      </c>
      <c r="C2228" t="n">
        <v>558000</v>
      </c>
    </row>
    <row r="2229">
      <c r="A2229" s="78" t="n">
        <v>40068</v>
      </c>
      <c r="B2229" t="n">
        <v>6006000</v>
      </c>
      <c r="C2229" t="n">
        <v>542000</v>
      </c>
    </row>
    <row r="2230">
      <c r="A2230" s="78" t="n">
        <v>40075</v>
      </c>
      <c r="B2230" t="n">
        <v>5942000</v>
      </c>
      <c r="C2230" t="n">
        <v>536000</v>
      </c>
    </row>
    <row r="2231">
      <c r="A2231" s="78" t="n">
        <v>40082</v>
      </c>
      <c r="B2231" t="n">
        <v>5912000</v>
      </c>
      <c r="C2231" t="n">
        <v>554000</v>
      </c>
    </row>
    <row r="2232">
      <c r="A2232" s="78" t="n">
        <v>40089</v>
      </c>
      <c r="B2232" t="n">
        <v>5900000</v>
      </c>
      <c r="C2232" t="n">
        <v>533000</v>
      </c>
    </row>
    <row r="2233">
      <c r="A2233" s="78" t="n">
        <v>40096</v>
      </c>
      <c r="B2233" t="n">
        <v>5828000</v>
      </c>
      <c r="C2233" t="n">
        <v>511000</v>
      </c>
    </row>
    <row r="2234">
      <c r="A2234" s="78" t="n">
        <v>40103</v>
      </c>
      <c r="B2234" t="n">
        <v>5746000</v>
      </c>
      <c r="C2234" t="n">
        <v>531000</v>
      </c>
    </row>
    <row r="2235">
      <c r="A2235" s="78" t="n">
        <v>40110</v>
      </c>
      <c r="B2235" t="n">
        <v>5705000</v>
      </c>
      <c r="C2235" t="n">
        <v>530000</v>
      </c>
    </row>
    <row r="2236">
      <c r="A2236" s="78" t="n">
        <v>40117</v>
      </c>
      <c r="B2236" t="n">
        <v>5649000</v>
      </c>
      <c r="C2236" t="n">
        <v>522000</v>
      </c>
    </row>
    <row r="2237">
      <c r="A2237" s="78" t="n">
        <v>40124</v>
      </c>
      <c r="B2237" t="n">
        <v>5568000</v>
      </c>
      <c r="C2237" t="n">
        <v>512000</v>
      </c>
    </row>
    <row r="2238">
      <c r="A2238" s="78" t="n">
        <v>40131</v>
      </c>
      <c r="B2238" t="n">
        <v>5462000</v>
      </c>
      <c r="C2238" t="n">
        <v>507000</v>
      </c>
    </row>
    <row r="2239">
      <c r="A2239" s="78" t="n">
        <v>40138</v>
      </c>
      <c r="B2239" t="n">
        <v>5489000</v>
      </c>
      <c r="C2239" t="n">
        <v>482000</v>
      </c>
    </row>
    <row r="2240">
      <c r="A2240" s="78" t="n">
        <v>40145</v>
      </c>
      <c r="B2240" t="n">
        <v>5323000</v>
      </c>
      <c r="C2240" t="n">
        <v>475000</v>
      </c>
    </row>
    <row r="2241">
      <c r="A2241" s="78" t="n">
        <v>40152</v>
      </c>
      <c r="B2241" t="n">
        <v>5289000</v>
      </c>
      <c r="C2241" t="n">
        <v>497000</v>
      </c>
    </row>
    <row r="2242">
      <c r="A2242" s="78" t="n">
        <v>40159</v>
      </c>
      <c r="B2242" t="n">
        <v>5191000</v>
      </c>
      <c r="C2242" t="n">
        <v>498000</v>
      </c>
    </row>
    <row r="2243">
      <c r="A2243" s="78" t="n">
        <v>40166</v>
      </c>
      <c r="B2243" t="n">
        <v>5100000</v>
      </c>
      <c r="C2243" t="n">
        <v>479000</v>
      </c>
    </row>
    <row r="2244">
      <c r="A2244" s="78" t="n">
        <v>40173</v>
      </c>
      <c r="B2244" t="n">
        <v>4987000</v>
      </c>
      <c r="C2244" t="n">
        <v>468000</v>
      </c>
    </row>
    <row r="2245">
      <c r="A2245" s="78" t="n">
        <v>40180</v>
      </c>
      <c r="B2245" t="n">
        <v>4870000</v>
      </c>
      <c r="C2245" t="n">
        <v>456000</v>
      </c>
    </row>
    <row r="2246">
      <c r="A2246" s="78" t="n">
        <v>40187</v>
      </c>
      <c r="B2246" t="n">
        <v>4879000</v>
      </c>
      <c r="C2246" t="n">
        <v>469000</v>
      </c>
    </row>
    <row r="2247">
      <c r="A2247" s="78" t="n">
        <v>40194</v>
      </c>
      <c r="B2247" t="n">
        <v>4809000</v>
      </c>
      <c r="C2247" t="n">
        <v>507000</v>
      </c>
    </row>
    <row r="2248">
      <c r="A2248" s="78" t="n">
        <v>40201</v>
      </c>
      <c r="B2248" t="n">
        <v>4841000</v>
      </c>
      <c r="C2248" t="n">
        <v>471000</v>
      </c>
    </row>
    <row r="2249">
      <c r="A2249" s="78" t="n">
        <v>40208</v>
      </c>
      <c r="B2249" t="n">
        <v>4796000</v>
      </c>
      <c r="C2249" t="n">
        <v>496000</v>
      </c>
    </row>
    <row r="2250">
      <c r="A2250" s="78" t="n">
        <v>40215</v>
      </c>
      <c r="B2250" t="n">
        <v>4838000</v>
      </c>
      <c r="C2250" t="n">
        <v>466000</v>
      </c>
    </row>
    <row r="2251">
      <c r="A2251" s="78" t="n">
        <v>40222</v>
      </c>
      <c r="B2251" t="n">
        <v>4815000</v>
      </c>
      <c r="C2251" t="n">
        <v>489000</v>
      </c>
    </row>
    <row r="2252">
      <c r="A2252" s="78" t="n">
        <v>40229</v>
      </c>
      <c r="B2252" t="n">
        <v>4767000</v>
      </c>
      <c r="C2252" t="n">
        <v>500000</v>
      </c>
    </row>
    <row r="2253">
      <c r="A2253" s="78" t="n">
        <v>40236</v>
      </c>
      <c r="B2253" t="n">
        <v>4755000</v>
      </c>
      <c r="C2253" t="n">
        <v>488000</v>
      </c>
    </row>
    <row r="2254">
      <c r="A2254" s="78" t="n">
        <v>40243</v>
      </c>
      <c r="B2254" t="n">
        <v>4766000</v>
      </c>
      <c r="C2254" t="n">
        <v>472000</v>
      </c>
    </row>
    <row r="2255">
      <c r="A2255" s="78" t="n">
        <v>40250</v>
      </c>
      <c r="B2255" t="n">
        <v>4750000</v>
      </c>
      <c r="C2255" t="n">
        <v>478000</v>
      </c>
    </row>
    <row r="2256">
      <c r="A2256" s="78" t="n">
        <v>40257</v>
      </c>
      <c r="B2256" t="n">
        <v>4743000</v>
      </c>
      <c r="C2256" t="n">
        <v>472000</v>
      </c>
    </row>
    <row r="2257">
      <c r="A2257" s="78" t="n">
        <v>40264</v>
      </c>
      <c r="B2257" t="n">
        <v>4668000</v>
      </c>
      <c r="C2257" t="n">
        <v>459000</v>
      </c>
    </row>
    <row r="2258">
      <c r="A2258" s="78" t="n">
        <v>40271</v>
      </c>
      <c r="B2258" t="n">
        <v>4755000</v>
      </c>
      <c r="C2258" t="n">
        <v>479000</v>
      </c>
    </row>
    <row r="2259">
      <c r="A2259" s="78" t="n">
        <v>40278</v>
      </c>
      <c r="B2259" t="n">
        <v>4746000</v>
      </c>
      <c r="C2259" t="n">
        <v>479000</v>
      </c>
    </row>
    <row r="2260">
      <c r="A2260" s="78" t="n">
        <v>40285</v>
      </c>
      <c r="B2260" t="n">
        <v>4721000</v>
      </c>
      <c r="C2260" t="n">
        <v>469000</v>
      </c>
    </row>
    <row r="2261">
      <c r="A2261" s="78" t="n">
        <v>40292</v>
      </c>
      <c r="B2261" t="n">
        <v>4690000</v>
      </c>
      <c r="C2261" t="n">
        <v>449000</v>
      </c>
    </row>
    <row r="2262">
      <c r="A2262" s="78" t="n">
        <v>40299</v>
      </c>
      <c r="B2262" t="n">
        <v>4695000</v>
      </c>
      <c r="C2262" t="n">
        <v>451000</v>
      </c>
    </row>
    <row r="2263">
      <c r="A2263" s="78" t="n">
        <v>40306</v>
      </c>
      <c r="B2263" t="n">
        <v>4707000</v>
      </c>
      <c r="C2263" t="n">
        <v>451000</v>
      </c>
    </row>
    <row r="2264">
      <c r="A2264" s="78" t="n">
        <v>40313</v>
      </c>
      <c r="B2264" t="n">
        <v>4688000</v>
      </c>
      <c r="C2264" t="n">
        <v>474000</v>
      </c>
    </row>
    <row r="2265">
      <c r="A2265" s="78" t="n">
        <v>40320</v>
      </c>
      <c r="B2265" t="n">
        <v>4731000</v>
      </c>
      <c r="C2265" t="n">
        <v>463000</v>
      </c>
    </row>
    <row r="2266">
      <c r="A2266" s="78" t="n">
        <v>40327</v>
      </c>
      <c r="B2266" t="n">
        <v>4553000</v>
      </c>
      <c r="C2266" t="n">
        <v>458000</v>
      </c>
    </row>
    <row r="2267">
      <c r="A2267" s="78" t="n">
        <v>40334</v>
      </c>
      <c r="B2267" t="n">
        <v>4624000</v>
      </c>
      <c r="C2267" t="n">
        <v>459000</v>
      </c>
    </row>
    <row r="2268">
      <c r="A2268" s="78" t="n">
        <v>40341</v>
      </c>
      <c r="B2268" t="n">
        <v>4606000</v>
      </c>
      <c r="C2268" t="n">
        <v>467000</v>
      </c>
    </row>
    <row r="2269">
      <c r="A2269" s="78" t="n">
        <v>40348</v>
      </c>
      <c r="B2269" t="n">
        <v>4619000</v>
      </c>
      <c r="C2269" t="n">
        <v>452000</v>
      </c>
    </row>
    <row r="2270">
      <c r="A2270" s="78" t="n">
        <v>40355</v>
      </c>
      <c r="B2270" t="n">
        <v>4484000</v>
      </c>
      <c r="C2270" t="n">
        <v>464000</v>
      </c>
    </row>
    <row r="2271">
      <c r="A2271" s="78" t="n">
        <v>40362</v>
      </c>
      <c r="B2271" t="n">
        <v>4620000</v>
      </c>
      <c r="C2271" t="n">
        <v>454000</v>
      </c>
    </row>
    <row r="2272">
      <c r="A2272" s="78" t="n">
        <v>40369</v>
      </c>
      <c r="B2272" t="n">
        <v>4482000</v>
      </c>
      <c r="C2272" t="n">
        <v>439000</v>
      </c>
    </row>
    <row r="2273">
      <c r="A2273" s="78" t="n">
        <v>40376</v>
      </c>
      <c r="B2273" t="n">
        <v>4545000</v>
      </c>
      <c r="C2273" t="n">
        <v>462000</v>
      </c>
    </row>
    <row r="2274">
      <c r="A2274" s="78" t="n">
        <v>40383</v>
      </c>
      <c r="B2274" t="n">
        <v>4529000</v>
      </c>
      <c r="C2274" t="n">
        <v>465000</v>
      </c>
    </row>
    <row r="2275">
      <c r="A2275" s="78" t="n">
        <v>40390</v>
      </c>
      <c r="B2275" t="n">
        <v>4467000</v>
      </c>
      <c r="C2275" t="n">
        <v>476000</v>
      </c>
    </row>
    <row r="2276">
      <c r="A2276" s="78" t="n">
        <v>40397</v>
      </c>
      <c r="B2276" t="n">
        <v>4478000</v>
      </c>
      <c r="C2276" t="n">
        <v>483000</v>
      </c>
    </row>
    <row r="2277">
      <c r="A2277" s="78" t="n">
        <v>40404</v>
      </c>
      <c r="B2277" t="n">
        <v>4432000</v>
      </c>
      <c r="C2277" t="n">
        <v>486000</v>
      </c>
    </row>
    <row r="2278">
      <c r="A2278" s="78" t="n">
        <v>40411</v>
      </c>
      <c r="B2278" t="n">
        <v>4426000</v>
      </c>
      <c r="C2278" t="n">
        <v>464000</v>
      </c>
    </row>
    <row r="2279">
      <c r="A2279" s="78" t="n">
        <v>40418</v>
      </c>
      <c r="B2279" t="n">
        <v>4509000</v>
      </c>
      <c r="C2279" t="n">
        <v>467000</v>
      </c>
    </row>
    <row r="2280">
      <c r="A2280" s="78" t="n">
        <v>40425</v>
      </c>
      <c r="B2280" t="n">
        <v>4501000</v>
      </c>
      <c r="C2280" t="n">
        <v>452000</v>
      </c>
    </row>
    <row r="2281">
      <c r="A2281" s="78" t="n">
        <v>40432</v>
      </c>
      <c r="B2281" t="n">
        <v>4487000</v>
      </c>
      <c r="C2281" t="n">
        <v>444000</v>
      </c>
    </row>
    <row r="2282">
      <c r="A2282" s="78" t="n">
        <v>40439</v>
      </c>
      <c r="B2282" t="n">
        <v>4452000</v>
      </c>
      <c r="C2282" t="n">
        <v>459000</v>
      </c>
    </row>
    <row r="2283">
      <c r="A2283" s="78" t="n">
        <v>40446</v>
      </c>
      <c r="B2283" t="n">
        <v>4431000</v>
      </c>
      <c r="C2283" t="n">
        <v>459000</v>
      </c>
    </row>
    <row r="2284">
      <c r="A2284" s="78" t="n">
        <v>40453</v>
      </c>
      <c r="B2284" t="n">
        <v>4407000</v>
      </c>
      <c r="C2284" t="n">
        <v>446000</v>
      </c>
    </row>
    <row r="2285">
      <c r="A2285" s="78" t="n">
        <v>40460</v>
      </c>
      <c r="B2285" t="n">
        <v>4403000</v>
      </c>
      <c r="C2285" t="n">
        <v>459000</v>
      </c>
    </row>
    <row r="2286">
      <c r="A2286" s="78" t="n">
        <v>40467</v>
      </c>
      <c r="B2286" t="n">
        <v>4348000</v>
      </c>
      <c r="C2286" t="n">
        <v>444000</v>
      </c>
    </row>
    <row r="2287">
      <c r="A2287" s="78" t="n">
        <v>40474</v>
      </c>
      <c r="B2287" t="n">
        <v>4331000</v>
      </c>
      <c r="C2287" t="n">
        <v>432000</v>
      </c>
    </row>
    <row r="2288">
      <c r="A2288" s="78" t="n">
        <v>40481</v>
      </c>
      <c r="B2288" t="n">
        <v>4328000</v>
      </c>
      <c r="C2288" t="n">
        <v>453000</v>
      </c>
    </row>
    <row r="2289">
      <c r="A2289" s="78" t="n">
        <v>40488</v>
      </c>
      <c r="B2289" t="n">
        <v>4270000</v>
      </c>
      <c r="C2289" t="n">
        <v>434000</v>
      </c>
    </row>
    <row r="2290">
      <c r="A2290" s="78" t="n">
        <v>40495</v>
      </c>
      <c r="B2290" t="n">
        <v>4176000</v>
      </c>
      <c r="C2290" t="n">
        <v>432000</v>
      </c>
    </row>
    <row r="2291">
      <c r="A2291" s="78" t="n">
        <v>40502</v>
      </c>
      <c r="B2291" t="n">
        <v>4218000</v>
      </c>
      <c r="C2291" t="n">
        <v>407000</v>
      </c>
    </row>
    <row r="2292">
      <c r="A2292" s="78" t="n">
        <v>40509</v>
      </c>
      <c r="B2292" t="n">
        <v>4118000</v>
      </c>
      <c r="C2292" t="n">
        <v>432000</v>
      </c>
    </row>
    <row r="2293">
      <c r="A2293" s="78" t="n">
        <v>40516</v>
      </c>
      <c r="B2293" t="n">
        <v>4137000</v>
      </c>
      <c r="C2293" t="n">
        <v>428000</v>
      </c>
    </row>
    <row r="2294">
      <c r="A2294" s="78" t="n">
        <v>40523</v>
      </c>
      <c r="B2294" t="n">
        <v>4062000</v>
      </c>
      <c r="C2294" t="n">
        <v>425000</v>
      </c>
    </row>
    <row r="2295">
      <c r="A2295" s="78" t="n">
        <v>40530</v>
      </c>
      <c r="B2295" t="n">
        <v>4113000</v>
      </c>
      <c r="C2295" t="n">
        <v>424000</v>
      </c>
    </row>
    <row r="2296">
      <c r="A2296" s="78" t="n">
        <v>40537</v>
      </c>
      <c r="B2296" t="n">
        <v>4088000</v>
      </c>
      <c r="C2296" t="n">
        <v>404000</v>
      </c>
    </row>
    <row r="2297">
      <c r="A2297" s="78" t="n">
        <v>40544</v>
      </c>
      <c r="B2297" t="n">
        <v>3898000</v>
      </c>
      <c r="C2297" t="n">
        <v>413000</v>
      </c>
    </row>
    <row r="2298">
      <c r="A2298" s="78" t="n">
        <v>40551</v>
      </c>
      <c r="B2298" t="n">
        <v>3907000</v>
      </c>
      <c r="C2298" t="n">
        <v>434000</v>
      </c>
    </row>
    <row r="2299">
      <c r="A2299" s="78" t="n">
        <v>40558</v>
      </c>
      <c r="B2299" t="n">
        <v>3974000</v>
      </c>
      <c r="C2299" t="n">
        <v>421000</v>
      </c>
    </row>
    <row r="2300">
      <c r="A2300" s="78" t="n">
        <v>40565</v>
      </c>
      <c r="B2300" t="n">
        <v>3926000</v>
      </c>
      <c r="C2300" t="n">
        <v>446000</v>
      </c>
    </row>
    <row r="2301">
      <c r="A2301" s="78" t="n">
        <v>40572</v>
      </c>
      <c r="B2301" t="n">
        <v>3887000</v>
      </c>
      <c r="C2301" t="n">
        <v>420000</v>
      </c>
    </row>
    <row r="2302">
      <c r="A2302" s="78" t="n">
        <v>40579</v>
      </c>
      <c r="B2302" t="n">
        <v>3928000</v>
      </c>
      <c r="C2302" t="n">
        <v>402000</v>
      </c>
    </row>
    <row r="2303">
      <c r="A2303" s="78" t="n">
        <v>40586</v>
      </c>
      <c r="B2303" t="n">
        <v>3839000</v>
      </c>
      <c r="C2303" t="n">
        <v>425000</v>
      </c>
    </row>
    <row r="2304">
      <c r="A2304" s="78" t="n">
        <v>40593</v>
      </c>
      <c r="B2304" t="n">
        <v>3821000</v>
      </c>
      <c r="C2304" t="n">
        <v>394000</v>
      </c>
    </row>
    <row r="2305">
      <c r="A2305" s="78" t="n">
        <v>40600</v>
      </c>
      <c r="B2305" t="n">
        <v>3809000</v>
      </c>
      <c r="C2305" t="n">
        <v>385000</v>
      </c>
    </row>
    <row r="2306">
      <c r="A2306" s="78" t="n">
        <v>40607</v>
      </c>
      <c r="B2306" t="n">
        <v>3772000</v>
      </c>
      <c r="C2306" t="n">
        <v>414000</v>
      </c>
    </row>
    <row r="2307">
      <c r="A2307" s="78" t="n">
        <v>40614</v>
      </c>
      <c r="B2307" t="n">
        <v>3772000</v>
      </c>
      <c r="C2307" t="n">
        <v>404000</v>
      </c>
    </row>
    <row r="2308">
      <c r="A2308" s="78" t="n">
        <v>40621</v>
      </c>
      <c r="B2308" t="n">
        <v>3752000</v>
      </c>
      <c r="C2308" t="n">
        <v>407000</v>
      </c>
    </row>
    <row r="2309">
      <c r="A2309" s="78" t="n">
        <v>40628</v>
      </c>
      <c r="B2309" t="n">
        <v>3766000</v>
      </c>
      <c r="C2309" t="n">
        <v>399000</v>
      </c>
    </row>
    <row r="2310">
      <c r="A2310" s="78" t="n">
        <v>40635</v>
      </c>
      <c r="B2310" t="n">
        <v>3756000</v>
      </c>
      <c r="C2310" t="n">
        <v>395000</v>
      </c>
    </row>
    <row r="2311">
      <c r="A2311" s="78" t="n">
        <v>40642</v>
      </c>
      <c r="B2311" t="n">
        <v>3751000</v>
      </c>
      <c r="C2311" t="n">
        <v>416000</v>
      </c>
    </row>
    <row r="2312">
      <c r="A2312" s="78" t="n">
        <v>40649</v>
      </c>
      <c r="B2312" t="n">
        <v>3717000</v>
      </c>
      <c r="C2312" t="n">
        <v>402000</v>
      </c>
    </row>
    <row r="2313">
      <c r="A2313" s="78" t="n">
        <v>40656</v>
      </c>
      <c r="B2313" t="n">
        <v>3796000</v>
      </c>
      <c r="C2313" t="n">
        <v>422000</v>
      </c>
    </row>
    <row r="2314">
      <c r="A2314" s="78" t="n">
        <v>40663</v>
      </c>
      <c r="B2314" t="n">
        <v>3834000</v>
      </c>
      <c r="C2314" t="n">
        <v>468000</v>
      </c>
    </row>
    <row r="2315">
      <c r="A2315" s="78" t="n">
        <v>40670</v>
      </c>
      <c r="B2315" t="n">
        <v>3787000</v>
      </c>
      <c r="C2315" t="n">
        <v>435000</v>
      </c>
    </row>
    <row r="2316">
      <c r="A2316" s="78" t="n">
        <v>40677</v>
      </c>
      <c r="B2316" t="n">
        <v>3781000</v>
      </c>
      <c r="C2316" t="n">
        <v>414000</v>
      </c>
    </row>
    <row r="2317">
      <c r="A2317" s="78" t="n">
        <v>40684</v>
      </c>
      <c r="B2317" t="n">
        <v>3799000</v>
      </c>
      <c r="C2317" t="n">
        <v>423000</v>
      </c>
    </row>
    <row r="2318">
      <c r="A2318" s="78" t="n">
        <v>40691</v>
      </c>
      <c r="B2318" t="n">
        <v>3728000</v>
      </c>
      <c r="C2318" t="n">
        <v>418000</v>
      </c>
    </row>
    <row r="2319">
      <c r="A2319" s="78" t="n">
        <v>40698</v>
      </c>
      <c r="B2319" t="n">
        <v>3750000</v>
      </c>
      <c r="C2319" t="n">
        <v>423000</v>
      </c>
    </row>
    <row r="2320">
      <c r="A2320" s="78" t="n">
        <v>40705</v>
      </c>
      <c r="B2320" t="n">
        <v>3746000</v>
      </c>
      <c r="C2320" t="n">
        <v>413000</v>
      </c>
    </row>
    <row r="2321">
      <c r="A2321" s="78" t="n">
        <v>40712</v>
      </c>
      <c r="B2321" t="n">
        <v>3752000</v>
      </c>
      <c r="C2321" t="n">
        <v>416000</v>
      </c>
    </row>
    <row r="2322">
      <c r="A2322" s="78" t="n">
        <v>40719</v>
      </c>
      <c r="B2322" t="n">
        <v>3719000</v>
      </c>
      <c r="C2322" t="n">
        <v>421000</v>
      </c>
    </row>
    <row r="2323">
      <c r="A2323" s="78" t="n">
        <v>40726</v>
      </c>
      <c r="B2323" t="n">
        <v>3733000</v>
      </c>
      <c r="C2323" t="n">
        <v>418000</v>
      </c>
    </row>
    <row r="2324">
      <c r="A2324" s="78" t="n">
        <v>40733</v>
      </c>
      <c r="B2324" t="n">
        <v>3724000</v>
      </c>
      <c r="C2324" t="n">
        <v>408000</v>
      </c>
    </row>
    <row r="2325">
      <c r="A2325" s="78" t="n">
        <v>40740</v>
      </c>
      <c r="B2325" t="n">
        <v>3734000</v>
      </c>
      <c r="C2325" t="n">
        <v>420000</v>
      </c>
    </row>
    <row r="2326">
      <c r="A2326" s="78" t="n">
        <v>40747</v>
      </c>
      <c r="B2326" t="n">
        <v>3741000</v>
      </c>
      <c r="C2326" t="n">
        <v>411000</v>
      </c>
    </row>
    <row r="2327">
      <c r="A2327" s="78" t="n">
        <v>40754</v>
      </c>
      <c r="B2327" t="n">
        <v>3676000</v>
      </c>
      <c r="C2327" t="n">
        <v>406000</v>
      </c>
    </row>
    <row r="2328">
      <c r="A2328" s="78" t="n">
        <v>40761</v>
      </c>
      <c r="B2328" t="n">
        <v>3709000</v>
      </c>
      <c r="C2328" t="n">
        <v>405000</v>
      </c>
    </row>
    <row r="2329">
      <c r="A2329" s="78" t="n">
        <v>40768</v>
      </c>
      <c r="B2329" t="n">
        <v>3717000</v>
      </c>
      <c r="C2329" t="n">
        <v>409000</v>
      </c>
    </row>
    <row r="2330">
      <c r="A2330" s="78" t="n">
        <v>40775</v>
      </c>
      <c r="B2330" t="n">
        <v>3715000</v>
      </c>
      <c r="C2330" t="n">
        <v>415000</v>
      </c>
    </row>
    <row r="2331">
      <c r="A2331" s="78" t="n">
        <v>40782</v>
      </c>
      <c r="B2331" t="n">
        <v>3723000</v>
      </c>
      <c r="C2331" t="n">
        <v>409000</v>
      </c>
    </row>
    <row r="2332">
      <c r="A2332" s="78" t="n">
        <v>40789</v>
      </c>
      <c r="B2332" t="n">
        <v>3759000</v>
      </c>
      <c r="C2332" t="n">
        <v>414000</v>
      </c>
    </row>
    <row r="2333">
      <c r="A2333" s="78" t="n">
        <v>40796</v>
      </c>
      <c r="B2333" t="n">
        <v>3758000</v>
      </c>
      <c r="C2333" t="n">
        <v>429000</v>
      </c>
    </row>
    <row r="2334">
      <c r="A2334" s="78" t="n">
        <v>40803</v>
      </c>
      <c r="B2334" t="n">
        <v>3747000</v>
      </c>
      <c r="C2334" t="n">
        <v>422000</v>
      </c>
    </row>
    <row r="2335">
      <c r="A2335" s="78" t="n">
        <v>40810</v>
      </c>
      <c r="B2335" t="n">
        <v>3707000</v>
      </c>
      <c r="C2335" t="n">
        <v>406000</v>
      </c>
    </row>
    <row r="2336">
      <c r="A2336" s="78" t="n">
        <v>40817</v>
      </c>
      <c r="B2336" t="n">
        <v>3697000</v>
      </c>
      <c r="C2336" t="n">
        <v>405000</v>
      </c>
    </row>
    <row r="2337">
      <c r="A2337" s="78" t="n">
        <v>40824</v>
      </c>
      <c r="B2337" t="n">
        <v>3731000</v>
      </c>
      <c r="C2337" t="n">
        <v>410000</v>
      </c>
    </row>
    <row r="2338">
      <c r="A2338" s="78" t="n">
        <v>40831</v>
      </c>
      <c r="B2338" t="n">
        <v>3704000</v>
      </c>
      <c r="C2338" t="n">
        <v>395000</v>
      </c>
    </row>
    <row r="2339">
      <c r="A2339" s="78" t="n">
        <v>40838</v>
      </c>
      <c r="B2339" t="n">
        <v>3699000</v>
      </c>
      <c r="C2339" t="n">
        <v>403000</v>
      </c>
    </row>
    <row r="2340">
      <c r="A2340" s="78" t="n">
        <v>40845</v>
      </c>
      <c r="B2340" t="n">
        <v>3677000</v>
      </c>
      <c r="C2340" t="n">
        <v>399000</v>
      </c>
    </row>
    <row r="2341">
      <c r="A2341" s="78" t="n">
        <v>40852</v>
      </c>
      <c r="B2341" t="n">
        <v>3603000</v>
      </c>
      <c r="C2341" t="n">
        <v>392000</v>
      </c>
    </row>
    <row r="2342">
      <c r="A2342" s="78" t="n">
        <v>40859</v>
      </c>
      <c r="B2342" t="n">
        <v>3676000</v>
      </c>
      <c r="C2342" t="n">
        <v>383000</v>
      </c>
    </row>
    <row r="2343">
      <c r="A2343" s="78" t="n">
        <v>40866</v>
      </c>
      <c r="B2343" t="n">
        <v>3739000</v>
      </c>
      <c r="C2343" t="n">
        <v>385000</v>
      </c>
    </row>
    <row r="2344">
      <c r="A2344" s="78" t="n">
        <v>40873</v>
      </c>
      <c r="B2344" t="n">
        <v>3592000</v>
      </c>
      <c r="C2344" t="n">
        <v>397000</v>
      </c>
    </row>
    <row r="2345">
      <c r="A2345" s="78" t="n">
        <v>40880</v>
      </c>
      <c r="B2345" t="n">
        <v>3595000</v>
      </c>
      <c r="C2345" t="n">
        <v>387000</v>
      </c>
    </row>
    <row r="2346">
      <c r="A2346" s="78" t="n">
        <v>40887</v>
      </c>
      <c r="B2346" t="n">
        <v>3543000</v>
      </c>
      <c r="C2346" t="n">
        <v>368000</v>
      </c>
    </row>
    <row r="2347">
      <c r="A2347" s="78" t="n">
        <v>40894</v>
      </c>
      <c r="B2347" t="n">
        <v>3588000</v>
      </c>
      <c r="C2347" t="n">
        <v>368000</v>
      </c>
    </row>
    <row r="2348">
      <c r="A2348" s="78" t="n">
        <v>40901</v>
      </c>
      <c r="B2348" t="n">
        <v>3575000</v>
      </c>
      <c r="C2348" t="n">
        <v>386000</v>
      </c>
    </row>
    <row r="2349">
      <c r="A2349" s="78" t="n">
        <v>40908</v>
      </c>
      <c r="B2349" t="n">
        <v>3566000</v>
      </c>
      <c r="C2349" t="n">
        <v>376000</v>
      </c>
    </row>
    <row r="2350">
      <c r="A2350" s="78" t="n">
        <v>40915</v>
      </c>
      <c r="B2350" t="n">
        <v>3421000</v>
      </c>
      <c r="C2350" t="n">
        <v>391000</v>
      </c>
    </row>
    <row r="2351">
      <c r="A2351" s="78" t="n">
        <v>40922</v>
      </c>
      <c r="B2351" t="n">
        <v>3511000</v>
      </c>
      <c r="C2351" t="n">
        <v>367000</v>
      </c>
    </row>
    <row r="2352">
      <c r="A2352" s="78" t="n">
        <v>40929</v>
      </c>
      <c r="B2352" t="n">
        <v>3419000</v>
      </c>
      <c r="C2352" t="n">
        <v>381000</v>
      </c>
    </row>
    <row r="2353">
      <c r="A2353" s="78" t="n">
        <v>40936</v>
      </c>
      <c r="B2353" t="n">
        <v>3454000</v>
      </c>
      <c r="C2353" t="n">
        <v>372000</v>
      </c>
    </row>
    <row r="2354">
      <c r="A2354" s="78" t="n">
        <v>40943</v>
      </c>
      <c r="B2354" t="n">
        <v>3391000</v>
      </c>
      <c r="C2354" t="n">
        <v>368000</v>
      </c>
    </row>
    <row r="2355">
      <c r="A2355" s="78" t="n">
        <v>40950</v>
      </c>
      <c r="B2355" t="n">
        <v>3362000</v>
      </c>
      <c r="C2355" t="n">
        <v>361000</v>
      </c>
    </row>
    <row r="2356">
      <c r="A2356" s="78" t="n">
        <v>40957</v>
      </c>
      <c r="B2356" t="n">
        <v>3382000</v>
      </c>
      <c r="C2356" t="n">
        <v>359000</v>
      </c>
    </row>
    <row r="2357">
      <c r="A2357" s="78" t="n">
        <v>40964</v>
      </c>
      <c r="B2357" t="n">
        <v>3392000</v>
      </c>
      <c r="C2357" t="n">
        <v>365000</v>
      </c>
    </row>
    <row r="2358">
      <c r="A2358" s="78" t="n">
        <v>40971</v>
      </c>
      <c r="B2358" t="n">
        <v>3367000</v>
      </c>
      <c r="C2358" t="n">
        <v>375000</v>
      </c>
    </row>
    <row r="2359">
      <c r="A2359" s="78" t="n">
        <v>40978</v>
      </c>
      <c r="B2359" t="n">
        <v>3353000</v>
      </c>
      <c r="C2359" t="n">
        <v>369000</v>
      </c>
    </row>
    <row r="2360">
      <c r="A2360" s="78" t="n">
        <v>40985</v>
      </c>
      <c r="B2360" t="n">
        <v>3342000</v>
      </c>
      <c r="C2360" t="n">
        <v>368000</v>
      </c>
    </row>
    <row r="2361">
      <c r="A2361" s="78" t="n">
        <v>40992</v>
      </c>
      <c r="B2361" t="n">
        <v>3336000</v>
      </c>
      <c r="C2361" t="n">
        <v>363000</v>
      </c>
    </row>
    <row r="2362">
      <c r="A2362" s="78" t="n">
        <v>40999</v>
      </c>
      <c r="B2362" t="n">
        <v>3286000</v>
      </c>
      <c r="C2362" t="n">
        <v>358000</v>
      </c>
    </row>
    <row r="2363">
      <c r="A2363" s="78" t="n">
        <v>41006</v>
      </c>
      <c r="B2363" t="n">
        <v>3325000</v>
      </c>
      <c r="C2363" t="n">
        <v>387000</v>
      </c>
    </row>
    <row r="2364">
      <c r="A2364" s="78" t="n">
        <v>41013</v>
      </c>
      <c r="B2364" t="n">
        <v>3355000</v>
      </c>
      <c r="C2364" t="n">
        <v>381000</v>
      </c>
    </row>
    <row r="2365">
      <c r="A2365" s="78" t="n">
        <v>41020</v>
      </c>
      <c r="B2365" t="n">
        <v>3316000</v>
      </c>
      <c r="C2365" t="n">
        <v>387000</v>
      </c>
    </row>
    <row r="2366">
      <c r="A2366" s="78" t="n">
        <v>41027</v>
      </c>
      <c r="B2366" t="n">
        <v>3296000</v>
      </c>
      <c r="C2366" t="n">
        <v>372000</v>
      </c>
    </row>
    <row r="2367">
      <c r="A2367" s="78" t="n">
        <v>41034</v>
      </c>
      <c r="B2367" t="n">
        <v>3326000</v>
      </c>
      <c r="C2367" t="n">
        <v>373000</v>
      </c>
    </row>
    <row r="2368">
      <c r="A2368" s="78" t="n">
        <v>41041</v>
      </c>
      <c r="B2368" t="n">
        <v>3334000</v>
      </c>
      <c r="C2368" t="n">
        <v>369000</v>
      </c>
    </row>
    <row r="2369">
      <c r="A2369" s="78" t="n">
        <v>41048</v>
      </c>
      <c r="B2369" t="n">
        <v>3301000</v>
      </c>
      <c r="C2369" t="n">
        <v>371000</v>
      </c>
    </row>
    <row r="2370">
      <c r="A2370" s="78" t="n">
        <v>41055</v>
      </c>
      <c r="B2370" t="n">
        <v>3351000</v>
      </c>
      <c r="C2370" t="n">
        <v>381000</v>
      </c>
    </row>
    <row r="2371">
      <c r="A2371" s="78" t="n">
        <v>41062</v>
      </c>
      <c r="B2371" t="n">
        <v>3327000</v>
      </c>
      <c r="C2371" t="n">
        <v>377000</v>
      </c>
    </row>
    <row r="2372">
      <c r="A2372" s="78" t="n">
        <v>41069</v>
      </c>
      <c r="B2372" t="n">
        <v>3343000</v>
      </c>
      <c r="C2372" t="n">
        <v>383000</v>
      </c>
    </row>
    <row r="2373">
      <c r="A2373" s="78" t="n">
        <v>41076</v>
      </c>
      <c r="B2373" t="n">
        <v>3323000</v>
      </c>
      <c r="C2373" t="n">
        <v>384000</v>
      </c>
    </row>
    <row r="2374">
      <c r="A2374" s="78" t="n">
        <v>41083</v>
      </c>
      <c r="B2374" t="n">
        <v>3325000</v>
      </c>
      <c r="C2374" t="n">
        <v>380000</v>
      </c>
    </row>
    <row r="2375">
      <c r="A2375" s="78" t="n">
        <v>41090</v>
      </c>
      <c r="B2375" t="n">
        <v>3304000</v>
      </c>
      <c r="C2375" t="n">
        <v>372000</v>
      </c>
    </row>
    <row r="2376">
      <c r="A2376" s="78" t="n">
        <v>41097</v>
      </c>
      <c r="B2376" t="n">
        <v>3314000</v>
      </c>
      <c r="C2376" t="n">
        <v>360000</v>
      </c>
    </row>
    <row r="2377">
      <c r="A2377" s="78" t="n">
        <v>41104</v>
      </c>
      <c r="B2377" t="n">
        <v>3307000</v>
      </c>
      <c r="C2377" t="n">
        <v>390000</v>
      </c>
    </row>
    <row r="2378">
      <c r="A2378" s="78" t="n">
        <v>41111</v>
      </c>
      <c r="B2378" t="n">
        <v>3290000</v>
      </c>
      <c r="C2378" t="n">
        <v>368000</v>
      </c>
    </row>
    <row r="2379">
      <c r="A2379" s="78" t="n">
        <v>41118</v>
      </c>
      <c r="B2379" t="n">
        <v>3312000</v>
      </c>
      <c r="C2379" t="n">
        <v>372000</v>
      </c>
    </row>
    <row r="2380">
      <c r="A2380" s="78" t="n">
        <v>41125</v>
      </c>
      <c r="B2380" t="n">
        <v>3302000</v>
      </c>
      <c r="C2380" t="n">
        <v>371000</v>
      </c>
    </row>
    <row r="2381">
      <c r="A2381" s="78" t="n">
        <v>41132</v>
      </c>
      <c r="B2381" t="n">
        <v>3296000</v>
      </c>
      <c r="C2381" t="n">
        <v>369000</v>
      </c>
    </row>
    <row r="2382">
      <c r="A2382" s="78" t="n">
        <v>41139</v>
      </c>
      <c r="B2382" t="n">
        <v>3306000</v>
      </c>
      <c r="C2382" t="n">
        <v>376000</v>
      </c>
    </row>
    <row r="2383">
      <c r="A2383" s="78" t="n">
        <v>41146</v>
      </c>
      <c r="B2383" t="n">
        <v>3321000</v>
      </c>
      <c r="C2383" t="n">
        <v>377000</v>
      </c>
    </row>
    <row r="2384">
      <c r="A2384" s="78" t="n">
        <v>41153</v>
      </c>
      <c r="B2384" t="n">
        <v>3327000</v>
      </c>
      <c r="C2384" t="n">
        <v>371000</v>
      </c>
    </row>
    <row r="2385">
      <c r="A2385" s="78" t="n">
        <v>41160</v>
      </c>
      <c r="B2385" t="n">
        <v>3312000</v>
      </c>
      <c r="C2385" t="n">
        <v>393000</v>
      </c>
    </row>
    <row r="2386">
      <c r="A2386" s="78" t="n">
        <v>41167</v>
      </c>
      <c r="B2386" t="n">
        <v>3316000</v>
      </c>
      <c r="C2386" t="n">
        <v>392000</v>
      </c>
    </row>
    <row r="2387">
      <c r="A2387" s="78" t="n">
        <v>41174</v>
      </c>
      <c r="B2387" t="n">
        <v>3308000</v>
      </c>
      <c r="C2387" t="n">
        <v>377000</v>
      </c>
    </row>
    <row r="2388">
      <c r="A2388" s="78" t="n">
        <v>41181</v>
      </c>
      <c r="B2388" t="n">
        <v>3309000</v>
      </c>
      <c r="C2388" t="n">
        <v>376000</v>
      </c>
    </row>
    <row r="2389">
      <c r="A2389" s="78" t="n">
        <v>41188</v>
      </c>
      <c r="B2389" t="n">
        <v>3295000</v>
      </c>
      <c r="C2389" t="n">
        <v>350000</v>
      </c>
    </row>
    <row r="2390">
      <c r="A2390" s="78" t="n">
        <v>41195</v>
      </c>
      <c r="B2390" t="n">
        <v>3302000</v>
      </c>
      <c r="C2390" t="n">
        <v>386000</v>
      </c>
    </row>
    <row r="2391">
      <c r="A2391" s="78" t="n">
        <v>41202</v>
      </c>
      <c r="B2391" t="n">
        <v>3285000</v>
      </c>
      <c r="C2391" t="n">
        <v>374000</v>
      </c>
    </row>
    <row r="2392">
      <c r="A2392" s="78" t="n">
        <v>41209</v>
      </c>
      <c r="B2392" t="n">
        <v>3223000</v>
      </c>
      <c r="C2392" t="n">
        <v>364000</v>
      </c>
    </row>
    <row r="2393">
      <c r="A2393" s="78" t="n">
        <v>41216</v>
      </c>
      <c r="B2393" t="n">
        <v>3368000</v>
      </c>
      <c r="C2393" t="n">
        <v>365000</v>
      </c>
    </row>
    <row r="2394">
      <c r="A2394" s="78" t="n">
        <v>41223</v>
      </c>
      <c r="B2394" t="n">
        <v>3364000</v>
      </c>
      <c r="C2394" t="n">
        <v>446000</v>
      </c>
    </row>
    <row r="2395">
      <c r="A2395" s="78" t="n">
        <v>41230</v>
      </c>
      <c r="B2395" t="n">
        <v>3325000</v>
      </c>
      <c r="C2395" t="n">
        <v>406000</v>
      </c>
    </row>
    <row r="2396">
      <c r="A2396" s="78" t="n">
        <v>41237</v>
      </c>
      <c r="B2396" t="n">
        <v>3248000</v>
      </c>
      <c r="C2396" t="n">
        <v>388000</v>
      </c>
    </row>
    <row r="2397">
      <c r="A2397" s="78" t="n">
        <v>41244</v>
      </c>
      <c r="B2397" t="n">
        <v>3195000</v>
      </c>
      <c r="C2397" t="n">
        <v>375000</v>
      </c>
    </row>
    <row r="2398">
      <c r="A2398" s="78" t="n">
        <v>41251</v>
      </c>
      <c r="B2398" t="n">
        <v>3229000</v>
      </c>
      <c r="C2398" t="n">
        <v>340000</v>
      </c>
    </row>
    <row r="2399">
      <c r="A2399" s="78" t="n">
        <v>41258</v>
      </c>
      <c r="B2399" t="n">
        <v>3179000</v>
      </c>
      <c r="C2399" t="n">
        <v>356000</v>
      </c>
    </row>
    <row r="2400">
      <c r="A2400" s="78" t="n">
        <v>41265</v>
      </c>
      <c r="B2400" t="n">
        <v>3221000</v>
      </c>
      <c r="C2400" t="n">
        <v>362000</v>
      </c>
    </row>
    <row r="2401">
      <c r="A2401" s="78" t="n">
        <v>41272</v>
      </c>
      <c r="B2401" t="n">
        <v>3127000</v>
      </c>
      <c r="C2401" t="n">
        <v>362000</v>
      </c>
    </row>
    <row r="2402">
      <c r="A2402" s="78" t="n">
        <v>41279</v>
      </c>
      <c r="B2402" t="n">
        <v>3147000</v>
      </c>
      <c r="C2402" t="n">
        <v>363000</v>
      </c>
    </row>
    <row r="2403">
      <c r="A2403" s="78" t="n">
        <v>41286</v>
      </c>
      <c r="B2403" t="n">
        <v>3108000</v>
      </c>
      <c r="C2403" t="n">
        <v>344000</v>
      </c>
    </row>
    <row r="2404">
      <c r="A2404" s="78" t="n">
        <v>41293</v>
      </c>
      <c r="B2404" t="n">
        <v>3138000</v>
      </c>
      <c r="C2404" t="n">
        <v>339000</v>
      </c>
    </row>
    <row r="2405">
      <c r="A2405" s="78" t="n">
        <v>41300</v>
      </c>
      <c r="B2405" t="n">
        <v>3138000</v>
      </c>
      <c r="C2405" t="n">
        <v>366000</v>
      </c>
    </row>
    <row r="2406">
      <c r="A2406" s="78" t="n">
        <v>41307</v>
      </c>
      <c r="B2406" t="n">
        <v>3075000</v>
      </c>
      <c r="C2406" t="n">
        <v>361000</v>
      </c>
    </row>
    <row r="2407">
      <c r="A2407" s="78" t="n">
        <v>41314</v>
      </c>
      <c r="B2407" t="n">
        <v>3081000</v>
      </c>
      <c r="C2407" t="n">
        <v>347000</v>
      </c>
    </row>
    <row r="2408">
      <c r="A2408" s="78" t="n">
        <v>41321</v>
      </c>
      <c r="B2408" t="n">
        <v>3036000</v>
      </c>
      <c r="C2408" t="n">
        <v>362000</v>
      </c>
    </row>
    <row r="2409">
      <c r="A2409" s="78" t="n">
        <v>41328</v>
      </c>
      <c r="B2409" t="n">
        <v>3043000</v>
      </c>
      <c r="C2409" t="n">
        <v>342000</v>
      </c>
    </row>
    <row r="2410">
      <c r="A2410" s="78" t="n">
        <v>41335</v>
      </c>
      <c r="B2410" t="n">
        <v>3011000</v>
      </c>
      <c r="C2410" t="n">
        <v>340000</v>
      </c>
    </row>
    <row r="2411">
      <c r="A2411" s="78" t="n">
        <v>41342</v>
      </c>
      <c r="B2411" t="n">
        <v>3024000</v>
      </c>
      <c r="C2411" t="n">
        <v>343000</v>
      </c>
    </row>
    <row r="2412">
      <c r="A2412" s="78" t="n">
        <v>41349</v>
      </c>
      <c r="B2412" t="n">
        <v>3028000</v>
      </c>
      <c r="C2412" t="n">
        <v>343000</v>
      </c>
    </row>
    <row r="2413">
      <c r="A2413" s="78" t="n">
        <v>41356</v>
      </c>
      <c r="B2413" t="n">
        <v>3046000</v>
      </c>
      <c r="C2413" t="n">
        <v>358000</v>
      </c>
    </row>
    <row r="2414">
      <c r="A2414" s="78" t="n">
        <v>41363</v>
      </c>
      <c r="B2414" t="n">
        <v>3080000</v>
      </c>
      <c r="C2414" t="n">
        <v>375000</v>
      </c>
    </row>
    <row r="2415">
      <c r="A2415" s="78" t="n">
        <v>41370</v>
      </c>
      <c r="B2415" t="n">
        <v>3076000</v>
      </c>
      <c r="C2415" t="n">
        <v>359000</v>
      </c>
    </row>
    <row r="2416">
      <c r="A2416" s="78" t="n">
        <v>41377</v>
      </c>
      <c r="B2416" t="n">
        <v>3024000</v>
      </c>
      <c r="C2416" t="n">
        <v>356000</v>
      </c>
    </row>
    <row r="2417">
      <c r="A2417" s="78" t="n">
        <v>41384</v>
      </c>
      <c r="B2417" t="n">
        <v>3027000</v>
      </c>
      <c r="C2417" t="n">
        <v>343000</v>
      </c>
    </row>
    <row r="2418">
      <c r="A2418" s="78" t="n">
        <v>41391</v>
      </c>
      <c r="B2418" t="n">
        <v>3039000</v>
      </c>
      <c r="C2418" t="n">
        <v>331000</v>
      </c>
    </row>
    <row r="2419">
      <c r="A2419" s="78" t="n">
        <v>41398</v>
      </c>
      <c r="B2419" t="n">
        <v>3042000</v>
      </c>
      <c r="C2419" t="n">
        <v>335000</v>
      </c>
    </row>
    <row r="2420">
      <c r="A2420" s="78" t="n">
        <v>41405</v>
      </c>
      <c r="B2420" t="n">
        <v>2975000</v>
      </c>
      <c r="C2420" t="n">
        <v>360000</v>
      </c>
    </row>
    <row r="2421">
      <c r="A2421" s="78" t="n">
        <v>41412</v>
      </c>
      <c r="B2421" t="n">
        <v>3020000</v>
      </c>
      <c r="C2421" t="n">
        <v>343000</v>
      </c>
    </row>
    <row r="2422">
      <c r="A2422" s="78" t="n">
        <v>41419</v>
      </c>
      <c r="B2422" t="n">
        <v>3012000</v>
      </c>
      <c r="C2422" t="n">
        <v>353000</v>
      </c>
    </row>
    <row r="2423">
      <c r="A2423" s="78" t="n">
        <v>41426</v>
      </c>
      <c r="B2423" t="n">
        <v>2999000</v>
      </c>
      <c r="C2423" t="n">
        <v>346000</v>
      </c>
    </row>
    <row r="2424">
      <c r="A2424" s="78" t="n">
        <v>41433</v>
      </c>
      <c r="B2424" t="n">
        <v>3004000</v>
      </c>
      <c r="C2424" t="n">
        <v>337000</v>
      </c>
    </row>
    <row r="2425">
      <c r="A2425" s="78" t="n">
        <v>41440</v>
      </c>
      <c r="B2425" t="n">
        <v>2996000</v>
      </c>
      <c r="C2425" t="n">
        <v>353000</v>
      </c>
    </row>
    <row r="2426">
      <c r="A2426" s="78" t="n">
        <v>41447</v>
      </c>
      <c r="B2426" t="n">
        <v>2962000</v>
      </c>
      <c r="C2426" t="n">
        <v>347000</v>
      </c>
    </row>
    <row r="2427">
      <c r="A2427" s="78" t="n">
        <v>41454</v>
      </c>
      <c r="B2427" t="n">
        <v>3003000</v>
      </c>
      <c r="C2427" t="n">
        <v>340000</v>
      </c>
    </row>
    <row r="2428">
      <c r="A2428" s="78" t="n">
        <v>41461</v>
      </c>
      <c r="B2428" t="n">
        <v>3113000</v>
      </c>
      <c r="C2428" t="n">
        <v>351000</v>
      </c>
    </row>
    <row r="2429">
      <c r="A2429" s="78" t="n">
        <v>41468</v>
      </c>
      <c r="B2429" t="n">
        <v>3011000</v>
      </c>
      <c r="C2429" t="n">
        <v>344000</v>
      </c>
    </row>
    <row r="2430">
      <c r="A2430" s="78" t="n">
        <v>41475</v>
      </c>
      <c r="B2430" t="n">
        <v>2947000</v>
      </c>
      <c r="C2430" t="n">
        <v>355000</v>
      </c>
    </row>
    <row r="2431">
      <c r="A2431" s="78" t="n">
        <v>41482</v>
      </c>
      <c r="B2431" t="n">
        <v>3010000</v>
      </c>
      <c r="C2431" t="n">
        <v>334000</v>
      </c>
    </row>
    <row r="2432">
      <c r="A2432" s="78" t="n">
        <v>41489</v>
      </c>
      <c r="B2432" t="n">
        <v>2944000</v>
      </c>
      <c r="C2432" t="n">
        <v>339000</v>
      </c>
    </row>
    <row r="2433">
      <c r="A2433" s="78" t="n">
        <v>41496</v>
      </c>
      <c r="B2433" t="n">
        <v>2987000</v>
      </c>
      <c r="C2433" t="n">
        <v>327000</v>
      </c>
    </row>
    <row r="2434">
      <c r="A2434" s="78" t="n">
        <v>41503</v>
      </c>
      <c r="B2434" t="n">
        <v>2968000</v>
      </c>
      <c r="C2434" t="n">
        <v>340000</v>
      </c>
    </row>
    <row r="2435">
      <c r="A2435" s="78" t="n">
        <v>41510</v>
      </c>
      <c r="B2435" t="n">
        <v>2934000</v>
      </c>
      <c r="C2435" t="n">
        <v>336000</v>
      </c>
    </row>
    <row r="2436">
      <c r="A2436" s="78" t="n">
        <v>41517</v>
      </c>
      <c r="B2436" t="n">
        <v>2839000</v>
      </c>
      <c r="C2436" t="n">
        <v>325000</v>
      </c>
    </row>
    <row r="2437">
      <c r="A2437" s="78" t="n">
        <v>41524</v>
      </c>
      <c r="B2437" t="n">
        <v>2822000</v>
      </c>
      <c r="C2437" t="n">
        <v>300000</v>
      </c>
    </row>
    <row r="2438">
      <c r="A2438" s="78" t="n">
        <v>41531</v>
      </c>
      <c r="B2438" t="n">
        <v>2863000</v>
      </c>
      <c r="C2438" t="n">
        <v>323000</v>
      </c>
    </row>
    <row r="2439">
      <c r="A2439" s="78" t="n">
        <v>41538</v>
      </c>
      <c r="B2439" t="n">
        <v>2954000</v>
      </c>
      <c r="C2439" t="n">
        <v>314000</v>
      </c>
    </row>
    <row r="2440">
      <c r="A2440" s="78" t="n">
        <v>41545</v>
      </c>
      <c r="B2440" t="n">
        <v>2944000</v>
      </c>
      <c r="C2440" t="n">
        <v>319000</v>
      </c>
    </row>
    <row r="2441">
      <c r="A2441" s="78" t="n">
        <v>41552</v>
      </c>
      <c r="B2441" t="n">
        <v>2929000</v>
      </c>
      <c r="C2441" t="n">
        <v>368000</v>
      </c>
    </row>
    <row r="2442">
      <c r="A2442" s="78" t="n">
        <v>41559</v>
      </c>
      <c r="B2442" t="n">
        <v>2925000</v>
      </c>
      <c r="C2442" t="n">
        <v>368000</v>
      </c>
    </row>
    <row r="2443">
      <c r="A2443" s="78" t="n">
        <v>41566</v>
      </c>
      <c r="B2443" t="n">
        <v>2933000</v>
      </c>
      <c r="C2443" t="n">
        <v>351000</v>
      </c>
    </row>
    <row r="2444">
      <c r="A2444" s="78" t="n">
        <v>41573</v>
      </c>
      <c r="B2444" t="n">
        <v>2927000</v>
      </c>
      <c r="C2444" t="n">
        <v>347000</v>
      </c>
    </row>
    <row r="2445">
      <c r="A2445" s="78" t="n">
        <v>41580</v>
      </c>
      <c r="B2445" t="n">
        <v>2873000</v>
      </c>
      <c r="C2445" t="n">
        <v>342000</v>
      </c>
    </row>
    <row r="2446">
      <c r="A2446" s="78" t="n">
        <v>41587</v>
      </c>
      <c r="B2446" t="n">
        <v>2925000</v>
      </c>
      <c r="C2446" t="n">
        <v>340000</v>
      </c>
    </row>
    <row r="2447">
      <c r="A2447" s="78" t="n">
        <v>41594</v>
      </c>
      <c r="B2447" t="n">
        <v>2837000</v>
      </c>
      <c r="C2447" t="n">
        <v>331000</v>
      </c>
    </row>
    <row r="2448">
      <c r="A2448" s="78" t="n">
        <v>41601</v>
      </c>
      <c r="B2448" t="n">
        <v>2813000</v>
      </c>
      <c r="C2448" t="n">
        <v>316000</v>
      </c>
    </row>
    <row r="2449">
      <c r="A2449" s="78" t="n">
        <v>41608</v>
      </c>
      <c r="B2449" t="n">
        <v>2808000</v>
      </c>
      <c r="C2449" t="n">
        <v>312000</v>
      </c>
    </row>
    <row r="2450">
      <c r="A2450" s="78" t="n">
        <v>41615</v>
      </c>
      <c r="B2450" t="n">
        <v>2892000</v>
      </c>
      <c r="C2450" t="n">
        <v>354000</v>
      </c>
    </row>
    <row r="2451">
      <c r="A2451" s="78" t="n">
        <v>41622</v>
      </c>
      <c r="B2451" t="n">
        <v>2903000</v>
      </c>
      <c r="C2451" t="n">
        <v>364000</v>
      </c>
    </row>
    <row r="2452">
      <c r="A2452" s="78" t="n">
        <v>41629</v>
      </c>
      <c r="B2452" t="n">
        <v>2832000</v>
      </c>
      <c r="C2452" t="n">
        <v>334000</v>
      </c>
    </row>
    <row r="2453">
      <c r="A2453" s="78" t="n">
        <v>41636</v>
      </c>
      <c r="B2453" t="n">
        <v>2807000</v>
      </c>
      <c r="C2453" t="n">
        <v>332000</v>
      </c>
    </row>
    <row r="2454">
      <c r="A2454" s="78" t="n">
        <v>41643</v>
      </c>
      <c r="B2454" t="n">
        <v>2903000</v>
      </c>
      <c r="C2454" t="n">
        <v>322000</v>
      </c>
    </row>
    <row r="2455">
      <c r="A2455" s="78" t="n">
        <v>41650</v>
      </c>
      <c r="B2455" t="n">
        <v>2907000</v>
      </c>
      <c r="C2455" t="n">
        <v>318000</v>
      </c>
    </row>
    <row r="2456">
      <c r="A2456" s="78" t="n">
        <v>41657</v>
      </c>
      <c r="B2456" t="n">
        <v>2847000</v>
      </c>
      <c r="C2456" t="n">
        <v>327000</v>
      </c>
    </row>
    <row r="2457">
      <c r="A2457" s="78" t="n">
        <v>41664</v>
      </c>
      <c r="B2457" t="n">
        <v>2850000</v>
      </c>
      <c r="C2457" t="n">
        <v>340000</v>
      </c>
    </row>
    <row r="2458">
      <c r="A2458" s="78" t="n">
        <v>41671</v>
      </c>
      <c r="B2458" t="n">
        <v>2852000</v>
      </c>
      <c r="C2458" t="n">
        <v>331000</v>
      </c>
    </row>
    <row r="2459">
      <c r="A2459" s="78" t="n">
        <v>41678</v>
      </c>
      <c r="B2459" t="n">
        <v>2859000</v>
      </c>
      <c r="C2459" t="n">
        <v>337000</v>
      </c>
    </row>
    <row r="2460">
      <c r="A2460" s="78" t="n">
        <v>41685</v>
      </c>
      <c r="B2460" t="n">
        <v>2861000</v>
      </c>
      <c r="C2460" t="n">
        <v>332000</v>
      </c>
    </row>
    <row r="2461">
      <c r="A2461" s="78" t="n">
        <v>41692</v>
      </c>
      <c r="B2461" t="n">
        <v>2823000</v>
      </c>
      <c r="C2461" t="n">
        <v>341000</v>
      </c>
    </row>
    <row r="2462">
      <c r="A2462" s="78" t="n">
        <v>41699</v>
      </c>
      <c r="B2462" t="n">
        <v>2787000</v>
      </c>
      <c r="C2462" t="n">
        <v>319000</v>
      </c>
    </row>
    <row r="2463">
      <c r="A2463" s="78" t="n">
        <v>41706</v>
      </c>
      <c r="B2463" t="n">
        <v>2816000</v>
      </c>
      <c r="C2463" t="n">
        <v>322000</v>
      </c>
    </row>
    <row r="2464">
      <c r="A2464" s="78" t="n">
        <v>41713</v>
      </c>
      <c r="B2464" t="n">
        <v>2764000</v>
      </c>
      <c r="C2464" t="n">
        <v>321000</v>
      </c>
    </row>
    <row r="2465">
      <c r="A2465" s="78" t="n">
        <v>41720</v>
      </c>
      <c r="B2465" t="n">
        <v>2800000</v>
      </c>
      <c r="C2465" t="n">
        <v>313000</v>
      </c>
    </row>
    <row r="2466">
      <c r="A2466" s="78" t="n">
        <v>41727</v>
      </c>
      <c r="B2466" t="n">
        <v>2729000</v>
      </c>
      <c r="C2466" t="n">
        <v>330000</v>
      </c>
    </row>
    <row r="2467">
      <c r="A2467" s="78" t="n">
        <v>41734</v>
      </c>
      <c r="B2467" t="n">
        <v>2730000</v>
      </c>
      <c r="C2467" t="n">
        <v>311000</v>
      </c>
    </row>
    <row r="2468">
      <c r="A2468" s="78" t="n">
        <v>41741</v>
      </c>
      <c r="B2468" t="n">
        <v>2680000</v>
      </c>
      <c r="C2468" t="n">
        <v>308000</v>
      </c>
    </row>
    <row r="2469">
      <c r="A2469" s="78" t="n">
        <v>41748</v>
      </c>
      <c r="B2469" t="n">
        <v>2767000</v>
      </c>
      <c r="C2469" t="n">
        <v>327000</v>
      </c>
    </row>
    <row r="2470">
      <c r="A2470" s="78" t="n">
        <v>41755</v>
      </c>
      <c r="B2470" t="n">
        <v>2707000</v>
      </c>
      <c r="C2470" t="n">
        <v>345000</v>
      </c>
    </row>
    <row r="2471">
      <c r="A2471" s="78" t="n">
        <v>41762</v>
      </c>
      <c r="B2471" t="n">
        <v>2702000</v>
      </c>
      <c r="C2471" t="n">
        <v>325000</v>
      </c>
    </row>
    <row r="2472">
      <c r="A2472" s="78" t="n">
        <v>41769</v>
      </c>
      <c r="B2472" t="n">
        <v>2691000</v>
      </c>
      <c r="C2472" t="n">
        <v>303000</v>
      </c>
    </row>
    <row r="2473">
      <c r="A2473" s="78" t="n">
        <v>41776</v>
      </c>
      <c r="B2473" t="n">
        <v>2657000</v>
      </c>
      <c r="C2473" t="n">
        <v>324000</v>
      </c>
    </row>
    <row r="2474">
      <c r="A2474" s="78" t="n">
        <v>41783</v>
      </c>
      <c r="B2474" t="n">
        <v>2646000</v>
      </c>
      <c r="C2474" t="n">
        <v>305000</v>
      </c>
    </row>
    <row r="2475">
      <c r="A2475" s="78" t="n">
        <v>41790</v>
      </c>
      <c r="B2475" t="n">
        <v>2641000</v>
      </c>
      <c r="C2475" t="n">
        <v>312000</v>
      </c>
    </row>
    <row r="2476">
      <c r="A2476" s="78" t="n">
        <v>41797</v>
      </c>
      <c r="B2476" t="n">
        <v>2598000</v>
      </c>
      <c r="C2476" t="n">
        <v>317000</v>
      </c>
    </row>
    <row r="2477">
      <c r="A2477" s="78" t="n">
        <v>41804</v>
      </c>
      <c r="B2477" t="n">
        <v>2595000</v>
      </c>
      <c r="C2477" t="n">
        <v>314000</v>
      </c>
    </row>
    <row r="2478">
      <c r="A2478" s="78" t="n">
        <v>41811</v>
      </c>
      <c r="B2478" t="n">
        <v>2583000</v>
      </c>
      <c r="C2478" t="n">
        <v>315000</v>
      </c>
    </row>
    <row r="2479">
      <c r="A2479" s="78" t="n">
        <v>41818</v>
      </c>
      <c r="B2479" t="n">
        <v>2579000</v>
      </c>
      <c r="C2479" t="n">
        <v>308000</v>
      </c>
    </row>
    <row r="2480">
      <c r="A2480" s="78" t="n">
        <v>41825</v>
      </c>
      <c r="B2480" t="n">
        <v>2540000</v>
      </c>
      <c r="C2480" t="n">
        <v>302000</v>
      </c>
    </row>
    <row r="2481">
      <c r="A2481" s="78" t="n">
        <v>41832</v>
      </c>
      <c r="B2481" t="n">
        <v>2528000</v>
      </c>
      <c r="C2481" t="n">
        <v>308000</v>
      </c>
    </row>
    <row r="2482">
      <c r="A2482" s="78" t="n">
        <v>41839</v>
      </c>
      <c r="B2482" t="n">
        <v>2542000</v>
      </c>
      <c r="C2482" t="n">
        <v>294000</v>
      </c>
    </row>
    <row r="2483">
      <c r="A2483" s="78" t="n">
        <v>41846</v>
      </c>
      <c r="B2483" t="n">
        <v>2524000</v>
      </c>
      <c r="C2483" t="n">
        <v>303000</v>
      </c>
    </row>
    <row r="2484">
      <c r="A2484" s="78" t="n">
        <v>41853</v>
      </c>
      <c r="B2484" t="n">
        <v>2530000</v>
      </c>
      <c r="C2484" t="n">
        <v>295000</v>
      </c>
    </row>
    <row r="2485">
      <c r="A2485" s="78" t="n">
        <v>41860</v>
      </c>
      <c r="B2485" t="n">
        <v>2508000</v>
      </c>
      <c r="C2485" t="n">
        <v>309000</v>
      </c>
    </row>
    <row r="2486">
      <c r="A2486" s="78" t="n">
        <v>41867</v>
      </c>
      <c r="B2486" t="n">
        <v>2517000</v>
      </c>
      <c r="C2486" t="n">
        <v>303000</v>
      </c>
    </row>
    <row r="2487">
      <c r="A2487" s="78" t="n">
        <v>41874</v>
      </c>
      <c r="B2487" t="n">
        <v>2483000</v>
      </c>
      <c r="C2487" t="n">
        <v>300000</v>
      </c>
    </row>
    <row r="2488">
      <c r="A2488" s="78" t="n">
        <v>41881</v>
      </c>
      <c r="B2488" t="n">
        <v>2486000</v>
      </c>
      <c r="C2488" t="n">
        <v>303000</v>
      </c>
    </row>
    <row r="2489">
      <c r="A2489" s="78" t="n">
        <v>41888</v>
      </c>
      <c r="B2489" t="n">
        <v>2452000</v>
      </c>
      <c r="C2489" t="n">
        <v>307000</v>
      </c>
    </row>
    <row r="2490">
      <c r="A2490" s="78" t="n">
        <v>41895</v>
      </c>
      <c r="B2490" t="n">
        <v>2465000</v>
      </c>
      <c r="C2490" t="n">
        <v>288000</v>
      </c>
    </row>
    <row r="2491">
      <c r="A2491" s="78" t="n">
        <v>41902</v>
      </c>
      <c r="B2491" t="n">
        <v>2447000</v>
      </c>
      <c r="C2491" t="n">
        <v>295000</v>
      </c>
    </row>
    <row r="2492">
      <c r="A2492" s="78" t="n">
        <v>41909</v>
      </c>
      <c r="B2492" t="n">
        <v>2427000</v>
      </c>
      <c r="C2492" t="n">
        <v>290000</v>
      </c>
    </row>
    <row r="2493">
      <c r="A2493" s="78" t="n">
        <v>41916</v>
      </c>
      <c r="B2493" t="n">
        <v>2441000</v>
      </c>
      <c r="C2493" t="n">
        <v>293000</v>
      </c>
    </row>
    <row r="2494">
      <c r="A2494" s="78" t="n">
        <v>41923</v>
      </c>
      <c r="B2494" t="n">
        <v>2409000</v>
      </c>
      <c r="C2494" t="n">
        <v>281000</v>
      </c>
    </row>
    <row r="2495">
      <c r="A2495" s="78" t="n">
        <v>41930</v>
      </c>
      <c r="B2495" t="n">
        <v>2437000</v>
      </c>
      <c r="C2495" t="n">
        <v>290000</v>
      </c>
    </row>
    <row r="2496">
      <c r="A2496" s="78" t="n">
        <v>41937</v>
      </c>
      <c r="B2496" t="n">
        <v>2406000</v>
      </c>
      <c r="C2496" t="n">
        <v>291000</v>
      </c>
    </row>
    <row r="2497">
      <c r="A2497" s="78" t="n">
        <v>41944</v>
      </c>
      <c r="B2497" t="n">
        <v>2436000</v>
      </c>
      <c r="C2497" t="n">
        <v>280000</v>
      </c>
    </row>
    <row r="2498">
      <c r="A2498" s="78" t="n">
        <v>41951</v>
      </c>
      <c r="B2498" t="n">
        <v>2384000</v>
      </c>
      <c r="C2498" t="n">
        <v>291000</v>
      </c>
    </row>
    <row r="2499">
      <c r="A2499" s="78" t="n">
        <v>41958</v>
      </c>
      <c r="B2499" t="n">
        <v>2351000</v>
      </c>
      <c r="C2499" t="n">
        <v>293000</v>
      </c>
    </row>
    <row r="2500">
      <c r="A2500" s="78" t="n">
        <v>41965</v>
      </c>
      <c r="B2500" t="n">
        <v>2389000</v>
      </c>
      <c r="C2500" t="n">
        <v>303000</v>
      </c>
    </row>
    <row r="2501">
      <c r="A2501" s="78" t="n">
        <v>41972</v>
      </c>
      <c r="B2501" t="n">
        <v>2484000</v>
      </c>
      <c r="C2501" t="n">
        <v>291000</v>
      </c>
    </row>
    <row r="2502">
      <c r="A2502" s="78" t="n">
        <v>41979</v>
      </c>
      <c r="B2502" t="n">
        <v>2381000</v>
      </c>
      <c r="C2502" t="n">
        <v>291000</v>
      </c>
    </row>
    <row r="2503">
      <c r="A2503" s="78" t="n">
        <v>41986</v>
      </c>
      <c r="B2503" t="n">
        <v>2379000</v>
      </c>
      <c r="C2503" t="n">
        <v>286000</v>
      </c>
    </row>
    <row r="2504">
      <c r="A2504" s="78" t="n">
        <v>41993</v>
      </c>
      <c r="B2504" t="n">
        <v>2338000</v>
      </c>
      <c r="C2504" t="n">
        <v>276000</v>
      </c>
    </row>
    <row r="2505">
      <c r="A2505" s="78" t="n">
        <v>42000</v>
      </c>
      <c r="B2505" t="n">
        <v>2422000</v>
      </c>
      <c r="C2505" t="n">
        <v>285000</v>
      </c>
    </row>
    <row r="2506">
      <c r="A2506" s="78" t="n">
        <v>42007</v>
      </c>
      <c r="B2506" t="n">
        <v>2381000</v>
      </c>
      <c r="C2506" t="n">
        <v>294000</v>
      </c>
    </row>
    <row r="2507">
      <c r="A2507" s="78" t="n">
        <v>42014</v>
      </c>
      <c r="B2507" t="n">
        <v>2400000</v>
      </c>
      <c r="C2507" t="n">
        <v>304000</v>
      </c>
    </row>
    <row r="2508">
      <c r="A2508" s="78" t="n">
        <v>42021</v>
      </c>
      <c r="B2508" t="n">
        <v>2336000</v>
      </c>
      <c r="C2508" t="n">
        <v>298000</v>
      </c>
    </row>
    <row r="2509">
      <c r="A2509" s="78" t="n">
        <v>42028</v>
      </c>
      <c r="B2509" t="n">
        <v>2335000</v>
      </c>
      <c r="C2509" t="n">
        <v>261000</v>
      </c>
    </row>
    <row r="2510">
      <c r="A2510" s="78" t="n">
        <v>42035</v>
      </c>
      <c r="B2510" t="n">
        <v>2297000</v>
      </c>
      <c r="C2510" t="n">
        <v>281000</v>
      </c>
    </row>
    <row r="2511">
      <c r="A2511" s="78" t="n">
        <v>42042</v>
      </c>
      <c r="B2511" t="n">
        <v>2344000</v>
      </c>
      <c r="C2511" t="n">
        <v>298000</v>
      </c>
    </row>
    <row r="2512">
      <c r="A2512" s="78" t="n">
        <v>42049</v>
      </c>
      <c r="B2512" t="n">
        <v>2319000</v>
      </c>
      <c r="C2512" t="n">
        <v>285000</v>
      </c>
    </row>
    <row r="2513">
      <c r="A2513" s="78" t="n">
        <v>42056</v>
      </c>
      <c r="B2513" t="n">
        <v>2341000</v>
      </c>
      <c r="C2513" t="n">
        <v>305000</v>
      </c>
    </row>
    <row r="2514">
      <c r="A2514" s="78" t="n">
        <v>42063</v>
      </c>
      <c r="B2514" t="n">
        <v>2357000</v>
      </c>
      <c r="C2514" t="n">
        <v>317000</v>
      </c>
    </row>
    <row r="2515">
      <c r="A2515" s="78" t="n">
        <v>42070</v>
      </c>
      <c r="B2515" t="n">
        <v>2361000</v>
      </c>
      <c r="C2515" t="n">
        <v>293000</v>
      </c>
    </row>
    <row r="2516">
      <c r="A2516" s="78" t="n">
        <v>42077</v>
      </c>
      <c r="B2516" t="n">
        <v>2361000</v>
      </c>
      <c r="C2516" t="n">
        <v>290000</v>
      </c>
    </row>
    <row r="2517">
      <c r="A2517" s="78" t="n">
        <v>42084</v>
      </c>
      <c r="B2517" t="n">
        <v>2306000</v>
      </c>
      <c r="C2517" t="n">
        <v>284000</v>
      </c>
    </row>
    <row r="2518">
      <c r="A2518" s="78" t="n">
        <v>42091</v>
      </c>
      <c r="B2518" t="n">
        <v>2278000</v>
      </c>
      <c r="C2518" t="n">
        <v>269000</v>
      </c>
    </row>
    <row r="2519">
      <c r="A2519" s="78" t="n">
        <v>42098</v>
      </c>
      <c r="B2519" t="n">
        <v>2273000</v>
      </c>
      <c r="C2519" t="n">
        <v>282000</v>
      </c>
    </row>
    <row r="2520">
      <c r="A2520" s="78" t="n">
        <v>42105</v>
      </c>
      <c r="B2520" t="n">
        <v>2320000</v>
      </c>
      <c r="C2520" t="n">
        <v>298000</v>
      </c>
    </row>
    <row r="2521">
      <c r="A2521" s="78" t="n">
        <v>42112</v>
      </c>
      <c r="B2521" t="n">
        <v>2279000</v>
      </c>
      <c r="C2521" t="n">
        <v>295000</v>
      </c>
    </row>
    <row r="2522">
      <c r="A2522" s="78" t="n">
        <v>42119</v>
      </c>
      <c r="B2522" t="n">
        <v>2254000</v>
      </c>
      <c r="C2522" t="n">
        <v>269000</v>
      </c>
    </row>
    <row r="2523">
      <c r="A2523" s="78" t="n">
        <v>42126</v>
      </c>
      <c r="B2523" t="n">
        <v>2261000</v>
      </c>
      <c r="C2523" t="n">
        <v>267000</v>
      </c>
    </row>
    <row r="2524">
      <c r="A2524" s="78" t="n">
        <v>42133</v>
      </c>
      <c r="B2524" t="n">
        <v>2253000</v>
      </c>
      <c r="C2524" t="n">
        <v>271000</v>
      </c>
    </row>
    <row r="2525">
      <c r="A2525" s="78" t="n">
        <v>42140</v>
      </c>
      <c r="B2525" t="n">
        <v>2258000</v>
      </c>
      <c r="C2525" t="n">
        <v>276000</v>
      </c>
    </row>
    <row r="2526">
      <c r="A2526" s="78" t="n">
        <v>42147</v>
      </c>
      <c r="B2526" t="n">
        <v>2236000</v>
      </c>
      <c r="C2526" t="n">
        <v>281000</v>
      </c>
    </row>
    <row r="2527">
      <c r="A2527" s="78" t="n">
        <v>42154</v>
      </c>
      <c r="B2527" t="n">
        <v>2294000</v>
      </c>
      <c r="C2527" t="n">
        <v>275000</v>
      </c>
    </row>
    <row r="2528">
      <c r="A2528" s="78" t="n">
        <v>42161</v>
      </c>
      <c r="B2528" t="n">
        <v>2250000</v>
      </c>
      <c r="C2528" t="n">
        <v>278000</v>
      </c>
    </row>
    <row r="2529">
      <c r="A2529" s="78" t="n">
        <v>42168</v>
      </c>
      <c r="B2529" t="n">
        <v>2268000</v>
      </c>
      <c r="C2529" t="n">
        <v>269000</v>
      </c>
    </row>
    <row r="2530">
      <c r="A2530" s="78" t="n">
        <v>42175</v>
      </c>
      <c r="B2530" t="n">
        <v>2265000</v>
      </c>
      <c r="C2530" t="n">
        <v>273000</v>
      </c>
    </row>
    <row r="2531">
      <c r="A2531" s="78" t="n">
        <v>42182</v>
      </c>
      <c r="B2531" t="n">
        <v>2312000</v>
      </c>
      <c r="C2531" t="n">
        <v>275000</v>
      </c>
    </row>
    <row r="2532">
      <c r="A2532" s="78" t="n">
        <v>42189</v>
      </c>
      <c r="B2532" t="n">
        <v>2233000</v>
      </c>
      <c r="C2532" t="n">
        <v>292000</v>
      </c>
    </row>
    <row r="2533">
      <c r="A2533" s="78" t="n">
        <v>42196</v>
      </c>
      <c r="B2533" t="n">
        <v>2226000</v>
      </c>
      <c r="C2533" t="n">
        <v>285000</v>
      </c>
    </row>
    <row r="2534">
      <c r="A2534" s="78" t="n">
        <v>42203</v>
      </c>
      <c r="B2534" t="n">
        <v>2267000</v>
      </c>
      <c r="C2534" t="n">
        <v>265000</v>
      </c>
    </row>
    <row r="2535">
      <c r="A2535" s="78" t="n">
        <v>42210</v>
      </c>
      <c r="B2535" t="n">
        <v>2253000</v>
      </c>
      <c r="C2535" t="n">
        <v>269000</v>
      </c>
    </row>
    <row r="2536">
      <c r="A2536" s="78" t="n">
        <v>42217</v>
      </c>
      <c r="B2536" t="n">
        <v>2257000</v>
      </c>
      <c r="C2536" t="n">
        <v>270000</v>
      </c>
    </row>
    <row r="2537">
      <c r="A2537" s="78" t="n">
        <v>42224</v>
      </c>
      <c r="B2537" t="n">
        <v>2247000</v>
      </c>
      <c r="C2537" t="n">
        <v>274000</v>
      </c>
    </row>
    <row r="2538">
      <c r="A2538" s="78" t="n">
        <v>42231</v>
      </c>
      <c r="B2538" t="n">
        <v>2256000</v>
      </c>
      <c r="C2538" t="n">
        <v>279000</v>
      </c>
    </row>
    <row r="2539">
      <c r="A2539" s="78" t="n">
        <v>42238</v>
      </c>
      <c r="B2539" t="n">
        <v>2252000</v>
      </c>
      <c r="C2539" t="n">
        <v>274000</v>
      </c>
    </row>
    <row r="2540">
      <c r="A2540" s="78" t="n">
        <v>42245</v>
      </c>
      <c r="B2540" t="n">
        <v>2258000</v>
      </c>
      <c r="C2540" t="n">
        <v>279000</v>
      </c>
    </row>
    <row r="2541">
      <c r="A2541" s="78" t="n">
        <v>42252</v>
      </c>
      <c r="B2541" t="n">
        <v>2243000</v>
      </c>
      <c r="C2541" t="n">
        <v>273000</v>
      </c>
    </row>
    <row r="2542">
      <c r="A2542" s="78" t="n">
        <v>42259</v>
      </c>
      <c r="B2542" t="n">
        <v>2255000</v>
      </c>
      <c r="C2542" t="n">
        <v>264000</v>
      </c>
    </row>
    <row r="2543">
      <c r="A2543" s="78" t="n">
        <v>42266</v>
      </c>
      <c r="B2543" t="n">
        <v>2234000</v>
      </c>
      <c r="C2543" t="n">
        <v>269000</v>
      </c>
    </row>
    <row r="2544">
      <c r="A2544" s="78" t="n">
        <v>42273</v>
      </c>
      <c r="B2544" t="n">
        <v>2240000</v>
      </c>
      <c r="C2544" t="n">
        <v>272000</v>
      </c>
    </row>
    <row r="2545">
      <c r="A2545" s="78" t="n">
        <v>42280</v>
      </c>
      <c r="B2545" t="n">
        <v>2207000</v>
      </c>
      <c r="C2545" t="n">
        <v>267000</v>
      </c>
    </row>
    <row r="2546">
      <c r="A2546" s="78" t="n">
        <v>42287</v>
      </c>
      <c r="B2546" t="n">
        <v>2214000</v>
      </c>
      <c r="C2546" t="n">
        <v>265000</v>
      </c>
    </row>
    <row r="2547">
      <c r="A2547" s="78" t="n">
        <v>42294</v>
      </c>
      <c r="B2547" t="n">
        <v>2194000</v>
      </c>
      <c r="C2547" t="n">
        <v>264000</v>
      </c>
    </row>
    <row r="2548">
      <c r="A2548" s="78" t="n">
        <v>42301</v>
      </c>
      <c r="B2548" t="n">
        <v>2218000</v>
      </c>
      <c r="C2548" t="n">
        <v>264000</v>
      </c>
    </row>
    <row r="2549">
      <c r="A2549" s="78" t="n">
        <v>42308</v>
      </c>
      <c r="B2549" t="n">
        <v>2205000</v>
      </c>
      <c r="C2549" t="n">
        <v>275000</v>
      </c>
    </row>
    <row r="2550">
      <c r="A2550" s="78" t="n">
        <v>42315</v>
      </c>
      <c r="B2550" t="n">
        <v>2209000</v>
      </c>
      <c r="C2550" t="n">
        <v>276000</v>
      </c>
    </row>
    <row r="2551">
      <c r="A2551" s="78" t="n">
        <v>42322</v>
      </c>
      <c r="B2551" t="n">
        <v>2185000</v>
      </c>
      <c r="C2551" t="n">
        <v>272000</v>
      </c>
    </row>
    <row r="2552">
      <c r="A2552" s="78" t="n">
        <v>42329</v>
      </c>
      <c r="B2552" t="n">
        <v>2181000</v>
      </c>
      <c r="C2552" t="n">
        <v>261000</v>
      </c>
    </row>
    <row r="2553">
      <c r="A2553" s="78" t="n">
        <v>42336</v>
      </c>
      <c r="B2553" t="n">
        <v>2259000</v>
      </c>
      <c r="C2553" t="n">
        <v>265000</v>
      </c>
    </row>
    <row r="2554">
      <c r="A2554" s="78" t="n">
        <v>42343</v>
      </c>
      <c r="B2554" t="n">
        <v>2242000</v>
      </c>
      <c r="C2554" t="n">
        <v>280000</v>
      </c>
    </row>
    <row r="2555">
      <c r="A2555" s="78" t="n">
        <v>42350</v>
      </c>
      <c r="B2555" t="n">
        <v>2190000</v>
      </c>
      <c r="C2555" t="n">
        <v>268000</v>
      </c>
    </row>
    <row r="2556">
      <c r="A2556" s="78" t="n">
        <v>42357</v>
      </c>
      <c r="B2556" t="n">
        <v>2176000</v>
      </c>
      <c r="C2556" t="n">
        <v>260000</v>
      </c>
    </row>
    <row r="2557">
      <c r="A2557" s="78" t="n">
        <v>42364</v>
      </c>
      <c r="B2557" t="n">
        <v>2207000</v>
      </c>
      <c r="C2557" t="n">
        <v>276000</v>
      </c>
    </row>
    <row r="2558">
      <c r="A2558" s="78" t="n">
        <v>42371</v>
      </c>
      <c r="B2558" t="n">
        <v>2218000</v>
      </c>
      <c r="C2558" t="n">
        <v>273000</v>
      </c>
    </row>
    <row r="2559">
      <c r="A2559" s="78" t="n">
        <v>42378</v>
      </c>
      <c r="B2559" t="n">
        <v>2190000</v>
      </c>
      <c r="C2559" t="n">
        <v>284000</v>
      </c>
    </row>
    <row r="2560">
      <c r="A2560" s="78" t="n">
        <v>42385</v>
      </c>
      <c r="B2560" t="n">
        <v>2221000</v>
      </c>
      <c r="C2560" t="n">
        <v>290000</v>
      </c>
    </row>
    <row r="2561">
      <c r="A2561" s="78" t="n">
        <v>42392</v>
      </c>
      <c r="B2561" t="n">
        <v>2199000</v>
      </c>
      <c r="C2561" t="n">
        <v>269000</v>
      </c>
    </row>
    <row r="2562">
      <c r="A2562" s="78" t="n">
        <v>42399</v>
      </c>
      <c r="B2562" t="n">
        <v>2210000</v>
      </c>
      <c r="C2562" t="n">
        <v>282000</v>
      </c>
    </row>
    <row r="2563">
      <c r="A2563" s="78" t="n">
        <v>42406</v>
      </c>
      <c r="B2563" t="n">
        <v>2213000</v>
      </c>
      <c r="C2563" t="n">
        <v>266000</v>
      </c>
    </row>
    <row r="2564">
      <c r="A2564" s="78" t="n">
        <v>42413</v>
      </c>
      <c r="B2564" t="n">
        <v>2206000</v>
      </c>
      <c r="C2564" t="n">
        <v>262000</v>
      </c>
    </row>
    <row r="2565">
      <c r="A2565" s="78" t="n">
        <v>42420</v>
      </c>
      <c r="B2565" t="n">
        <v>2203000</v>
      </c>
      <c r="C2565" t="n">
        <v>270000</v>
      </c>
    </row>
    <row r="2566">
      <c r="A2566" s="78" t="n">
        <v>42427</v>
      </c>
      <c r="B2566" t="n">
        <v>2180000</v>
      </c>
      <c r="C2566" t="n">
        <v>269000</v>
      </c>
    </row>
    <row r="2567">
      <c r="A2567" s="78" t="n">
        <v>42434</v>
      </c>
      <c r="B2567" t="n">
        <v>2203000</v>
      </c>
      <c r="C2567" t="n">
        <v>255000</v>
      </c>
    </row>
    <row r="2568">
      <c r="A2568" s="78" t="n">
        <v>42441</v>
      </c>
      <c r="B2568" t="n">
        <v>2163000</v>
      </c>
      <c r="C2568" t="n">
        <v>263000</v>
      </c>
    </row>
    <row r="2569">
      <c r="A2569" s="78" t="n">
        <v>42448</v>
      </c>
      <c r="B2569" t="n">
        <v>2138000</v>
      </c>
      <c r="C2569" t="n">
        <v>264000</v>
      </c>
    </row>
    <row r="2570">
      <c r="A2570" s="78" t="n">
        <v>42455</v>
      </c>
      <c r="B2570" t="n">
        <v>2165000</v>
      </c>
      <c r="C2570" t="n">
        <v>271000</v>
      </c>
    </row>
    <row r="2571">
      <c r="A2571" s="78" t="n">
        <v>42462</v>
      </c>
      <c r="B2571" t="n">
        <v>2151000</v>
      </c>
      <c r="C2571" t="n">
        <v>273000</v>
      </c>
    </row>
    <row r="2572">
      <c r="A2572" s="78" t="n">
        <v>42469</v>
      </c>
      <c r="B2572" t="n">
        <v>2139000</v>
      </c>
      <c r="C2572" t="n">
        <v>263000</v>
      </c>
    </row>
    <row r="2573">
      <c r="A2573" s="78" t="n">
        <v>42476</v>
      </c>
      <c r="B2573" t="n">
        <v>2135000</v>
      </c>
      <c r="C2573" t="n">
        <v>257000</v>
      </c>
    </row>
    <row r="2574">
      <c r="A2574" s="78" t="n">
        <v>42483</v>
      </c>
      <c r="B2574" t="n">
        <v>2137000</v>
      </c>
      <c r="C2574" t="n">
        <v>259000</v>
      </c>
    </row>
    <row r="2575">
      <c r="A2575" s="78" t="n">
        <v>42490</v>
      </c>
      <c r="B2575" t="n">
        <v>2183000</v>
      </c>
      <c r="C2575" t="n">
        <v>278000</v>
      </c>
    </row>
    <row r="2576">
      <c r="A2576" s="78" t="n">
        <v>42497</v>
      </c>
      <c r="B2576" t="n">
        <v>2185000</v>
      </c>
      <c r="C2576" t="n">
        <v>289000</v>
      </c>
    </row>
    <row r="2577">
      <c r="A2577" s="78" t="n">
        <v>42504</v>
      </c>
      <c r="B2577" t="n">
        <v>2177000</v>
      </c>
      <c r="C2577" t="n">
        <v>279000</v>
      </c>
    </row>
    <row r="2578">
      <c r="A2578" s="78" t="n">
        <v>42511</v>
      </c>
      <c r="B2578" t="n">
        <v>2186000</v>
      </c>
      <c r="C2578" t="n">
        <v>267000</v>
      </c>
    </row>
    <row r="2579">
      <c r="A2579" s="78" t="n">
        <v>42518</v>
      </c>
      <c r="B2579" t="n">
        <v>2131000</v>
      </c>
      <c r="C2579" t="n">
        <v>263000</v>
      </c>
    </row>
    <row r="2580">
      <c r="A2580" s="78" t="n">
        <v>42525</v>
      </c>
      <c r="B2580" t="n">
        <v>2170000</v>
      </c>
      <c r="C2580" t="n">
        <v>265000</v>
      </c>
    </row>
    <row r="2581">
      <c r="A2581" s="78" t="n">
        <v>42532</v>
      </c>
      <c r="B2581" t="n">
        <v>2158000</v>
      </c>
      <c r="C2581" t="n">
        <v>273000</v>
      </c>
    </row>
    <row r="2582">
      <c r="A2582" s="78" t="n">
        <v>42539</v>
      </c>
      <c r="B2582" t="n">
        <v>2160000</v>
      </c>
      <c r="C2582" t="n">
        <v>261000</v>
      </c>
    </row>
    <row r="2583">
      <c r="A2583" s="78" t="n">
        <v>42546</v>
      </c>
      <c r="B2583" t="n">
        <v>2139000</v>
      </c>
      <c r="C2583" t="n">
        <v>262000</v>
      </c>
    </row>
    <row r="2584">
      <c r="A2584" s="78" t="n">
        <v>42553</v>
      </c>
      <c r="B2584" t="n">
        <v>2131000</v>
      </c>
      <c r="C2584" t="n">
        <v>255000</v>
      </c>
    </row>
    <row r="2585">
      <c r="A2585" s="78" t="n">
        <v>42560</v>
      </c>
      <c r="B2585" t="n">
        <v>2125000</v>
      </c>
      <c r="C2585" t="n">
        <v>252000</v>
      </c>
    </row>
    <row r="2586">
      <c r="A2586" s="78" t="n">
        <v>42567</v>
      </c>
      <c r="B2586" t="n">
        <v>2140000</v>
      </c>
      <c r="C2586" t="n">
        <v>260000</v>
      </c>
    </row>
    <row r="2587">
      <c r="A2587" s="78" t="n">
        <v>42574</v>
      </c>
      <c r="B2587" t="n">
        <v>2134000</v>
      </c>
      <c r="C2587" t="n">
        <v>264000</v>
      </c>
    </row>
    <row r="2588">
      <c r="A2588" s="78" t="n">
        <v>42581</v>
      </c>
      <c r="B2588" t="n">
        <v>2143000</v>
      </c>
      <c r="C2588" t="n">
        <v>266000</v>
      </c>
    </row>
    <row r="2589">
      <c r="A2589" s="78" t="n">
        <v>42588</v>
      </c>
      <c r="B2589" t="n">
        <v>2157000</v>
      </c>
      <c r="C2589" t="n">
        <v>265000</v>
      </c>
    </row>
    <row r="2590">
      <c r="A2590" s="78" t="n">
        <v>42595</v>
      </c>
      <c r="B2590" t="n">
        <v>2137000</v>
      </c>
      <c r="C2590" t="n">
        <v>264000</v>
      </c>
    </row>
    <row r="2591">
      <c r="A2591" s="78" t="n">
        <v>42602</v>
      </c>
      <c r="B2591" t="n">
        <v>2148000</v>
      </c>
      <c r="C2591" t="n">
        <v>264000</v>
      </c>
    </row>
    <row r="2592">
      <c r="A2592" s="78" t="n">
        <v>42609</v>
      </c>
      <c r="B2592" t="n">
        <v>2138000</v>
      </c>
      <c r="C2592" t="n">
        <v>261000</v>
      </c>
    </row>
    <row r="2593">
      <c r="A2593" s="78" t="n">
        <v>42616</v>
      </c>
      <c r="B2593" t="n">
        <v>2149000</v>
      </c>
      <c r="C2593" t="n">
        <v>257000</v>
      </c>
    </row>
    <row r="2594">
      <c r="A2594" s="78" t="n">
        <v>42623</v>
      </c>
      <c r="B2594" t="n">
        <v>2110000</v>
      </c>
      <c r="C2594" t="n">
        <v>252000</v>
      </c>
    </row>
    <row r="2595">
      <c r="A2595" s="78" t="n">
        <v>42630</v>
      </c>
      <c r="B2595" t="n">
        <v>2098000</v>
      </c>
      <c r="C2595" t="n">
        <v>250000</v>
      </c>
    </row>
    <row r="2596">
      <c r="A2596" s="78" t="n">
        <v>42637</v>
      </c>
      <c r="B2596" t="n">
        <v>2081000</v>
      </c>
      <c r="C2596" t="n">
        <v>247000</v>
      </c>
    </row>
    <row r="2597">
      <c r="A2597" s="78" t="n">
        <v>42644</v>
      </c>
      <c r="B2597" t="n">
        <v>2080000</v>
      </c>
      <c r="C2597" t="n">
        <v>245000</v>
      </c>
    </row>
    <row r="2598">
      <c r="A2598" s="78" t="n">
        <v>42651</v>
      </c>
      <c r="B2598" t="n">
        <v>2081000</v>
      </c>
      <c r="C2598" t="n">
        <v>250000</v>
      </c>
    </row>
    <row r="2599">
      <c r="A2599" s="78" t="n">
        <v>42658</v>
      </c>
      <c r="B2599" t="n">
        <v>2069000</v>
      </c>
      <c r="C2599" t="n">
        <v>263000</v>
      </c>
    </row>
    <row r="2600">
      <c r="A2600" s="78" t="n">
        <v>42665</v>
      </c>
      <c r="B2600" t="n">
        <v>2066000</v>
      </c>
      <c r="C2600" t="n">
        <v>256000</v>
      </c>
    </row>
    <row r="2601">
      <c r="A2601" s="78" t="n">
        <v>42672</v>
      </c>
      <c r="B2601" t="n">
        <v>2067000</v>
      </c>
      <c r="C2601" t="n">
        <v>265000</v>
      </c>
    </row>
    <row r="2602">
      <c r="A2602" s="78" t="n">
        <v>42679</v>
      </c>
      <c r="B2602" t="n">
        <v>2046000</v>
      </c>
      <c r="C2602" t="n">
        <v>250000</v>
      </c>
    </row>
    <row r="2603">
      <c r="A2603" s="78" t="n">
        <v>42686</v>
      </c>
      <c r="B2603" t="n">
        <v>2045000</v>
      </c>
      <c r="C2603" t="n">
        <v>232000</v>
      </c>
    </row>
    <row r="2604">
      <c r="A2604" s="78" t="n">
        <v>42693</v>
      </c>
      <c r="B2604" t="n">
        <v>2050000</v>
      </c>
      <c r="C2604" t="n">
        <v>246000</v>
      </c>
    </row>
    <row r="2605">
      <c r="A2605" s="78" t="n">
        <v>42700</v>
      </c>
      <c r="B2605" t="n">
        <v>2038000</v>
      </c>
      <c r="C2605" t="n">
        <v>255000</v>
      </c>
    </row>
    <row r="2606">
      <c r="A2606" s="78" t="n">
        <v>42707</v>
      </c>
      <c r="B2606" t="n">
        <v>2029000</v>
      </c>
      <c r="C2606" t="n">
        <v>248000</v>
      </c>
    </row>
    <row r="2607">
      <c r="A2607" s="78" t="n">
        <v>42714</v>
      </c>
      <c r="B2607" t="n">
        <v>2030000</v>
      </c>
      <c r="C2607" t="n">
        <v>252000</v>
      </c>
    </row>
    <row r="2608">
      <c r="A2608" s="78" t="n">
        <v>42721</v>
      </c>
      <c r="B2608" t="n">
        <v>2078000</v>
      </c>
      <c r="C2608" t="n">
        <v>260000</v>
      </c>
    </row>
    <row r="2609">
      <c r="A2609" s="78" t="n">
        <v>42728</v>
      </c>
      <c r="B2609" t="n">
        <v>2077000</v>
      </c>
      <c r="C2609" t="n">
        <v>257000</v>
      </c>
    </row>
    <row r="2610">
      <c r="A2610" s="78" t="n">
        <v>42735</v>
      </c>
      <c r="B2610" t="n">
        <v>2028000</v>
      </c>
      <c r="C2610" t="n">
        <v>244000</v>
      </c>
    </row>
    <row r="2611">
      <c r="A2611" s="78" t="n">
        <v>42742</v>
      </c>
      <c r="B2611" t="n">
        <v>2080000</v>
      </c>
      <c r="C2611" t="n">
        <v>245000</v>
      </c>
    </row>
    <row r="2612">
      <c r="A2612" s="78" t="n">
        <v>42749</v>
      </c>
      <c r="B2612" t="n">
        <v>2099000</v>
      </c>
      <c r="C2612" t="n">
        <v>240000</v>
      </c>
    </row>
    <row r="2613">
      <c r="A2613" s="78" t="n">
        <v>42756</v>
      </c>
      <c r="B2613" t="n">
        <v>2067000</v>
      </c>
      <c r="C2613" t="n">
        <v>250000</v>
      </c>
    </row>
    <row r="2614">
      <c r="A2614" s="78" t="n">
        <v>42763</v>
      </c>
      <c r="B2614" t="n">
        <v>2078000</v>
      </c>
      <c r="C2614" t="n">
        <v>241000</v>
      </c>
    </row>
    <row r="2615">
      <c r="A2615" s="78" t="n">
        <v>42770</v>
      </c>
      <c r="B2615" t="n">
        <v>2064000</v>
      </c>
      <c r="C2615" t="n">
        <v>230000</v>
      </c>
    </row>
    <row r="2616">
      <c r="A2616" s="78" t="n">
        <v>42777</v>
      </c>
      <c r="B2616" t="n">
        <v>2076000</v>
      </c>
      <c r="C2616" t="n">
        <v>233000</v>
      </c>
    </row>
    <row r="2617">
      <c r="A2617" s="78" t="n">
        <v>42784</v>
      </c>
      <c r="B2617" t="n">
        <v>2034000</v>
      </c>
      <c r="C2617" t="n">
        <v>237000</v>
      </c>
    </row>
    <row r="2618">
      <c r="A2618" s="78" t="n">
        <v>42791</v>
      </c>
      <c r="B2618" t="n">
        <v>2065000</v>
      </c>
      <c r="C2618" t="n">
        <v>221000</v>
      </c>
    </row>
    <row r="2619">
      <c r="A2619" s="78" t="n">
        <v>42798</v>
      </c>
      <c r="B2619" t="n">
        <v>2020000</v>
      </c>
      <c r="C2619" t="n">
        <v>236000</v>
      </c>
    </row>
    <row r="2620">
      <c r="A2620" s="78" t="n">
        <v>42805</v>
      </c>
      <c r="B2620" t="n">
        <v>2002000</v>
      </c>
      <c r="C2620" t="n">
        <v>228000</v>
      </c>
    </row>
    <row r="2621">
      <c r="A2621" s="78" t="n">
        <v>42812</v>
      </c>
      <c r="B2621" t="n">
        <v>2021000</v>
      </c>
      <c r="C2621" t="n">
        <v>235000</v>
      </c>
    </row>
    <row r="2622">
      <c r="A2622" s="78" t="n">
        <v>42819</v>
      </c>
      <c r="B2622" t="n">
        <v>2027000</v>
      </c>
      <c r="C2622" t="n">
        <v>236000</v>
      </c>
    </row>
    <row r="2623">
      <c r="A2623" s="78" t="n">
        <v>42826</v>
      </c>
      <c r="B2623" t="n">
        <v>1990000</v>
      </c>
      <c r="C2623" t="n">
        <v>216000</v>
      </c>
    </row>
    <row r="2624">
      <c r="A2624" s="78" t="n">
        <v>42833</v>
      </c>
      <c r="B2624" t="n">
        <v>1968000</v>
      </c>
      <c r="C2624" t="n">
        <v>222000</v>
      </c>
    </row>
    <row r="2625">
      <c r="A2625" s="78" t="n">
        <v>42840</v>
      </c>
      <c r="B2625" t="n">
        <v>1961000</v>
      </c>
      <c r="C2625" t="n">
        <v>231000</v>
      </c>
    </row>
    <row r="2626">
      <c r="A2626" s="78" t="n">
        <v>42847</v>
      </c>
      <c r="B2626" t="n">
        <v>1962000</v>
      </c>
      <c r="C2626" t="n">
        <v>238000</v>
      </c>
    </row>
    <row r="2627">
      <c r="A2627" s="78" t="n">
        <v>42854</v>
      </c>
      <c r="B2627" t="n">
        <v>1896000</v>
      </c>
      <c r="C2627" t="n">
        <v>232000</v>
      </c>
    </row>
    <row r="2628">
      <c r="A2628" s="78" t="n">
        <v>42861</v>
      </c>
      <c r="B2628" t="n">
        <v>1892000</v>
      </c>
      <c r="C2628" t="n">
        <v>233000</v>
      </c>
    </row>
    <row r="2629">
      <c r="A2629" s="78" t="n">
        <v>42868</v>
      </c>
      <c r="B2629" t="n">
        <v>1902000</v>
      </c>
      <c r="C2629" t="n">
        <v>234000</v>
      </c>
    </row>
    <row r="2630">
      <c r="A2630" s="78" t="n">
        <v>42875</v>
      </c>
      <c r="B2630" t="n">
        <v>1900000</v>
      </c>
      <c r="C2630" t="n">
        <v>236000</v>
      </c>
    </row>
    <row r="2631">
      <c r="A2631" s="78" t="n">
        <v>42882</v>
      </c>
      <c r="B2631" t="n">
        <v>1891000</v>
      </c>
      <c r="C2631" t="n">
        <v>253000</v>
      </c>
    </row>
    <row r="2632">
      <c r="A2632" s="78" t="n">
        <v>42889</v>
      </c>
      <c r="B2632" t="n">
        <v>1909000</v>
      </c>
      <c r="C2632" t="n">
        <v>251000</v>
      </c>
    </row>
    <row r="2633">
      <c r="A2633" s="78" t="n">
        <v>42896</v>
      </c>
      <c r="B2633" t="n">
        <v>1914000</v>
      </c>
      <c r="C2633" t="n">
        <v>245000</v>
      </c>
    </row>
    <row r="2634">
      <c r="A2634" s="78" t="n">
        <v>42903</v>
      </c>
      <c r="B2634" t="n">
        <v>1915000</v>
      </c>
      <c r="C2634" t="n">
        <v>249000</v>
      </c>
    </row>
    <row r="2635">
      <c r="A2635" s="78" t="n">
        <v>42910</v>
      </c>
      <c r="B2635" t="n">
        <v>1929000</v>
      </c>
      <c r="C2635" t="n">
        <v>247000</v>
      </c>
    </row>
    <row r="2636">
      <c r="A2636" s="78" t="n">
        <v>42917</v>
      </c>
      <c r="B2636" t="n">
        <v>1911000</v>
      </c>
      <c r="C2636" t="n">
        <v>256000</v>
      </c>
    </row>
    <row r="2637">
      <c r="A2637" s="78" t="n">
        <v>42924</v>
      </c>
      <c r="B2637" t="n">
        <v>1942000</v>
      </c>
      <c r="C2637" t="n">
        <v>259000</v>
      </c>
    </row>
    <row r="2638">
      <c r="A2638" s="78" t="n">
        <v>42931</v>
      </c>
      <c r="B2638" t="n">
        <v>1929000</v>
      </c>
      <c r="C2638" t="n">
        <v>245000</v>
      </c>
    </row>
    <row r="2639">
      <c r="A2639" s="78" t="n">
        <v>42938</v>
      </c>
      <c r="B2639" t="n">
        <v>1928000</v>
      </c>
      <c r="C2639" t="n">
        <v>249000</v>
      </c>
    </row>
    <row r="2640">
      <c r="A2640" s="78" t="n">
        <v>42945</v>
      </c>
      <c r="B2640" t="n">
        <v>1926000</v>
      </c>
      <c r="C2640" t="n">
        <v>245000</v>
      </c>
    </row>
    <row r="2641">
      <c r="A2641" s="78" t="n">
        <v>42952</v>
      </c>
      <c r="B2641" t="n">
        <v>1928000</v>
      </c>
      <c r="C2641" t="n">
        <v>254000</v>
      </c>
    </row>
    <row r="2642">
      <c r="A2642" s="78" t="n">
        <v>42959</v>
      </c>
      <c r="B2642" t="n">
        <v>1926000</v>
      </c>
      <c r="C2642" t="n">
        <v>245000</v>
      </c>
    </row>
    <row r="2643">
      <c r="A2643" s="78" t="n">
        <v>42966</v>
      </c>
      <c r="B2643" t="n">
        <v>1928000</v>
      </c>
      <c r="C2643" t="n">
        <v>245000</v>
      </c>
    </row>
    <row r="2644">
      <c r="A2644" s="78" t="n">
        <v>42973</v>
      </c>
      <c r="B2644" t="n">
        <v>1912000</v>
      </c>
      <c r="C2644" t="n">
        <v>247000</v>
      </c>
    </row>
    <row r="2645">
      <c r="A2645" s="78" t="n">
        <v>42980</v>
      </c>
      <c r="B2645" t="n">
        <v>1911000</v>
      </c>
      <c r="C2645" t="n">
        <v>297000</v>
      </c>
    </row>
    <row r="2646">
      <c r="A2646" s="78" t="n">
        <v>42987</v>
      </c>
      <c r="B2646" t="n">
        <v>1939000</v>
      </c>
      <c r="C2646" t="n">
        <v>280000</v>
      </c>
    </row>
    <row r="2647">
      <c r="A2647" s="78" t="n">
        <v>42994</v>
      </c>
      <c r="B2647" t="n">
        <v>1872000</v>
      </c>
      <c r="C2647" t="n">
        <v>261000</v>
      </c>
    </row>
    <row r="2648">
      <c r="A2648" s="78" t="n">
        <v>43001</v>
      </c>
      <c r="B2648" t="n">
        <v>1871000</v>
      </c>
      <c r="C2648" t="n">
        <v>264000</v>
      </c>
    </row>
    <row r="2649">
      <c r="A2649" s="78" t="n">
        <v>43008</v>
      </c>
      <c r="B2649" t="n">
        <v>1871000</v>
      </c>
      <c r="C2649" t="n">
        <v>260000</v>
      </c>
    </row>
    <row r="2650">
      <c r="A2650" s="78" t="n">
        <v>43015</v>
      </c>
      <c r="B2650" t="n">
        <v>1869000</v>
      </c>
      <c r="C2650" t="n">
        <v>252000</v>
      </c>
    </row>
    <row r="2651">
      <c r="A2651" s="78" t="n">
        <v>43022</v>
      </c>
      <c r="B2651" t="n">
        <v>1902000</v>
      </c>
      <c r="C2651" t="n">
        <v>235000</v>
      </c>
    </row>
    <row r="2652">
      <c r="A2652" s="78" t="n">
        <v>43029</v>
      </c>
      <c r="B2652" t="n">
        <v>1913000</v>
      </c>
      <c r="C2652" t="n">
        <v>241000</v>
      </c>
    </row>
    <row r="2653">
      <c r="A2653" s="78" t="n">
        <v>43036</v>
      </c>
      <c r="B2653" t="n">
        <v>1927000</v>
      </c>
      <c r="C2653" t="n">
        <v>241000</v>
      </c>
    </row>
    <row r="2654">
      <c r="A2654" s="78" t="n">
        <v>43043</v>
      </c>
      <c r="B2654" t="n">
        <v>1939000</v>
      </c>
      <c r="C2654" t="n">
        <v>248000</v>
      </c>
    </row>
    <row r="2655">
      <c r="A2655" s="78" t="n">
        <v>43050</v>
      </c>
      <c r="B2655" t="n">
        <v>1944000</v>
      </c>
      <c r="C2655" t="n">
        <v>254000</v>
      </c>
    </row>
    <row r="2656">
      <c r="A2656" s="78" t="n">
        <v>43057</v>
      </c>
      <c r="B2656" t="n">
        <v>1974000</v>
      </c>
      <c r="C2656" t="n">
        <v>246000</v>
      </c>
    </row>
    <row r="2657">
      <c r="A2657" s="78" t="n">
        <v>43064</v>
      </c>
      <c r="B2657" t="n">
        <v>1997000</v>
      </c>
      <c r="C2657" t="n">
        <v>243000</v>
      </c>
    </row>
    <row r="2658">
      <c r="A2658" s="78" t="n">
        <v>43071</v>
      </c>
      <c r="B2658" t="n">
        <v>1953000</v>
      </c>
      <c r="C2658" t="n">
        <v>241000</v>
      </c>
    </row>
    <row r="2659">
      <c r="A2659" s="78" t="n">
        <v>43078</v>
      </c>
      <c r="B2659" t="n">
        <v>1984000</v>
      </c>
      <c r="C2659" t="n">
        <v>229000</v>
      </c>
    </row>
    <row r="2660">
      <c r="A2660" s="78" t="n">
        <v>43085</v>
      </c>
      <c r="B2660" t="n">
        <v>2006000</v>
      </c>
      <c r="C2660" t="n">
        <v>244000</v>
      </c>
    </row>
    <row r="2661">
      <c r="A2661" s="78" t="n">
        <v>43092</v>
      </c>
      <c r="B2661" t="n">
        <v>1979000</v>
      </c>
      <c r="C2661" t="n">
        <v>251000</v>
      </c>
    </row>
    <row r="2662">
      <c r="A2662" s="78" t="n">
        <v>43099</v>
      </c>
      <c r="B2662" t="n">
        <v>1933000</v>
      </c>
      <c r="C2662" t="n">
        <v>248000</v>
      </c>
    </row>
    <row r="2663">
      <c r="A2663" s="78" t="n">
        <v>43106</v>
      </c>
      <c r="B2663" t="n">
        <v>1971000</v>
      </c>
      <c r="C2663" t="n">
        <v>252000</v>
      </c>
    </row>
    <row r="2664">
      <c r="A2664" s="78" t="n">
        <v>43113</v>
      </c>
      <c r="B2664" t="n">
        <v>1957000</v>
      </c>
      <c r="C2664" t="n">
        <v>224000</v>
      </c>
    </row>
    <row r="2665">
      <c r="A2665" s="78" t="n">
        <v>43120</v>
      </c>
      <c r="B2665" t="n">
        <v>1975000</v>
      </c>
      <c r="C2665" t="n">
        <v>227000</v>
      </c>
    </row>
    <row r="2666">
      <c r="A2666" s="78" t="n">
        <v>43127</v>
      </c>
      <c r="B2666" t="n">
        <v>1943000</v>
      </c>
      <c r="C2666" t="n">
        <v>223000</v>
      </c>
    </row>
    <row r="2667">
      <c r="A2667" s="78" t="n">
        <v>43134</v>
      </c>
      <c r="B2667" t="n">
        <v>1954000</v>
      </c>
      <c r="C2667" t="n">
        <v>213000</v>
      </c>
    </row>
    <row r="2668">
      <c r="A2668" s="78" t="n">
        <v>43141</v>
      </c>
      <c r="B2668" t="n">
        <v>1909000</v>
      </c>
      <c r="C2668" t="n">
        <v>213000</v>
      </c>
    </row>
    <row r="2669">
      <c r="A2669" s="78" t="n">
        <v>43148</v>
      </c>
      <c r="B2669" t="n">
        <v>1921000</v>
      </c>
      <c r="C2669" t="n">
        <v>206000</v>
      </c>
    </row>
    <row r="2670">
      <c r="A2670" s="78" t="n">
        <v>43155</v>
      </c>
      <c r="B2670" t="n">
        <v>1892000</v>
      </c>
      <c r="C2670" t="n">
        <v>202000</v>
      </c>
    </row>
    <row r="2671">
      <c r="A2671" s="78" t="n">
        <v>43162</v>
      </c>
      <c r="B2671" t="n">
        <v>1883000</v>
      </c>
      <c r="C2671" t="n">
        <v>212000</v>
      </c>
    </row>
    <row r="2672">
      <c r="A2672" s="78" t="n">
        <v>43169</v>
      </c>
      <c r="B2672" t="n">
        <v>1859000</v>
      </c>
      <c r="C2672" t="n">
        <v>204000</v>
      </c>
    </row>
    <row r="2673">
      <c r="A2673" s="78" t="n">
        <v>43176</v>
      </c>
      <c r="B2673" t="n">
        <v>1861000</v>
      </c>
      <c r="C2673" t="n">
        <v>198000</v>
      </c>
    </row>
    <row r="2674">
      <c r="A2674" s="78" t="n">
        <v>43183</v>
      </c>
      <c r="B2674" t="n">
        <v>1828000</v>
      </c>
      <c r="C2674" t="n">
        <v>197000</v>
      </c>
    </row>
    <row r="2675">
      <c r="A2675" s="78" t="n">
        <v>43190</v>
      </c>
      <c r="B2675" t="n">
        <v>1848000</v>
      </c>
      <c r="C2675" t="n">
        <v>205000</v>
      </c>
    </row>
    <row r="2676">
      <c r="A2676" s="78" t="n">
        <v>43197</v>
      </c>
      <c r="B2676" t="n">
        <v>1856000</v>
      </c>
      <c r="C2676" t="n">
        <v>210000</v>
      </c>
    </row>
    <row r="2677">
      <c r="A2677" s="78" t="n">
        <v>43204</v>
      </c>
      <c r="B2677" t="n">
        <v>1804000</v>
      </c>
      <c r="C2677" t="n">
        <v>218000</v>
      </c>
    </row>
    <row r="2678">
      <c r="A2678" s="78" t="n">
        <v>43211</v>
      </c>
      <c r="B2678" t="n">
        <v>1744000</v>
      </c>
      <c r="C2678" t="n">
        <v>191000</v>
      </c>
    </row>
    <row r="2679">
      <c r="A2679" s="78" t="n">
        <v>43218</v>
      </c>
      <c r="B2679" t="n">
        <v>1745000</v>
      </c>
      <c r="C2679" t="n">
        <v>200000</v>
      </c>
    </row>
    <row r="2680">
      <c r="A2680" s="78" t="n">
        <v>43225</v>
      </c>
      <c r="B2680" t="n">
        <v>1683000</v>
      </c>
      <c r="C2680" t="n">
        <v>204000</v>
      </c>
    </row>
    <row r="2681">
      <c r="A2681" s="78" t="n">
        <v>43232</v>
      </c>
      <c r="B2681" t="n">
        <v>1697000</v>
      </c>
      <c r="C2681" t="n">
        <v>220000</v>
      </c>
    </row>
    <row r="2682">
      <c r="A2682" s="78" t="n">
        <v>43239</v>
      </c>
      <c r="B2682" t="n">
        <v>1689000</v>
      </c>
      <c r="C2682" t="n">
        <v>231000</v>
      </c>
    </row>
    <row r="2683">
      <c r="A2683" s="78" t="n">
        <v>43246</v>
      </c>
      <c r="B2683" t="n">
        <v>1686000</v>
      </c>
      <c r="C2683" t="n">
        <v>224000</v>
      </c>
    </row>
    <row r="2684">
      <c r="A2684" s="78" t="n">
        <v>43253</v>
      </c>
      <c r="B2684" t="n">
        <v>1659000</v>
      </c>
      <c r="C2684" t="n">
        <v>229000</v>
      </c>
    </row>
    <row r="2685">
      <c r="A2685" s="78" t="n">
        <v>43260</v>
      </c>
      <c r="B2685" t="n">
        <v>1684000</v>
      </c>
      <c r="C2685" t="n">
        <v>230000</v>
      </c>
    </row>
    <row r="2686">
      <c r="A2686" s="78" t="n">
        <v>43267</v>
      </c>
      <c r="B2686" t="n">
        <v>1668000</v>
      </c>
      <c r="C2686" t="n">
        <v>228000</v>
      </c>
    </row>
    <row r="2687">
      <c r="A2687" s="78" t="n">
        <v>43274</v>
      </c>
      <c r="B2687" t="n">
        <v>1695000</v>
      </c>
      <c r="C2687" t="n">
        <v>233000</v>
      </c>
    </row>
    <row r="2688">
      <c r="A2688" s="78" t="n">
        <v>43281</v>
      </c>
      <c r="B2688" t="n">
        <v>1698000</v>
      </c>
      <c r="C2688" t="n">
        <v>241000</v>
      </c>
    </row>
    <row r="2689">
      <c r="A2689" s="78" t="n">
        <v>43288</v>
      </c>
      <c r="B2689" t="n">
        <v>1718000</v>
      </c>
      <c r="C2689" t="n">
        <v>232000</v>
      </c>
    </row>
    <row r="2690">
      <c r="A2690" s="78" t="n">
        <v>43295</v>
      </c>
      <c r="B2690" t="n">
        <v>1711000</v>
      </c>
      <c r="C2690" t="n">
        <v>219000</v>
      </c>
    </row>
    <row r="2691">
      <c r="A2691" s="78" t="n">
        <v>43302</v>
      </c>
      <c r="B2691" t="n">
        <v>1680000</v>
      </c>
      <c r="C2691" t="n">
        <v>224000</v>
      </c>
    </row>
    <row r="2692">
      <c r="A2692" s="78" t="n">
        <v>43309</v>
      </c>
      <c r="B2692" t="n">
        <v>1728000</v>
      </c>
      <c r="C2692" t="n">
        <v>222000</v>
      </c>
    </row>
    <row r="2693">
      <c r="A2693" s="78" t="n">
        <v>43316</v>
      </c>
      <c r="B2693" t="n">
        <v>1694000</v>
      </c>
      <c r="C2693" t="n">
        <v>228000</v>
      </c>
    </row>
    <row r="2694">
      <c r="A2694" s="78" t="n">
        <v>43323</v>
      </c>
      <c r="B2694" t="n">
        <v>1701000</v>
      </c>
      <c r="C2694" t="n">
        <v>224000</v>
      </c>
    </row>
    <row r="2695">
      <c r="A2695" s="78" t="n">
        <v>43330</v>
      </c>
      <c r="B2695" t="n">
        <v>1685000</v>
      </c>
      <c r="C2695" t="n">
        <v>221000</v>
      </c>
    </row>
    <row r="2696">
      <c r="A2696" s="78" t="n">
        <v>43337</v>
      </c>
      <c r="B2696" t="n">
        <v>1677000</v>
      </c>
      <c r="C2696" t="n">
        <v>225000</v>
      </c>
    </row>
    <row r="2697">
      <c r="A2697" s="78" t="n">
        <v>43344</v>
      </c>
      <c r="B2697" t="n">
        <v>1659000</v>
      </c>
      <c r="C2697" t="n">
        <v>211000</v>
      </c>
    </row>
    <row r="2698">
      <c r="A2698" s="78" t="n">
        <v>43351</v>
      </c>
      <c r="B2698" t="n">
        <v>1615000</v>
      </c>
      <c r="C2698" t="n">
        <v>217000</v>
      </c>
    </row>
    <row r="2699">
      <c r="A2699" s="78" t="n">
        <v>43358</v>
      </c>
      <c r="B2699" t="n">
        <v>1609000</v>
      </c>
      <c r="C2699" t="n">
        <v>214000</v>
      </c>
    </row>
    <row r="2700">
      <c r="A2700" s="78" t="n">
        <v>43365</v>
      </c>
      <c r="B2700" t="n">
        <v>1598000</v>
      </c>
      <c r="C2700" t="n">
        <v>214000</v>
      </c>
    </row>
    <row r="2701">
      <c r="A2701" s="78" t="n">
        <v>43372</v>
      </c>
      <c r="B2701" t="n">
        <v>1602000</v>
      </c>
      <c r="C2701" t="n">
        <v>221000</v>
      </c>
    </row>
    <row r="2702">
      <c r="A2702" s="78" t="n">
        <v>43379</v>
      </c>
      <c r="B2702" t="n">
        <v>1599000</v>
      </c>
      <c r="C2702" t="n">
        <v>221000</v>
      </c>
    </row>
    <row r="2703">
      <c r="A2703" s="78" t="n">
        <v>43386</v>
      </c>
      <c r="B2703" t="n">
        <v>1626000</v>
      </c>
      <c r="C2703" t="n">
        <v>218000</v>
      </c>
    </row>
    <row r="2704">
      <c r="A2704" s="78" t="n">
        <v>43393</v>
      </c>
      <c r="B2704" t="n">
        <v>1647000</v>
      </c>
      <c r="C2704" t="n">
        <v>226000</v>
      </c>
    </row>
    <row r="2705">
      <c r="A2705" s="78" t="n">
        <v>43400</v>
      </c>
      <c r="B2705" t="n">
        <v>1653000</v>
      </c>
      <c r="C2705" t="n">
        <v>225000</v>
      </c>
    </row>
    <row r="2706">
      <c r="A2706" s="78" t="n">
        <v>43407</v>
      </c>
      <c r="B2706" t="n">
        <v>1676000</v>
      </c>
      <c r="C2706" t="n">
        <v>227000</v>
      </c>
    </row>
    <row r="2707">
      <c r="A2707" s="78" t="n">
        <v>43414</v>
      </c>
      <c r="B2707" t="n">
        <v>1704000</v>
      </c>
      <c r="C2707" t="n">
        <v>228000</v>
      </c>
    </row>
    <row r="2708">
      <c r="A2708" s="78" t="n">
        <v>43421</v>
      </c>
      <c r="B2708" t="n">
        <v>1786000</v>
      </c>
      <c r="C2708" t="n">
        <v>234000</v>
      </c>
    </row>
    <row r="2709">
      <c r="A2709" s="78" t="n">
        <v>43428</v>
      </c>
      <c r="B2709" t="n">
        <v>1737000</v>
      </c>
      <c r="C2709" t="n">
        <v>244000</v>
      </c>
    </row>
    <row r="2710">
      <c r="A2710" s="78" t="n">
        <v>43435</v>
      </c>
      <c r="B2710" t="n">
        <v>1735000</v>
      </c>
      <c r="C2710" t="n">
        <v>240000</v>
      </c>
    </row>
    <row r="2711">
      <c r="A2711" s="78" t="n">
        <v>43442</v>
      </c>
      <c r="B2711" t="n">
        <v>1777000</v>
      </c>
      <c r="C2711" t="n">
        <v>209000</v>
      </c>
    </row>
    <row r="2712">
      <c r="A2712" s="78" t="n">
        <v>43449</v>
      </c>
      <c r="B2712" t="n">
        <v>1790000</v>
      </c>
      <c r="C2712" t="n">
        <v>219000</v>
      </c>
    </row>
    <row r="2713">
      <c r="A2713" s="78" t="n">
        <v>43456</v>
      </c>
      <c r="B2713" t="n">
        <v>1798000</v>
      </c>
      <c r="C2713" t="n">
        <v>230000</v>
      </c>
    </row>
    <row r="2714">
      <c r="A2714" s="78" t="n">
        <v>43463</v>
      </c>
      <c r="B2714" t="n">
        <v>1779000</v>
      </c>
      <c r="C2714" t="n">
        <v>237000</v>
      </c>
    </row>
    <row r="2715">
      <c r="A2715" s="78" t="n">
        <v>43470</v>
      </c>
      <c r="B2715" t="n">
        <v>1785000</v>
      </c>
      <c r="C2715" t="n">
        <v>222000</v>
      </c>
    </row>
    <row r="2716">
      <c r="A2716" s="78" t="n">
        <v>43477</v>
      </c>
      <c r="B2716" t="n">
        <v>1779000</v>
      </c>
      <c r="C2716" t="n">
        <v>211000</v>
      </c>
    </row>
    <row r="2717">
      <c r="A2717" s="78" t="n">
        <v>43484</v>
      </c>
      <c r="B2717" t="n">
        <v>1802000</v>
      </c>
      <c r="C2717" t="n">
        <v>205000</v>
      </c>
    </row>
    <row r="2718">
      <c r="A2718" s="78" t="n">
        <v>43491</v>
      </c>
      <c r="B2718" t="n">
        <v>1775000</v>
      </c>
      <c r="C2718" t="n">
        <v>227000</v>
      </c>
    </row>
    <row r="2719">
      <c r="A2719" s="78" t="n">
        <v>43498</v>
      </c>
      <c r="B2719" t="n">
        <v>1820000</v>
      </c>
      <c r="C2719" t="n">
        <v>220000</v>
      </c>
    </row>
    <row r="2720">
      <c r="A2720" s="78" t="n">
        <v>43505</v>
      </c>
      <c r="B2720" t="n">
        <v>1785000</v>
      </c>
      <c r="C2720" t="n">
        <v>213000</v>
      </c>
    </row>
    <row r="2721">
      <c r="A2721" s="78" t="n">
        <v>43512</v>
      </c>
      <c r="B2721" t="n">
        <v>1819000</v>
      </c>
      <c r="C2721" t="n">
        <v>199000</v>
      </c>
    </row>
    <row r="2722">
      <c r="A2722" s="78" t="n">
        <v>43519</v>
      </c>
      <c r="B2722" t="n">
        <v>1801000</v>
      </c>
      <c r="C2722" t="n">
        <v>204000</v>
      </c>
    </row>
    <row r="2723">
      <c r="A2723" s="78" t="n">
        <v>43526</v>
      </c>
      <c r="B2723" t="n">
        <v>1797000</v>
      </c>
      <c r="C2723" t="n">
        <v>200000</v>
      </c>
    </row>
    <row r="2724">
      <c r="A2724" s="78" t="n">
        <v>43533</v>
      </c>
      <c r="B2724" t="n">
        <v>1782000</v>
      </c>
      <c r="C2724" t="n">
        <v>201000</v>
      </c>
    </row>
    <row r="2725">
      <c r="A2725" s="78" t="n">
        <v>43540</v>
      </c>
      <c r="B2725" t="n">
        <v>1770000</v>
      </c>
      <c r="C2725" t="n">
        <v>182000</v>
      </c>
    </row>
    <row r="2726">
      <c r="A2726" s="78" t="n">
        <v>43547</v>
      </c>
      <c r="B2726" t="n">
        <v>1741000</v>
      </c>
      <c r="C2726" t="n">
        <v>184000</v>
      </c>
    </row>
    <row r="2727">
      <c r="A2727" s="78" t="n">
        <v>43554</v>
      </c>
      <c r="B2727" t="n">
        <v>1711000</v>
      </c>
      <c r="C2727" t="n">
        <v>173000</v>
      </c>
    </row>
    <row r="2728">
      <c r="A2728" s="78" t="n">
        <v>43561</v>
      </c>
      <c r="B2728" t="n">
        <v>1660000</v>
      </c>
      <c r="C2728" t="n">
        <v>173000</v>
      </c>
    </row>
    <row r="2729">
      <c r="A2729" s="78" t="n">
        <v>43568</v>
      </c>
      <c r="B2729" t="n">
        <v>1636000</v>
      </c>
      <c r="C2729" t="n">
        <v>183000</v>
      </c>
    </row>
    <row r="2730">
      <c r="A2730" s="78" t="n">
        <v>43575</v>
      </c>
      <c r="B2730" t="n">
        <v>1643000</v>
      </c>
      <c r="C2730" t="n">
        <v>200000</v>
      </c>
    </row>
    <row r="2731">
      <c r="A2731" s="78" t="n">
        <v>43582</v>
      </c>
      <c r="B2731" t="n">
        <v>1634000</v>
      </c>
      <c r="C2731" t="n">
        <v>210000</v>
      </c>
    </row>
    <row r="2732">
      <c r="A2732" s="78" t="n">
        <v>43589</v>
      </c>
      <c r="B2732" t="n">
        <v>1605000</v>
      </c>
      <c r="C2732" t="n">
        <v>214000</v>
      </c>
    </row>
    <row r="2733">
      <c r="A2733" s="78" t="n">
        <v>43596</v>
      </c>
      <c r="B2733" t="n">
        <v>1616000</v>
      </c>
      <c r="C2733" t="n">
        <v>210000</v>
      </c>
    </row>
    <row r="2734">
      <c r="A2734" s="78" t="n">
        <v>43603</v>
      </c>
      <c r="B2734" t="n">
        <v>1604000</v>
      </c>
      <c r="C2734" t="n">
        <v>213000</v>
      </c>
    </row>
    <row r="2735">
      <c r="A2735" s="78" t="n">
        <v>43610</v>
      </c>
      <c r="B2735" t="n">
        <v>1614000</v>
      </c>
      <c r="C2735" t="n">
        <v>222000</v>
      </c>
    </row>
    <row r="2736">
      <c r="A2736" s="78" t="n">
        <v>43617</v>
      </c>
      <c r="B2736" t="n">
        <v>1621000</v>
      </c>
      <c r="C2736" t="n">
        <v>229000</v>
      </c>
    </row>
    <row r="2737">
      <c r="A2737" s="78" t="n">
        <v>43624</v>
      </c>
      <c r="B2737" t="n">
        <v>1599000</v>
      </c>
      <c r="C2737" t="n">
        <v>237000</v>
      </c>
    </row>
    <row r="2738">
      <c r="A2738" s="78" t="n">
        <v>43631</v>
      </c>
      <c r="B2738" t="n">
        <v>1627000</v>
      </c>
      <c r="C2738" t="n">
        <v>231000</v>
      </c>
    </row>
    <row r="2739">
      <c r="A2739" s="78" t="n">
        <v>43638</v>
      </c>
      <c r="B2739" t="n">
        <v>1626000</v>
      </c>
      <c r="C2739" t="n">
        <v>242000</v>
      </c>
    </row>
    <row r="2740">
      <c r="A2740" s="78" t="n">
        <v>43645</v>
      </c>
      <c r="B2740" t="n">
        <v>1666000</v>
      </c>
      <c r="C2740" t="n">
        <v>240000</v>
      </c>
    </row>
    <row r="2741">
      <c r="A2741" s="78" t="n">
        <v>43652</v>
      </c>
      <c r="B2741" t="n">
        <v>1642000</v>
      </c>
      <c r="C2741" t="n">
        <v>230000</v>
      </c>
    </row>
    <row r="2742">
      <c r="A2742" s="78" t="n">
        <v>43659</v>
      </c>
      <c r="B2742" t="n">
        <v>1639000</v>
      </c>
      <c r="C2742" t="n">
        <v>231000</v>
      </c>
    </row>
    <row r="2743">
      <c r="A2743" s="78" t="n">
        <v>43666</v>
      </c>
      <c r="B2743" t="n">
        <v>1626000</v>
      </c>
      <c r="C2743" t="n">
        <v>216000</v>
      </c>
    </row>
    <row r="2744">
      <c r="A2744" s="78" t="n">
        <v>43673</v>
      </c>
      <c r="B2744" t="n">
        <v>1659000</v>
      </c>
      <c r="C2744" t="n">
        <v>220000</v>
      </c>
    </row>
    <row r="2745">
      <c r="A2745" s="78" t="n">
        <v>43680</v>
      </c>
      <c r="B2745" t="n">
        <v>1674000</v>
      </c>
      <c r="C2745" t="n">
        <v>227000</v>
      </c>
    </row>
    <row r="2746">
      <c r="A2746" s="78" t="n">
        <v>43687</v>
      </c>
      <c r="B2746" t="n">
        <v>1647000</v>
      </c>
      <c r="C2746" t="n">
        <v>236000</v>
      </c>
    </row>
    <row r="2747">
      <c r="A2747" s="78" t="n">
        <v>43694</v>
      </c>
      <c r="B2747" t="n">
        <v>1654000</v>
      </c>
      <c r="C2747" t="n">
        <v>222000</v>
      </c>
    </row>
    <row r="2748">
      <c r="A2748" s="78" t="n">
        <v>43701</v>
      </c>
      <c r="B2748" t="n">
        <v>1634000</v>
      </c>
      <c r="C2748" t="n">
        <v>231000</v>
      </c>
    </row>
    <row r="2749">
      <c r="A2749" s="78" t="n">
        <v>43708</v>
      </c>
      <c r="B2749" t="n">
        <v>1610000</v>
      </c>
      <c r="C2749" t="n">
        <v>224000</v>
      </c>
    </row>
    <row r="2750">
      <c r="A2750" s="78" t="n">
        <v>43715</v>
      </c>
      <c r="B2750" t="n">
        <v>1605000</v>
      </c>
      <c r="C2750" t="n">
        <v>217000</v>
      </c>
    </row>
    <row r="2751">
      <c r="A2751" s="78" t="n">
        <v>43722</v>
      </c>
      <c r="B2751" t="n">
        <v>1566000</v>
      </c>
      <c r="C2751" t="n">
        <v>215000</v>
      </c>
    </row>
    <row r="2752">
      <c r="A2752" s="78" t="n">
        <v>43729</v>
      </c>
      <c r="B2752" t="n">
        <v>1561000</v>
      </c>
      <c r="C2752" t="n">
        <v>218000</v>
      </c>
    </row>
    <row r="2753">
      <c r="A2753" s="78" t="n">
        <v>43736</v>
      </c>
      <c r="B2753" t="n">
        <v>1606000</v>
      </c>
      <c r="C2753" t="n">
        <v>224000</v>
      </c>
    </row>
    <row r="2754">
      <c r="A2754" s="78" t="n">
        <v>43743</v>
      </c>
      <c r="B2754" t="n">
        <v>1597000</v>
      </c>
      <c r="C2754" t="n">
        <v>224000</v>
      </c>
    </row>
    <row r="2755">
      <c r="A2755" s="78" t="n">
        <v>43750</v>
      </c>
      <c r="B2755" t="n">
        <v>1639000</v>
      </c>
      <c r="C2755" t="n">
        <v>226000</v>
      </c>
    </row>
    <row r="2756">
      <c r="A2756" s="78" t="n">
        <v>43757</v>
      </c>
      <c r="B2756" t="n">
        <v>1684000</v>
      </c>
      <c r="C2756" t="n">
        <v>222000</v>
      </c>
    </row>
    <row r="2757">
      <c r="A2757" s="78" t="n">
        <v>43764</v>
      </c>
      <c r="B2757" t="n">
        <v>1699000</v>
      </c>
      <c r="C2757" t="n">
        <v>230000</v>
      </c>
    </row>
    <row r="2758">
      <c r="A2758" s="78" t="n">
        <v>43771</v>
      </c>
      <c r="B2758" t="n">
        <v>1702000</v>
      </c>
      <c r="C2758" t="n">
        <v>224000</v>
      </c>
    </row>
    <row r="2759">
      <c r="A2759" s="78" t="n">
        <v>43778</v>
      </c>
      <c r="B2759" t="n">
        <v>1741000</v>
      </c>
      <c r="C2759" t="n">
        <v>239000</v>
      </c>
    </row>
    <row r="2760">
      <c r="A2760" s="78" t="n">
        <v>43785</v>
      </c>
      <c r="B2760" t="n">
        <v>1746000</v>
      </c>
      <c r="C2760" t="n">
        <v>240000</v>
      </c>
    </row>
    <row r="2761">
      <c r="A2761" s="78" t="n">
        <v>43792</v>
      </c>
      <c r="B2761" t="n">
        <v>1802000</v>
      </c>
      <c r="C2761" t="n">
        <v>224000</v>
      </c>
    </row>
    <row r="2762">
      <c r="A2762" s="78" t="n">
        <v>43799</v>
      </c>
      <c r="B2762" t="n">
        <v>1800000</v>
      </c>
      <c r="C2762" t="n">
        <v>221000</v>
      </c>
    </row>
    <row r="2763">
      <c r="A2763" s="78" t="n">
        <v>43806</v>
      </c>
      <c r="B2763" t="n">
        <v>1831000</v>
      </c>
      <c r="C2763" t="n">
        <v>251000</v>
      </c>
    </row>
    <row r="2764">
      <c r="A2764" s="78" t="n">
        <v>43813</v>
      </c>
      <c r="B2764" t="n">
        <v>1841000</v>
      </c>
      <c r="C2764" t="n">
        <v>233000</v>
      </c>
    </row>
    <row r="2765">
      <c r="A2765" s="78" t="n">
        <v>43820</v>
      </c>
      <c r="B2765" t="n">
        <v>1841000</v>
      </c>
      <c r="C2765" t="n">
        <v>233000</v>
      </c>
    </row>
    <row r="2766">
      <c r="A2766" s="78" t="n">
        <v>43827</v>
      </c>
      <c r="B2766" t="n">
        <v>1891000</v>
      </c>
      <c r="C2766" t="n">
        <v>235000</v>
      </c>
    </row>
    <row r="2767">
      <c r="A2767" s="78" t="n">
        <v>43834</v>
      </c>
      <c r="B2767" t="n">
        <v>1876000</v>
      </c>
      <c r="C2767" t="n">
        <v>217000</v>
      </c>
    </row>
    <row r="2768">
      <c r="A2768" s="78" t="n">
        <v>43841</v>
      </c>
      <c r="B2768" t="n">
        <v>1835000</v>
      </c>
      <c r="C2768" t="n">
        <v>203000</v>
      </c>
    </row>
    <row r="2769">
      <c r="A2769" s="78" t="n">
        <v>43848</v>
      </c>
      <c r="B2769" t="n">
        <v>1797000</v>
      </c>
      <c r="C2769" t="n">
        <v>211000</v>
      </c>
    </row>
    <row r="2770">
      <c r="A2770" s="78" t="n">
        <v>43855</v>
      </c>
      <c r="B2770" t="n">
        <v>1839000</v>
      </c>
      <c r="C2770" t="n">
        <v>200000</v>
      </c>
    </row>
    <row r="2771">
      <c r="A2771" s="78" t="n">
        <v>43862</v>
      </c>
      <c r="B2771" t="n">
        <v>1799000</v>
      </c>
      <c r="C2771" t="n">
        <v>191000</v>
      </c>
    </row>
    <row r="2772">
      <c r="A2772" s="78" t="n">
        <v>43869</v>
      </c>
      <c r="B2772" t="n">
        <v>1822000</v>
      </c>
      <c r="C2772" t="n">
        <v>186000</v>
      </c>
    </row>
    <row r="2773">
      <c r="A2773" s="78" t="n">
        <v>43876</v>
      </c>
      <c r="B2773" t="n">
        <v>1787000</v>
      </c>
      <c r="C2773" t="n">
        <v>190000</v>
      </c>
    </row>
    <row r="2774">
      <c r="A2774" s="78" t="n">
        <v>43883</v>
      </c>
      <c r="B2774" t="n">
        <v>1801000</v>
      </c>
      <c r="C2774" t="n">
        <v>196000</v>
      </c>
    </row>
    <row r="2775">
      <c r="A2775" s="78" t="n">
        <v>43890</v>
      </c>
      <c r="B2775" t="n">
        <v>1780000</v>
      </c>
      <c r="C2775" t="n">
        <v>190000</v>
      </c>
    </row>
    <row r="2776">
      <c r="A2776" s="78" t="n">
        <v>43897</v>
      </c>
      <c r="B2776" t="n">
        <v>1763000</v>
      </c>
      <c r="C2776" t="n">
        <v>186000</v>
      </c>
    </row>
    <row r="2777">
      <c r="A2777" s="78" t="n">
        <v>43904</v>
      </c>
      <c r="B2777" t="n">
        <v>1834000</v>
      </c>
      <c r="C2777" t="n">
        <v>221000</v>
      </c>
    </row>
    <row r="2778">
      <c r="A2778" s="78" t="n">
        <v>43911</v>
      </c>
      <c r="B2778" t="n">
        <v>3238000</v>
      </c>
      <c r="C2778" t="n">
        <v>2914000</v>
      </c>
    </row>
    <row r="2779">
      <c r="A2779" s="78" t="n">
        <v>43918</v>
      </c>
      <c r="B2779" t="n">
        <v>8004000</v>
      </c>
      <c r="C2779" t="n">
        <v>5946000</v>
      </c>
    </row>
    <row r="2780">
      <c r="A2780" s="78" t="n">
        <v>43925</v>
      </c>
      <c r="B2780" t="n">
        <v>12396000</v>
      </c>
      <c r="C2780" t="n">
        <v>6137000</v>
      </c>
    </row>
    <row r="2781">
      <c r="A2781" s="78" t="n">
        <v>43932</v>
      </c>
      <c r="B2781" t="n">
        <v>16193000</v>
      </c>
      <c r="C2781" t="n">
        <v>4869000</v>
      </c>
    </row>
    <row r="2782">
      <c r="A2782" s="78" t="n">
        <v>43939</v>
      </c>
      <c r="B2782" t="n">
        <v>17789000</v>
      </c>
      <c r="C2782" t="n">
        <v>4201000</v>
      </c>
    </row>
    <row r="2783">
      <c r="A2783" s="78" t="n">
        <v>43946</v>
      </c>
      <c r="B2783" t="n">
        <v>21750000</v>
      </c>
      <c r="C2783" t="n">
        <v>3446000</v>
      </c>
    </row>
    <row r="2784">
      <c r="A2784" s="78" t="n">
        <v>43953</v>
      </c>
      <c r="B2784" t="n">
        <v>20939000</v>
      </c>
      <c r="C2784" t="n">
        <v>2796000</v>
      </c>
    </row>
    <row r="2785">
      <c r="A2785" s="78" t="n">
        <v>43960</v>
      </c>
      <c r="B2785" t="n">
        <v>23130000</v>
      </c>
      <c r="C2785" t="n">
        <v>2335000</v>
      </c>
    </row>
    <row r="2786">
      <c r="A2786" s="78" t="n">
        <v>43967</v>
      </c>
      <c r="B2786" t="n">
        <v>19153000</v>
      </c>
      <c r="C2786" t="n">
        <v>2176000</v>
      </c>
    </row>
    <row r="2787">
      <c r="A2787" s="78" t="n">
        <v>43974</v>
      </c>
      <c r="B2787" t="n">
        <v>19194000</v>
      </c>
      <c r="C2787" t="n">
        <v>1921000</v>
      </c>
    </row>
    <row r="2788">
      <c r="A2788" s="78" t="n">
        <v>43981</v>
      </c>
      <c r="B2788" t="n">
        <v>19216000</v>
      </c>
      <c r="C2788" t="n">
        <v>1639000</v>
      </c>
    </row>
    <row r="2789">
      <c r="A2789" s="78" t="n">
        <v>43988</v>
      </c>
      <c r="B2789" t="n">
        <v>18743000</v>
      </c>
      <c r="C2789" t="n">
        <v>1575000</v>
      </c>
    </row>
    <row r="2790">
      <c r="A2790" s="78" t="n">
        <v>43995</v>
      </c>
      <c r="B2790" t="n">
        <v>17860000</v>
      </c>
      <c r="C2790" t="n">
        <v>1473000</v>
      </c>
    </row>
    <row r="2791">
      <c r="A2791" s="78" t="n">
        <v>44002</v>
      </c>
      <c r="B2791" t="n">
        <v>17501000</v>
      </c>
      <c r="C2791" t="n">
        <v>1467000</v>
      </c>
    </row>
    <row r="2792">
      <c r="A2792" s="78" t="n">
        <v>44009</v>
      </c>
      <c r="B2792" t="n">
        <v>16610000</v>
      </c>
      <c r="C2792" t="n">
        <v>1446000</v>
      </c>
    </row>
    <row r="2793">
      <c r="A2793" s="78" t="n">
        <v>44016</v>
      </c>
      <c r="B2793" t="n">
        <v>17273000</v>
      </c>
      <c r="C2793" t="n">
        <v>1413000</v>
      </c>
    </row>
    <row r="2794">
      <c r="A2794" s="78" t="n">
        <v>44023</v>
      </c>
      <c r="B2794" t="n">
        <v>16251000</v>
      </c>
      <c r="C2794" t="n">
        <v>1468000</v>
      </c>
    </row>
    <row r="2795">
      <c r="A2795" s="78" t="n">
        <v>44030</v>
      </c>
      <c r="B2795" t="n">
        <v>16799000</v>
      </c>
      <c r="C2795" t="n">
        <v>1393000</v>
      </c>
    </row>
    <row r="2796">
      <c r="A2796" s="78" t="n">
        <v>44037</v>
      </c>
      <c r="B2796" t="n">
        <v>15929000</v>
      </c>
      <c r="C2796" t="n">
        <v>1260000</v>
      </c>
    </row>
    <row r="2797">
      <c r="A2797" s="78" t="n">
        <v>44044</v>
      </c>
      <c r="B2797" t="n">
        <v>15255000</v>
      </c>
      <c r="C2797" t="n">
        <v>1044000</v>
      </c>
    </row>
    <row r="2798">
      <c r="A2798" s="78" t="n">
        <v>44051</v>
      </c>
      <c r="B2798" t="n">
        <v>14184000</v>
      </c>
      <c r="C2798" t="n">
        <v>884000</v>
      </c>
    </row>
    <row r="2799">
      <c r="A2799" s="78" t="n">
        <v>44058</v>
      </c>
      <c r="B2799" t="n">
        <v>13910000</v>
      </c>
      <c r="C2799" t="n">
        <v>927000</v>
      </c>
    </row>
    <row r="2800">
      <c r="A2800" s="78" t="n">
        <v>44065</v>
      </c>
      <c r="B2800" t="n">
        <v>13217000</v>
      </c>
      <c r="C2800" t="n">
        <v>876000</v>
      </c>
    </row>
    <row r="2801">
      <c r="A2801" s="78" t="n">
        <v>44072</v>
      </c>
      <c r="B2801" t="n">
        <v>13501000</v>
      </c>
      <c r="C2801" t="n">
        <v>881000</v>
      </c>
    </row>
    <row r="2802">
      <c r="A2802" s="78" t="n">
        <v>44079</v>
      </c>
      <c r="B2802" t="n">
        <v>12765000</v>
      </c>
      <c r="C2802" t="n">
        <v>892000</v>
      </c>
    </row>
    <row r="2803">
      <c r="A2803" s="78" t="n">
        <v>44086</v>
      </c>
      <c r="B2803" t="n">
        <v>12684000</v>
      </c>
      <c r="C2803" t="n">
        <v>861000</v>
      </c>
    </row>
    <row r="2804">
      <c r="A2804" s="78" t="n">
        <v>44093</v>
      </c>
      <c r="B2804" t="n">
        <v>11367000</v>
      </c>
      <c r="C2804" t="n">
        <v>859000</v>
      </c>
    </row>
    <row r="2805">
      <c r="A2805" s="78" t="n">
        <v>44100</v>
      </c>
      <c r="B2805" t="n">
        <v>10481000</v>
      </c>
      <c r="C2805" t="n">
        <v>795000</v>
      </c>
    </row>
    <row r="2806">
      <c r="A2806" s="78" t="n">
        <v>44107</v>
      </c>
      <c r="B2806" t="n">
        <v>9270000</v>
      </c>
      <c r="C2806" t="n">
        <v>785000</v>
      </c>
    </row>
    <row r="2807">
      <c r="A2807" s="78" t="n">
        <v>44114</v>
      </c>
      <c r="B2807" t="n">
        <v>8425000</v>
      </c>
      <c r="C2807" t="n">
        <v>839000</v>
      </c>
    </row>
    <row r="2808">
      <c r="A2808" s="78" t="n">
        <v>44121</v>
      </c>
      <c r="B2808" t="n">
        <v>7777000</v>
      </c>
      <c r="C2808" t="n">
        <v>804000</v>
      </c>
    </row>
    <row r="2809">
      <c r="A2809" s="78" t="n">
        <v>44128</v>
      </c>
      <c r="B2809" t="n">
        <v>7180000</v>
      </c>
      <c r="C2809" t="n">
        <v>776000</v>
      </c>
    </row>
    <row r="2810">
      <c r="A2810" s="78" t="n">
        <v>44135</v>
      </c>
      <c r="B2810" t="n">
        <v>6705000</v>
      </c>
      <c r="C2810" t="n">
        <v>773000</v>
      </c>
    </row>
    <row r="2811">
      <c r="A2811" s="78" t="n">
        <v>44142</v>
      </c>
      <c r="B2811" t="n">
        <v>6341000</v>
      </c>
      <c r="C2811" t="n">
        <v>737000</v>
      </c>
    </row>
    <row r="2812">
      <c r="A2812" s="78" t="n">
        <v>44149</v>
      </c>
      <c r="B2812" t="n">
        <v>6088000</v>
      </c>
      <c r="C2812" t="n">
        <v>738000</v>
      </c>
    </row>
    <row r="2813">
      <c r="A2813" s="78" t="n">
        <v>44156</v>
      </c>
      <c r="B2813" t="n">
        <v>5580000</v>
      </c>
      <c r="C2813" t="n">
        <v>793000</v>
      </c>
    </row>
    <row r="2814">
      <c r="A2814" s="78" t="n">
        <v>44163</v>
      </c>
      <c r="B2814" t="n">
        <v>5784000</v>
      </c>
      <c r="C2814" t="n">
        <v>737000</v>
      </c>
    </row>
    <row r="2815">
      <c r="A2815" s="78" t="n">
        <v>44170</v>
      </c>
      <c r="B2815" t="n">
        <v>5609000</v>
      </c>
      <c r="C2815" t="n">
        <v>873000</v>
      </c>
    </row>
    <row r="2816">
      <c r="A2816" s="78" t="n">
        <v>44177</v>
      </c>
      <c r="B2816" t="n">
        <v>5416000</v>
      </c>
      <c r="C2816" t="n">
        <v>886000</v>
      </c>
    </row>
    <row r="2817">
      <c r="A2817" s="78" t="n">
        <v>44184</v>
      </c>
      <c r="B2817" t="n">
        <v>5332000</v>
      </c>
      <c r="C2817" t="n">
        <v>815000</v>
      </c>
    </row>
    <row r="2818">
      <c r="A2818" s="78" t="n">
        <v>44191</v>
      </c>
      <c r="B2818" t="n">
        <v>5181000</v>
      </c>
      <c r="C2818" t="n">
        <v>773000</v>
      </c>
    </row>
    <row r="2819">
      <c r="A2819" s="78" t="n">
        <v>44198</v>
      </c>
      <c r="B2819" t="n">
        <v>5330000</v>
      </c>
      <c r="C2819" t="n">
        <v>803000</v>
      </c>
    </row>
    <row r="2820">
      <c r="A2820" s="78" t="n">
        <v>44205</v>
      </c>
      <c r="B2820" t="n">
        <v>5069000</v>
      </c>
      <c r="C2820" t="n">
        <v>890000</v>
      </c>
    </row>
    <row r="2821">
      <c r="A2821" s="78" t="n">
        <v>44212</v>
      </c>
      <c r="B2821" t="n">
        <v>4877000</v>
      </c>
      <c r="C2821" t="n">
        <v>844000</v>
      </c>
    </row>
    <row r="2822">
      <c r="A2822" s="78" t="n">
        <v>44219</v>
      </c>
      <c r="B2822" t="n">
        <v>4789000</v>
      </c>
      <c r="C2822" t="n">
        <v>799000</v>
      </c>
    </row>
    <row r="2823">
      <c r="A2823" s="78" t="n">
        <v>44226</v>
      </c>
      <c r="B2823" t="n">
        <v>4658000</v>
      </c>
      <c r="C2823" t="n">
        <v>803000</v>
      </c>
    </row>
    <row r="2824">
      <c r="A2824" s="78" t="n">
        <v>44233</v>
      </c>
      <c r="B2824" t="n">
        <v>4599000</v>
      </c>
      <c r="C2824" t="n">
        <v>812000</v>
      </c>
    </row>
    <row r="2825">
      <c r="A2825" s="78" t="n">
        <v>44240</v>
      </c>
      <c r="B2825" t="n">
        <v>4495000</v>
      </c>
      <c r="C2825" t="n">
        <v>802000</v>
      </c>
    </row>
    <row r="2826">
      <c r="A2826" s="78" t="n">
        <v>44247</v>
      </c>
      <c r="B2826" t="n">
        <v>4406000</v>
      </c>
      <c r="C2826" t="n">
        <v>702000</v>
      </c>
    </row>
    <row r="2827">
      <c r="A2827" s="78" t="n">
        <v>44254</v>
      </c>
      <c r="B2827" t="n">
        <v>4227000</v>
      </c>
      <c r="C2827" t="n">
        <v>704000</v>
      </c>
    </row>
    <row r="2828">
      <c r="A2828" s="78" t="n">
        <v>44261</v>
      </c>
      <c r="B2828" t="n">
        <v>4185000</v>
      </c>
      <c r="C2828" t="n">
        <v>693000</v>
      </c>
    </row>
    <row r="2829">
      <c r="A2829" s="78" t="n">
        <v>44268</v>
      </c>
      <c r="B2829" t="n">
        <v>3970000</v>
      </c>
      <c r="C2829" t="n">
        <v>699000</v>
      </c>
    </row>
    <row r="2830">
      <c r="A2830" s="78" t="n">
        <v>44275</v>
      </c>
      <c r="B2830" t="n">
        <v>3887000</v>
      </c>
      <c r="C2830" t="n">
        <v>627000</v>
      </c>
    </row>
    <row r="2831">
      <c r="A2831" s="78" t="n">
        <v>44282</v>
      </c>
      <c r="B2831" t="n">
        <v>3859000</v>
      </c>
      <c r="C2831" t="n">
        <v>658000</v>
      </c>
    </row>
    <row r="2832">
      <c r="A2832" s="78" t="n">
        <v>44289</v>
      </c>
      <c r="B2832" t="n">
        <v>3830000</v>
      </c>
      <c r="C2832" t="n">
        <v>645000</v>
      </c>
    </row>
    <row r="2833">
      <c r="A2833" s="78" t="n">
        <v>44296</v>
      </c>
      <c r="B2833" t="n">
        <v>3779000</v>
      </c>
      <c r="C2833" t="n">
        <v>571000</v>
      </c>
    </row>
    <row r="2834">
      <c r="A2834" s="78" t="n">
        <v>44303</v>
      </c>
      <c r="B2834" t="n">
        <v>3776000</v>
      </c>
      <c r="C2834" t="n">
        <v>566000</v>
      </c>
    </row>
    <row r="2835">
      <c r="A2835" s="78" t="n">
        <v>44310</v>
      </c>
      <c r="B2835" t="n">
        <v>3767000</v>
      </c>
      <c r="C2835" t="n">
        <v>574000</v>
      </c>
    </row>
    <row r="2836">
      <c r="A2836" s="78" t="n">
        <v>44317</v>
      </c>
      <c r="B2836" t="n">
        <v>3756000</v>
      </c>
      <c r="C2836" t="n">
        <v>517000</v>
      </c>
    </row>
    <row r="2837">
      <c r="A2837" s="78" t="n">
        <v>44324</v>
      </c>
      <c r="B2837" t="n">
        <v>3737000</v>
      </c>
      <c r="C2837" t="n">
        <v>494000</v>
      </c>
    </row>
    <row r="2838">
      <c r="A2838" s="78" t="n">
        <v>44331</v>
      </c>
      <c r="B2838" t="n">
        <v>3618000</v>
      </c>
      <c r="C2838" t="n">
        <v>467000</v>
      </c>
    </row>
    <row r="2839">
      <c r="A2839" s="78" t="n">
        <v>44338</v>
      </c>
      <c r="B2839" t="n">
        <v>3575000</v>
      </c>
      <c r="C2839" t="n">
        <v>441000</v>
      </c>
    </row>
    <row r="2840">
      <c r="A2840" s="78" t="n">
        <v>44345</v>
      </c>
      <c r="B2840" t="n">
        <v>3422000</v>
      </c>
      <c r="C2840" t="n">
        <v>427000</v>
      </c>
    </row>
    <row r="2841">
      <c r="A2841" s="78" t="n">
        <v>44352</v>
      </c>
      <c r="B2841" t="n">
        <v>3352000</v>
      </c>
      <c r="C2841" t="n">
        <v>420000</v>
      </c>
    </row>
    <row r="2842">
      <c r="A2842" s="78" t="n">
        <v>44359</v>
      </c>
      <c r="B2842" t="n">
        <v>3271000</v>
      </c>
      <c r="C2842" t="n">
        <v>429000</v>
      </c>
    </row>
    <row r="2843">
      <c r="A2843" s="78" t="n">
        <v>44366</v>
      </c>
      <c r="B2843" t="n">
        <v>3266000</v>
      </c>
      <c r="C2843" t="n">
        <v>424000</v>
      </c>
    </row>
    <row r="2844">
      <c r="A2844" s="78" t="n">
        <v>44373</v>
      </c>
      <c r="B2844" t="n">
        <v>3230000</v>
      </c>
      <c r="C2844" t="n">
        <v>405000</v>
      </c>
    </row>
    <row r="2845">
      <c r="A2845" s="78" t="n">
        <v>44380</v>
      </c>
      <c r="B2845" t="n">
        <v>3116000</v>
      </c>
      <c r="C2845" t="n">
        <v>403000</v>
      </c>
    </row>
    <row r="2846">
      <c r="A2846" s="78" t="n">
        <v>44387</v>
      </c>
      <c r="B2846" t="n">
        <v>3116000</v>
      </c>
      <c r="C2846" t="n">
        <v>391000</v>
      </c>
    </row>
    <row r="2847">
      <c r="A2847" s="78" t="n">
        <v>44394</v>
      </c>
      <c r="B2847" t="n">
        <v>3082000</v>
      </c>
      <c r="C2847" t="n">
        <v>424000</v>
      </c>
    </row>
    <row r="2848">
      <c r="A2848" s="78" t="n">
        <v>44401</v>
      </c>
      <c r="B2848" t="n">
        <v>2881000</v>
      </c>
      <c r="C2848" t="n">
        <v>411000</v>
      </c>
    </row>
    <row r="2849">
      <c r="A2849" s="78" t="n">
        <v>44408</v>
      </c>
      <c r="B2849" t="n">
        <v>2794000</v>
      </c>
      <c r="C2849" t="n">
        <v>414000</v>
      </c>
    </row>
    <row r="2850">
      <c r="A2850" s="78" t="n">
        <v>44415</v>
      </c>
      <c r="B2850" t="n">
        <v>2839000</v>
      </c>
      <c r="C2850" t="n">
        <v>416000</v>
      </c>
    </row>
    <row r="2851">
      <c r="A2851" s="78" t="n">
        <v>44422</v>
      </c>
      <c r="B2851" t="n">
        <v>2804000</v>
      </c>
      <c r="C2851" t="n">
        <v>405000</v>
      </c>
    </row>
    <row r="2852">
      <c r="A2852" s="78" t="n">
        <v>44429</v>
      </c>
      <c r="B2852" t="n">
        <v>2772000</v>
      </c>
      <c r="C2852" t="n">
        <v>395000</v>
      </c>
    </row>
    <row r="2853">
      <c r="A2853" s="78" t="n">
        <v>44436</v>
      </c>
      <c r="B2853" t="n">
        <v>2740000</v>
      </c>
      <c r="C2853" t="n">
        <v>381000</v>
      </c>
    </row>
    <row r="2854">
      <c r="A2854" s="78" t="n">
        <v>44443</v>
      </c>
      <c r="B2854" t="n">
        <v>2628000</v>
      </c>
      <c r="C2854" t="n">
        <v>361000</v>
      </c>
    </row>
    <row r="2855">
      <c r="A2855" s="78" t="n">
        <v>44450</v>
      </c>
      <c r="B2855" t="n">
        <v>2705000</v>
      </c>
      <c r="C2855" t="n">
        <v>363000</v>
      </c>
    </row>
    <row r="2856">
      <c r="A2856" s="78" t="n">
        <v>44457</v>
      </c>
      <c r="B2856" t="n">
        <v>2720000</v>
      </c>
      <c r="C2856" t="n">
        <v>380000</v>
      </c>
    </row>
    <row r="2857">
      <c r="A2857" s="78" t="n">
        <v>44464</v>
      </c>
      <c r="B2857" t="n">
        <v>2674000</v>
      </c>
      <c r="C2857" t="n">
        <v>376000</v>
      </c>
    </row>
    <row r="2858">
      <c r="A2858" s="78" t="n">
        <v>44471</v>
      </c>
      <c r="B2858" t="n">
        <v>2571000</v>
      </c>
      <c r="C2858" t="n">
        <v>340000</v>
      </c>
    </row>
    <row r="2859">
      <c r="A2859" s="78" t="n">
        <v>44478</v>
      </c>
      <c r="B2859" t="n">
        <v>2512000</v>
      </c>
      <c r="C2859" t="n">
        <v>317000</v>
      </c>
    </row>
    <row r="2860">
      <c r="A2860" s="78" t="n">
        <v>44485</v>
      </c>
      <c r="B2860" t="n">
        <v>2334000</v>
      </c>
      <c r="C2860" t="n">
        <v>310000</v>
      </c>
    </row>
    <row r="2861">
      <c r="A2861" s="78" t="n">
        <v>44492</v>
      </c>
      <c r="B2861" t="n">
        <v>2263000</v>
      </c>
      <c r="C2861" t="n">
        <v>294000</v>
      </c>
    </row>
    <row r="2862">
      <c r="A2862" s="78" t="n">
        <v>44499</v>
      </c>
      <c r="B2862" t="n">
        <v>2303000</v>
      </c>
      <c r="C2862" t="n">
        <v>280000</v>
      </c>
    </row>
    <row r="2863">
      <c r="A2863" s="78" t="n">
        <v>44506</v>
      </c>
      <c r="B2863" t="n">
        <v>2172000</v>
      </c>
      <c r="C2863" t="n">
        <v>279000</v>
      </c>
    </row>
    <row r="2864">
      <c r="A2864" s="78" t="n">
        <v>44513</v>
      </c>
      <c r="B2864" t="n">
        <v>2100000</v>
      </c>
      <c r="C2864" t="n">
        <v>265000</v>
      </c>
    </row>
    <row r="2865">
      <c r="A2865" s="78" t="n">
        <v>44520</v>
      </c>
      <c r="B2865" t="n">
        <v>1976000</v>
      </c>
      <c r="C2865" t="n">
        <v>244000</v>
      </c>
    </row>
    <row r="2866">
      <c r="A2866" s="78" t="n">
        <v>44527</v>
      </c>
      <c r="B2866" t="n">
        <v>2098000</v>
      </c>
      <c r="C2866" t="n">
        <v>240000</v>
      </c>
    </row>
    <row r="2867">
      <c r="A2867" s="78" t="n">
        <v>44534</v>
      </c>
      <c r="B2867" t="n">
        <v>1927000</v>
      </c>
      <c r="C2867" t="n">
        <v>228000</v>
      </c>
    </row>
    <row r="2868">
      <c r="A2868" s="78" t="n">
        <v>44541</v>
      </c>
      <c r="B2868" t="n">
        <v>1904000</v>
      </c>
      <c r="C2868" t="n">
        <v>228000</v>
      </c>
    </row>
    <row r="2869">
      <c r="A2869" s="78" t="n">
        <v>44548</v>
      </c>
      <c r="B2869" t="n">
        <v>1793000</v>
      </c>
      <c r="C2869" t="n">
        <v>220000</v>
      </c>
    </row>
    <row r="2870">
      <c r="A2870" s="78" t="n">
        <v>44555</v>
      </c>
      <c r="B2870" t="n">
        <v>1805000</v>
      </c>
      <c r="C2870" t="n">
        <v>211000</v>
      </c>
    </row>
    <row r="2871">
      <c r="A2871" s="78" t="n">
        <v>44562</v>
      </c>
      <c r="B2871" t="n">
        <v>1778000</v>
      </c>
      <c r="C2871" t="n">
        <v>224000</v>
      </c>
    </row>
    <row r="2872">
      <c r="A2872" s="78" t="n">
        <v>44569</v>
      </c>
      <c r="B2872" t="n">
        <v>1776000</v>
      </c>
      <c r="C2872" t="n">
        <v>238000</v>
      </c>
    </row>
    <row r="2873">
      <c r="A2873" s="78" t="n">
        <v>44576</v>
      </c>
      <c r="B2873" t="n">
        <v>1787000</v>
      </c>
      <c r="C2873" t="n">
        <v>240000</v>
      </c>
    </row>
    <row r="2874">
      <c r="A2874" s="78" t="n">
        <v>44583</v>
      </c>
      <c r="B2874" t="n">
        <v>1757000</v>
      </c>
      <c r="C2874" t="n">
        <v>222000</v>
      </c>
    </row>
    <row r="2875">
      <c r="A2875" s="78" t="n">
        <v>44590</v>
      </c>
      <c r="B2875" t="n">
        <v>1743000</v>
      </c>
      <c r="C2875" t="n">
        <v>214000</v>
      </c>
    </row>
    <row r="2876">
      <c r="A2876" s="78" t="n">
        <v>44597</v>
      </c>
      <c r="B2876" t="n">
        <v>1714000</v>
      </c>
      <c r="C2876" t="n">
        <v>191000</v>
      </c>
    </row>
    <row r="2877">
      <c r="A2877" s="78" t="n">
        <v>44604</v>
      </c>
      <c r="B2877" t="n">
        <v>1633000</v>
      </c>
      <c r="C2877" t="n">
        <v>209000</v>
      </c>
    </row>
    <row r="2878">
      <c r="A2878" s="78" t="n">
        <v>44611</v>
      </c>
      <c r="B2878" t="n">
        <v>1623000</v>
      </c>
      <c r="C2878" t="n">
        <v>198000</v>
      </c>
    </row>
    <row r="2879">
      <c r="A2879" s="78" t="n">
        <v>44618</v>
      </c>
      <c r="B2879" t="n">
        <v>1664000</v>
      </c>
      <c r="C2879" t="n">
        <v>182000</v>
      </c>
    </row>
    <row r="2880">
      <c r="A2880" s="78" t="n">
        <v>44625</v>
      </c>
      <c r="B2880" t="n">
        <v>1594000</v>
      </c>
      <c r="C2880" t="n">
        <v>198000</v>
      </c>
    </row>
    <row r="2881">
      <c r="A2881" s="78" t="n">
        <v>44632</v>
      </c>
      <c r="B2881" t="n">
        <v>1542000</v>
      </c>
      <c r="C2881" t="n">
        <v>177000</v>
      </c>
    </row>
    <row r="2882">
      <c r="A2882" s="78" t="n">
        <v>44639</v>
      </c>
      <c r="B2882" t="n">
        <v>1506000</v>
      </c>
      <c r="C2882" t="n">
        <v>166000</v>
      </c>
    </row>
    <row r="2883">
      <c r="A2883" s="78" t="n">
        <v>44646</v>
      </c>
      <c r="B2883" t="n">
        <v>1529000</v>
      </c>
      <c r="C2883" t="n">
        <v>171000</v>
      </c>
    </row>
    <row r="2884">
      <c r="A2884" s="78" t="n">
        <v>44653</v>
      </c>
      <c r="B2884" t="n">
        <v>1474000</v>
      </c>
      <c r="C2884" t="n">
        <v>168000</v>
      </c>
    </row>
    <row r="2885">
      <c r="A2885" s="78" t="n">
        <v>44660</v>
      </c>
      <c r="B2885" t="n">
        <v>1407000</v>
      </c>
      <c r="C2885" t="n">
        <v>186000</v>
      </c>
    </row>
    <row r="2886">
      <c r="A2886" s="78" t="n">
        <v>44667</v>
      </c>
      <c r="B2886" t="n">
        <v>1403000</v>
      </c>
      <c r="C2886" t="n">
        <v>185000</v>
      </c>
    </row>
    <row r="2887">
      <c r="A2887" s="78" t="n">
        <v>44674</v>
      </c>
      <c r="B2887" t="n">
        <v>1387000</v>
      </c>
      <c r="C2887" t="n">
        <v>181000</v>
      </c>
    </row>
    <row r="2888">
      <c r="A2888" s="78" t="n">
        <v>44681</v>
      </c>
      <c r="B2888" t="n">
        <v>1342000</v>
      </c>
      <c r="C2888" t="n">
        <v>202000</v>
      </c>
    </row>
    <row r="2889">
      <c r="A2889" s="78" t="n">
        <v>44688</v>
      </c>
      <c r="B2889" t="n">
        <v>1315000</v>
      </c>
      <c r="C2889" t="n">
        <v>197000</v>
      </c>
    </row>
    <row r="2890">
      <c r="A2890" s="78" t="n">
        <v>44695</v>
      </c>
      <c r="B2890" t="n">
        <v>1343000</v>
      </c>
      <c r="C2890" t="n">
        <v>218000</v>
      </c>
    </row>
    <row r="2891">
      <c r="A2891" s="78" t="n">
        <v>44702</v>
      </c>
      <c r="B2891" t="n">
        <v>1306000</v>
      </c>
      <c r="C2891" t="n">
        <v>211000</v>
      </c>
    </row>
    <row r="2892">
      <c r="A2892" s="78" t="n">
        <v>44709</v>
      </c>
      <c r="B2892" t="n">
        <v>1309000</v>
      </c>
      <c r="C2892" t="n">
        <v>202000</v>
      </c>
    </row>
    <row r="2893">
      <c r="A2893" s="78" t="n">
        <v>44716</v>
      </c>
      <c r="B2893" t="n">
        <v>1310000</v>
      </c>
      <c r="C2893" t="n">
        <v>232000</v>
      </c>
    </row>
    <row r="2894">
      <c r="A2894" s="78" t="n">
        <v>44723</v>
      </c>
      <c r="B2894" t="n">
        <v>1331000</v>
      </c>
      <c r="C2894" t="n">
        <v>231000</v>
      </c>
    </row>
    <row r="2895">
      <c r="A2895" s="78" t="n">
        <v>44730</v>
      </c>
      <c r="B2895" t="n">
        <v>1324000</v>
      </c>
      <c r="C2895" t="n">
        <v>233000</v>
      </c>
    </row>
    <row r="2896">
      <c r="A2896" s="78" t="n">
        <v>44737</v>
      </c>
      <c r="B2896" t="n">
        <v>1372000</v>
      </c>
      <c r="C2896" t="n">
        <v>231000</v>
      </c>
    </row>
    <row r="2897">
      <c r="A2897" s="78" t="n">
        <v>44744</v>
      </c>
      <c r="B2897" t="n">
        <v>1333000</v>
      </c>
      <c r="C2897" t="n">
        <v>236000</v>
      </c>
    </row>
    <row r="2898">
      <c r="A2898" s="78" t="n">
        <v>44751</v>
      </c>
      <c r="B2898" t="n">
        <v>1384000</v>
      </c>
      <c r="C2898" t="n">
        <v>244000</v>
      </c>
    </row>
    <row r="2899">
      <c r="A2899" s="78" t="n">
        <v>44758</v>
      </c>
      <c r="B2899" t="n">
        <v>1365000</v>
      </c>
      <c r="C2899" t="n">
        <v>261000</v>
      </c>
    </row>
    <row r="2900">
      <c r="A2900" s="78" t="n">
        <v>44765</v>
      </c>
      <c r="B2900" t="n">
        <v>1420000</v>
      </c>
      <c r="C2900" t="n">
        <v>237000</v>
      </c>
    </row>
    <row r="2901">
      <c r="A2901" s="78" t="n">
        <v>44772</v>
      </c>
      <c r="B2901" t="n">
        <v>1430000</v>
      </c>
      <c r="C2901" t="n">
        <v>248000</v>
      </c>
    </row>
    <row r="2902">
      <c r="A2902" s="78" t="n">
        <v>44779</v>
      </c>
      <c r="B2902" t="n">
        <v>1434000</v>
      </c>
      <c r="C2902" t="n">
        <v>252000</v>
      </c>
    </row>
    <row r="2903">
      <c r="A2903" s="78" t="n">
        <v>44786</v>
      </c>
      <c r="B2903" t="n">
        <v>1412000</v>
      </c>
      <c r="C2903" t="n">
        <v>245000</v>
      </c>
    </row>
    <row r="2904">
      <c r="A2904" s="78" t="n">
        <v>44793</v>
      </c>
      <c r="B2904" t="n">
        <v>1437000</v>
      </c>
      <c r="C2904" t="n">
        <v>237000</v>
      </c>
    </row>
    <row r="2905">
      <c r="A2905" s="78" t="n">
        <v>44800</v>
      </c>
      <c r="B2905" t="n">
        <v>1402000</v>
      </c>
      <c r="C2905" t="n">
        <v>228000</v>
      </c>
    </row>
    <row r="2906">
      <c r="A2906" s="78" t="n">
        <v>44807</v>
      </c>
      <c r="B2906" t="n">
        <v>1400000</v>
      </c>
      <c r="C2906" t="n">
        <v>218000</v>
      </c>
    </row>
    <row r="2907">
      <c r="A2907" s="78" t="n">
        <v>44814</v>
      </c>
      <c r="B2907" t="n">
        <v>1376000</v>
      </c>
      <c r="C2907" t="n">
        <v>208000</v>
      </c>
    </row>
    <row r="2908">
      <c r="A2908" s="78" t="n">
        <v>44821</v>
      </c>
      <c r="B2908" t="n">
        <v>1346000</v>
      </c>
      <c r="C2908" t="n">
        <v>209000</v>
      </c>
    </row>
    <row r="2909">
      <c r="A2909" s="78" t="n">
        <v>44828</v>
      </c>
      <c r="B2909" t="n">
        <v>1365000</v>
      </c>
      <c r="C2909" t="n">
        <v>190000</v>
      </c>
    </row>
    <row r="2910">
      <c r="A2910" s="78" t="n">
        <v>44835</v>
      </c>
      <c r="B2910" t="n">
        <v>1364000</v>
      </c>
      <c r="C2910" t="n">
        <v>219000</v>
      </c>
    </row>
    <row r="2911">
      <c r="A2911" s="78" t="n">
        <v>44842</v>
      </c>
      <c r="B2911" t="n">
        <v>1383000</v>
      </c>
      <c r="C2911" t="n">
        <v>226000</v>
      </c>
    </row>
    <row r="2912">
      <c r="A2912" s="78" t="n">
        <v>44849</v>
      </c>
      <c r="B2912" t="n">
        <v>1438000</v>
      </c>
      <c r="C2912" t="n">
        <v>214000</v>
      </c>
    </row>
    <row r="2913">
      <c r="A2913" s="78" t="n">
        <v>44856</v>
      </c>
      <c r="B2913" t="n">
        <v>1487000</v>
      </c>
      <c r="C2913" t="n">
        <v>218000</v>
      </c>
    </row>
    <row r="2914">
      <c r="A2914" s="78" t="n">
        <v>44863</v>
      </c>
      <c r="B2914" t="n">
        <v>1498000</v>
      </c>
      <c r="C2914" t="n">
        <v>218000</v>
      </c>
    </row>
    <row r="2915">
      <c r="A2915" s="78" t="n">
        <v>44870</v>
      </c>
      <c r="B2915" t="n">
        <v>1498000</v>
      </c>
      <c r="C2915" t="n">
        <v>226000</v>
      </c>
    </row>
    <row r="2916">
      <c r="A2916" s="78" t="n">
        <v>44877</v>
      </c>
      <c r="B2916" t="n">
        <v>1551000</v>
      </c>
      <c r="C2916" t="n">
        <v>223000</v>
      </c>
    </row>
    <row r="2917">
      <c r="A2917" s="78" t="n">
        <v>44884</v>
      </c>
      <c r="B2917" t="n">
        <v>1609000</v>
      </c>
      <c r="C2917" t="n">
        <v>241000</v>
      </c>
    </row>
    <row r="2918">
      <c r="A2918" s="78" t="n">
        <v>44891</v>
      </c>
      <c r="B2918" t="n">
        <v>1670000</v>
      </c>
      <c r="C2918" t="n">
        <v>226000</v>
      </c>
    </row>
    <row r="2919">
      <c r="A2919" s="78" t="n">
        <v>44898</v>
      </c>
      <c r="B2919" t="n">
        <v>1678000</v>
      </c>
      <c r="C2919" t="n">
        <v>231000</v>
      </c>
    </row>
    <row r="2920">
      <c r="A2920" s="78" t="n">
        <v>44905</v>
      </c>
      <c r="B2920" t="n">
        <v>1672000</v>
      </c>
      <c r="C2920" t="n">
        <v>214000</v>
      </c>
    </row>
    <row r="2921">
      <c r="A2921" s="78" t="n">
        <v>44912</v>
      </c>
      <c r="C2921" t="n">
        <v>216000</v>
      </c>
    </row>
  </sheetData>
  <pageMargins left="0.7" right="0.7" top="0.75" bottom="0.75" header="0.3" footer="0.3"/>
</worksheet>
</file>

<file path=xl/worksheets/sheet4.xml><?xml version="1.0" encoding="utf-8"?>
<worksheet xmlns="http://schemas.openxmlformats.org/spreadsheetml/2006/main">
  <sheetPr>
    <tabColor theme="1" tint="0.499984740745262"/>
    <outlinePr summaryBelow="1" summaryRight="1"/>
    <pageSetUpPr/>
  </sheetPr>
  <dimension ref="A1:B258"/>
  <sheetViews>
    <sheetView zoomScale="130" zoomScaleNormal="130" workbookViewId="0">
      <pane ySplit="1" topLeftCell="A248" activePane="bottomLeft" state="frozen"/>
      <selection activeCell="A2" sqref="A2"/>
      <selection pane="bottomLeft" activeCell="L243" sqref="L243"/>
    </sheetView>
  </sheetViews>
  <sheetFormatPr baseColWidth="8" defaultColWidth="8.81640625" defaultRowHeight="14.5"/>
  <cols>
    <col width="16.36328125" customWidth="1" style="49" min="1" max="1"/>
    <col width="10.6328125" customWidth="1" style="49" min="2" max="2"/>
    <col width="8.81640625" customWidth="1" style="49" min="3" max="31"/>
    <col width="8.81640625" customWidth="1" style="49" min="32" max="16384"/>
  </cols>
  <sheetData>
    <row r="1">
      <c r="A1" t="inlineStr">
        <is>
          <t>DATE</t>
        </is>
      </c>
      <c r="B1" t="inlineStr">
        <is>
          <t>ADP</t>
        </is>
      </c>
    </row>
    <row r="2">
      <c r="A2" s="78" t="n">
        <v>37043</v>
      </c>
      <c r="B2" t="n">
        <v>-175</v>
      </c>
    </row>
    <row r="3">
      <c r="A3" s="78" t="n">
        <v>37073</v>
      </c>
      <c r="B3" t="n">
        <v>-230</v>
      </c>
    </row>
    <row r="4">
      <c r="A4" s="78" t="n">
        <v>37104</v>
      </c>
      <c r="B4" t="n">
        <v>-203</v>
      </c>
    </row>
    <row r="5">
      <c r="A5" s="78" t="n">
        <v>37135</v>
      </c>
      <c r="B5" t="n">
        <v>-246</v>
      </c>
    </row>
    <row r="6">
      <c r="A6" s="78" t="n">
        <v>37165</v>
      </c>
      <c r="B6" t="n">
        <v>-261</v>
      </c>
    </row>
    <row r="7">
      <c r="A7" s="78" t="n">
        <v>37196</v>
      </c>
      <c r="B7" t="n">
        <v>-380</v>
      </c>
    </row>
    <row r="8">
      <c r="A8" s="78" t="n">
        <v>37226</v>
      </c>
      <c r="B8" t="n">
        <v>-361</v>
      </c>
    </row>
    <row r="9">
      <c r="A9" s="78" t="n">
        <v>37257</v>
      </c>
      <c r="B9" t="n">
        <v>-223</v>
      </c>
    </row>
    <row r="10">
      <c r="A10" s="78" t="n">
        <v>37288</v>
      </c>
      <c r="B10" t="n">
        <v>-69</v>
      </c>
    </row>
    <row r="11">
      <c r="A11" s="78" t="n">
        <v>37316</v>
      </c>
      <c r="B11" t="n">
        <v>-91</v>
      </c>
    </row>
    <row r="12">
      <c r="A12" s="78" t="n">
        <v>37347</v>
      </c>
      <c r="B12" t="n">
        <v>-70</v>
      </c>
    </row>
    <row r="13">
      <c r="A13" s="78" t="n">
        <v>37377</v>
      </c>
      <c r="B13" t="n">
        <v>-70</v>
      </c>
    </row>
    <row r="14">
      <c r="A14" s="78" t="n">
        <v>37408</v>
      </c>
      <c r="B14" t="n">
        <v>-138</v>
      </c>
    </row>
    <row r="15">
      <c r="A15" s="78" t="n">
        <v>37438</v>
      </c>
      <c r="B15" t="n">
        <v>-41</v>
      </c>
    </row>
    <row r="16">
      <c r="A16" s="78" t="n">
        <v>37469</v>
      </c>
      <c r="B16" t="n">
        <v>-21</v>
      </c>
    </row>
    <row r="17">
      <c r="A17" s="78" t="n">
        <v>37500</v>
      </c>
      <c r="B17" t="n">
        <v>12</v>
      </c>
    </row>
    <row r="18">
      <c r="A18" s="78" t="n">
        <v>37530</v>
      </c>
      <c r="B18" t="n">
        <v>-150</v>
      </c>
    </row>
    <row r="19">
      <c r="A19" s="78" t="n">
        <v>37561</v>
      </c>
      <c r="B19" t="n">
        <v>47</v>
      </c>
    </row>
    <row r="20">
      <c r="A20" s="78" t="n">
        <v>37591</v>
      </c>
      <c r="B20" t="n">
        <v>-11</v>
      </c>
    </row>
    <row r="21">
      <c r="A21" s="78" t="n">
        <v>37622</v>
      </c>
      <c r="B21" t="n">
        <v>-79</v>
      </c>
    </row>
    <row r="22">
      <c r="A22" s="78" t="n">
        <v>37653</v>
      </c>
      <c r="B22" t="n">
        <v>-113</v>
      </c>
    </row>
    <row r="23">
      <c r="A23" s="78" t="n">
        <v>37681</v>
      </c>
      <c r="B23" t="n">
        <v>26</v>
      </c>
    </row>
    <row r="24">
      <c r="A24" s="78" t="n">
        <v>37712</v>
      </c>
      <c r="B24" t="n">
        <v>-42</v>
      </c>
    </row>
    <row r="25">
      <c r="A25" s="78" t="n">
        <v>37742</v>
      </c>
      <c r="B25" t="n">
        <v>-8</v>
      </c>
    </row>
    <row r="26">
      <c r="A26" s="78" t="n">
        <v>37773</v>
      </c>
      <c r="B26" t="n">
        <v>-75</v>
      </c>
    </row>
    <row r="27">
      <c r="A27" s="78" t="n">
        <v>37803</v>
      </c>
      <c r="B27" t="n">
        <v>-25</v>
      </c>
    </row>
    <row r="28">
      <c r="A28" s="78" t="n">
        <v>37834</v>
      </c>
      <c r="B28" t="n">
        <v>28</v>
      </c>
    </row>
    <row r="29">
      <c r="A29" s="78" t="n">
        <v>37865</v>
      </c>
      <c r="B29" t="n">
        <v>-66</v>
      </c>
    </row>
    <row r="30">
      <c r="A30" s="78" t="n">
        <v>37895</v>
      </c>
      <c r="B30" t="n">
        <v>69</v>
      </c>
    </row>
    <row r="31">
      <c r="A31" s="78" t="n">
        <v>37926</v>
      </c>
      <c r="B31" t="n">
        <v>174</v>
      </c>
    </row>
    <row r="32">
      <c r="A32" s="78" t="n">
        <v>37956</v>
      </c>
      <c r="B32" t="n">
        <v>247</v>
      </c>
    </row>
    <row r="33">
      <c r="A33" s="78" t="n">
        <v>37987</v>
      </c>
      <c r="B33" t="n">
        <v>167</v>
      </c>
    </row>
    <row r="34">
      <c r="A34" s="78" t="n">
        <v>38018</v>
      </c>
      <c r="B34" t="n">
        <v>68</v>
      </c>
    </row>
    <row r="35">
      <c r="A35" s="78" t="n">
        <v>38047</v>
      </c>
      <c r="B35" t="n">
        <v>166</v>
      </c>
    </row>
    <row r="36">
      <c r="A36" s="78" t="n">
        <v>38078</v>
      </c>
      <c r="B36" t="n">
        <v>188</v>
      </c>
    </row>
    <row r="37">
      <c r="A37" s="78" t="n">
        <v>38108</v>
      </c>
      <c r="B37" t="n">
        <v>170</v>
      </c>
    </row>
    <row r="38">
      <c r="A38" s="78" t="n">
        <v>38139</v>
      </c>
      <c r="B38" t="n">
        <v>54</v>
      </c>
    </row>
    <row r="39">
      <c r="A39" s="78" t="n">
        <v>38169</v>
      </c>
      <c r="B39" t="n">
        <v>169</v>
      </c>
    </row>
    <row r="40">
      <c r="A40" s="78" t="n">
        <v>38200</v>
      </c>
      <c r="B40" t="n">
        <v>80</v>
      </c>
    </row>
    <row r="41">
      <c r="A41" s="78" t="n">
        <v>38231</v>
      </c>
      <c r="B41" t="n">
        <v>187</v>
      </c>
    </row>
    <row r="42">
      <c r="A42" s="78" t="n">
        <v>38261</v>
      </c>
      <c r="B42" t="n">
        <v>170</v>
      </c>
    </row>
    <row r="43">
      <c r="A43" s="78" t="n">
        <v>38292</v>
      </c>
      <c r="B43" t="n">
        <v>136</v>
      </c>
    </row>
    <row r="44">
      <c r="A44" s="78" t="n">
        <v>38322</v>
      </c>
      <c r="B44" t="n">
        <v>178</v>
      </c>
    </row>
    <row r="45">
      <c r="A45" s="78" t="n">
        <v>38353</v>
      </c>
      <c r="B45" t="n">
        <v>254</v>
      </c>
    </row>
    <row r="46">
      <c r="A46" s="78" t="n">
        <v>38384</v>
      </c>
      <c r="B46" t="n">
        <v>158</v>
      </c>
    </row>
    <row r="47">
      <c r="A47" s="78" t="n">
        <v>38412</v>
      </c>
      <c r="B47" t="n">
        <v>145</v>
      </c>
    </row>
    <row r="48">
      <c r="A48" s="78" t="n">
        <v>38443</v>
      </c>
      <c r="B48" t="n">
        <v>164</v>
      </c>
    </row>
    <row r="49">
      <c r="A49" s="78" t="n">
        <v>38473</v>
      </c>
      <c r="B49" t="n">
        <v>300</v>
      </c>
    </row>
    <row r="50">
      <c r="A50" s="78" t="n">
        <v>38504</v>
      </c>
      <c r="B50" t="n">
        <v>243</v>
      </c>
    </row>
    <row r="51">
      <c r="A51" s="78" t="n">
        <v>38534</v>
      </c>
      <c r="B51" t="n">
        <v>273</v>
      </c>
    </row>
    <row r="52">
      <c r="A52" s="78" t="n">
        <v>38565</v>
      </c>
      <c r="B52" t="n">
        <v>281</v>
      </c>
    </row>
    <row r="53">
      <c r="A53" s="78" t="n">
        <v>38596</v>
      </c>
      <c r="B53" t="n">
        <v>190</v>
      </c>
    </row>
    <row r="54">
      <c r="A54" s="78" t="n">
        <v>38626</v>
      </c>
      <c r="B54" t="n">
        <v>-35</v>
      </c>
    </row>
    <row r="55">
      <c r="A55" s="78" t="n">
        <v>38657</v>
      </c>
      <c r="B55" t="n">
        <v>134</v>
      </c>
    </row>
    <row r="56">
      <c r="A56" s="78" t="n">
        <v>38687</v>
      </c>
      <c r="B56" t="n">
        <v>253</v>
      </c>
    </row>
    <row r="57">
      <c r="A57" s="78" t="n">
        <v>38718</v>
      </c>
      <c r="B57" t="n">
        <v>225</v>
      </c>
    </row>
    <row r="58">
      <c r="A58" s="78" t="n">
        <v>38749</v>
      </c>
      <c r="B58" t="n">
        <v>296</v>
      </c>
    </row>
    <row r="59">
      <c r="A59" s="78" t="n">
        <v>38777</v>
      </c>
      <c r="B59" t="n">
        <v>360</v>
      </c>
    </row>
    <row r="60">
      <c r="A60" s="78" t="n">
        <v>38808</v>
      </c>
      <c r="B60" t="n">
        <v>208</v>
      </c>
    </row>
    <row r="61">
      <c r="A61" s="78" t="n">
        <v>38838</v>
      </c>
      <c r="B61" t="n">
        <v>80</v>
      </c>
    </row>
    <row r="62">
      <c r="A62" s="78" t="n">
        <v>38869</v>
      </c>
      <c r="B62" t="n">
        <v>175</v>
      </c>
    </row>
    <row r="63">
      <c r="A63" s="78" t="n">
        <v>38899</v>
      </c>
      <c r="B63" t="n">
        <v>106</v>
      </c>
    </row>
    <row r="64">
      <c r="A64" s="78" t="n">
        <v>38930</v>
      </c>
      <c r="B64" t="n">
        <v>123</v>
      </c>
    </row>
    <row r="65">
      <c r="A65" s="78" t="n">
        <v>38961</v>
      </c>
      <c r="B65" t="n">
        <v>185</v>
      </c>
    </row>
    <row r="66">
      <c r="A66" s="78" t="n">
        <v>38991</v>
      </c>
      <c r="B66" t="n">
        <v>58</v>
      </c>
    </row>
    <row r="67">
      <c r="A67" s="78" t="n">
        <v>39022</v>
      </c>
      <c r="B67" t="n">
        <v>109</v>
      </c>
    </row>
    <row r="68">
      <c r="A68" s="78" t="n">
        <v>39052</v>
      </c>
      <c r="B68" t="n">
        <v>-13</v>
      </c>
    </row>
    <row r="69">
      <c r="A69" s="78" t="n">
        <v>39083</v>
      </c>
      <c r="B69" t="n">
        <v>171</v>
      </c>
    </row>
    <row r="70">
      <c r="A70" s="78" t="n">
        <v>39114</v>
      </c>
      <c r="B70" t="n">
        <v>241</v>
      </c>
    </row>
    <row r="71">
      <c r="A71" s="78" t="n">
        <v>39142</v>
      </c>
      <c r="B71" t="n">
        <v>111</v>
      </c>
    </row>
    <row r="72">
      <c r="A72" s="78" t="n">
        <v>39173</v>
      </c>
      <c r="B72" t="n">
        <v>154</v>
      </c>
    </row>
    <row r="73">
      <c r="A73" s="78" t="n">
        <v>39203</v>
      </c>
      <c r="B73" t="n">
        <v>39</v>
      </c>
    </row>
    <row r="74">
      <c r="A74" s="78" t="n">
        <v>39234</v>
      </c>
      <c r="B74" t="n">
        <v>82</v>
      </c>
    </row>
    <row r="75">
      <c r="A75" s="78" t="n">
        <v>39264</v>
      </c>
      <c r="B75" t="n">
        <v>15</v>
      </c>
    </row>
    <row r="76">
      <c r="A76" s="78" t="n">
        <v>39295</v>
      </c>
      <c r="B76" t="n">
        <v>47</v>
      </c>
    </row>
    <row r="77">
      <c r="A77" s="78" t="n">
        <v>39326</v>
      </c>
      <c r="B77" t="n">
        <v>-27</v>
      </c>
    </row>
    <row r="78">
      <c r="A78" s="78" t="n">
        <v>39356</v>
      </c>
      <c r="B78" t="n">
        <v>23</v>
      </c>
    </row>
    <row r="79">
      <c r="A79" s="78" t="n">
        <v>39387</v>
      </c>
      <c r="B79" t="n">
        <v>44</v>
      </c>
    </row>
    <row r="80">
      <c r="A80" s="78" t="n">
        <v>39417</v>
      </c>
      <c r="B80" t="n">
        <v>58</v>
      </c>
    </row>
    <row r="81">
      <c r="A81" s="78" t="n">
        <v>39448</v>
      </c>
      <c r="B81" t="n">
        <v>47</v>
      </c>
    </row>
    <row r="82">
      <c r="A82" s="78" t="n">
        <v>39479</v>
      </c>
      <c r="B82" t="n">
        <v>118</v>
      </c>
    </row>
    <row r="83">
      <c r="A83" s="78" t="n">
        <v>39508</v>
      </c>
      <c r="B83" t="n">
        <v>-78</v>
      </c>
    </row>
    <row r="84">
      <c r="A84" s="78" t="n">
        <v>39539</v>
      </c>
      <c r="B84" t="n">
        <v>-181</v>
      </c>
    </row>
    <row r="85">
      <c r="A85" s="78" t="n">
        <v>39569</v>
      </c>
      <c r="B85" t="n">
        <v>-406</v>
      </c>
    </row>
    <row r="86">
      <c r="A86" s="78" t="n">
        <v>39600</v>
      </c>
      <c r="B86" t="n">
        <v>-409</v>
      </c>
    </row>
    <row r="87">
      <c r="A87" s="78" t="n">
        <v>39630</v>
      </c>
      <c r="B87" t="n">
        <v>-465</v>
      </c>
    </row>
    <row r="88">
      <c r="A88" s="78" t="n">
        <v>39661</v>
      </c>
      <c r="B88" t="n">
        <v>-416</v>
      </c>
    </row>
    <row r="89">
      <c r="A89" s="78" t="n">
        <v>39692</v>
      </c>
      <c r="B89" t="n">
        <v>-430</v>
      </c>
    </row>
    <row r="90">
      <c r="A90" s="78" t="n">
        <v>39722</v>
      </c>
      <c r="B90" t="n">
        <v>-489</v>
      </c>
    </row>
    <row r="91">
      <c r="A91" s="78" t="n">
        <v>39753</v>
      </c>
      <c r="B91" t="n">
        <v>-430</v>
      </c>
    </row>
    <row r="92">
      <c r="A92" s="78" t="n">
        <v>39783</v>
      </c>
      <c r="B92" t="n">
        <v>-620</v>
      </c>
    </row>
    <row r="93">
      <c r="A93" s="78" t="n">
        <v>39814</v>
      </c>
      <c r="B93" t="n">
        <v>-510</v>
      </c>
    </row>
    <row r="94">
      <c r="A94" s="78" t="n">
        <v>39845</v>
      </c>
      <c r="B94" t="n">
        <v>-584</v>
      </c>
    </row>
    <row r="95">
      <c r="A95" s="78" t="n">
        <v>39873</v>
      </c>
      <c r="B95" t="n">
        <v>-706</v>
      </c>
    </row>
    <row r="96">
      <c r="A96" s="78" t="n">
        <v>39904</v>
      </c>
      <c r="B96" t="n">
        <v>-417</v>
      </c>
    </row>
    <row r="97">
      <c r="A97" s="78" t="n">
        <v>39934</v>
      </c>
      <c r="B97" t="n">
        <v>-325</v>
      </c>
    </row>
    <row r="98">
      <c r="A98" s="78" t="n">
        <v>39965</v>
      </c>
      <c r="B98" t="n">
        <v>-244</v>
      </c>
    </row>
    <row r="99">
      <c r="A99" s="78" t="n">
        <v>39995</v>
      </c>
      <c r="B99" t="n">
        <v>-334</v>
      </c>
    </row>
    <row r="100">
      <c r="A100" s="78" t="n">
        <v>40026</v>
      </c>
      <c r="B100" t="n">
        <v>-180</v>
      </c>
    </row>
    <row r="101">
      <c r="A101" s="78" t="n">
        <v>40057</v>
      </c>
      <c r="B101" t="n">
        <v>-212</v>
      </c>
    </row>
    <row r="102">
      <c r="A102" s="78" t="n">
        <v>40087</v>
      </c>
      <c r="B102" t="n">
        <v>-126</v>
      </c>
    </row>
    <row r="103">
      <c r="A103" s="78" t="n">
        <v>40118</v>
      </c>
      <c r="B103" t="n">
        <v>-114</v>
      </c>
    </row>
    <row r="104">
      <c r="A104" s="78" t="n">
        <v>40148</v>
      </c>
      <c r="B104" t="n">
        <v>-374</v>
      </c>
    </row>
    <row r="105">
      <c r="A105" s="78" t="n">
        <v>40179</v>
      </c>
      <c r="B105" t="n">
        <v>-212</v>
      </c>
    </row>
    <row r="106">
      <c r="A106" s="78" t="n">
        <v>40210</v>
      </c>
      <c r="B106" t="n">
        <v>-137</v>
      </c>
    </row>
    <row r="107">
      <c r="A107" s="78" t="n">
        <v>40238</v>
      </c>
      <c r="B107" t="n">
        <v>-219</v>
      </c>
    </row>
    <row r="108">
      <c r="A108" s="78" t="n">
        <v>40269</v>
      </c>
      <c r="B108" t="n">
        <v>-113</v>
      </c>
    </row>
    <row r="109">
      <c r="A109" s="78" t="n">
        <v>40299</v>
      </c>
      <c r="B109" t="n">
        <v>147</v>
      </c>
    </row>
    <row r="110">
      <c r="A110" s="78" t="n">
        <v>40330</v>
      </c>
      <c r="B110" t="n">
        <v>152</v>
      </c>
    </row>
    <row r="111">
      <c r="A111" s="78" t="n">
        <v>40360</v>
      </c>
      <c r="B111" t="n">
        <v>102</v>
      </c>
    </row>
    <row r="112">
      <c r="A112" s="78" t="n">
        <v>40391</v>
      </c>
      <c r="B112" t="n">
        <v>159</v>
      </c>
    </row>
    <row r="113">
      <c r="A113" s="78" t="n">
        <v>40422</v>
      </c>
      <c r="B113" t="n">
        <v>99</v>
      </c>
    </row>
    <row r="114">
      <c r="A114" s="78" t="n">
        <v>40452</v>
      </c>
      <c r="B114" t="n">
        <v>117</v>
      </c>
    </row>
    <row r="115">
      <c r="A115" s="78" t="n">
        <v>40483</v>
      </c>
      <c r="B115" t="n">
        <v>219</v>
      </c>
    </row>
    <row r="116">
      <c r="A116" s="78" t="n">
        <v>40513</v>
      </c>
      <c r="B116" t="n">
        <v>141</v>
      </c>
    </row>
    <row r="117">
      <c r="A117" s="78" t="n">
        <v>40544</v>
      </c>
      <c r="B117" t="n">
        <v>85</v>
      </c>
    </row>
    <row r="118">
      <c r="A118" s="78" t="n">
        <v>40575</v>
      </c>
      <c r="B118" t="n">
        <v>137</v>
      </c>
    </row>
    <row r="119">
      <c r="A119" s="78" t="n">
        <v>40603</v>
      </c>
      <c r="B119" t="n">
        <v>164</v>
      </c>
    </row>
    <row r="120">
      <c r="A120" s="78" t="n">
        <v>40634</v>
      </c>
      <c r="B120" t="n">
        <v>213</v>
      </c>
    </row>
    <row r="121">
      <c r="A121" s="78" t="n">
        <v>40664</v>
      </c>
      <c r="B121" t="n">
        <v>299</v>
      </c>
    </row>
    <row r="122">
      <c r="A122" s="78" t="n">
        <v>40695</v>
      </c>
      <c r="B122" t="n">
        <v>254</v>
      </c>
    </row>
    <row r="123">
      <c r="A123" s="78" t="n">
        <v>40725</v>
      </c>
      <c r="B123" t="n">
        <v>263</v>
      </c>
    </row>
    <row r="124">
      <c r="A124" s="78" t="n">
        <v>40756</v>
      </c>
      <c r="B124" t="n">
        <v>213</v>
      </c>
    </row>
    <row r="125">
      <c r="A125" s="78" t="n">
        <v>40787</v>
      </c>
      <c r="B125" t="n">
        <v>216</v>
      </c>
    </row>
    <row r="126">
      <c r="A126" s="78" t="n">
        <v>40817</v>
      </c>
      <c r="B126" t="n">
        <v>227</v>
      </c>
    </row>
    <row r="127">
      <c r="A127" s="78" t="n">
        <v>40848</v>
      </c>
      <c r="B127" t="n">
        <v>191</v>
      </c>
    </row>
    <row r="128">
      <c r="A128" s="78" t="n">
        <v>40878</v>
      </c>
      <c r="B128" t="n">
        <v>127</v>
      </c>
    </row>
    <row r="129">
      <c r="A129" s="78" t="n">
        <v>40909</v>
      </c>
      <c r="B129" t="n">
        <v>194</v>
      </c>
    </row>
    <row r="130">
      <c r="A130" s="78" t="n">
        <v>40940</v>
      </c>
      <c r="B130" t="n">
        <v>199</v>
      </c>
    </row>
    <row r="131">
      <c r="A131" s="78" t="n">
        <v>40969</v>
      </c>
      <c r="B131" t="n">
        <v>281</v>
      </c>
    </row>
    <row r="132">
      <c r="A132" s="78" t="n">
        <v>41000</v>
      </c>
      <c r="B132" t="n">
        <v>250</v>
      </c>
    </row>
    <row r="133">
      <c r="A133" s="78" t="n">
        <v>41030</v>
      </c>
      <c r="B133" t="n">
        <v>83</v>
      </c>
    </row>
    <row r="134">
      <c r="A134" s="78" t="n">
        <v>41061</v>
      </c>
      <c r="B134" t="n">
        <v>153</v>
      </c>
    </row>
    <row r="135">
      <c r="A135" s="78" t="n">
        <v>41091</v>
      </c>
      <c r="B135" t="n">
        <v>79</v>
      </c>
    </row>
    <row r="136">
      <c r="A136" s="78" t="n">
        <v>41122</v>
      </c>
      <c r="B136" t="n">
        <v>142</v>
      </c>
    </row>
    <row r="137">
      <c r="A137" s="78" t="n">
        <v>41153</v>
      </c>
      <c r="B137" t="n">
        <v>184</v>
      </c>
    </row>
    <row r="138">
      <c r="A138" s="78" t="n">
        <v>41183</v>
      </c>
      <c r="B138" t="n">
        <v>150</v>
      </c>
    </row>
    <row r="139">
      <c r="A139" s="78" t="n">
        <v>41214</v>
      </c>
      <c r="B139" t="n">
        <v>227</v>
      </c>
    </row>
    <row r="140">
      <c r="A140" s="78" t="n">
        <v>41244</v>
      </c>
      <c r="B140" t="n">
        <v>159</v>
      </c>
    </row>
    <row r="141">
      <c r="A141" s="78" t="n">
        <v>41275</v>
      </c>
      <c r="B141" t="n">
        <v>231</v>
      </c>
    </row>
    <row r="142">
      <c r="A142" s="78" t="n">
        <v>41306</v>
      </c>
      <c r="B142" t="n">
        <v>208</v>
      </c>
    </row>
    <row r="143">
      <c r="A143" s="78" t="n">
        <v>41334</v>
      </c>
      <c r="B143" t="n">
        <v>203</v>
      </c>
    </row>
    <row r="144">
      <c r="A144" s="78" t="n">
        <v>41365</v>
      </c>
      <c r="B144" t="n">
        <v>181</v>
      </c>
    </row>
    <row r="145">
      <c r="A145" s="78" t="n">
        <v>41395</v>
      </c>
      <c r="B145" t="n">
        <v>126</v>
      </c>
    </row>
    <row r="146">
      <c r="A146" s="78" t="n">
        <v>41426</v>
      </c>
      <c r="B146" t="n">
        <v>210</v>
      </c>
    </row>
    <row r="147">
      <c r="A147" s="78" t="n">
        <v>41456</v>
      </c>
      <c r="B147" t="n">
        <v>217</v>
      </c>
    </row>
    <row r="148">
      <c r="A148" s="78" t="n">
        <v>41487</v>
      </c>
      <c r="B148" t="n">
        <v>157</v>
      </c>
    </row>
    <row r="149">
      <c r="A149" s="78" t="n">
        <v>41518</v>
      </c>
      <c r="B149" t="n">
        <v>206</v>
      </c>
    </row>
    <row r="150">
      <c r="A150" s="78" t="n">
        <v>41548</v>
      </c>
      <c r="B150" t="n">
        <v>243</v>
      </c>
    </row>
    <row r="151">
      <c r="A151" s="78" t="n">
        <v>41579</v>
      </c>
      <c r="B151" t="n">
        <v>211</v>
      </c>
    </row>
    <row r="152">
      <c r="A152" s="78" t="n">
        <v>41609</v>
      </c>
      <c r="B152" t="n">
        <v>195</v>
      </c>
    </row>
    <row r="153">
      <c r="A153" s="78" t="n">
        <v>41640</v>
      </c>
      <c r="B153" t="n">
        <v>178</v>
      </c>
    </row>
    <row r="154">
      <c r="A154" s="78" t="n">
        <v>41671</v>
      </c>
      <c r="B154" t="n">
        <v>212</v>
      </c>
    </row>
    <row r="155">
      <c r="A155" s="78" t="n">
        <v>41699</v>
      </c>
      <c r="B155" t="n">
        <v>190</v>
      </c>
    </row>
    <row r="156">
      <c r="A156" s="78" t="n">
        <v>41730</v>
      </c>
      <c r="B156" t="n">
        <v>179</v>
      </c>
    </row>
    <row r="157">
      <c r="A157" s="78" t="n">
        <v>41760</v>
      </c>
      <c r="B157" t="n">
        <v>278</v>
      </c>
    </row>
    <row r="158">
      <c r="A158" s="78" t="n">
        <v>41791</v>
      </c>
      <c r="B158" t="n">
        <v>202</v>
      </c>
    </row>
    <row r="159">
      <c r="A159" s="78" t="n">
        <v>41821</v>
      </c>
      <c r="B159" t="n">
        <v>292</v>
      </c>
    </row>
    <row r="160">
      <c r="A160" s="78" t="n">
        <v>41852</v>
      </c>
      <c r="B160" t="n">
        <v>223</v>
      </c>
    </row>
    <row r="161">
      <c r="A161" s="78" t="n">
        <v>41883</v>
      </c>
      <c r="B161" t="n">
        <v>230</v>
      </c>
    </row>
    <row r="162">
      <c r="A162" s="78" t="n">
        <v>41913</v>
      </c>
      <c r="B162" t="n">
        <v>251</v>
      </c>
    </row>
    <row r="163">
      <c r="A163" s="78" t="n">
        <v>41944</v>
      </c>
      <c r="B163" t="n">
        <v>252</v>
      </c>
    </row>
    <row r="164">
      <c r="A164" s="78" t="n">
        <v>41974</v>
      </c>
      <c r="B164" t="n">
        <v>195</v>
      </c>
    </row>
    <row r="165">
      <c r="A165" s="78" t="n">
        <v>42005</v>
      </c>
      <c r="B165" t="n">
        <v>292</v>
      </c>
    </row>
    <row r="166">
      <c r="A166" s="78" t="n">
        <v>42036</v>
      </c>
      <c r="B166" t="n">
        <v>191</v>
      </c>
    </row>
    <row r="167">
      <c r="A167" s="78" t="n">
        <v>42064</v>
      </c>
      <c r="B167" t="n">
        <v>226</v>
      </c>
    </row>
    <row r="168">
      <c r="A168" s="78" t="n">
        <v>42095</v>
      </c>
      <c r="B168" t="n">
        <v>178</v>
      </c>
    </row>
    <row r="169">
      <c r="A169" s="78" t="n">
        <v>42125</v>
      </c>
      <c r="B169" t="n">
        <v>179</v>
      </c>
    </row>
    <row r="170">
      <c r="A170" s="78" t="n">
        <v>42156</v>
      </c>
      <c r="B170" t="n">
        <v>296</v>
      </c>
    </row>
    <row r="171">
      <c r="A171" s="78" t="n">
        <v>42186</v>
      </c>
      <c r="B171" t="n">
        <v>219</v>
      </c>
    </row>
    <row r="172">
      <c r="A172" s="78" t="n">
        <v>42217</v>
      </c>
      <c r="B172" t="n">
        <v>190</v>
      </c>
    </row>
    <row r="173">
      <c r="A173" s="78" t="n">
        <v>42248</v>
      </c>
      <c r="B173" t="n">
        <v>190</v>
      </c>
    </row>
    <row r="174">
      <c r="A174" s="78" t="n">
        <v>42278</v>
      </c>
      <c r="B174" t="n">
        <v>204</v>
      </c>
    </row>
    <row r="175">
      <c r="A175" s="78" t="n">
        <v>42309</v>
      </c>
      <c r="B175" t="n">
        <v>186</v>
      </c>
    </row>
    <row r="176">
      <c r="A176" s="78" t="n">
        <v>42339</v>
      </c>
      <c r="B176" t="n">
        <v>223</v>
      </c>
    </row>
    <row r="177">
      <c r="A177" s="78" t="n">
        <v>42370</v>
      </c>
      <c r="B177" t="n">
        <v>271</v>
      </c>
    </row>
    <row r="178">
      <c r="A178" s="78" t="n">
        <v>42401</v>
      </c>
      <c r="B178" t="n">
        <v>130</v>
      </c>
    </row>
    <row r="179">
      <c r="A179" s="78" t="n">
        <v>42430</v>
      </c>
      <c r="B179" t="n">
        <v>241</v>
      </c>
    </row>
    <row r="180">
      <c r="A180" s="78" t="n">
        <v>42461</v>
      </c>
      <c r="B180" t="n">
        <v>205</v>
      </c>
    </row>
    <row r="181">
      <c r="A181" s="78" t="n">
        <v>42491</v>
      </c>
      <c r="B181" t="n">
        <v>170</v>
      </c>
    </row>
    <row r="182">
      <c r="A182" s="78" t="n">
        <v>42522</v>
      </c>
      <c r="B182" t="n">
        <v>84</v>
      </c>
    </row>
    <row r="183">
      <c r="A183" s="78" t="n">
        <v>42552</v>
      </c>
      <c r="B183" t="n">
        <v>255</v>
      </c>
    </row>
    <row r="184">
      <c r="A184" s="78" t="n">
        <v>42583</v>
      </c>
      <c r="B184" t="n">
        <v>152</v>
      </c>
    </row>
    <row r="185">
      <c r="A185" s="78" t="n">
        <v>42614</v>
      </c>
      <c r="B185" t="n">
        <v>192</v>
      </c>
    </row>
    <row r="186">
      <c r="A186" s="78" t="n">
        <v>42644</v>
      </c>
      <c r="B186" t="n">
        <v>181</v>
      </c>
    </row>
    <row r="187">
      <c r="A187" s="78" t="n">
        <v>42675</v>
      </c>
      <c r="B187" t="n">
        <v>91</v>
      </c>
    </row>
    <row r="188">
      <c r="A188" s="78" t="n">
        <v>42705</v>
      </c>
      <c r="B188" t="n">
        <v>236</v>
      </c>
    </row>
    <row r="189">
      <c r="A189" s="78" t="n">
        <v>42736</v>
      </c>
      <c r="B189" t="n">
        <v>105</v>
      </c>
    </row>
    <row r="190">
      <c r="A190" s="78" t="n">
        <v>42767</v>
      </c>
      <c r="B190" t="n">
        <v>224</v>
      </c>
    </row>
    <row r="191">
      <c r="A191" s="78" t="n">
        <v>42795</v>
      </c>
      <c r="B191" t="n">
        <v>237</v>
      </c>
    </row>
    <row r="192">
      <c r="A192" s="78" t="n">
        <v>42826</v>
      </c>
      <c r="B192" t="n">
        <v>209</v>
      </c>
    </row>
    <row r="193">
      <c r="A193" s="78" t="n">
        <v>42856</v>
      </c>
      <c r="B193" t="n">
        <v>173</v>
      </c>
    </row>
    <row r="194">
      <c r="A194" s="78" t="n">
        <v>42887</v>
      </c>
      <c r="B194" t="n">
        <v>170</v>
      </c>
    </row>
    <row r="195">
      <c r="A195" s="78" t="n">
        <v>42917</v>
      </c>
      <c r="B195" t="n">
        <v>135</v>
      </c>
    </row>
    <row r="196">
      <c r="A196" s="78" t="n">
        <v>42948</v>
      </c>
      <c r="B196" t="n">
        <v>183</v>
      </c>
    </row>
    <row r="197">
      <c r="A197" s="78" t="n">
        <v>42979</v>
      </c>
      <c r="B197" t="n">
        <v>174</v>
      </c>
    </row>
    <row r="198">
      <c r="A198" s="78" t="n">
        <v>43009</v>
      </c>
      <c r="B198" t="n">
        <v>111</v>
      </c>
    </row>
    <row r="199">
      <c r="A199" s="78" t="n">
        <v>43040</v>
      </c>
      <c r="B199" t="n">
        <v>158</v>
      </c>
    </row>
    <row r="200">
      <c r="A200" s="78" t="n">
        <v>43070</v>
      </c>
      <c r="B200" t="n">
        <v>207</v>
      </c>
    </row>
    <row r="201">
      <c r="A201" s="78" t="n">
        <v>43101</v>
      </c>
      <c r="B201" t="n">
        <v>241</v>
      </c>
    </row>
    <row r="202">
      <c r="A202" s="78" t="n">
        <v>43132</v>
      </c>
      <c r="B202" t="n">
        <v>252</v>
      </c>
    </row>
    <row r="203">
      <c r="A203" s="78" t="n">
        <v>43160</v>
      </c>
      <c r="B203" t="n">
        <v>219</v>
      </c>
    </row>
    <row r="204">
      <c r="A204" s="78" t="n">
        <v>43191</v>
      </c>
      <c r="B204" t="n">
        <v>213</v>
      </c>
    </row>
    <row r="205">
      <c r="A205" s="78" t="n">
        <v>43221</v>
      </c>
      <c r="B205" t="n">
        <v>178</v>
      </c>
    </row>
    <row r="206">
      <c r="A206" s="78" t="n">
        <v>43252</v>
      </c>
      <c r="B206" t="n">
        <v>276</v>
      </c>
    </row>
    <row r="207">
      <c r="A207" s="78" t="n">
        <v>43282</v>
      </c>
      <c r="B207" t="n">
        <v>221</v>
      </c>
    </row>
    <row r="208">
      <c r="A208" s="78" t="n">
        <v>43313</v>
      </c>
      <c r="B208" t="n">
        <v>284</v>
      </c>
    </row>
    <row r="209">
      <c r="A209" s="78" t="n">
        <v>43344</v>
      </c>
      <c r="B209" t="n">
        <v>159</v>
      </c>
    </row>
    <row r="210">
      <c r="A210" s="78" t="n">
        <v>43374</v>
      </c>
      <c r="B210" t="n">
        <v>199</v>
      </c>
    </row>
    <row r="211">
      <c r="A211" s="78" t="n">
        <v>43405</v>
      </c>
      <c r="B211" t="n">
        <v>238</v>
      </c>
    </row>
    <row r="212">
      <c r="A212" s="78" t="n">
        <v>43435</v>
      </c>
      <c r="B212" t="n">
        <v>136</v>
      </c>
    </row>
    <row r="213">
      <c r="A213" s="78" t="n">
        <v>43466</v>
      </c>
      <c r="B213" t="n">
        <v>249</v>
      </c>
    </row>
    <row r="214">
      <c r="A214" s="78" t="n">
        <v>43497</v>
      </c>
      <c r="B214" t="n">
        <v>264</v>
      </c>
    </row>
    <row r="215">
      <c r="A215" s="78" t="n">
        <v>43525</v>
      </c>
      <c r="B215" t="n">
        <v>220</v>
      </c>
    </row>
    <row r="216">
      <c r="A216" s="78" t="n">
        <v>43556</v>
      </c>
      <c r="B216" t="n">
        <v>158</v>
      </c>
    </row>
    <row r="217">
      <c r="A217" s="78" t="n">
        <v>43586</v>
      </c>
      <c r="B217" t="n">
        <v>255</v>
      </c>
    </row>
    <row r="218">
      <c r="A218" s="78" t="n">
        <v>43617</v>
      </c>
      <c r="B218" t="n">
        <v>46</v>
      </c>
    </row>
    <row r="219">
      <c r="A219" s="78" t="n">
        <v>43647</v>
      </c>
      <c r="B219" t="n">
        <v>107</v>
      </c>
    </row>
    <row r="220">
      <c r="A220" s="78" t="n">
        <v>43678</v>
      </c>
      <c r="B220" t="n">
        <v>143</v>
      </c>
    </row>
    <row r="221">
      <c r="A221" s="78" t="n">
        <v>43709</v>
      </c>
      <c r="B221" t="n">
        <v>159</v>
      </c>
    </row>
    <row r="222">
      <c r="A222" s="78" t="n">
        <v>43739</v>
      </c>
      <c r="B222" t="n">
        <v>124</v>
      </c>
    </row>
    <row r="223">
      <c r="A223" s="78" t="n">
        <v>43770</v>
      </c>
      <c r="B223" t="n">
        <v>151</v>
      </c>
    </row>
    <row r="224">
      <c r="A224" s="78" t="n">
        <v>43800</v>
      </c>
      <c r="B224" t="n">
        <v>124</v>
      </c>
    </row>
    <row r="225">
      <c r="A225" s="78" t="n">
        <v>43831</v>
      </c>
      <c r="B225" t="n">
        <v>199</v>
      </c>
    </row>
    <row r="226">
      <c r="A226" s="78" t="n">
        <v>43862</v>
      </c>
      <c r="B226" t="n">
        <v>209</v>
      </c>
    </row>
    <row r="227">
      <c r="A227" s="78" t="n">
        <v>43891</v>
      </c>
      <c r="B227" t="n">
        <v>183</v>
      </c>
    </row>
    <row r="228">
      <c r="A228" s="78" t="n">
        <v>43922</v>
      </c>
      <c r="B228" t="n">
        <v>-149</v>
      </c>
    </row>
    <row r="229">
      <c r="A229" s="78" t="n">
        <v>43952</v>
      </c>
      <c r="B229" t="n">
        <v>-19557</v>
      </c>
    </row>
    <row r="230">
      <c r="A230" s="78" t="n">
        <v>43983</v>
      </c>
      <c r="B230" t="n">
        <v>3065</v>
      </c>
    </row>
    <row r="231">
      <c r="A231" s="78" t="n">
        <v>44013</v>
      </c>
      <c r="B231" t="n">
        <v>2369</v>
      </c>
    </row>
    <row r="232">
      <c r="A232" s="78" t="n">
        <v>44044</v>
      </c>
      <c r="B232" t="n">
        <v>167</v>
      </c>
    </row>
    <row r="233">
      <c r="A233" s="78" t="n">
        <v>44075</v>
      </c>
      <c r="B233" t="n">
        <v>428</v>
      </c>
    </row>
    <row r="234">
      <c r="A234" s="78" t="n">
        <v>44105</v>
      </c>
      <c r="B234" t="n">
        <v>749</v>
      </c>
    </row>
    <row r="235">
      <c r="A235" s="78" t="n">
        <v>44136</v>
      </c>
      <c r="B235" t="n">
        <v>365</v>
      </c>
    </row>
    <row r="236">
      <c r="A236" s="78" t="n">
        <v>44166</v>
      </c>
      <c r="B236" t="n">
        <v>307</v>
      </c>
    </row>
    <row r="237">
      <c r="A237" s="78" t="n">
        <v>44197</v>
      </c>
      <c r="B237" t="n">
        <v>-123</v>
      </c>
    </row>
    <row r="238">
      <c r="A238" s="78" t="n">
        <v>44228</v>
      </c>
      <c r="B238" t="n">
        <v>174</v>
      </c>
    </row>
    <row r="239">
      <c r="A239" s="78" t="n">
        <v>44256</v>
      </c>
      <c r="B239" t="n">
        <v>117</v>
      </c>
    </row>
    <row r="240">
      <c r="A240" s="78" t="n">
        <v>44287</v>
      </c>
      <c r="B240" t="n">
        <v>517</v>
      </c>
    </row>
    <row r="241">
      <c r="A241" s="78" t="n">
        <v>44317</v>
      </c>
      <c r="B241" t="n">
        <v>742</v>
      </c>
    </row>
    <row r="242">
      <c r="A242" s="78" t="n">
        <v>44348</v>
      </c>
      <c r="B242" t="n">
        <v>978</v>
      </c>
    </row>
    <row r="243">
      <c r="A243" s="78" t="n">
        <v>44378</v>
      </c>
      <c r="B243" t="n">
        <v>692</v>
      </c>
    </row>
    <row r="244">
      <c r="A244" s="78" t="n">
        <v>44409</v>
      </c>
      <c r="B244" t="n">
        <v>330</v>
      </c>
    </row>
    <row r="245">
      <c r="A245" s="78" t="n">
        <v>44440</v>
      </c>
      <c r="B245" t="n">
        <v>374</v>
      </c>
    </row>
    <row r="246">
      <c r="A246" s="78" t="n">
        <v>44470</v>
      </c>
      <c r="B246" t="n">
        <v>568</v>
      </c>
    </row>
    <row r="247">
      <c r="A247" s="78" t="n">
        <v>44503</v>
      </c>
      <c r="B247" t="n">
        <v>571</v>
      </c>
    </row>
    <row r="248">
      <c r="A248" s="78" t="n">
        <v>44531</v>
      </c>
      <c r="B248" t="n">
        <v>534</v>
      </c>
    </row>
    <row r="249">
      <c r="A249" s="78" t="n">
        <v>44566</v>
      </c>
      <c r="B249" t="n">
        <v>807</v>
      </c>
    </row>
    <row r="250">
      <c r="A250" s="78" t="n">
        <v>44594</v>
      </c>
      <c r="B250" t="n">
        <v>-30</v>
      </c>
    </row>
    <row r="251">
      <c r="A251" s="78" t="n">
        <v>44622</v>
      </c>
      <c r="B251" t="n">
        <v>475</v>
      </c>
    </row>
    <row r="252">
      <c r="A252" s="78" t="n">
        <v>44650</v>
      </c>
      <c r="B252" t="n">
        <v>455</v>
      </c>
    </row>
    <row r="253">
      <c r="A253" s="78" t="n">
        <v>44685</v>
      </c>
      <c r="B253" t="n">
        <v>247</v>
      </c>
    </row>
    <row r="254">
      <c r="A254" s="78" t="n">
        <v>44714</v>
      </c>
      <c r="B254" t="n">
        <v>128</v>
      </c>
    </row>
    <row r="255">
      <c r="A255" s="78" t="n">
        <v>44804</v>
      </c>
      <c r="B255" t="n">
        <v>380</v>
      </c>
    </row>
    <row r="256">
      <c r="A256" s="78" t="n">
        <v>44839</v>
      </c>
      <c r="B256" t="n">
        <v>208</v>
      </c>
    </row>
    <row r="257">
      <c r="A257" s="78" t="n">
        <v>44867</v>
      </c>
      <c r="B257" t="n">
        <v>239</v>
      </c>
    </row>
    <row r="258">
      <c r="A258" s="78" t="n">
        <v>44895</v>
      </c>
      <c r="B258" t="n">
        <v>127</v>
      </c>
    </row>
  </sheetData>
  <pageMargins left="0.7" right="0.7" top="0.75" bottom="0.75" header="0.3" footer="0.3"/>
</worksheet>
</file>

<file path=xl/worksheets/sheet5.xml><?xml version="1.0" encoding="utf-8"?>
<worksheet xmlns="http://schemas.openxmlformats.org/spreadsheetml/2006/main">
  <sheetPr codeName="Sheet7">
    <tabColor theme="1" tint="0.499984740745262"/>
    <outlinePr summaryBelow="1" summaryRight="1"/>
    <pageSetUpPr/>
  </sheetPr>
  <dimension ref="A1:AL818"/>
  <sheetViews>
    <sheetView zoomScale="150" zoomScaleNormal="150" workbookViewId="0">
      <pane xSplit="1" ySplit="1" topLeftCell="B801" activePane="bottomRight" state="frozen"/>
      <selection activeCell="H14" sqref="H14"/>
      <selection pane="topRight" activeCell="H14" sqref="H14"/>
      <selection pane="bottomLeft" activeCell="H14" sqref="H14"/>
      <selection pane="bottomRight" activeCell="R818" sqref="R818"/>
    </sheetView>
  </sheetViews>
  <sheetFormatPr baseColWidth="8" defaultColWidth="9.1796875" defaultRowHeight="14.5"/>
  <cols>
    <col width="14.453125" customWidth="1" style="49" min="1" max="1"/>
    <col width="16.36328125" customWidth="1" style="49" min="2" max="2"/>
    <col width="9.1796875" customWidth="1" style="49" min="3" max="4"/>
    <col width="10.6328125" bestFit="1" customWidth="1" style="49" min="5" max="5"/>
    <col width="10.6328125" customWidth="1" style="49" min="6" max="6"/>
    <col width="9.1796875" customWidth="1" style="49" min="7" max="38"/>
    <col width="9.1796875" customWidth="1" style="49" min="39" max="16384"/>
  </cols>
  <sheetData>
    <row r="1">
      <c r="A1" t="inlineStr">
        <is>
          <t>DATE</t>
        </is>
      </c>
      <c r="B1" t="inlineStr">
        <is>
          <t>AUS</t>
        </is>
      </c>
      <c r="C1" t="inlineStr">
        <is>
          <t>AUT</t>
        </is>
      </c>
      <c r="D1" t="inlineStr">
        <is>
          <t>BEL</t>
        </is>
      </c>
      <c r="E1" t="inlineStr">
        <is>
          <t>CAN</t>
        </is>
      </c>
      <c r="F1" t="inlineStr">
        <is>
          <t>CHE</t>
        </is>
      </c>
      <c r="G1" t="inlineStr">
        <is>
          <t>CHL</t>
        </is>
      </c>
      <c r="H1" t="inlineStr">
        <is>
          <t>CZE</t>
        </is>
      </c>
      <c r="I1" t="inlineStr">
        <is>
          <t>DEU</t>
        </is>
      </c>
      <c r="J1" t="inlineStr">
        <is>
          <t>DNK</t>
        </is>
      </c>
      <c r="K1" t="inlineStr">
        <is>
          <t>EA19</t>
        </is>
      </c>
      <c r="L1" t="inlineStr">
        <is>
          <t>ESP</t>
        </is>
      </c>
      <c r="M1" t="inlineStr">
        <is>
          <t>EST</t>
        </is>
      </c>
      <c r="N1" t="inlineStr">
        <is>
          <t>FIN</t>
        </is>
      </c>
      <c r="O1" t="inlineStr">
        <is>
          <t>FRA</t>
        </is>
      </c>
      <c r="P1" t="inlineStr">
        <is>
          <t>G-7</t>
        </is>
      </c>
      <c r="Q1" t="inlineStr">
        <is>
          <t>GBR</t>
        </is>
      </c>
      <c r="R1" t="inlineStr">
        <is>
          <t>GRC</t>
        </is>
      </c>
      <c r="S1" t="inlineStr">
        <is>
          <t>HUN</t>
        </is>
      </c>
      <c r="T1" t="inlineStr">
        <is>
          <t>IRL</t>
        </is>
      </c>
      <c r="U1" t="inlineStr">
        <is>
          <t>ISL</t>
        </is>
      </c>
      <c r="V1" t="inlineStr">
        <is>
          <t>ISR</t>
        </is>
      </c>
      <c r="W1" t="inlineStr">
        <is>
          <t>ITA</t>
        </is>
      </c>
      <c r="X1" t="inlineStr">
        <is>
          <t>JPN</t>
        </is>
      </c>
      <c r="Y1" t="inlineStr">
        <is>
          <t>KOR</t>
        </is>
      </c>
      <c r="Z1" t="inlineStr">
        <is>
          <t>LUX</t>
        </is>
      </c>
      <c r="AA1" t="inlineStr">
        <is>
          <t>LVA</t>
        </is>
      </c>
      <c r="AB1" t="inlineStr">
        <is>
          <t>MEX</t>
        </is>
      </c>
      <c r="AC1" t="inlineStr">
        <is>
          <t>NLD</t>
        </is>
      </c>
      <c r="AD1" t="inlineStr">
        <is>
          <t>NOR</t>
        </is>
      </c>
      <c r="AE1" t="inlineStr">
        <is>
          <t>OECD</t>
        </is>
      </c>
      <c r="AF1" t="inlineStr">
        <is>
          <t>POL</t>
        </is>
      </c>
      <c r="AG1" t="inlineStr">
        <is>
          <t>PRT</t>
        </is>
      </c>
      <c r="AH1" t="inlineStr">
        <is>
          <t>SVK</t>
        </is>
      </c>
      <c r="AI1" t="inlineStr">
        <is>
          <t>SVN</t>
        </is>
      </c>
      <c r="AJ1" t="inlineStr">
        <is>
          <t>SWE</t>
        </is>
      </c>
      <c r="AK1" t="inlineStr">
        <is>
          <t>TUR</t>
        </is>
      </c>
      <c r="AL1" t="inlineStr">
        <is>
          <t>USA</t>
        </is>
      </c>
    </row>
    <row r="2">
      <c r="A2" s="78" t="n">
        <v>20090</v>
      </c>
      <c r="E2" t="n">
        <v>4.8</v>
      </c>
      <c r="X2" t="n">
        <v>2.6</v>
      </c>
      <c r="AL2" t="n">
        <v>4.9</v>
      </c>
    </row>
    <row r="3">
      <c r="A3" s="78" t="n">
        <v>20121</v>
      </c>
      <c r="E3" t="n">
        <v>4.7</v>
      </c>
      <c r="X3" t="n">
        <v>2.5</v>
      </c>
      <c r="AL3" t="n">
        <v>4.7</v>
      </c>
    </row>
    <row r="4">
      <c r="A4" s="78" t="n">
        <v>20149</v>
      </c>
      <c r="E4" t="n">
        <v>4.9</v>
      </c>
      <c r="X4" t="n">
        <v>2.3</v>
      </c>
      <c r="AL4" t="n">
        <v>4.6</v>
      </c>
    </row>
    <row r="5">
      <c r="A5" s="78" t="n">
        <v>20180</v>
      </c>
      <c r="E5" t="n">
        <v>4.5</v>
      </c>
      <c r="X5" t="n">
        <v>2.5</v>
      </c>
      <c r="AL5" t="n">
        <v>4.7</v>
      </c>
    </row>
    <row r="6">
      <c r="A6" s="78" t="n">
        <v>20210</v>
      </c>
      <c r="E6" t="n">
        <v>4.5</v>
      </c>
      <c r="X6" t="n">
        <v>2.4</v>
      </c>
      <c r="AL6" t="n">
        <v>4.3</v>
      </c>
    </row>
    <row r="7">
      <c r="A7" s="78" t="n">
        <v>20241</v>
      </c>
      <c r="E7" t="n">
        <v>4.3</v>
      </c>
      <c r="X7" t="n">
        <v>2.6</v>
      </c>
      <c r="AL7" t="n">
        <v>4.2</v>
      </c>
    </row>
    <row r="8">
      <c r="A8" s="78" t="n">
        <v>20271</v>
      </c>
      <c r="E8" t="n">
        <v>4.3</v>
      </c>
      <c r="X8" t="n">
        <v>2.6</v>
      </c>
      <c r="AL8" t="n">
        <v>4</v>
      </c>
    </row>
    <row r="9">
      <c r="A9" s="78" t="n">
        <v>20302</v>
      </c>
      <c r="E9" t="n">
        <v>3.8</v>
      </c>
      <c r="X9" t="n">
        <v>2.6</v>
      </c>
      <c r="AL9" t="n">
        <v>4.2</v>
      </c>
    </row>
    <row r="10">
      <c r="A10" s="78" t="n">
        <v>20333</v>
      </c>
      <c r="E10" t="n">
        <v>4.1</v>
      </c>
      <c r="X10" t="n">
        <v>2.6</v>
      </c>
      <c r="AL10" t="n">
        <v>4.1</v>
      </c>
    </row>
    <row r="11">
      <c r="A11" s="78" t="n">
        <v>20363</v>
      </c>
      <c r="E11" t="n">
        <v>4</v>
      </c>
      <c r="X11" t="n">
        <v>2.7</v>
      </c>
      <c r="AL11" t="n">
        <v>4.3</v>
      </c>
    </row>
    <row r="12">
      <c r="A12" s="78" t="n">
        <v>20394</v>
      </c>
      <c r="E12" t="n">
        <v>3.8</v>
      </c>
      <c r="X12" t="n">
        <v>2.4</v>
      </c>
      <c r="AL12" t="n">
        <v>4.2</v>
      </c>
    </row>
    <row r="13">
      <c r="A13" s="78" t="n">
        <v>20424</v>
      </c>
      <c r="E13" t="n">
        <v>3.7</v>
      </c>
      <c r="X13" t="n">
        <v>2.4</v>
      </c>
      <c r="AL13" t="n">
        <v>4.2</v>
      </c>
    </row>
    <row r="14">
      <c r="A14" s="78" t="n">
        <v>20455</v>
      </c>
      <c r="E14" t="n">
        <v>3.7</v>
      </c>
      <c r="X14" t="n">
        <v>2.5</v>
      </c>
      <c r="AL14" t="n">
        <v>4</v>
      </c>
    </row>
    <row r="15">
      <c r="A15" s="78" t="n">
        <v>20486</v>
      </c>
      <c r="E15" t="n">
        <v>3.8</v>
      </c>
      <c r="X15" t="n">
        <v>2.6</v>
      </c>
      <c r="AL15" t="n">
        <v>3.9</v>
      </c>
    </row>
    <row r="16">
      <c r="A16" s="78" t="n">
        <v>20515</v>
      </c>
      <c r="E16" t="n">
        <v>3.6</v>
      </c>
      <c r="X16" t="n">
        <v>2.7</v>
      </c>
      <c r="AL16" t="n">
        <v>4.2</v>
      </c>
    </row>
    <row r="17">
      <c r="A17" s="78" t="n">
        <v>20546</v>
      </c>
      <c r="E17" t="n">
        <v>3.5</v>
      </c>
      <c r="X17" t="n">
        <v>2.4</v>
      </c>
      <c r="AL17" t="n">
        <v>4</v>
      </c>
    </row>
    <row r="18">
      <c r="A18" s="78" t="n">
        <v>20576</v>
      </c>
      <c r="E18" t="n">
        <v>3.4</v>
      </c>
      <c r="X18" t="n">
        <v>2.3</v>
      </c>
      <c r="AL18" t="n">
        <v>4.3</v>
      </c>
    </row>
    <row r="19">
      <c r="A19" s="78" t="n">
        <v>20607</v>
      </c>
      <c r="E19" t="n">
        <v>3.2</v>
      </c>
      <c r="X19" t="n">
        <v>2.2</v>
      </c>
      <c r="AL19" t="n">
        <v>4.3</v>
      </c>
    </row>
    <row r="20">
      <c r="A20" s="78" t="n">
        <v>20637</v>
      </c>
      <c r="E20" t="n">
        <v>3</v>
      </c>
      <c r="X20" t="n">
        <v>2.1</v>
      </c>
      <c r="AL20" t="n">
        <v>4.4</v>
      </c>
    </row>
    <row r="21">
      <c r="A21" s="78" t="n">
        <v>20668</v>
      </c>
      <c r="E21" t="n">
        <v>3</v>
      </c>
      <c r="X21" t="n">
        <v>2.1</v>
      </c>
      <c r="AL21" t="n">
        <v>4.1</v>
      </c>
    </row>
    <row r="22">
      <c r="A22" s="78" t="n">
        <v>20699</v>
      </c>
      <c r="E22" t="n">
        <v>3.1</v>
      </c>
      <c r="X22" t="n">
        <v>2.2</v>
      </c>
      <c r="AL22" t="n">
        <v>3.9</v>
      </c>
    </row>
    <row r="23">
      <c r="A23" s="78" t="n">
        <v>20729</v>
      </c>
      <c r="E23" t="n">
        <v>2.8</v>
      </c>
      <c r="X23" t="n">
        <v>2</v>
      </c>
      <c r="AL23" t="n">
        <v>3.9</v>
      </c>
    </row>
    <row r="24">
      <c r="A24" s="78" t="n">
        <v>20760</v>
      </c>
      <c r="E24" t="n">
        <v>3.1</v>
      </c>
      <c r="X24" t="n">
        <v>2.2</v>
      </c>
      <c r="AL24" t="n">
        <v>4.3</v>
      </c>
    </row>
    <row r="25">
      <c r="A25" s="78" t="n">
        <v>20790</v>
      </c>
      <c r="E25" t="n">
        <v>3.4</v>
      </c>
      <c r="X25" t="n">
        <v>2.3</v>
      </c>
      <c r="AL25" t="n">
        <v>4.2</v>
      </c>
    </row>
    <row r="26">
      <c r="A26" s="78" t="n">
        <v>20821</v>
      </c>
      <c r="E26" t="n">
        <v>3.8</v>
      </c>
      <c r="X26" t="n">
        <v>2.1</v>
      </c>
      <c r="AL26" t="n">
        <v>4.2</v>
      </c>
    </row>
    <row r="27">
      <c r="A27" s="78" t="n">
        <v>20852</v>
      </c>
      <c r="E27" t="n">
        <v>3.9</v>
      </c>
      <c r="X27" t="n">
        <v>2</v>
      </c>
      <c r="AL27" t="n">
        <v>3.9</v>
      </c>
    </row>
    <row r="28">
      <c r="A28" s="78" t="n">
        <v>20880</v>
      </c>
      <c r="E28" t="n">
        <v>4.1</v>
      </c>
      <c r="X28" t="n">
        <v>2</v>
      </c>
      <c r="AL28" t="n">
        <v>3.7</v>
      </c>
    </row>
    <row r="29">
      <c r="A29" s="78" t="n">
        <v>20911</v>
      </c>
      <c r="E29" t="n">
        <v>4.2</v>
      </c>
      <c r="X29" t="n">
        <v>2</v>
      </c>
      <c r="AL29" t="n">
        <v>3.9</v>
      </c>
    </row>
    <row r="30">
      <c r="A30" s="78" t="n">
        <v>20941</v>
      </c>
      <c r="E30" t="n">
        <v>3.9</v>
      </c>
      <c r="X30" t="n">
        <v>1.9</v>
      </c>
      <c r="AL30" t="n">
        <v>4.1</v>
      </c>
    </row>
    <row r="31">
      <c r="A31" s="78" t="n">
        <v>20972</v>
      </c>
      <c r="E31" t="n">
        <v>4.3</v>
      </c>
      <c r="X31" t="n">
        <v>1.8</v>
      </c>
      <c r="AL31" t="n">
        <v>4.3</v>
      </c>
    </row>
    <row r="32">
      <c r="A32" s="78" t="n">
        <v>21002</v>
      </c>
      <c r="E32" t="n">
        <v>4.6</v>
      </c>
      <c r="X32" t="n">
        <v>1.8</v>
      </c>
      <c r="AL32" t="n">
        <v>4.2</v>
      </c>
    </row>
    <row r="33">
      <c r="A33" s="78" t="n">
        <v>21033</v>
      </c>
      <c r="E33" t="n">
        <v>4.8</v>
      </c>
      <c r="X33" t="n">
        <v>1.8</v>
      </c>
      <c r="AL33" t="n">
        <v>4.1</v>
      </c>
    </row>
    <row r="34">
      <c r="A34" s="78" t="n">
        <v>21064</v>
      </c>
      <c r="E34" t="n">
        <v>5.4</v>
      </c>
      <c r="X34" t="n">
        <v>2</v>
      </c>
      <c r="AL34" t="n">
        <v>4.4</v>
      </c>
    </row>
    <row r="35">
      <c r="A35" s="78" t="n">
        <v>21094</v>
      </c>
      <c r="E35" t="n">
        <v>5.3</v>
      </c>
      <c r="X35" t="n">
        <v>2</v>
      </c>
      <c r="AL35" t="n">
        <v>4.5</v>
      </c>
    </row>
    <row r="36">
      <c r="A36" s="78" t="n">
        <v>21125</v>
      </c>
      <c r="E36" t="n">
        <v>6.2</v>
      </c>
      <c r="X36" t="n">
        <v>1.9</v>
      </c>
      <c r="AL36" t="n">
        <v>5.1</v>
      </c>
    </row>
    <row r="37">
      <c r="A37" s="78" t="n">
        <v>21155</v>
      </c>
      <c r="E37" t="n">
        <v>6.5</v>
      </c>
      <c r="X37" t="n">
        <v>1.8</v>
      </c>
      <c r="AL37" t="n">
        <v>5.2</v>
      </c>
    </row>
    <row r="38">
      <c r="A38" s="78" t="n">
        <v>21186</v>
      </c>
      <c r="E38" t="n">
        <v>6.5</v>
      </c>
      <c r="X38" t="n">
        <v>1.9</v>
      </c>
      <c r="AL38" t="n">
        <v>5.8</v>
      </c>
    </row>
    <row r="39">
      <c r="A39" s="78" t="n">
        <v>21217</v>
      </c>
      <c r="E39" t="n">
        <v>6.6</v>
      </c>
      <c r="X39" t="n">
        <v>1.9</v>
      </c>
      <c r="AL39" t="n">
        <v>6.4</v>
      </c>
    </row>
    <row r="40">
      <c r="A40" s="78" t="n">
        <v>21245</v>
      </c>
      <c r="E40" t="n">
        <v>6.9</v>
      </c>
      <c r="X40" t="n">
        <v>2</v>
      </c>
      <c r="AL40" t="n">
        <v>6.7</v>
      </c>
    </row>
    <row r="41">
      <c r="A41" s="78" t="n">
        <v>21276</v>
      </c>
      <c r="E41" t="n">
        <v>6.9</v>
      </c>
      <c r="X41" t="n">
        <v>2</v>
      </c>
      <c r="AL41" t="n">
        <v>7.4</v>
      </c>
    </row>
    <row r="42">
      <c r="A42" s="78" t="n">
        <v>21306</v>
      </c>
      <c r="E42" t="n">
        <v>7</v>
      </c>
      <c r="X42" t="n">
        <v>2</v>
      </c>
      <c r="AL42" t="n">
        <v>7.4</v>
      </c>
    </row>
    <row r="43">
      <c r="A43" s="78" t="n">
        <v>21337</v>
      </c>
      <c r="E43" t="n">
        <v>7.9</v>
      </c>
      <c r="X43" t="n">
        <v>2.2</v>
      </c>
      <c r="AL43" t="n">
        <v>7.3</v>
      </c>
    </row>
    <row r="44">
      <c r="A44" s="78" t="n">
        <v>21367</v>
      </c>
      <c r="E44" t="n">
        <v>7.5</v>
      </c>
      <c r="X44" t="n">
        <v>2.1</v>
      </c>
      <c r="AL44" t="n">
        <v>7.5</v>
      </c>
    </row>
    <row r="45">
      <c r="A45" s="78" t="n">
        <v>21398</v>
      </c>
      <c r="E45" t="n">
        <v>7.5</v>
      </c>
      <c r="X45" t="n">
        <v>2.2</v>
      </c>
      <c r="AL45" t="n">
        <v>7.4</v>
      </c>
    </row>
    <row r="46">
      <c r="A46" s="78" t="n">
        <v>21429</v>
      </c>
      <c r="E46" t="n">
        <v>7.1</v>
      </c>
      <c r="X46" t="n">
        <v>2.2</v>
      </c>
      <c r="AL46" t="n">
        <v>7.1</v>
      </c>
    </row>
    <row r="47">
      <c r="A47" s="78" t="n">
        <v>21459</v>
      </c>
      <c r="E47" t="n">
        <v>7.5</v>
      </c>
      <c r="X47" t="n">
        <v>2.1</v>
      </c>
      <c r="AL47" t="n">
        <v>6.7</v>
      </c>
    </row>
    <row r="48">
      <c r="A48" s="78" t="n">
        <v>21490</v>
      </c>
      <c r="E48" t="n">
        <v>7.2</v>
      </c>
      <c r="X48" t="n">
        <v>2.1</v>
      </c>
      <c r="AL48" t="n">
        <v>6.2</v>
      </c>
    </row>
    <row r="49">
      <c r="A49" s="78" t="n">
        <v>21520</v>
      </c>
      <c r="E49" t="n">
        <v>7</v>
      </c>
      <c r="X49" t="n">
        <v>2.1</v>
      </c>
      <c r="AL49" t="n">
        <v>6.2</v>
      </c>
    </row>
    <row r="50">
      <c r="A50" s="78" t="n">
        <v>21551</v>
      </c>
      <c r="E50" t="n">
        <v>6.5</v>
      </c>
      <c r="X50" t="n">
        <v>2.4</v>
      </c>
      <c r="AL50" t="n">
        <v>6</v>
      </c>
    </row>
    <row r="51">
      <c r="A51" s="78" t="n">
        <v>21582</v>
      </c>
      <c r="E51" t="n">
        <v>6.2</v>
      </c>
      <c r="X51" t="n">
        <v>2.5</v>
      </c>
      <c r="AL51" t="n">
        <v>5.9</v>
      </c>
    </row>
    <row r="52">
      <c r="A52" s="78" t="n">
        <v>21610</v>
      </c>
      <c r="E52" t="n">
        <v>6</v>
      </c>
      <c r="X52" t="n">
        <v>2.4</v>
      </c>
      <c r="AL52" t="n">
        <v>5.6</v>
      </c>
    </row>
    <row r="53">
      <c r="A53" s="78" t="n">
        <v>21641</v>
      </c>
      <c r="E53" t="n">
        <v>5.8</v>
      </c>
      <c r="X53" t="n">
        <v>2.2</v>
      </c>
      <c r="AL53" t="n">
        <v>5.2</v>
      </c>
    </row>
    <row r="54">
      <c r="A54" s="78" t="n">
        <v>21671</v>
      </c>
      <c r="E54" t="n">
        <v>6.3</v>
      </c>
      <c r="X54" t="n">
        <v>2.2</v>
      </c>
      <c r="AL54" t="n">
        <v>5.1</v>
      </c>
    </row>
    <row r="55">
      <c r="A55" s="78" t="n">
        <v>21702</v>
      </c>
      <c r="E55" t="n">
        <v>5.6</v>
      </c>
      <c r="X55" t="n">
        <v>2.3</v>
      </c>
      <c r="AL55" t="n">
        <v>5</v>
      </c>
    </row>
    <row r="56">
      <c r="A56" s="78" t="n">
        <v>21732</v>
      </c>
      <c r="E56" t="n">
        <v>5.5</v>
      </c>
      <c r="X56" t="n">
        <v>2.3</v>
      </c>
      <c r="AL56" t="n">
        <v>5.1</v>
      </c>
    </row>
    <row r="57">
      <c r="A57" s="78" t="n">
        <v>21763</v>
      </c>
      <c r="E57" t="n">
        <v>5.9</v>
      </c>
      <c r="X57" t="n">
        <v>2.3</v>
      </c>
      <c r="AL57" t="n">
        <v>5.2</v>
      </c>
    </row>
    <row r="58">
      <c r="A58" s="78" t="n">
        <v>21794</v>
      </c>
      <c r="E58" t="n">
        <v>5.4</v>
      </c>
      <c r="X58" t="n">
        <v>2</v>
      </c>
      <c r="AL58" t="n">
        <v>5.5</v>
      </c>
    </row>
    <row r="59">
      <c r="A59" s="78" t="n">
        <v>21824</v>
      </c>
      <c r="E59" t="n">
        <v>5.5</v>
      </c>
      <c r="X59" t="n">
        <v>1.9</v>
      </c>
      <c r="AL59" t="n">
        <v>5.7</v>
      </c>
    </row>
    <row r="60">
      <c r="A60" s="78" t="n">
        <v>21855</v>
      </c>
      <c r="E60" t="n">
        <v>5.8</v>
      </c>
      <c r="X60" t="n">
        <v>2</v>
      </c>
      <c r="AL60" t="n">
        <v>5.8</v>
      </c>
    </row>
    <row r="61">
      <c r="A61" s="78" t="n">
        <v>21885</v>
      </c>
      <c r="E61" t="n">
        <v>6</v>
      </c>
      <c r="X61" t="n">
        <v>2</v>
      </c>
      <c r="AL61" t="n">
        <v>5.3</v>
      </c>
    </row>
    <row r="62">
      <c r="A62" s="78" t="n">
        <v>21916</v>
      </c>
      <c r="E62" t="n">
        <v>6.1</v>
      </c>
      <c r="X62" t="n">
        <v>1.9</v>
      </c>
      <c r="AL62" t="n">
        <v>5.2</v>
      </c>
    </row>
    <row r="63">
      <c r="A63" s="78" t="n">
        <v>21947</v>
      </c>
      <c r="E63" t="n">
        <v>6.4</v>
      </c>
      <c r="X63" t="n">
        <v>1.7</v>
      </c>
      <c r="AL63" t="n">
        <v>4.8</v>
      </c>
    </row>
    <row r="64">
      <c r="A64" s="78" t="n">
        <v>21976</v>
      </c>
      <c r="E64" t="n">
        <v>6.5</v>
      </c>
      <c r="X64" t="n">
        <v>1.7</v>
      </c>
      <c r="AL64" t="n">
        <v>5.4</v>
      </c>
    </row>
    <row r="65">
      <c r="A65" s="78" t="n">
        <v>22007</v>
      </c>
      <c r="E65" t="n">
        <v>6.8</v>
      </c>
      <c r="X65" t="n">
        <v>1.7</v>
      </c>
      <c r="AL65" t="n">
        <v>5.2</v>
      </c>
    </row>
    <row r="66">
      <c r="A66" s="78" t="n">
        <v>22037</v>
      </c>
      <c r="E66" t="n">
        <v>7.2</v>
      </c>
      <c r="X66" t="n">
        <v>1.7</v>
      </c>
      <c r="AL66" t="n">
        <v>5.1</v>
      </c>
    </row>
    <row r="67">
      <c r="A67" s="78" t="n">
        <v>22068</v>
      </c>
      <c r="E67" t="n">
        <v>6.7</v>
      </c>
      <c r="X67" t="n">
        <v>1.6</v>
      </c>
      <c r="AL67" t="n">
        <v>5.4</v>
      </c>
    </row>
    <row r="68">
      <c r="A68" s="78" t="n">
        <v>22098</v>
      </c>
      <c r="E68" t="n">
        <v>7.1</v>
      </c>
      <c r="X68" t="n">
        <v>1.5</v>
      </c>
      <c r="AL68" t="n">
        <v>5.5</v>
      </c>
    </row>
    <row r="69">
      <c r="A69" s="78" t="n">
        <v>22129</v>
      </c>
      <c r="E69" t="n">
        <v>7.6</v>
      </c>
      <c r="X69" t="n">
        <v>1.6</v>
      </c>
      <c r="AL69" t="n">
        <v>5.6</v>
      </c>
    </row>
    <row r="70">
      <c r="A70" s="78" t="n">
        <v>22160</v>
      </c>
      <c r="E70" t="n">
        <v>7.5</v>
      </c>
      <c r="X70" t="n">
        <v>1.6</v>
      </c>
      <c r="AL70" t="n">
        <v>5.5</v>
      </c>
    </row>
    <row r="71">
      <c r="A71" s="78" t="n">
        <v>22190</v>
      </c>
      <c r="E71" t="n">
        <v>7.6</v>
      </c>
      <c r="X71" t="n">
        <v>1.4</v>
      </c>
      <c r="AL71" t="n">
        <v>6.1</v>
      </c>
    </row>
    <row r="72">
      <c r="A72" s="78" t="n">
        <v>22221</v>
      </c>
      <c r="E72" t="n">
        <v>7.5</v>
      </c>
      <c r="X72" t="n">
        <v>1.5</v>
      </c>
      <c r="AL72" t="n">
        <v>6.1</v>
      </c>
    </row>
    <row r="73">
      <c r="A73" s="78" t="n">
        <v>22251</v>
      </c>
      <c r="E73" t="n">
        <v>7.6</v>
      </c>
      <c r="X73" t="n">
        <v>1.5</v>
      </c>
      <c r="AL73" t="n">
        <v>6.6</v>
      </c>
    </row>
    <row r="74">
      <c r="A74" s="78" t="n">
        <v>22282</v>
      </c>
      <c r="E74" t="n">
        <v>7.6</v>
      </c>
      <c r="X74" t="n">
        <v>1.5</v>
      </c>
      <c r="AL74" t="n">
        <v>6.6</v>
      </c>
    </row>
    <row r="75">
      <c r="A75" s="78" t="n">
        <v>22313</v>
      </c>
      <c r="E75" t="n">
        <v>7.7</v>
      </c>
      <c r="X75" t="n">
        <v>1.5</v>
      </c>
      <c r="AL75" t="n">
        <v>6.9</v>
      </c>
    </row>
    <row r="76">
      <c r="A76" s="78" t="n">
        <v>22341</v>
      </c>
      <c r="E76" t="n">
        <v>7.6</v>
      </c>
      <c r="X76" t="n">
        <v>1.3</v>
      </c>
      <c r="AL76" t="n">
        <v>6.9</v>
      </c>
    </row>
    <row r="77">
      <c r="A77" s="78" t="n">
        <v>22372</v>
      </c>
      <c r="E77" t="n">
        <v>7.6</v>
      </c>
      <c r="X77" t="n">
        <v>1.4</v>
      </c>
      <c r="AL77" t="n">
        <v>7</v>
      </c>
    </row>
    <row r="78">
      <c r="A78" s="78" t="n">
        <v>22402</v>
      </c>
      <c r="E78" t="n">
        <v>7.6</v>
      </c>
      <c r="X78" t="n">
        <v>1.5</v>
      </c>
      <c r="AL78" t="n">
        <v>7.1</v>
      </c>
    </row>
    <row r="79">
      <c r="A79" s="78" t="n">
        <v>22433</v>
      </c>
      <c r="E79" t="n">
        <v>7.4</v>
      </c>
      <c r="X79" t="n">
        <v>1.5</v>
      </c>
      <c r="AL79" t="n">
        <v>6.9</v>
      </c>
    </row>
    <row r="80">
      <c r="A80" s="78" t="n">
        <v>22463</v>
      </c>
      <c r="E80" t="n">
        <v>7.2</v>
      </c>
      <c r="X80" t="n">
        <v>1.5</v>
      </c>
      <c r="AL80" t="n">
        <v>7</v>
      </c>
    </row>
    <row r="81">
      <c r="A81" s="78" t="n">
        <v>22494</v>
      </c>
      <c r="E81" t="n">
        <v>6.8</v>
      </c>
      <c r="X81" t="n">
        <v>1.4</v>
      </c>
      <c r="AL81" t="n">
        <v>6.6</v>
      </c>
    </row>
    <row r="82">
      <c r="A82" s="78" t="n">
        <v>22525</v>
      </c>
      <c r="E82" t="n">
        <v>6.9</v>
      </c>
      <c r="X82" t="n">
        <v>1.4</v>
      </c>
      <c r="AL82" t="n">
        <v>6.7</v>
      </c>
    </row>
    <row r="83">
      <c r="A83" s="78" t="n">
        <v>22555</v>
      </c>
      <c r="E83" t="n">
        <v>6.5</v>
      </c>
      <c r="X83" t="n">
        <v>1.4</v>
      </c>
      <c r="AL83" t="n">
        <v>6.5</v>
      </c>
    </row>
    <row r="84">
      <c r="A84" s="78" t="n">
        <v>22586</v>
      </c>
      <c r="E84" t="n">
        <v>6.1</v>
      </c>
      <c r="X84" t="n">
        <v>1.5</v>
      </c>
      <c r="AL84" t="n">
        <v>6.1</v>
      </c>
    </row>
    <row r="85">
      <c r="A85" s="78" t="n">
        <v>22616</v>
      </c>
      <c r="E85" t="n">
        <v>6</v>
      </c>
      <c r="X85" t="n">
        <v>1.4</v>
      </c>
      <c r="AL85" t="n">
        <v>6</v>
      </c>
    </row>
    <row r="86">
      <c r="A86" s="78" t="n">
        <v>22647</v>
      </c>
      <c r="E86" t="n">
        <v>6</v>
      </c>
      <c r="X86" t="n">
        <v>1.3</v>
      </c>
      <c r="AL86" t="n">
        <v>5.8</v>
      </c>
    </row>
    <row r="87">
      <c r="A87" s="78" t="n">
        <v>22678</v>
      </c>
      <c r="E87" t="n">
        <v>6.2</v>
      </c>
      <c r="X87" t="n">
        <v>1.3</v>
      </c>
      <c r="AL87" t="n">
        <v>5.5</v>
      </c>
    </row>
    <row r="88">
      <c r="A88" s="78" t="n">
        <v>22706</v>
      </c>
      <c r="E88" t="n">
        <v>6</v>
      </c>
      <c r="X88" t="n">
        <v>1.3</v>
      </c>
      <c r="AL88" t="n">
        <v>5.6</v>
      </c>
    </row>
    <row r="89">
      <c r="A89" s="78" t="n">
        <v>22737</v>
      </c>
      <c r="E89" t="n">
        <v>5.9</v>
      </c>
      <c r="X89" t="n">
        <v>1.4</v>
      </c>
      <c r="AL89" t="n">
        <v>5.6</v>
      </c>
    </row>
    <row r="90">
      <c r="A90" s="78" t="n">
        <v>22767</v>
      </c>
      <c r="E90" t="n">
        <v>5.6</v>
      </c>
      <c r="X90" t="n">
        <v>1.2</v>
      </c>
      <c r="AL90" t="n">
        <v>5.5</v>
      </c>
    </row>
    <row r="91">
      <c r="A91" s="78" t="n">
        <v>22798</v>
      </c>
      <c r="E91" t="n">
        <v>5.7</v>
      </c>
      <c r="X91" t="n">
        <v>1.3</v>
      </c>
      <c r="AL91" t="n">
        <v>5.5</v>
      </c>
    </row>
    <row r="92">
      <c r="A92" s="78" t="n">
        <v>22828</v>
      </c>
      <c r="E92" t="n">
        <v>6</v>
      </c>
      <c r="X92" t="n">
        <v>1.3</v>
      </c>
      <c r="AL92" t="n">
        <v>5.4</v>
      </c>
    </row>
    <row r="93">
      <c r="A93" s="78" t="n">
        <v>22859</v>
      </c>
      <c r="E93" t="n">
        <v>5.7</v>
      </c>
      <c r="X93" t="n">
        <v>1.2</v>
      </c>
      <c r="AL93" t="n">
        <v>5.7</v>
      </c>
    </row>
    <row r="94">
      <c r="A94" s="78" t="n">
        <v>22890</v>
      </c>
      <c r="E94" t="n">
        <v>5.7</v>
      </c>
      <c r="X94" t="n">
        <v>1.2</v>
      </c>
      <c r="AL94" t="n">
        <v>5.6</v>
      </c>
    </row>
    <row r="95">
      <c r="A95" s="78" t="n">
        <v>22920</v>
      </c>
      <c r="E95" t="n">
        <v>5.7</v>
      </c>
      <c r="X95" t="n">
        <v>1.4</v>
      </c>
      <c r="AL95" t="n">
        <v>5.4</v>
      </c>
    </row>
    <row r="96">
      <c r="A96" s="78" t="n">
        <v>22951</v>
      </c>
      <c r="E96" t="n">
        <v>5.9</v>
      </c>
      <c r="X96" t="n">
        <v>1.3</v>
      </c>
      <c r="AL96" t="n">
        <v>5.7</v>
      </c>
    </row>
    <row r="97">
      <c r="A97" s="78" t="n">
        <v>22981</v>
      </c>
      <c r="E97" t="n">
        <v>6</v>
      </c>
      <c r="X97" t="n">
        <v>1.3</v>
      </c>
      <c r="AL97" t="n">
        <v>5.5</v>
      </c>
    </row>
    <row r="98">
      <c r="A98" s="78" t="n">
        <v>23012</v>
      </c>
      <c r="E98" t="n">
        <v>5.9</v>
      </c>
      <c r="X98" t="n">
        <v>1.4</v>
      </c>
      <c r="AL98" t="n">
        <v>5.7</v>
      </c>
    </row>
    <row r="99">
      <c r="A99" s="78" t="n">
        <v>23043</v>
      </c>
      <c r="E99" t="n">
        <v>5.8</v>
      </c>
      <c r="X99" t="n">
        <v>1.4</v>
      </c>
      <c r="AL99" t="n">
        <v>5.9</v>
      </c>
    </row>
    <row r="100">
      <c r="A100" s="78" t="n">
        <v>23071</v>
      </c>
      <c r="E100" t="n">
        <v>5.9</v>
      </c>
      <c r="X100" t="n">
        <v>1.4</v>
      </c>
      <c r="AL100" t="n">
        <v>5.7</v>
      </c>
    </row>
    <row r="101">
      <c r="A101" s="78" t="n">
        <v>23102</v>
      </c>
      <c r="E101" t="n">
        <v>5.7</v>
      </c>
      <c r="X101" t="n">
        <v>1.2</v>
      </c>
      <c r="AL101" t="n">
        <v>5.7</v>
      </c>
    </row>
    <row r="102">
      <c r="A102" s="78" t="n">
        <v>23132</v>
      </c>
      <c r="E102" t="n">
        <v>5.7</v>
      </c>
      <c r="X102" t="n">
        <v>1.3</v>
      </c>
      <c r="AL102" t="n">
        <v>5.9</v>
      </c>
    </row>
    <row r="103">
      <c r="A103" s="78" t="n">
        <v>23163</v>
      </c>
      <c r="E103" t="n">
        <v>5.5</v>
      </c>
      <c r="X103" t="n">
        <v>1.1</v>
      </c>
      <c r="AL103" t="n">
        <v>5.6</v>
      </c>
    </row>
    <row r="104">
      <c r="A104" s="78" t="n">
        <v>23193</v>
      </c>
      <c r="E104" t="n">
        <v>5.4</v>
      </c>
      <c r="X104" t="n">
        <v>1.1</v>
      </c>
      <c r="AL104" t="n">
        <v>5.6</v>
      </c>
    </row>
    <row r="105">
      <c r="A105" s="78" t="n">
        <v>23224</v>
      </c>
      <c r="E105" t="n">
        <v>5.3</v>
      </c>
      <c r="X105" t="n">
        <v>1.2</v>
      </c>
      <c r="AL105" t="n">
        <v>5.4</v>
      </c>
    </row>
    <row r="106">
      <c r="A106" s="78" t="n">
        <v>23255</v>
      </c>
      <c r="E106" t="n">
        <v>5.3</v>
      </c>
      <c r="X106" t="n">
        <v>1.3</v>
      </c>
      <c r="AL106" t="n">
        <v>5.5</v>
      </c>
    </row>
    <row r="107">
      <c r="A107" s="78" t="n">
        <v>23285</v>
      </c>
      <c r="E107" t="n">
        <v>5.2</v>
      </c>
      <c r="X107" t="n">
        <v>1.2</v>
      </c>
      <c r="AL107" t="n">
        <v>5.5</v>
      </c>
    </row>
    <row r="108">
      <c r="A108" s="78" t="n">
        <v>23316</v>
      </c>
      <c r="E108" t="n">
        <v>5.1</v>
      </c>
      <c r="X108" t="n">
        <v>1.2</v>
      </c>
      <c r="AL108" t="n">
        <v>5.7</v>
      </c>
    </row>
    <row r="109">
      <c r="A109" s="78" t="n">
        <v>23346</v>
      </c>
      <c r="E109" t="n">
        <v>5</v>
      </c>
      <c r="X109" t="n">
        <v>1.3</v>
      </c>
      <c r="AL109" t="n">
        <v>5.5</v>
      </c>
    </row>
    <row r="110">
      <c r="A110" s="78" t="n">
        <v>23377</v>
      </c>
      <c r="E110" t="n">
        <v>4.9</v>
      </c>
      <c r="X110" t="n">
        <v>1.2</v>
      </c>
      <c r="AL110" t="n">
        <v>5.6</v>
      </c>
    </row>
    <row r="111">
      <c r="A111" s="78" t="n">
        <v>23408</v>
      </c>
      <c r="E111" t="n">
        <v>4.9</v>
      </c>
      <c r="X111" t="n">
        <v>1.3</v>
      </c>
      <c r="AL111" t="n">
        <v>5.4</v>
      </c>
    </row>
    <row r="112">
      <c r="A112" s="78" t="n">
        <v>23437</v>
      </c>
      <c r="E112" t="n">
        <v>4.8</v>
      </c>
      <c r="X112" t="n">
        <v>1.2</v>
      </c>
      <c r="AL112" t="n">
        <v>5.4</v>
      </c>
    </row>
    <row r="113">
      <c r="A113" s="78" t="n">
        <v>23468</v>
      </c>
      <c r="E113" t="n">
        <v>4.9</v>
      </c>
      <c r="X113" t="n">
        <v>1.2</v>
      </c>
      <c r="AL113" t="n">
        <v>5.3</v>
      </c>
    </row>
    <row r="114">
      <c r="A114" s="78" t="n">
        <v>23498</v>
      </c>
      <c r="E114" t="n">
        <v>4.6</v>
      </c>
      <c r="X114" t="n">
        <v>1.1</v>
      </c>
      <c r="AL114" t="n">
        <v>5.1</v>
      </c>
    </row>
    <row r="115">
      <c r="A115" s="78" t="n">
        <v>23529</v>
      </c>
      <c r="E115" t="n">
        <v>4.8</v>
      </c>
      <c r="X115" t="n">
        <v>1.2</v>
      </c>
      <c r="AL115" t="n">
        <v>5.2</v>
      </c>
    </row>
    <row r="116">
      <c r="A116" s="78" t="n">
        <v>23559</v>
      </c>
      <c r="E116" t="n">
        <v>4.6</v>
      </c>
      <c r="X116" t="n">
        <v>1.2</v>
      </c>
      <c r="AL116" t="n">
        <v>4.9</v>
      </c>
    </row>
    <row r="117">
      <c r="A117" s="78" t="n">
        <v>23590</v>
      </c>
      <c r="E117" t="n">
        <v>4.6</v>
      </c>
      <c r="X117" t="n">
        <v>1.2</v>
      </c>
      <c r="AL117" t="n">
        <v>5</v>
      </c>
    </row>
    <row r="118">
      <c r="A118" s="78" t="n">
        <v>23621</v>
      </c>
      <c r="E118" t="n">
        <v>4.5</v>
      </c>
      <c r="X118" t="n">
        <v>1.1</v>
      </c>
      <c r="AL118" t="n">
        <v>5.1</v>
      </c>
    </row>
    <row r="119">
      <c r="A119" s="78" t="n">
        <v>23651</v>
      </c>
      <c r="E119" t="n">
        <v>4.9</v>
      </c>
      <c r="X119" t="n">
        <v>1.1</v>
      </c>
      <c r="AL119" t="n">
        <v>5.1</v>
      </c>
    </row>
    <row r="120">
      <c r="A120" s="78" t="n">
        <v>23682</v>
      </c>
      <c r="E120" t="n">
        <v>4.3</v>
      </c>
      <c r="X120" t="n">
        <v>1.1</v>
      </c>
      <c r="AL120" t="n">
        <v>4.8</v>
      </c>
    </row>
    <row r="121">
      <c r="A121" s="78" t="n">
        <v>23712</v>
      </c>
      <c r="E121" t="n">
        <v>4.1</v>
      </c>
      <c r="X121" t="n">
        <v>1.1</v>
      </c>
      <c r="AL121" t="n">
        <v>5</v>
      </c>
    </row>
    <row r="122">
      <c r="A122" s="78" t="n">
        <v>23743</v>
      </c>
      <c r="E122" t="n">
        <v>4.2</v>
      </c>
      <c r="X122" t="n">
        <v>1.1</v>
      </c>
      <c r="AL122" t="n">
        <v>4.9</v>
      </c>
    </row>
    <row r="123">
      <c r="A123" s="78" t="n">
        <v>23774</v>
      </c>
      <c r="E123" t="n">
        <v>4.1</v>
      </c>
      <c r="X123" t="n">
        <v>1.2</v>
      </c>
      <c r="AL123" t="n">
        <v>5.1</v>
      </c>
    </row>
    <row r="124">
      <c r="A124" s="78" t="n">
        <v>23802</v>
      </c>
      <c r="E124" t="n">
        <v>4.1</v>
      </c>
      <c r="X124" t="n">
        <v>1.1</v>
      </c>
      <c r="AL124" t="n">
        <v>4.7</v>
      </c>
    </row>
    <row r="125">
      <c r="A125" s="78" t="n">
        <v>23833</v>
      </c>
      <c r="E125" t="n">
        <v>4.4</v>
      </c>
      <c r="X125" t="n">
        <v>1.2</v>
      </c>
      <c r="AL125" t="n">
        <v>4.8</v>
      </c>
    </row>
    <row r="126">
      <c r="A126" s="78" t="n">
        <v>23863</v>
      </c>
      <c r="E126" t="n">
        <v>4</v>
      </c>
      <c r="X126" t="n">
        <v>1.2</v>
      </c>
      <c r="AL126" t="n">
        <v>4.6</v>
      </c>
    </row>
    <row r="127">
      <c r="A127" s="78" t="n">
        <v>23894</v>
      </c>
      <c r="E127" t="n">
        <v>4.1</v>
      </c>
      <c r="X127" t="n">
        <v>1.3</v>
      </c>
      <c r="AL127" t="n">
        <v>4.6</v>
      </c>
    </row>
    <row r="128">
      <c r="A128" s="78" t="n">
        <v>23924</v>
      </c>
      <c r="E128" t="n">
        <v>3.9</v>
      </c>
      <c r="X128" t="n">
        <v>1.3</v>
      </c>
      <c r="AL128" t="n">
        <v>4.4</v>
      </c>
    </row>
    <row r="129">
      <c r="A129" s="78" t="n">
        <v>23955</v>
      </c>
      <c r="E129" t="n">
        <v>3.8</v>
      </c>
      <c r="X129" t="n">
        <v>1.2</v>
      </c>
      <c r="AL129" t="n">
        <v>4.4</v>
      </c>
    </row>
    <row r="130">
      <c r="A130" s="78" t="n">
        <v>23986</v>
      </c>
      <c r="E130" t="n">
        <v>3.6</v>
      </c>
      <c r="X130" t="n">
        <v>1.3</v>
      </c>
      <c r="AL130" t="n">
        <v>4.3</v>
      </c>
    </row>
    <row r="131">
      <c r="A131" s="78" t="n">
        <v>24016</v>
      </c>
      <c r="E131" t="n">
        <v>3.1</v>
      </c>
      <c r="X131" t="n">
        <v>1.3</v>
      </c>
      <c r="AL131" t="n">
        <v>4.2</v>
      </c>
    </row>
    <row r="132">
      <c r="A132" s="78" t="n">
        <v>24047</v>
      </c>
      <c r="E132" t="n">
        <v>3.6</v>
      </c>
      <c r="X132" t="n">
        <v>1.3</v>
      </c>
      <c r="AL132" t="n">
        <v>4.1</v>
      </c>
    </row>
    <row r="133">
      <c r="A133" s="78" t="n">
        <v>24077</v>
      </c>
      <c r="E133" t="n">
        <v>3.5</v>
      </c>
      <c r="X133" t="n">
        <v>1.3</v>
      </c>
      <c r="AL133" t="n">
        <v>4</v>
      </c>
    </row>
    <row r="134">
      <c r="A134" s="78" t="n">
        <v>24108</v>
      </c>
      <c r="E134" t="n">
        <v>3.4</v>
      </c>
      <c r="X134" t="n">
        <v>1.4</v>
      </c>
      <c r="AL134" t="n">
        <v>4</v>
      </c>
    </row>
    <row r="135">
      <c r="A135" s="78" t="n">
        <v>24139</v>
      </c>
      <c r="E135" t="n">
        <v>3.4</v>
      </c>
      <c r="X135" t="n">
        <v>1.3</v>
      </c>
      <c r="AL135" t="n">
        <v>3.8</v>
      </c>
    </row>
    <row r="136">
      <c r="A136" s="78" t="n">
        <v>24167</v>
      </c>
      <c r="E136" t="n">
        <v>3.3</v>
      </c>
      <c r="X136" t="n">
        <v>1.4</v>
      </c>
      <c r="AL136" t="n">
        <v>3.8</v>
      </c>
    </row>
    <row r="137">
      <c r="A137" s="78" t="n">
        <v>24198</v>
      </c>
      <c r="E137" t="n">
        <v>3.2</v>
      </c>
      <c r="X137" t="n">
        <v>1.3</v>
      </c>
      <c r="AL137" t="n">
        <v>3.8</v>
      </c>
    </row>
    <row r="138">
      <c r="A138" s="78" t="n">
        <v>24228</v>
      </c>
      <c r="E138" t="n">
        <v>3.2</v>
      </c>
      <c r="X138" t="n">
        <v>1.4</v>
      </c>
      <c r="AL138" t="n">
        <v>3.9</v>
      </c>
    </row>
    <row r="139">
      <c r="A139" s="78" t="n">
        <v>24259</v>
      </c>
      <c r="E139" t="n">
        <v>2.9</v>
      </c>
      <c r="X139" t="n">
        <v>1.3</v>
      </c>
      <c r="AL139" t="n">
        <v>3.8</v>
      </c>
    </row>
    <row r="140">
      <c r="A140" s="78" t="n">
        <v>24289</v>
      </c>
      <c r="E140" t="n">
        <v>3.2</v>
      </c>
      <c r="X140" t="n">
        <v>1.2</v>
      </c>
      <c r="AL140" t="n">
        <v>3.8</v>
      </c>
    </row>
    <row r="141">
      <c r="A141" s="78" t="n">
        <v>24320</v>
      </c>
      <c r="E141" t="n">
        <v>3.5</v>
      </c>
      <c r="X141" t="n">
        <v>1.3</v>
      </c>
      <c r="AL141" t="n">
        <v>3.8</v>
      </c>
    </row>
    <row r="142">
      <c r="A142" s="78" t="n">
        <v>24351</v>
      </c>
      <c r="E142" t="n">
        <v>3.6</v>
      </c>
      <c r="X142" t="n">
        <v>1.4</v>
      </c>
      <c r="AL142" t="n">
        <v>3.7</v>
      </c>
    </row>
    <row r="143">
      <c r="A143" s="78" t="n">
        <v>24381</v>
      </c>
      <c r="E143" t="n">
        <v>3.3</v>
      </c>
      <c r="X143" t="n">
        <v>1.3</v>
      </c>
      <c r="AL143" t="n">
        <v>3.7</v>
      </c>
    </row>
    <row r="144">
      <c r="A144" s="78" t="n">
        <v>24412</v>
      </c>
      <c r="E144" t="n">
        <v>3.5</v>
      </c>
      <c r="X144" t="n">
        <v>1.3</v>
      </c>
      <c r="AL144" t="n">
        <v>3.6</v>
      </c>
    </row>
    <row r="145">
      <c r="A145" s="78" t="n">
        <v>24442</v>
      </c>
      <c r="E145" t="n">
        <v>3.4</v>
      </c>
      <c r="X145" t="n">
        <v>1.2</v>
      </c>
      <c r="AL145" t="n">
        <v>3.8</v>
      </c>
    </row>
    <row r="146">
      <c r="A146" s="78" t="n">
        <v>24473</v>
      </c>
      <c r="E146" t="n">
        <v>3.6</v>
      </c>
      <c r="X146" t="n">
        <v>1.2</v>
      </c>
      <c r="AL146" t="n">
        <v>3.9</v>
      </c>
    </row>
    <row r="147">
      <c r="A147" s="78" t="n">
        <v>24504</v>
      </c>
      <c r="E147" t="n">
        <v>3.7</v>
      </c>
      <c r="X147" t="n">
        <v>1.1</v>
      </c>
      <c r="AL147" t="n">
        <v>3.8</v>
      </c>
    </row>
    <row r="148">
      <c r="A148" s="78" t="n">
        <v>24532</v>
      </c>
      <c r="E148" t="n">
        <v>3.8</v>
      </c>
      <c r="X148" t="n">
        <v>1.6</v>
      </c>
      <c r="AL148" t="n">
        <v>3.8</v>
      </c>
    </row>
    <row r="149">
      <c r="A149" s="78" t="n">
        <v>24563</v>
      </c>
      <c r="E149" t="n">
        <v>3.9</v>
      </c>
      <c r="X149" t="n">
        <v>1.3</v>
      </c>
      <c r="AL149" t="n">
        <v>3.8</v>
      </c>
    </row>
    <row r="150">
      <c r="A150" s="78" t="n">
        <v>24593</v>
      </c>
      <c r="E150" t="n">
        <v>3.7</v>
      </c>
      <c r="X150" t="n">
        <v>1.2</v>
      </c>
      <c r="AL150" t="n">
        <v>3.8</v>
      </c>
    </row>
    <row r="151">
      <c r="A151" s="78" t="n">
        <v>24624</v>
      </c>
      <c r="E151" t="n">
        <v>3.6</v>
      </c>
      <c r="X151" t="n">
        <v>1.3</v>
      </c>
      <c r="AL151" t="n">
        <v>3.9</v>
      </c>
    </row>
    <row r="152">
      <c r="A152" s="78" t="n">
        <v>24654</v>
      </c>
      <c r="E152" t="n">
        <v>3.7</v>
      </c>
      <c r="X152" t="n">
        <v>1.2</v>
      </c>
      <c r="AL152" t="n">
        <v>3.8</v>
      </c>
    </row>
    <row r="153">
      <c r="A153" s="78" t="n">
        <v>24685</v>
      </c>
      <c r="E153" t="n">
        <v>3.6</v>
      </c>
      <c r="X153" t="n">
        <v>1.2</v>
      </c>
      <c r="AL153" t="n">
        <v>3.8</v>
      </c>
    </row>
    <row r="154">
      <c r="A154" s="78" t="n">
        <v>24716</v>
      </c>
      <c r="E154" t="n">
        <v>3.7</v>
      </c>
      <c r="X154" t="n">
        <v>1.1</v>
      </c>
      <c r="AL154" t="n">
        <v>3.8</v>
      </c>
    </row>
    <row r="155">
      <c r="A155" s="78" t="n">
        <v>24746</v>
      </c>
      <c r="E155" t="n">
        <v>4.1</v>
      </c>
      <c r="X155" t="n">
        <v>1.2</v>
      </c>
      <c r="AL155" t="n">
        <v>4</v>
      </c>
    </row>
    <row r="156">
      <c r="A156" s="78" t="n">
        <v>24777</v>
      </c>
      <c r="E156" t="n">
        <v>4</v>
      </c>
      <c r="X156" t="n">
        <v>1.3</v>
      </c>
      <c r="AL156" t="n">
        <v>3.9</v>
      </c>
    </row>
    <row r="157">
      <c r="A157" s="78" t="n">
        <v>24807</v>
      </c>
      <c r="E157" t="n">
        <v>4.4</v>
      </c>
      <c r="X157" t="n">
        <v>1.3</v>
      </c>
      <c r="AL157" t="n">
        <v>3.8</v>
      </c>
    </row>
    <row r="158">
      <c r="A158" s="78" t="n">
        <v>24838</v>
      </c>
      <c r="E158" t="n">
        <v>4.3</v>
      </c>
      <c r="X158" t="n">
        <v>1.3</v>
      </c>
      <c r="AL158" t="n">
        <v>3.7</v>
      </c>
    </row>
    <row r="159">
      <c r="A159" s="78" t="n">
        <v>24869</v>
      </c>
      <c r="E159" t="n">
        <v>4.4</v>
      </c>
      <c r="X159" t="n">
        <v>1.3</v>
      </c>
      <c r="AL159" t="n">
        <v>3.8</v>
      </c>
    </row>
    <row r="160">
      <c r="A160" s="78" t="n">
        <v>24898</v>
      </c>
      <c r="E160" t="n">
        <v>4.6</v>
      </c>
      <c r="X160" t="n">
        <v>1.2</v>
      </c>
      <c r="AL160" t="n">
        <v>3.7</v>
      </c>
    </row>
    <row r="161">
      <c r="A161" s="78" t="n">
        <v>24929</v>
      </c>
      <c r="E161" t="n">
        <v>4.5</v>
      </c>
      <c r="X161" t="n">
        <v>1.2</v>
      </c>
      <c r="AL161" t="n">
        <v>3.5</v>
      </c>
    </row>
    <row r="162">
      <c r="A162" s="78" t="n">
        <v>24959</v>
      </c>
      <c r="E162" t="n">
        <v>4.4</v>
      </c>
      <c r="X162" t="n">
        <v>1.2</v>
      </c>
      <c r="AL162" t="n">
        <v>3.5</v>
      </c>
    </row>
    <row r="163">
      <c r="A163" s="78" t="n">
        <v>24990</v>
      </c>
      <c r="E163" t="n">
        <v>4.7</v>
      </c>
      <c r="X163" t="n">
        <v>1.1</v>
      </c>
      <c r="AL163" t="n">
        <v>3.7</v>
      </c>
    </row>
    <row r="164">
      <c r="A164" s="78" t="n">
        <v>25020</v>
      </c>
      <c r="E164" t="n">
        <v>4.7</v>
      </c>
      <c r="X164" t="n">
        <v>1.3</v>
      </c>
      <c r="AL164" t="n">
        <v>3.7</v>
      </c>
    </row>
    <row r="165">
      <c r="A165" s="78" t="n">
        <v>25051</v>
      </c>
      <c r="E165" t="n">
        <v>4.6</v>
      </c>
      <c r="X165" t="n">
        <v>1.2</v>
      </c>
      <c r="AL165" t="n">
        <v>3.5</v>
      </c>
    </row>
    <row r="166">
      <c r="A166" s="78" t="n">
        <v>25082</v>
      </c>
      <c r="E166" t="n">
        <v>4.3</v>
      </c>
      <c r="X166" t="n">
        <v>1.1</v>
      </c>
      <c r="AL166" t="n">
        <v>3.4</v>
      </c>
    </row>
    <row r="167">
      <c r="A167" s="78" t="n">
        <v>25112</v>
      </c>
      <c r="E167" t="n">
        <v>4.4</v>
      </c>
      <c r="X167" t="n">
        <v>1.1</v>
      </c>
      <c r="AL167" t="n">
        <v>3.4</v>
      </c>
    </row>
    <row r="168">
      <c r="A168" s="78" t="n">
        <v>25143</v>
      </c>
      <c r="E168" t="n">
        <v>4.5</v>
      </c>
      <c r="X168" t="n">
        <v>1</v>
      </c>
      <c r="AL168" t="n">
        <v>3.4</v>
      </c>
    </row>
    <row r="169">
      <c r="A169" s="78" t="n">
        <v>25173</v>
      </c>
      <c r="E169" t="n">
        <v>4.5</v>
      </c>
      <c r="X169" t="n">
        <v>1.1</v>
      </c>
      <c r="AL169" t="n">
        <v>3.4</v>
      </c>
    </row>
    <row r="170">
      <c r="A170" s="78" t="n">
        <v>25204</v>
      </c>
      <c r="E170" t="n">
        <v>4.3</v>
      </c>
      <c r="X170" t="n">
        <v>1.1</v>
      </c>
      <c r="AL170" t="n">
        <v>3.4</v>
      </c>
    </row>
    <row r="171">
      <c r="A171" s="78" t="n">
        <v>25235</v>
      </c>
      <c r="E171" t="n">
        <v>4.3</v>
      </c>
      <c r="X171" t="n">
        <v>1.2</v>
      </c>
      <c r="AL171" t="n">
        <v>3.4</v>
      </c>
    </row>
    <row r="172">
      <c r="A172" s="78" t="n">
        <v>25263</v>
      </c>
      <c r="E172" t="n">
        <v>4.2</v>
      </c>
      <c r="X172" t="n">
        <v>1.1</v>
      </c>
      <c r="AL172" t="n">
        <v>3.4</v>
      </c>
    </row>
    <row r="173">
      <c r="A173" s="78" t="n">
        <v>25294</v>
      </c>
      <c r="E173" t="n">
        <v>4.3</v>
      </c>
      <c r="X173" t="n">
        <v>1.1</v>
      </c>
      <c r="AL173" t="n">
        <v>3.4</v>
      </c>
    </row>
    <row r="174">
      <c r="A174" s="78" t="n">
        <v>25324</v>
      </c>
      <c r="E174" t="n">
        <v>4.4</v>
      </c>
      <c r="X174" t="n">
        <v>1.2</v>
      </c>
      <c r="AL174" t="n">
        <v>3.4</v>
      </c>
    </row>
    <row r="175">
      <c r="A175" s="78" t="n">
        <v>25355</v>
      </c>
      <c r="E175" t="n">
        <v>4.4</v>
      </c>
      <c r="X175" t="n">
        <v>1.3</v>
      </c>
      <c r="AL175" t="n">
        <v>3.5</v>
      </c>
    </row>
    <row r="176">
      <c r="A176" s="78" t="n">
        <v>25385</v>
      </c>
      <c r="E176" t="n">
        <v>4.3</v>
      </c>
      <c r="X176" t="n">
        <v>1.2</v>
      </c>
      <c r="AL176" t="n">
        <v>3.5</v>
      </c>
    </row>
    <row r="177">
      <c r="A177" s="78" t="n">
        <v>25416</v>
      </c>
      <c r="E177" t="n">
        <v>4.5</v>
      </c>
      <c r="X177" t="n">
        <v>1.1</v>
      </c>
      <c r="AL177" t="n">
        <v>3.5</v>
      </c>
    </row>
    <row r="178">
      <c r="A178" s="78" t="n">
        <v>25447</v>
      </c>
      <c r="E178" t="n">
        <v>4.4</v>
      </c>
      <c r="X178" t="n">
        <v>1.1</v>
      </c>
      <c r="AL178" t="n">
        <v>3.7</v>
      </c>
    </row>
    <row r="179">
      <c r="A179" s="78" t="n">
        <v>25477</v>
      </c>
      <c r="E179" t="n">
        <v>4.7</v>
      </c>
      <c r="X179" t="n">
        <v>1.1</v>
      </c>
      <c r="AL179" t="n">
        <v>3.7</v>
      </c>
    </row>
    <row r="180">
      <c r="A180" s="78" t="n">
        <v>25508</v>
      </c>
      <c r="E180" t="n">
        <v>4.6</v>
      </c>
      <c r="X180" t="n">
        <v>1</v>
      </c>
      <c r="AL180" t="n">
        <v>3.5</v>
      </c>
    </row>
    <row r="181">
      <c r="A181" s="78" t="n">
        <v>25538</v>
      </c>
      <c r="E181" t="n">
        <v>4.5</v>
      </c>
      <c r="X181" t="n">
        <v>1.1</v>
      </c>
      <c r="AL181" t="n">
        <v>3.5</v>
      </c>
    </row>
    <row r="182">
      <c r="A182" s="78" t="n">
        <v>25569</v>
      </c>
      <c r="E182" t="n">
        <v>4.5</v>
      </c>
      <c r="X182" t="n">
        <v>1.1</v>
      </c>
      <c r="AL182" t="n">
        <v>3.9</v>
      </c>
    </row>
    <row r="183">
      <c r="A183" s="78" t="n">
        <v>25600</v>
      </c>
      <c r="E183" t="n">
        <v>4.9</v>
      </c>
      <c r="X183" t="n">
        <v>1.1</v>
      </c>
      <c r="AL183" t="n">
        <v>4.2</v>
      </c>
    </row>
    <row r="184">
      <c r="A184" s="78" t="n">
        <v>25628</v>
      </c>
      <c r="E184" t="n">
        <v>5.2</v>
      </c>
      <c r="X184" t="n">
        <v>1</v>
      </c>
      <c r="AL184" t="n">
        <v>4.4</v>
      </c>
    </row>
    <row r="185">
      <c r="A185" s="78" t="n">
        <v>25659</v>
      </c>
      <c r="E185" t="n">
        <v>5.4</v>
      </c>
      <c r="X185" t="n">
        <v>1.2</v>
      </c>
      <c r="AL185" t="n">
        <v>4.6</v>
      </c>
    </row>
    <row r="186">
      <c r="A186" s="78" t="n">
        <v>25689</v>
      </c>
      <c r="E186" t="n">
        <v>5.8</v>
      </c>
      <c r="X186" t="n">
        <v>1.1</v>
      </c>
      <c r="AL186" t="n">
        <v>4.8</v>
      </c>
    </row>
    <row r="187">
      <c r="A187" s="78" t="n">
        <v>25720</v>
      </c>
      <c r="E187" t="n">
        <v>6.1</v>
      </c>
      <c r="X187" t="n">
        <v>1.1</v>
      </c>
      <c r="AL187" t="n">
        <v>4.9</v>
      </c>
    </row>
    <row r="188">
      <c r="A188" s="78" t="n">
        <v>25750</v>
      </c>
      <c r="E188" t="n">
        <v>6.4</v>
      </c>
      <c r="X188" t="n">
        <v>1.2</v>
      </c>
      <c r="AL188" t="n">
        <v>5</v>
      </c>
    </row>
    <row r="189">
      <c r="A189" s="78" t="n">
        <v>25781</v>
      </c>
      <c r="E189" t="n">
        <v>6.1</v>
      </c>
      <c r="X189" t="n">
        <v>1.2</v>
      </c>
      <c r="AL189" t="n">
        <v>5.1</v>
      </c>
    </row>
    <row r="190">
      <c r="A190" s="78" t="n">
        <v>25812</v>
      </c>
      <c r="E190" t="n">
        <v>6</v>
      </c>
      <c r="X190" t="n">
        <v>1.3</v>
      </c>
      <c r="AL190" t="n">
        <v>5.4</v>
      </c>
    </row>
    <row r="191">
      <c r="A191" s="78" t="n">
        <v>25842</v>
      </c>
      <c r="E191" t="n">
        <v>6</v>
      </c>
      <c r="X191" t="n">
        <v>1.3</v>
      </c>
      <c r="AL191" t="n">
        <v>5.5</v>
      </c>
    </row>
    <row r="192">
      <c r="A192" s="78" t="n">
        <v>25873</v>
      </c>
      <c r="E192" t="n">
        <v>6.1</v>
      </c>
      <c r="X192" t="n">
        <v>1.3</v>
      </c>
      <c r="AL192" t="n">
        <v>5.9</v>
      </c>
    </row>
    <row r="193">
      <c r="A193" s="78" t="n">
        <v>25903</v>
      </c>
      <c r="E193" t="n">
        <v>6.2</v>
      </c>
      <c r="X193" t="n">
        <v>1.2</v>
      </c>
      <c r="AL193" t="n">
        <v>6.1</v>
      </c>
    </row>
    <row r="194">
      <c r="A194" s="78" t="n">
        <v>25934</v>
      </c>
      <c r="E194" t="n">
        <v>6.2</v>
      </c>
      <c r="X194" t="n">
        <v>1.1</v>
      </c>
      <c r="AL194" t="n">
        <v>5.9</v>
      </c>
    </row>
    <row r="195">
      <c r="A195" s="78" t="n">
        <v>25965</v>
      </c>
      <c r="E195" t="n">
        <v>6.3</v>
      </c>
      <c r="X195" t="n">
        <v>1.2</v>
      </c>
      <c r="AL195" t="n">
        <v>5.9</v>
      </c>
    </row>
    <row r="196">
      <c r="A196" s="78" t="n">
        <v>25993</v>
      </c>
      <c r="E196" t="n">
        <v>6.2</v>
      </c>
      <c r="X196" t="n">
        <v>1.2</v>
      </c>
      <c r="AL196" t="n">
        <v>6</v>
      </c>
    </row>
    <row r="197">
      <c r="A197" s="78" t="n">
        <v>26024</v>
      </c>
      <c r="E197" t="n">
        <v>6.6</v>
      </c>
      <c r="X197" t="n">
        <v>1.2</v>
      </c>
      <c r="AL197" t="n">
        <v>5.9</v>
      </c>
    </row>
    <row r="198">
      <c r="A198" s="78" t="n">
        <v>26054</v>
      </c>
      <c r="E198" t="n">
        <v>6.1</v>
      </c>
      <c r="X198" t="n">
        <v>1.2</v>
      </c>
      <c r="AL198" t="n">
        <v>5.9</v>
      </c>
    </row>
    <row r="199">
      <c r="A199" s="78" t="n">
        <v>26085</v>
      </c>
      <c r="E199" t="n">
        <v>6.1</v>
      </c>
      <c r="X199" t="n">
        <v>1.2</v>
      </c>
      <c r="AL199" t="n">
        <v>5.9</v>
      </c>
    </row>
    <row r="200">
      <c r="A200" s="78" t="n">
        <v>26115</v>
      </c>
      <c r="E200" t="n">
        <v>6.1</v>
      </c>
      <c r="X200" t="n">
        <v>1.2</v>
      </c>
      <c r="AL200" t="n">
        <v>6</v>
      </c>
    </row>
    <row r="201">
      <c r="A201" s="78" t="n">
        <v>26146</v>
      </c>
      <c r="E201" t="n">
        <v>6</v>
      </c>
      <c r="X201" t="n">
        <v>1.3</v>
      </c>
      <c r="AL201" t="n">
        <v>6.1</v>
      </c>
    </row>
    <row r="202">
      <c r="A202" s="78" t="n">
        <v>26177</v>
      </c>
      <c r="E202" t="n">
        <v>6.2</v>
      </c>
      <c r="X202" t="n">
        <v>1.2</v>
      </c>
      <c r="AL202" t="n">
        <v>6</v>
      </c>
    </row>
    <row r="203">
      <c r="A203" s="78" t="n">
        <v>26207</v>
      </c>
      <c r="E203" t="n">
        <v>6.3</v>
      </c>
      <c r="X203" t="n">
        <v>1.3</v>
      </c>
      <c r="AL203" t="n">
        <v>5.8</v>
      </c>
    </row>
    <row r="204">
      <c r="A204" s="78" t="n">
        <v>26238</v>
      </c>
      <c r="E204" t="n">
        <v>6.2</v>
      </c>
      <c r="X204" t="n">
        <v>1.3</v>
      </c>
      <c r="AL204" t="n">
        <v>6</v>
      </c>
    </row>
    <row r="205">
      <c r="A205" s="78" t="n">
        <v>26268</v>
      </c>
      <c r="E205" t="n">
        <v>5.9</v>
      </c>
      <c r="X205" t="n">
        <v>1.4</v>
      </c>
      <c r="AL205" t="n">
        <v>6</v>
      </c>
    </row>
    <row r="206">
      <c r="A206" s="78" t="n">
        <v>26299</v>
      </c>
      <c r="E206" t="n">
        <v>6</v>
      </c>
      <c r="X206" t="n">
        <v>1.4</v>
      </c>
      <c r="AL206" t="n">
        <v>5.8</v>
      </c>
    </row>
    <row r="207">
      <c r="A207" s="78" t="n">
        <v>26330</v>
      </c>
      <c r="E207" t="n">
        <v>5.8</v>
      </c>
      <c r="X207" t="n">
        <v>1.4</v>
      </c>
      <c r="AL207" t="n">
        <v>5.7</v>
      </c>
    </row>
    <row r="208">
      <c r="A208" s="78" t="n">
        <v>26359</v>
      </c>
      <c r="E208" t="n">
        <v>6.1</v>
      </c>
      <c r="X208" t="n">
        <v>1.4</v>
      </c>
      <c r="AL208" t="n">
        <v>5.8</v>
      </c>
    </row>
    <row r="209">
      <c r="A209" s="78" t="n">
        <v>26390</v>
      </c>
      <c r="E209" t="n">
        <v>5.8</v>
      </c>
      <c r="X209" t="n">
        <v>1.4</v>
      </c>
      <c r="AL209" t="n">
        <v>5.7</v>
      </c>
    </row>
    <row r="210">
      <c r="A210" s="78" t="n">
        <v>26420</v>
      </c>
      <c r="E210" t="n">
        <v>6.1</v>
      </c>
      <c r="X210" t="n">
        <v>1.4</v>
      </c>
      <c r="AL210" t="n">
        <v>5.7</v>
      </c>
    </row>
    <row r="211">
      <c r="A211" s="78" t="n">
        <v>26451</v>
      </c>
      <c r="E211" t="n">
        <v>6.3</v>
      </c>
      <c r="X211" t="n">
        <v>1.4</v>
      </c>
      <c r="AL211" t="n">
        <v>5.7</v>
      </c>
    </row>
    <row r="212">
      <c r="A212" s="78" t="n">
        <v>26481</v>
      </c>
      <c r="E212" t="n">
        <v>6.3</v>
      </c>
      <c r="X212" t="n">
        <v>1.4</v>
      </c>
      <c r="AL212" t="n">
        <v>5.6</v>
      </c>
    </row>
    <row r="213">
      <c r="A213" s="78" t="n">
        <v>26512</v>
      </c>
      <c r="E213" t="n">
        <v>6.4</v>
      </c>
      <c r="X213" t="n">
        <v>1.4</v>
      </c>
      <c r="AL213" t="n">
        <v>5.6</v>
      </c>
    </row>
    <row r="214">
      <c r="A214" s="78" t="n">
        <v>26543</v>
      </c>
      <c r="E214" t="n">
        <v>6.4</v>
      </c>
      <c r="X214" t="n">
        <v>1.5</v>
      </c>
      <c r="AL214" t="n">
        <v>5.5</v>
      </c>
    </row>
    <row r="215">
      <c r="A215" s="78" t="n">
        <v>26573</v>
      </c>
      <c r="E215" t="n">
        <v>6.6</v>
      </c>
      <c r="X215" t="n">
        <v>1.4</v>
      </c>
      <c r="AL215" t="n">
        <v>5.6</v>
      </c>
    </row>
    <row r="216">
      <c r="A216" s="78" t="n">
        <v>26604</v>
      </c>
      <c r="E216" t="n">
        <v>6.4</v>
      </c>
      <c r="X216" t="n">
        <v>1.4</v>
      </c>
      <c r="AL216" t="n">
        <v>5.3</v>
      </c>
    </row>
    <row r="217">
      <c r="A217" s="78" t="n">
        <v>26634</v>
      </c>
      <c r="E217" t="n">
        <v>6.4</v>
      </c>
      <c r="X217" t="n">
        <v>1.4</v>
      </c>
      <c r="AL217" t="n">
        <v>5.2</v>
      </c>
    </row>
    <row r="218">
      <c r="A218" s="78" t="n">
        <v>26665</v>
      </c>
      <c r="E218" t="n">
        <v>6.1</v>
      </c>
      <c r="X218" t="n">
        <v>1.3</v>
      </c>
      <c r="AL218" t="n">
        <v>4.9</v>
      </c>
    </row>
    <row r="219">
      <c r="A219" s="78" t="n">
        <v>26696</v>
      </c>
      <c r="E219" t="n">
        <v>5.9</v>
      </c>
      <c r="X219" t="n">
        <v>1.2</v>
      </c>
      <c r="AL219" t="n">
        <v>5</v>
      </c>
    </row>
    <row r="220">
      <c r="A220" s="78" t="n">
        <v>26724</v>
      </c>
      <c r="E220" t="n">
        <v>5.6</v>
      </c>
      <c r="X220" t="n">
        <v>1.2</v>
      </c>
      <c r="AL220" t="n">
        <v>4.9</v>
      </c>
    </row>
    <row r="221">
      <c r="A221" s="78" t="n">
        <v>26755</v>
      </c>
      <c r="E221" t="n">
        <v>5.5</v>
      </c>
      <c r="X221" t="n">
        <v>1.3</v>
      </c>
      <c r="AL221" t="n">
        <v>5</v>
      </c>
    </row>
    <row r="222">
      <c r="A222" s="78" t="n">
        <v>26785</v>
      </c>
      <c r="E222" t="n">
        <v>5.3</v>
      </c>
      <c r="X222" t="n">
        <v>1.4</v>
      </c>
      <c r="AL222" t="n">
        <v>4.9</v>
      </c>
    </row>
    <row r="223">
      <c r="A223" s="78" t="n">
        <v>26816</v>
      </c>
      <c r="E223" t="n">
        <v>5.4</v>
      </c>
      <c r="X223" t="n">
        <v>1.4</v>
      </c>
      <c r="AL223" t="n">
        <v>4.9</v>
      </c>
    </row>
    <row r="224">
      <c r="A224" s="78" t="n">
        <v>26846</v>
      </c>
      <c r="E224" t="n">
        <v>5.3</v>
      </c>
      <c r="X224" t="n">
        <v>1.3</v>
      </c>
      <c r="AL224" t="n">
        <v>4.8</v>
      </c>
    </row>
    <row r="225">
      <c r="A225" s="78" t="n">
        <v>26877</v>
      </c>
      <c r="E225" t="n">
        <v>5.3</v>
      </c>
      <c r="X225" t="n">
        <v>1.2</v>
      </c>
      <c r="AL225" t="n">
        <v>4.8</v>
      </c>
    </row>
    <row r="226">
      <c r="A226" s="78" t="n">
        <v>26908</v>
      </c>
      <c r="E226" t="n">
        <v>5.6</v>
      </c>
      <c r="X226" t="n">
        <v>1.3</v>
      </c>
      <c r="AL226" t="n">
        <v>4.8</v>
      </c>
    </row>
    <row r="227">
      <c r="A227" s="78" t="n">
        <v>26938</v>
      </c>
      <c r="E227" t="n">
        <v>5.7</v>
      </c>
      <c r="X227" t="n">
        <v>1.1</v>
      </c>
      <c r="AL227" t="n">
        <v>4.6</v>
      </c>
    </row>
    <row r="228">
      <c r="A228" s="78" t="n">
        <v>26969</v>
      </c>
      <c r="E228" t="n">
        <v>5.5</v>
      </c>
      <c r="X228" t="n">
        <v>1.2</v>
      </c>
      <c r="AL228" t="n">
        <v>4.8</v>
      </c>
    </row>
    <row r="229">
      <c r="A229" s="78" t="n">
        <v>26999</v>
      </c>
      <c r="E229" t="n">
        <v>5.4</v>
      </c>
      <c r="X229" t="n">
        <v>1.1</v>
      </c>
      <c r="AL229" t="n">
        <v>4.9</v>
      </c>
    </row>
    <row r="230">
      <c r="A230" s="78" t="n">
        <v>27030</v>
      </c>
      <c r="E230" t="n">
        <v>5.3</v>
      </c>
      <c r="X230" t="n">
        <v>1.2</v>
      </c>
      <c r="AL230" t="n">
        <v>5.1</v>
      </c>
    </row>
    <row r="231">
      <c r="A231" s="78" t="n">
        <v>27061</v>
      </c>
      <c r="E231" t="n">
        <v>5.2</v>
      </c>
      <c r="X231" t="n">
        <v>1.3</v>
      </c>
      <c r="AL231" t="n">
        <v>5.2</v>
      </c>
    </row>
    <row r="232">
      <c r="A232" s="78" t="n">
        <v>27089</v>
      </c>
      <c r="E232" t="n">
        <v>5.2</v>
      </c>
      <c r="X232" t="n">
        <v>1.4</v>
      </c>
      <c r="AL232" t="n">
        <v>5.1</v>
      </c>
    </row>
    <row r="233">
      <c r="A233" s="78" t="n">
        <v>27120</v>
      </c>
      <c r="E233" t="n">
        <v>5.2</v>
      </c>
      <c r="X233" t="n">
        <v>1.3</v>
      </c>
      <c r="AL233" t="n">
        <v>5.1</v>
      </c>
    </row>
    <row r="234">
      <c r="A234" s="78" t="n">
        <v>27150</v>
      </c>
      <c r="E234" t="n">
        <v>5.4</v>
      </c>
      <c r="X234" t="n">
        <v>1.3</v>
      </c>
      <c r="AL234" t="n">
        <v>5.1</v>
      </c>
    </row>
    <row r="235">
      <c r="A235" s="78" t="n">
        <v>27181</v>
      </c>
      <c r="E235" t="n">
        <v>5</v>
      </c>
      <c r="X235" t="n">
        <v>1.3</v>
      </c>
      <c r="AL235" t="n">
        <v>5.4</v>
      </c>
    </row>
    <row r="236">
      <c r="A236" s="78" t="n">
        <v>27211</v>
      </c>
      <c r="E236" t="n">
        <v>5.1</v>
      </c>
      <c r="X236" t="n">
        <v>1.3</v>
      </c>
      <c r="AL236" t="n">
        <v>5.5</v>
      </c>
    </row>
    <row r="237">
      <c r="A237" s="78" t="n">
        <v>27242</v>
      </c>
      <c r="E237" t="n">
        <v>5.3</v>
      </c>
      <c r="X237" t="n">
        <v>1.5</v>
      </c>
      <c r="AL237" t="n">
        <v>5.5</v>
      </c>
    </row>
    <row r="238">
      <c r="A238" s="78" t="n">
        <v>27273</v>
      </c>
      <c r="E238" t="n">
        <v>5.4</v>
      </c>
      <c r="X238" t="n">
        <v>1.4</v>
      </c>
      <c r="AL238" t="n">
        <v>5.9</v>
      </c>
    </row>
    <row r="239">
      <c r="A239" s="78" t="n">
        <v>27303</v>
      </c>
      <c r="E239" t="n">
        <v>5.4</v>
      </c>
      <c r="X239" t="n">
        <v>1.6</v>
      </c>
      <c r="AL239" t="n">
        <v>6</v>
      </c>
    </row>
    <row r="240">
      <c r="A240" s="78" t="n">
        <v>27334</v>
      </c>
      <c r="E240" t="n">
        <v>5.6</v>
      </c>
      <c r="X240" t="n">
        <v>1.5</v>
      </c>
      <c r="AL240" t="n">
        <v>6.6</v>
      </c>
    </row>
    <row r="241">
      <c r="A241" s="78" t="n">
        <v>27364</v>
      </c>
      <c r="E241" t="n">
        <v>6</v>
      </c>
      <c r="X241" t="n">
        <v>1.7</v>
      </c>
      <c r="AL241" t="n">
        <v>7.2</v>
      </c>
    </row>
    <row r="242">
      <c r="A242" s="78" t="n">
        <v>27395</v>
      </c>
      <c r="E242" t="n">
        <v>6.9</v>
      </c>
      <c r="X242" t="n">
        <v>1.7</v>
      </c>
      <c r="AL242" t="n">
        <v>8.1</v>
      </c>
    </row>
    <row r="243">
      <c r="A243" s="78" t="n">
        <v>27426</v>
      </c>
      <c r="E243" t="n">
        <v>6.6</v>
      </c>
      <c r="X243" t="n">
        <v>1.8</v>
      </c>
      <c r="AL243" t="n">
        <v>8.1</v>
      </c>
    </row>
    <row r="244">
      <c r="A244" s="78" t="n">
        <v>27454</v>
      </c>
      <c r="E244" t="n">
        <v>6.6</v>
      </c>
      <c r="X244" t="n">
        <v>1.8</v>
      </c>
      <c r="AL244" t="n">
        <v>8.6</v>
      </c>
    </row>
    <row r="245">
      <c r="A245" s="78" t="n">
        <v>27485</v>
      </c>
      <c r="E245" t="n">
        <v>6.5</v>
      </c>
      <c r="X245" t="n">
        <v>1.8</v>
      </c>
      <c r="AL245" t="n">
        <v>8.800000000000001</v>
      </c>
    </row>
    <row r="246">
      <c r="A246" s="78" t="n">
        <v>27515</v>
      </c>
      <c r="E246" t="n">
        <v>7</v>
      </c>
      <c r="X246" t="n">
        <v>1.8</v>
      </c>
      <c r="AL246" t="n">
        <v>9</v>
      </c>
    </row>
    <row r="247">
      <c r="A247" s="78" t="n">
        <v>27546</v>
      </c>
      <c r="E247" t="n">
        <v>7</v>
      </c>
      <c r="X247" t="n">
        <v>1.8</v>
      </c>
      <c r="AL247" t="n">
        <v>8.800000000000001</v>
      </c>
    </row>
    <row r="248">
      <c r="A248" s="78" t="n">
        <v>27576</v>
      </c>
      <c r="E248" t="n">
        <v>6.9</v>
      </c>
      <c r="X248" t="n">
        <v>1.8</v>
      </c>
      <c r="AL248" t="n">
        <v>8.6</v>
      </c>
    </row>
    <row r="249">
      <c r="A249" s="78" t="n">
        <v>27607</v>
      </c>
      <c r="E249" t="n">
        <v>7.1</v>
      </c>
      <c r="X249" t="n">
        <v>1.9</v>
      </c>
      <c r="AL249" t="n">
        <v>8.4</v>
      </c>
    </row>
    <row r="250">
      <c r="A250" s="78" t="n">
        <v>27638</v>
      </c>
      <c r="E250" t="n">
        <v>6.9</v>
      </c>
      <c r="X250" t="n">
        <v>2</v>
      </c>
      <c r="AL250" t="n">
        <v>8.4</v>
      </c>
    </row>
    <row r="251">
      <c r="A251" s="78" t="n">
        <v>27668</v>
      </c>
      <c r="E251" t="n">
        <v>7.2</v>
      </c>
      <c r="X251" t="n">
        <v>2.1</v>
      </c>
      <c r="AL251" t="n">
        <v>8.4</v>
      </c>
    </row>
    <row r="252">
      <c r="A252" s="78" t="n">
        <v>27699</v>
      </c>
      <c r="E252" t="n">
        <v>7.2</v>
      </c>
      <c r="X252" t="n">
        <v>2.1</v>
      </c>
      <c r="AL252" t="n">
        <v>8.300000000000001</v>
      </c>
    </row>
    <row r="253">
      <c r="A253" s="78" t="n">
        <v>27729</v>
      </c>
      <c r="E253" t="n">
        <v>7</v>
      </c>
      <c r="X253" t="n">
        <v>2.1</v>
      </c>
      <c r="AL253" t="n">
        <v>8.199999999999999</v>
      </c>
    </row>
    <row r="254">
      <c r="A254" s="78" t="n">
        <v>27760</v>
      </c>
      <c r="E254" t="n">
        <v>7.1</v>
      </c>
      <c r="X254" t="n">
        <v>2.1</v>
      </c>
      <c r="AL254" t="n">
        <v>7.9</v>
      </c>
    </row>
    <row r="255">
      <c r="A255" s="78" t="n">
        <v>27791</v>
      </c>
      <c r="E255" t="n">
        <v>7</v>
      </c>
      <c r="X255" t="n">
        <v>2</v>
      </c>
      <c r="AL255" t="n">
        <v>7.7</v>
      </c>
    </row>
    <row r="256">
      <c r="A256" s="78" t="n">
        <v>27820</v>
      </c>
      <c r="E256" t="n">
        <v>6.7</v>
      </c>
      <c r="X256" t="n">
        <v>2</v>
      </c>
      <c r="AL256" t="n">
        <v>7.6</v>
      </c>
    </row>
    <row r="257">
      <c r="A257" s="78" t="n">
        <v>27851</v>
      </c>
      <c r="E257" t="n">
        <v>6.8</v>
      </c>
      <c r="X257" t="n">
        <v>2.1</v>
      </c>
      <c r="AL257" t="n">
        <v>7.7</v>
      </c>
    </row>
    <row r="258">
      <c r="A258" s="78" t="n">
        <v>27881</v>
      </c>
      <c r="E258" t="n">
        <v>6.9</v>
      </c>
      <c r="X258" t="n">
        <v>2.1</v>
      </c>
      <c r="AL258" t="n">
        <v>7.4</v>
      </c>
    </row>
    <row r="259">
      <c r="A259" s="78" t="n">
        <v>27912</v>
      </c>
      <c r="E259" t="n">
        <v>6.9</v>
      </c>
      <c r="X259" t="n">
        <v>2</v>
      </c>
      <c r="AL259" t="n">
        <v>7.6</v>
      </c>
    </row>
    <row r="260">
      <c r="A260" s="78" t="n">
        <v>27942</v>
      </c>
      <c r="E260" t="n">
        <v>7.4</v>
      </c>
      <c r="X260" t="n">
        <v>2</v>
      </c>
      <c r="AL260" t="n">
        <v>7.8</v>
      </c>
    </row>
    <row r="261">
      <c r="A261" s="78" t="n">
        <v>27973</v>
      </c>
      <c r="E261" t="n">
        <v>7.1</v>
      </c>
      <c r="X261" t="n">
        <v>2</v>
      </c>
      <c r="AL261" t="n">
        <v>7.8</v>
      </c>
    </row>
    <row r="262">
      <c r="A262" s="78" t="n">
        <v>28004</v>
      </c>
      <c r="E262" t="n">
        <v>7</v>
      </c>
      <c r="X262" t="n">
        <v>2</v>
      </c>
      <c r="AL262" t="n">
        <v>7.6</v>
      </c>
    </row>
    <row r="263">
      <c r="A263" s="78" t="n">
        <v>28034</v>
      </c>
      <c r="E263" t="n">
        <v>7.4</v>
      </c>
      <c r="X263" t="n">
        <v>2</v>
      </c>
      <c r="AL263" t="n">
        <v>7.7</v>
      </c>
    </row>
    <row r="264">
      <c r="A264" s="78" t="n">
        <v>28065</v>
      </c>
      <c r="E264" t="n">
        <v>7.4</v>
      </c>
      <c r="X264" t="n">
        <v>2</v>
      </c>
      <c r="AL264" t="n">
        <v>7.8</v>
      </c>
    </row>
    <row r="265">
      <c r="A265" s="78" t="n">
        <v>28095</v>
      </c>
      <c r="E265" t="n">
        <v>7.5</v>
      </c>
      <c r="X265" t="n">
        <v>1.8</v>
      </c>
      <c r="AL265" t="n">
        <v>7.8</v>
      </c>
    </row>
    <row r="266">
      <c r="A266" s="78" t="n">
        <v>28126</v>
      </c>
      <c r="E266" t="n">
        <v>7.6</v>
      </c>
      <c r="X266" t="n">
        <v>1.9</v>
      </c>
      <c r="AL266" t="n">
        <v>7.5</v>
      </c>
    </row>
    <row r="267">
      <c r="A267" s="78" t="n">
        <v>28157</v>
      </c>
      <c r="E267" t="n">
        <v>7.9</v>
      </c>
      <c r="X267" t="n">
        <v>2</v>
      </c>
      <c r="AL267" t="n">
        <v>7.6</v>
      </c>
    </row>
    <row r="268">
      <c r="A268" s="78" t="n">
        <v>28185</v>
      </c>
      <c r="E268" t="n">
        <v>7.8</v>
      </c>
      <c r="X268" t="n">
        <v>2</v>
      </c>
      <c r="AL268" t="n">
        <v>7.4</v>
      </c>
    </row>
    <row r="269">
      <c r="A269" s="78" t="n">
        <v>28216</v>
      </c>
      <c r="E269" t="n">
        <v>7.9</v>
      </c>
      <c r="X269" t="n">
        <v>1.9</v>
      </c>
      <c r="AL269" t="n">
        <v>7.2</v>
      </c>
    </row>
    <row r="270">
      <c r="A270" s="78" t="n">
        <v>28246</v>
      </c>
      <c r="E270" t="n">
        <v>7.8</v>
      </c>
      <c r="X270" t="n">
        <v>2.1</v>
      </c>
      <c r="AL270" t="n">
        <v>7</v>
      </c>
    </row>
    <row r="271">
      <c r="A271" s="78" t="n">
        <v>28277</v>
      </c>
      <c r="E271" t="n">
        <v>7.8</v>
      </c>
      <c r="X271" t="n">
        <v>2.1</v>
      </c>
      <c r="AL271" t="n">
        <v>7.2</v>
      </c>
    </row>
    <row r="272">
      <c r="A272" s="78" t="n">
        <v>28307</v>
      </c>
      <c r="E272" t="n">
        <v>8.1</v>
      </c>
      <c r="X272" t="n">
        <v>2.1</v>
      </c>
      <c r="AL272" t="n">
        <v>6.9</v>
      </c>
    </row>
    <row r="273">
      <c r="A273" s="78" t="n">
        <v>28338</v>
      </c>
      <c r="E273" t="n">
        <v>8.199999999999999</v>
      </c>
      <c r="X273" t="n">
        <v>2</v>
      </c>
      <c r="AL273" t="n">
        <v>7</v>
      </c>
    </row>
    <row r="274">
      <c r="A274" s="78" t="n">
        <v>28369</v>
      </c>
      <c r="E274" t="n">
        <v>8.300000000000001</v>
      </c>
      <c r="X274" t="n">
        <v>2</v>
      </c>
      <c r="AL274" t="n">
        <v>6.8</v>
      </c>
    </row>
    <row r="275">
      <c r="A275" s="78" t="n">
        <v>28399</v>
      </c>
      <c r="E275" t="n">
        <v>8.4</v>
      </c>
      <c r="X275" t="n">
        <v>1.9</v>
      </c>
      <c r="AL275" t="n">
        <v>6.8</v>
      </c>
    </row>
    <row r="276">
      <c r="A276" s="78" t="n">
        <v>28430</v>
      </c>
      <c r="E276" t="n">
        <v>8.5</v>
      </c>
      <c r="X276" t="n">
        <v>2</v>
      </c>
      <c r="AL276" t="n">
        <v>6.8</v>
      </c>
    </row>
    <row r="277">
      <c r="A277" s="78" t="n">
        <v>28460</v>
      </c>
      <c r="E277" t="n">
        <v>8.5</v>
      </c>
      <c r="X277" t="n">
        <v>2.1</v>
      </c>
      <c r="AL277" t="n">
        <v>6.4</v>
      </c>
    </row>
    <row r="278">
      <c r="A278" s="78" t="n">
        <v>28491</v>
      </c>
      <c r="E278" t="n">
        <v>8.300000000000001</v>
      </c>
      <c r="X278" t="n">
        <v>2.1</v>
      </c>
      <c r="AL278" t="n">
        <v>6.4</v>
      </c>
    </row>
    <row r="279">
      <c r="A279" s="78" t="n">
        <v>28522</v>
      </c>
      <c r="B279" t="n">
        <v>6.645126</v>
      </c>
      <c r="E279" t="n">
        <v>8.300000000000001</v>
      </c>
      <c r="X279" t="n">
        <v>2.2</v>
      </c>
      <c r="AL279" t="n">
        <v>6.3</v>
      </c>
    </row>
    <row r="280">
      <c r="A280" s="78" t="n">
        <v>28550</v>
      </c>
      <c r="B280" t="n">
        <v>6.303199</v>
      </c>
      <c r="E280" t="n">
        <v>8.5</v>
      </c>
      <c r="X280" t="n">
        <v>2.2</v>
      </c>
      <c r="AL280" t="n">
        <v>6.3</v>
      </c>
    </row>
    <row r="281">
      <c r="A281" s="78" t="n">
        <v>28581</v>
      </c>
      <c r="B281" t="n">
        <v>6.267988</v>
      </c>
      <c r="E281" t="n">
        <v>8.4</v>
      </c>
      <c r="X281" t="n">
        <v>2.2</v>
      </c>
      <c r="AL281" t="n">
        <v>6.1</v>
      </c>
    </row>
    <row r="282">
      <c r="A282" s="78" t="n">
        <v>28611</v>
      </c>
      <c r="B282" t="n">
        <v>6.210304</v>
      </c>
      <c r="E282" t="n">
        <v>8.6</v>
      </c>
      <c r="X282" t="n">
        <v>2.3</v>
      </c>
      <c r="AL282" t="n">
        <v>6</v>
      </c>
    </row>
    <row r="283">
      <c r="A283" s="78" t="n">
        <v>28642</v>
      </c>
      <c r="B283" t="n">
        <v>6.303416</v>
      </c>
      <c r="E283" t="n">
        <v>8.4</v>
      </c>
      <c r="X283" t="n">
        <v>2.3</v>
      </c>
      <c r="AL283" t="n">
        <v>5.9</v>
      </c>
    </row>
    <row r="284">
      <c r="A284" s="78" t="n">
        <v>28672</v>
      </c>
      <c r="B284" t="n">
        <v>6.223937</v>
      </c>
      <c r="E284" t="n">
        <v>8.300000000000001</v>
      </c>
      <c r="X284" t="n">
        <v>2.2</v>
      </c>
      <c r="AL284" t="n">
        <v>6.2</v>
      </c>
    </row>
    <row r="285">
      <c r="A285" s="78" t="n">
        <v>28703</v>
      </c>
      <c r="B285" t="n">
        <v>6.490908</v>
      </c>
      <c r="E285" t="n">
        <v>8.4</v>
      </c>
      <c r="X285" t="n">
        <v>2.3</v>
      </c>
      <c r="AL285" t="n">
        <v>5.9</v>
      </c>
    </row>
    <row r="286">
      <c r="A286" s="78" t="n">
        <v>28734</v>
      </c>
      <c r="B286" t="n">
        <v>6.252067</v>
      </c>
      <c r="E286" t="n">
        <v>8.4</v>
      </c>
      <c r="X286" t="n">
        <v>2.4</v>
      </c>
      <c r="AL286" t="n">
        <v>6</v>
      </c>
    </row>
    <row r="287">
      <c r="A287" s="78" t="n">
        <v>28764</v>
      </c>
      <c r="B287" t="n">
        <v>6.164073</v>
      </c>
      <c r="E287" t="n">
        <v>8.199999999999999</v>
      </c>
      <c r="X287" t="n">
        <v>2.2</v>
      </c>
      <c r="AL287" t="n">
        <v>5.8</v>
      </c>
    </row>
    <row r="288">
      <c r="A288" s="78" t="n">
        <v>28795</v>
      </c>
      <c r="B288" t="n">
        <v>6.332307</v>
      </c>
      <c r="E288" t="n">
        <v>8.300000000000001</v>
      </c>
      <c r="X288" t="n">
        <v>2.2</v>
      </c>
      <c r="AL288" t="n">
        <v>5.9</v>
      </c>
    </row>
    <row r="289">
      <c r="A289" s="78" t="n">
        <v>28825</v>
      </c>
      <c r="B289" t="n">
        <v>6.406427</v>
      </c>
      <c r="E289" t="n">
        <v>8.300000000000001</v>
      </c>
      <c r="X289" t="n">
        <v>2.2</v>
      </c>
      <c r="AL289" t="n">
        <v>6</v>
      </c>
    </row>
    <row r="290">
      <c r="A290" s="78" t="n">
        <v>28856</v>
      </c>
      <c r="B290" t="n">
        <v>6.371397</v>
      </c>
      <c r="E290" t="n">
        <v>8.199999999999999</v>
      </c>
      <c r="X290" t="n">
        <v>2.2</v>
      </c>
      <c r="AL290" t="n">
        <v>5.9</v>
      </c>
    </row>
    <row r="291">
      <c r="A291" s="78" t="n">
        <v>28887</v>
      </c>
      <c r="B291" t="n">
        <v>6.257392</v>
      </c>
      <c r="E291" t="n">
        <v>8</v>
      </c>
      <c r="X291" t="n">
        <v>2</v>
      </c>
      <c r="AL291" t="n">
        <v>5.9</v>
      </c>
    </row>
    <row r="292">
      <c r="A292" s="78" t="n">
        <v>28915</v>
      </c>
      <c r="B292" t="n">
        <v>6.303418</v>
      </c>
      <c r="E292" t="n">
        <v>7.9</v>
      </c>
      <c r="X292" t="n">
        <v>2.1</v>
      </c>
      <c r="AL292" t="n">
        <v>5.8</v>
      </c>
    </row>
    <row r="293">
      <c r="A293" s="78" t="n">
        <v>28946</v>
      </c>
      <c r="B293" t="n">
        <v>6.498877</v>
      </c>
      <c r="E293" t="n">
        <v>8</v>
      </c>
      <c r="X293" t="n">
        <v>2.1</v>
      </c>
      <c r="AL293" t="n">
        <v>5.8</v>
      </c>
    </row>
    <row r="294">
      <c r="A294" s="78" t="n">
        <v>28976</v>
      </c>
      <c r="B294" t="n">
        <v>6.204438</v>
      </c>
      <c r="E294" t="n">
        <v>7.6</v>
      </c>
      <c r="X294" t="n">
        <v>2</v>
      </c>
      <c r="AL294" t="n">
        <v>5.6</v>
      </c>
    </row>
    <row r="295">
      <c r="A295" s="78" t="n">
        <v>29007</v>
      </c>
      <c r="B295" t="n">
        <v>6.251315</v>
      </c>
      <c r="E295" t="n">
        <v>7.4</v>
      </c>
      <c r="X295" t="n">
        <v>2</v>
      </c>
      <c r="AL295" t="n">
        <v>5.7</v>
      </c>
    </row>
    <row r="296">
      <c r="A296" s="78" t="n">
        <v>29037</v>
      </c>
      <c r="B296" t="n">
        <v>6.275034</v>
      </c>
      <c r="E296" t="n">
        <v>7.2</v>
      </c>
      <c r="X296" t="n">
        <v>2.2</v>
      </c>
      <c r="AL296" t="n">
        <v>5.7</v>
      </c>
    </row>
    <row r="297">
      <c r="A297" s="78" t="n">
        <v>29068</v>
      </c>
      <c r="B297" t="n">
        <v>6.118752</v>
      </c>
      <c r="E297" t="n">
        <v>7.1</v>
      </c>
      <c r="X297" t="n">
        <v>2.2</v>
      </c>
      <c r="AL297" t="n">
        <v>6</v>
      </c>
    </row>
    <row r="298">
      <c r="A298" s="78" t="n">
        <v>29099</v>
      </c>
      <c r="B298" t="n">
        <v>6.234132</v>
      </c>
      <c r="E298" t="n">
        <v>7</v>
      </c>
      <c r="X298" t="n">
        <v>2</v>
      </c>
      <c r="AL298" t="n">
        <v>5.9</v>
      </c>
    </row>
    <row r="299">
      <c r="A299" s="78" t="n">
        <v>29129</v>
      </c>
      <c r="B299" t="n">
        <v>6.384742</v>
      </c>
      <c r="E299" t="n">
        <v>7.2</v>
      </c>
      <c r="X299" t="n">
        <v>2.1</v>
      </c>
      <c r="AL299" t="n">
        <v>6</v>
      </c>
    </row>
    <row r="300">
      <c r="A300" s="78" t="n">
        <v>29160</v>
      </c>
      <c r="B300" t="n">
        <v>6.04594</v>
      </c>
      <c r="E300" t="n">
        <v>7.2</v>
      </c>
      <c r="X300" t="n">
        <v>2.1</v>
      </c>
      <c r="AL300" t="n">
        <v>5.9</v>
      </c>
    </row>
    <row r="301">
      <c r="A301" s="78" t="n">
        <v>29190</v>
      </c>
      <c r="B301" t="n">
        <v>6.121169</v>
      </c>
      <c r="E301" t="n">
        <v>7.2</v>
      </c>
      <c r="X301" t="n">
        <v>2</v>
      </c>
      <c r="AL301" t="n">
        <v>6</v>
      </c>
    </row>
    <row r="302">
      <c r="A302" s="78" t="n">
        <v>29221</v>
      </c>
      <c r="B302" t="n">
        <v>6.147032</v>
      </c>
      <c r="E302" t="n">
        <v>7.5</v>
      </c>
      <c r="X302" t="n">
        <v>1.9</v>
      </c>
      <c r="AL302" t="n">
        <v>6.3</v>
      </c>
    </row>
    <row r="303">
      <c r="A303" s="78" t="n">
        <v>29252</v>
      </c>
      <c r="B303" t="n">
        <v>5.998836</v>
      </c>
      <c r="E303" t="n">
        <v>7.6</v>
      </c>
      <c r="X303" t="n">
        <v>1.9</v>
      </c>
      <c r="AL303" t="n">
        <v>6.3</v>
      </c>
    </row>
    <row r="304">
      <c r="A304" s="78" t="n">
        <v>29281</v>
      </c>
      <c r="B304" t="n">
        <v>5.936902</v>
      </c>
      <c r="E304" t="n">
        <v>7.6</v>
      </c>
      <c r="X304" t="n">
        <v>1.9</v>
      </c>
      <c r="AL304" t="n">
        <v>6.3</v>
      </c>
    </row>
    <row r="305">
      <c r="A305" s="78" t="n">
        <v>29312</v>
      </c>
      <c r="B305" t="n">
        <v>6.115479</v>
      </c>
      <c r="E305" t="n">
        <v>7.7</v>
      </c>
      <c r="X305" t="n">
        <v>2</v>
      </c>
      <c r="AL305" t="n">
        <v>6.9</v>
      </c>
    </row>
    <row r="306">
      <c r="A306" s="78" t="n">
        <v>29342</v>
      </c>
      <c r="B306" t="n">
        <v>6.246586</v>
      </c>
      <c r="E306" t="n">
        <v>7.8</v>
      </c>
      <c r="X306" t="n">
        <v>2</v>
      </c>
      <c r="AL306" t="n">
        <v>7.5</v>
      </c>
    </row>
    <row r="307">
      <c r="A307" s="78" t="n">
        <v>29373</v>
      </c>
      <c r="B307" t="n">
        <v>6.322789</v>
      </c>
      <c r="E307" t="n">
        <v>7.7</v>
      </c>
      <c r="X307" t="n">
        <v>1.9</v>
      </c>
      <c r="AL307" t="n">
        <v>7.6</v>
      </c>
    </row>
    <row r="308">
      <c r="A308" s="78" t="n">
        <v>29403</v>
      </c>
      <c r="B308" t="n">
        <v>6.078796</v>
      </c>
      <c r="E308" t="n">
        <v>7.6</v>
      </c>
      <c r="X308" t="n">
        <v>2</v>
      </c>
      <c r="AL308" t="n">
        <v>7.8</v>
      </c>
    </row>
    <row r="309">
      <c r="A309" s="78" t="n">
        <v>29434</v>
      </c>
      <c r="B309" t="n">
        <v>6.177601</v>
      </c>
      <c r="E309" t="n">
        <v>7.6</v>
      </c>
      <c r="X309" t="n">
        <v>2.1</v>
      </c>
      <c r="AL309" t="n">
        <v>7.7</v>
      </c>
    </row>
    <row r="310">
      <c r="A310" s="78" t="n">
        <v>29465</v>
      </c>
      <c r="B310" t="n">
        <v>6.142179</v>
      </c>
      <c r="E310" t="n">
        <v>7.3</v>
      </c>
      <c r="X310" t="n">
        <v>2</v>
      </c>
      <c r="AL310" t="n">
        <v>7.5</v>
      </c>
    </row>
    <row r="311">
      <c r="A311" s="78" t="n">
        <v>29495</v>
      </c>
      <c r="B311" t="n">
        <v>6.055957</v>
      </c>
      <c r="E311" t="n">
        <v>7.3</v>
      </c>
      <c r="X311" t="n">
        <v>2.1</v>
      </c>
      <c r="AL311" t="n">
        <v>7.5</v>
      </c>
    </row>
    <row r="312">
      <c r="A312" s="78" t="n">
        <v>29526</v>
      </c>
      <c r="B312" t="n">
        <v>5.851151</v>
      </c>
      <c r="E312" t="n">
        <v>7.2</v>
      </c>
      <c r="X312" t="n">
        <v>2.2</v>
      </c>
      <c r="AL312" t="n">
        <v>7.5</v>
      </c>
    </row>
    <row r="313">
      <c r="A313" s="78" t="n">
        <v>29556</v>
      </c>
      <c r="B313" t="n">
        <v>6.052005</v>
      </c>
      <c r="E313" t="n">
        <v>7.3</v>
      </c>
      <c r="X313" t="n">
        <v>2.2</v>
      </c>
      <c r="AL313" t="n">
        <v>7.2</v>
      </c>
    </row>
    <row r="314">
      <c r="A314" s="78" t="n">
        <v>29587</v>
      </c>
      <c r="B314" t="n">
        <v>5.917044</v>
      </c>
      <c r="E314" t="n">
        <v>7.4</v>
      </c>
      <c r="X314" t="n">
        <v>2.1</v>
      </c>
      <c r="AL314" t="n">
        <v>7.5</v>
      </c>
    </row>
    <row r="315">
      <c r="A315" s="78" t="n">
        <v>29618</v>
      </c>
      <c r="B315" t="n">
        <v>5.616662</v>
      </c>
      <c r="E315" t="n">
        <v>7.4</v>
      </c>
      <c r="X315" t="n">
        <v>2.3</v>
      </c>
      <c r="AL315" t="n">
        <v>7.4</v>
      </c>
    </row>
    <row r="316">
      <c r="A316" s="78" t="n">
        <v>29646</v>
      </c>
      <c r="B316" t="n">
        <v>5.746378</v>
      </c>
      <c r="E316" t="n">
        <v>7.4</v>
      </c>
      <c r="X316" t="n">
        <v>2.2</v>
      </c>
      <c r="AL316" t="n">
        <v>7.4</v>
      </c>
    </row>
    <row r="317">
      <c r="A317" s="78" t="n">
        <v>29677</v>
      </c>
      <c r="B317" t="n">
        <v>5.555286</v>
      </c>
      <c r="E317" t="n">
        <v>7.1</v>
      </c>
      <c r="X317" t="n">
        <v>2.2</v>
      </c>
      <c r="AL317" t="n">
        <v>7.2</v>
      </c>
    </row>
    <row r="318">
      <c r="A318" s="78" t="n">
        <v>29707</v>
      </c>
      <c r="B318" t="n">
        <v>5.589332</v>
      </c>
      <c r="E318" t="n">
        <v>7.2</v>
      </c>
      <c r="X318" t="n">
        <v>2.3</v>
      </c>
      <c r="AL318" t="n">
        <v>7.5</v>
      </c>
    </row>
    <row r="319">
      <c r="A319" s="78" t="n">
        <v>29738</v>
      </c>
      <c r="B319" t="n">
        <v>5.373816</v>
      </c>
      <c r="E319" t="n">
        <v>7.2</v>
      </c>
      <c r="X319" t="n">
        <v>2.3</v>
      </c>
      <c r="AL319" t="n">
        <v>7.5</v>
      </c>
    </row>
    <row r="320">
      <c r="A320" s="78" t="n">
        <v>29768</v>
      </c>
      <c r="B320" t="n">
        <v>5.829792</v>
      </c>
      <c r="E320" t="n">
        <v>7.2</v>
      </c>
      <c r="X320" t="n">
        <v>2.2</v>
      </c>
      <c r="AL320" t="n">
        <v>7.2</v>
      </c>
    </row>
    <row r="321">
      <c r="A321" s="78" t="n">
        <v>29799</v>
      </c>
      <c r="B321" t="n">
        <v>5.846584</v>
      </c>
      <c r="E321" t="n">
        <v>7.1</v>
      </c>
      <c r="X321" t="n">
        <v>2.1</v>
      </c>
      <c r="AL321" t="n">
        <v>7.4</v>
      </c>
    </row>
    <row r="322">
      <c r="A322" s="78" t="n">
        <v>29830</v>
      </c>
      <c r="B322" t="n">
        <v>5.81289</v>
      </c>
      <c r="E322" t="n">
        <v>8.1</v>
      </c>
      <c r="X322" t="n">
        <v>2.2</v>
      </c>
      <c r="AL322" t="n">
        <v>7.6</v>
      </c>
    </row>
    <row r="323">
      <c r="A323" s="78" t="n">
        <v>29860</v>
      </c>
      <c r="B323" t="n">
        <v>5.873091</v>
      </c>
      <c r="E323" t="n">
        <v>8.300000000000001</v>
      </c>
      <c r="X323" t="n">
        <v>2.2</v>
      </c>
      <c r="AL323" t="n">
        <v>7.9</v>
      </c>
    </row>
    <row r="324">
      <c r="A324" s="78" t="n">
        <v>29891</v>
      </c>
      <c r="B324" t="n">
        <v>5.995901</v>
      </c>
      <c r="E324" t="n">
        <v>8.300000000000001</v>
      </c>
      <c r="X324" t="n">
        <v>2.2</v>
      </c>
      <c r="AL324" t="n">
        <v>8.300000000000001</v>
      </c>
    </row>
    <row r="325">
      <c r="A325" s="78" t="n">
        <v>29921</v>
      </c>
      <c r="B325" t="n">
        <v>6.027824</v>
      </c>
      <c r="E325" t="n">
        <v>8.699999999999999</v>
      </c>
      <c r="X325" t="n">
        <v>2.2</v>
      </c>
      <c r="AL325" t="n">
        <v>8.5</v>
      </c>
    </row>
    <row r="326">
      <c r="A326" s="78" t="n">
        <v>29952</v>
      </c>
      <c r="B326" t="n">
        <v>5.98312</v>
      </c>
      <c r="E326" t="n">
        <v>8.6</v>
      </c>
      <c r="X326" t="n">
        <v>2.2</v>
      </c>
      <c r="AL326" t="n">
        <v>8.6</v>
      </c>
    </row>
    <row r="327">
      <c r="A327" s="78" t="n">
        <v>29983</v>
      </c>
      <c r="B327" t="n">
        <v>6.308601</v>
      </c>
      <c r="E327" t="n">
        <v>8.9</v>
      </c>
      <c r="X327" t="n">
        <v>2.2</v>
      </c>
      <c r="AL327" t="n">
        <v>8.9</v>
      </c>
    </row>
    <row r="328">
      <c r="A328" s="78" t="n">
        <v>30011</v>
      </c>
      <c r="B328" t="n">
        <v>6.323303</v>
      </c>
      <c r="E328" t="n">
        <v>9.300000000000001</v>
      </c>
      <c r="X328" t="n">
        <v>2.3</v>
      </c>
      <c r="AL328" t="n">
        <v>9</v>
      </c>
    </row>
    <row r="329">
      <c r="A329" s="78" t="n">
        <v>30042</v>
      </c>
      <c r="B329" t="n">
        <v>6.334029</v>
      </c>
      <c r="E329" t="n">
        <v>9.800000000000001</v>
      </c>
      <c r="X329" t="n">
        <v>2.3</v>
      </c>
      <c r="AL329" t="n">
        <v>9.300000000000001</v>
      </c>
    </row>
    <row r="330">
      <c r="A330" s="78" t="n">
        <v>30072</v>
      </c>
      <c r="B330" t="n">
        <v>6.593272</v>
      </c>
      <c r="E330" t="n">
        <v>10.3</v>
      </c>
      <c r="X330" t="n">
        <v>2.3</v>
      </c>
      <c r="AL330" t="n">
        <v>9.4</v>
      </c>
    </row>
    <row r="331">
      <c r="A331" s="78" t="n">
        <v>30103</v>
      </c>
      <c r="B331" t="n">
        <v>6.766545</v>
      </c>
      <c r="E331" t="n">
        <v>11.1</v>
      </c>
      <c r="X331" t="n">
        <v>2.4</v>
      </c>
      <c r="AL331" t="n">
        <v>9.6</v>
      </c>
    </row>
    <row r="332">
      <c r="A332" s="78" t="n">
        <v>30133</v>
      </c>
      <c r="B332" t="n">
        <v>6.886118</v>
      </c>
      <c r="E332" t="n">
        <v>11.9</v>
      </c>
      <c r="X332" t="n">
        <v>2.4</v>
      </c>
      <c r="AL332" t="n">
        <v>9.800000000000001</v>
      </c>
    </row>
    <row r="333">
      <c r="A333" s="78" t="n">
        <v>30164</v>
      </c>
      <c r="B333" t="n">
        <v>7.012054</v>
      </c>
      <c r="E333" t="n">
        <v>12</v>
      </c>
      <c r="X333" t="n">
        <v>2.3</v>
      </c>
      <c r="AL333" t="n">
        <v>9.800000000000001</v>
      </c>
    </row>
    <row r="334">
      <c r="A334" s="78" t="n">
        <v>30195</v>
      </c>
      <c r="B334" t="n">
        <v>7.429985</v>
      </c>
      <c r="E334" t="n">
        <v>12.4</v>
      </c>
      <c r="X334" t="n">
        <v>2.4</v>
      </c>
      <c r="AL334" t="n">
        <v>10.1</v>
      </c>
    </row>
    <row r="335">
      <c r="A335" s="78" t="n">
        <v>30225</v>
      </c>
      <c r="B335" t="n">
        <v>8.295576000000001</v>
      </c>
      <c r="E335" t="n">
        <v>12.9</v>
      </c>
      <c r="X335" t="n">
        <v>2.5</v>
      </c>
      <c r="AL335" t="n">
        <v>10.4</v>
      </c>
    </row>
    <row r="336">
      <c r="A336" s="78" t="n">
        <v>30256</v>
      </c>
      <c r="B336" t="n">
        <v>8.679955</v>
      </c>
      <c r="E336" t="n">
        <v>12.9</v>
      </c>
      <c r="X336" t="n">
        <v>2.4</v>
      </c>
      <c r="AL336" t="n">
        <v>10.8</v>
      </c>
    </row>
    <row r="337">
      <c r="A337" s="78" t="n">
        <v>30286</v>
      </c>
      <c r="B337" t="n">
        <v>9.402725</v>
      </c>
      <c r="E337" t="n">
        <v>13.1</v>
      </c>
      <c r="X337" t="n">
        <v>2.5</v>
      </c>
      <c r="AL337" t="n">
        <v>10.8</v>
      </c>
    </row>
    <row r="338">
      <c r="A338" s="78" t="n">
        <v>30317</v>
      </c>
      <c r="B338" t="n">
        <v>9.300547999999999</v>
      </c>
      <c r="D338" t="n">
        <v>10.4</v>
      </c>
      <c r="E338" t="n">
        <v>12.7</v>
      </c>
      <c r="J338" t="n">
        <v>8.1</v>
      </c>
      <c r="O338" t="n">
        <v>8.300000000000001</v>
      </c>
      <c r="Q338" t="n">
        <v>10.7</v>
      </c>
      <c r="T338" t="n">
        <v>12.9</v>
      </c>
      <c r="W338" t="n">
        <v>6.9</v>
      </c>
      <c r="X338" t="n">
        <v>2.7</v>
      </c>
      <c r="Z338" t="n">
        <v>3.3</v>
      </c>
      <c r="AC338" t="n">
        <v>9.5</v>
      </c>
      <c r="AG338" t="n">
        <v>8.1</v>
      </c>
      <c r="AJ338" t="n">
        <v>3.4</v>
      </c>
      <c r="AL338" t="n">
        <v>10.4</v>
      </c>
    </row>
    <row r="339">
      <c r="A339" s="78" t="n">
        <v>30348</v>
      </c>
      <c r="B339" t="n">
        <v>9.658944</v>
      </c>
      <c r="D339" t="n">
        <v>10.5</v>
      </c>
      <c r="E339" t="n">
        <v>12.7</v>
      </c>
      <c r="J339" t="n">
        <v>8.199999999999999</v>
      </c>
      <c r="O339" t="n">
        <v>8</v>
      </c>
      <c r="Q339" t="n">
        <v>10.8</v>
      </c>
      <c r="T339" t="n">
        <v>13.2</v>
      </c>
      <c r="W339" t="n">
        <v>7.1</v>
      </c>
      <c r="X339" t="n">
        <v>2.7</v>
      </c>
      <c r="Z339" t="n">
        <v>3.3</v>
      </c>
      <c r="AC339" t="n">
        <v>9.5</v>
      </c>
      <c r="AG339" t="n">
        <v>8.1</v>
      </c>
      <c r="AJ339" t="n">
        <v>3.7</v>
      </c>
      <c r="AL339" t="n">
        <v>10.4</v>
      </c>
    </row>
    <row r="340">
      <c r="A340" s="78" t="n">
        <v>30376</v>
      </c>
      <c r="B340" t="n">
        <v>9.951542</v>
      </c>
      <c r="D340" t="n">
        <v>10.6</v>
      </c>
      <c r="E340" t="n">
        <v>12.5</v>
      </c>
      <c r="J340" t="n">
        <v>8.300000000000001</v>
      </c>
      <c r="O340" t="n">
        <v>8</v>
      </c>
      <c r="Q340" t="n">
        <v>10.8</v>
      </c>
      <c r="T340" t="n">
        <v>13.4</v>
      </c>
      <c r="W340" t="n">
        <v>7.2</v>
      </c>
      <c r="X340" t="n">
        <v>2.6</v>
      </c>
      <c r="Z340" t="n">
        <v>3.2</v>
      </c>
      <c r="AC340" t="n">
        <v>9.5</v>
      </c>
      <c r="AG340" t="n">
        <v>8.300000000000001</v>
      </c>
      <c r="AJ340" t="n">
        <v>3.7</v>
      </c>
      <c r="AL340" t="n">
        <v>10.3</v>
      </c>
    </row>
    <row r="341">
      <c r="A341" s="78" t="n">
        <v>30407</v>
      </c>
      <c r="B341" t="n">
        <v>10.15278</v>
      </c>
      <c r="D341" t="n">
        <v>10.6</v>
      </c>
      <c r="E341" t="n">
        <v>12.4</v>
      </c>
      <c r="J341" t="n">
        <v>8.4</v>
      </c>
      <c r="O341" t="n">
        <v>8.300000000000001</v>
      </c>
      <c r="Q341" t="n">
        <v>11</v>
      </c>
      <c r="T341" t="n">
        <v>13.5</v>
      </c>
      <c r="W341" t="n">
        <v>7.2</v>
      </c>
      <c r="X341" t="n">
        <v>2.7</v>
      </c>
      <c r="Z341" t="n">
        <v>3.3</v>
      </c>
      <c r="AC341" t="n">
        <v>9.5</v>
      </c>
      <c r="AG341" t="n">
        <v>8.5</v>
      </c>
      <c r="AJ341" t="n">
        <v>3.4</v>
      </c>
      <c r="AL341" t="n">
        <v>10.2</v>
      </c>
    </row>
    <row r="342">
      <c r="A342" s="78" t="n">
        <v>30437</v>
      </c>
      <c r="B342" t="n">
        <v>10.32344</v>
      </c>
      <c r="D342" t="n">
        <v>10.7</v>
      </c>
      <c r="E342" t="n">
        <v>12.4</v>
      </c>
      <c r="J342" t="n">
        <v>8.4</v>
      </c>
      <c r="O342" t="n">
        <v>8.5</v>
      </c>
      <c r="Q342" t="n">
        <v>10.9</v>
      </c>
      <c r="T342" t="n">
        <v>13.7</v>
      </c>
      <c r="W342" t="n">
        <v>7.3</v>
      </c>
      <c r="X342" t="n">
        <v>2.7</v>
      </c>
      <c r="Z342" t="n">
        <v>3.5</v>
      </c>
      <c r="AC342" t="n">
        <v>9.5</v>
      </c>
      <c r="AG342" t="n">
        <v>8.800000000000001</v>
      </c>
      <c r="AJ342" t="n">
        <v>3.7</v>
      </c>
      <c r="AL342" t="n">
        <v>10.1</v>
      </c>
    </row>
    <row r="343">
      <c r="A343" s="78" t="n">
        <v>30468</v>
      </c>
      <c r="B343" t="n">
        <v>10.20257</v>
      </c>
      <c r="D343" t="n">
        <v>10.7</v>
      </c>
      <c r="E343" t="n">
        <v>12.4</v>
      </c>
      <c r="J343" t="n">
        <v>8.5</v>
      </c>
      <c r="O343" t="n">
        <v>8.800000000000001</v>
      </c>
      <c r="Q343" t="n">
        <v>11</v>
      </c>
      <c r="T343" t="n">
        <v>13.9</v>
      </c>
      <c r="W343" t="n">
        <v>7.3</v>
      </c>
      <c r="X343" t="n">
        <v>2.6</v>
      </c>
      <c r="Z343" t="n">
        <v>3.6</v>
      </c>
      <c r="AC343" t="n">
        <v>9.5</v>
      </c>
      <c r="AG343" t="n">
        <v>9</v>
      </c>
      <c r="AJ343" t="n">
        <v>3.9</v>
      </c>
      <c r="AL343" t="n">
        <v>10.1</v>
      </c>
    </row>
    <row r="344">
      <c r="A344" s="78" t="n">
        <v>30498</v>
      </c>
      <c r="B344" t="n">
        <v>10.50137</v>
      </c>
      <c r="D344" t="n">
        <v>10.8</v>
      </c>
      <c r="E344" t="n">
        <v>11.9</v>
      </c>
      <c r="J344" t="n">
        <v>8.5</v>
      </c>
      <c r="O344" t="n">
        <v>8.9</v>
      </c>
      <c r="Q344" t="n">
        <v>10.9</v>
      </c>
      <c r="T344" t="n">
        <v>14</v>
      </c>
      <c r="W344" t="n">
        <v>7.4</v>
      </c>
      <c r="X344" t="n">
        <v>2.6</v>
      </c>
      <c r="Z344" t="n">
        <v>3.6</v>
      </c>
      <c r="AC344" t="n">
        <v>9.5</v>
      </c>
      <c r="AG344" t="n">
        <v>9.199999999999999</v>
      </c>
      <c r="AJ344" t="n">
        <v>3.7</v>
      </c>
      <c r="AL344" t="n">
        <v>9.4</v>
      </c>
    </row>
    <row r="345">
      <c r="A345" s="78" t="n">
        <v>30529</v>
      </c>
      <c r="B345" t="n">
        <v>10.21974</v>
      </c>
      <c r="D345" t="n">
        <v>10.8</v>
      </c>
      <c r="E345" t="n">
        <v>11.7</v>
      </c>
      <c r="J345" t="n">
        <v>8.5</v>
      </c>
      <c r="O345" t="n">
        <v>9</v>
      </c>
      <c r="Q345" t="n">
        <v>10.9</v>
      </c>
      <c r="T345" t="n">
        <v>14.1</v>
      </c>
      <c r="W345" t="n">
        <v>7.4</v>
      </c>
      <c r="X345" t="n">
        <v>2.8</v>
      </c>
      <c r="Z345" t="n">
        <v>3.7</v>
      </c>
      <c r="AC345" t="n">
        <v>9.5</v>
      </c>
      <c r="AG345" t="n">
        <v>9.4</v>
      </c>
      <c r="AJ345" t="n">
        <v>3.8</v>
      </c>
      <c r="AL345" t="n">
        <v>9.5</v>
      </c>
    </row>
    <row r="346">
      <c r="A346" s="78" t="n">
        <v>30560</v>
      </c>
      <c r="B346" t="n">
        <v>10.33803</v>
      </c>
      <c r="D346" t="n">
        <v>10.9</v>
      </c>
      <c r="E346" t="n">
        <v>11.4</v>
      </c>
      <c r="J346" t="n">
        <v>8.4</v>
      </c>
      <c r="O346" t="n">
        <v>9.1</v>
      </c>
      <c r="Q346" t="n">
        <v>10.9</v>
      </c>
      <c r="T346" t="n">
        <v>14.3</v>
      </c>
      <c r="W346" t="n">
        <v>7.5</v>
      </c>
      <c r="X346" t="n">
        <v>2.7</v>
      </c>
      <c r="Z346" t="n">
        <v>3.5</v>
      </c>
      <c r="AC346" t="n">
        <v>9.5</v>
      </c>
      <c r="AG346" t="n">
        <v>9.4</v>
      </c>
      <c r="AJ346" t="n">
        <v>3.8</v>
      </c>
      <c r="AL346" t="n">
        <v>9.199999999999999</v>
      </c>
    </row>
    <row r="347">
      <c r="A347" s="78" t="n">
        <v>30590</v>
      </c>
      <c r="B347" t="n">
        <v>10.00831</v>
      </c>
      <c r="D347" t="n">
        <v>11</v>
      </c>
      <c r="E347" t="n">
        <v>11.3</v>
      </c>
      <c r="J347" t="n">
        <v>8.4</v>
      </c>
      <c r="O347" t="n">
        <v>9.199999999999999</v>
      </c>
      <c r="Q347" t="n">
        <v>10.8</v>
      </c>
      <c r="T347" t="n">
        <v>14.5</v>
      </c>
      <c r="W347" t="n">
        <v>7.6</v>
      </c>
      <c r="X347" t="n">
        <v>2.6</v>
      </c>
      <c r="Z347" t="n">
        <v>3.3</v>
      </c>
      <c r="AC347" t="n">
        <v>9.5</v>
      </c>
      <c r="AG347" t="n">
        <v>9.300000000000001</v>
      </c>
      <c r="AJ347" t="n">
        <v>3.7</v>
      </c>
      <c r="AL347" t="n">
        <v>8.800000000000001</v>
      </c>
    </row>
    <row r="348">
      <c r="A348" s="78" t="n">
        <v>30621</v>
      </c>
      <c r="B348" t="n">
        <v>9.654548999999999</v>
      </c>
      <c r="D348" t="n">
        <v>11</v>
      </c>
      <c r="E348" t="n">
        <v>11.3</v>
      </c>
      <c r="J348" t="n">
        <v>8.4</v>
      </c>
      <c r="O348" t="n">
        <v>9.4</v>
      </c>
      <c r="Q348" t="n">
        <v>10.8</v>
      </c>
      <c r="T348" t="n">
        <v>14.6</v>
      </c>
      <c r="W348" t="n">
        <v>7.7</v>
      </c>
      <c r="X348" t="n">
        <v>2.6</v>
      </c>
      <c r="Z348" t="n">
        <v>3.4</v>
      </c>
      <c r="AC348" t="n">
        <v>9.5</v>
      </c>
      <c r="AG348" t="n">
        <v>9.300000000000001</v>
      </c>
      <c r="AJ348" t="n">
        <v>3.7</v>
      </c>
      <c r="AL348" t="n">
        <v>8.5</v>
      </c>
    </row>
    <row r="349">
      <c r="A349" s="78" t="n">
        <v>30651</v>
      </c>
      <c r="B349" t="n">
        <v>9.457898</v>
      </c>
      <c r="D349" t="n">
        <v>10.9</v>
      </c>
      <c r="E349" t="n">
        <v>11.3</v>
      </c>
      <c r="J349" t="n">
        <v>8.4</v>
      </c>
      <c r="O349" t="n">
        <v>9.6</v>
      </c>
      <c r="Q349" t="n">
        <v>10.8</v>
      </c>
      <c r="T349" t="n">
        <v>14.7</v>
      </c>
      <c r="W349" t="n">
        <v>7.8</v>
      </c>
      <c r="X349" t="n">
        <v>2.6</v>
      </c>
      <c r="Z349" t="n">
        <v>3.3</v>
      </c>
      <c r="AC349" t="n">
        <v>9.5</v>
      </c>
      <c r="AG349" t="n">
        <v>9.300000000000001</v>
      </c>
      <c r="AJ349" t="n">
        <v>3.6</v>
      </c>
      <c r="AL349" t="n">
        <v>8.300000000000001</v>
      </c>
    </row>
    <row r="350">
      <c r="A350" s="78" t="n">
        <v>30682</v>
      </c>
      <c r="B350" t="n">
        <v>9.498608000000001</v>
      </c>
      <c r="D350" t="n">
        <v>10.9</v>
      </c>
      <c r="E350" t="n">
        <v>11.3</v>
      </c>
      <c r="J350" t="n">
        <v>8.300000000000001</v>
      </c>
      <c r="O350" t="n">
        <v>9.6</v>
      </c>
      <c r="Q350" t="n">
        <v>10.7</v>
      </c>
      <c r="T350" t="n">
        <v>14.9</v>
      </c>
      <c r="W350" t="n">
        <v>7.9</v>
      </c>
      <c r="X350" t="n">
        <v>2.7</v>
      </c>
      <c r="Z350" t="n">
        <v>3.3</v>
      </c>
      <c r="AC350" t="n">
        <v>9.5</v>
      </c>
      <c r="AG350" t="n">
        <v>9.4</v>
      </c>
      <c r="AJ350" t="n">
        <v>3.7</v>
      </c>
      <c r="AL350" t="n">
        <v>8</v>
      </c>
    </row>
    <row r="351">
      <c r="A351" s="78" t="n">
        <v>30713</v>
      </c>
      <c r="B351" t="n">
        <v>9.385801000000001</v>
      </c>
      <c r="D351" t="n">
        <v>10.9</v>
      </c>
      <c r="E351" t="n">
        <v>11.3</v>
      </c>
      <c r="J351" t="n">
        <v>8.300000000000001</v>
      </c>
      <c r="O351" t="n">
        <v>9.699999999999999</v>
      </c>
      <c r="Q351" t="n">
        <v>10.8</v>
      </c>
      <c r="T351" t="n">
        <v>15.1</v>
      </c>
      <c r="W351" t="n">
        <v>7.9</v>
      </c>
      <c r="X351" t="n">
        <v>2.7</v>
      </c>
      <c r="Z351" t="n">
        <v>3.3</v>
      </c>
      <c r="AC351" t="n">
        <v>9.4</v>
      </c>
      <c r="AG351" t="n">
        <v>9.4</v>
      </c>
      <c r="AJ351" t="n">
        <v>3.4</v>
      </c>
      <c r="AL351" t="n">
        <v>7.8</v>
      </c>
    </row>
    <row r="352">
      <c r="A352" s="78" t="n">
        <v>30742</v>
      </c>
      <c r="B352" t="n">
        <v>9.208543000000001</v>
      </c>
      <c r="D352" t="n">
        <v>10.8</v>
      </c>
      <c r="E352" t="n">
        <v>11.3</v>
      </c>
      <c r="J352" t="n">
        <v>8.199999999999999</v>
      </c>
      <c r="O352" t="n">
        <v>9.800000000000001</v>
      </c>
      <c r="Q352" t="n">
        <v>10.7</v>
      </c>
      <c r="T352" t="n">
        <v>15.2</v>
      </c>
      <c r="W352" t="n">
        <v>7.8</v>
      </c>
      <c r="X352" t="n">
        <v>2.7</v>
      </c>
      <c r="Z352" t="n">
        <v>3.2</v>
      </c>
      <c r="AC352" t="n">
        <v>9.4</v>
      </c>
      <c r="AG352" t="n">
        <v>9.4</v>
      </c>
      <c r="AJ352" t="n">
        <v>3.3</v>
      </c>
      <c r="AL352" t="n">
        <v>7.8</v>
      </c>
    </row>
    <row r="353">
      <c r="A353" s="78" t="n">
        <v>30773</v>
      </c>
      <c r="B353" t="n">
        <v>9.371339000000001</v>
      </c>
      <c r="D353" t="n">
        <v>10.8</v>
      </c>
      <c r="E353" t="n">
        <v>11.5</v>
      </c>
      <c r="J353" t="n">
        <v>8.1</v>
      </c>
      <c r="O353" t="n">
        <v>9.9</v>
      </c>
      <c r="Q353" t="n">
        <v>10.7</v>
      </c>
      <c r="T353" t="n">
        <v>15.3</v>
      </c>
      <c r="W353" t="n">
        <v>7.9</v>
      </c>
      <c r="X353" t="n">
        <v>2.7</v>
      </c>
      <c r="Z353" t="n">
        <v>3</v>
      </c>
      <c r="AC353" t="n">
        <v>9.4</v>
      </c>
      <c r="AG353" t="n">
        <v>9.5</v>
      </c>
      <c r="AJ353" t="n">
        <v>3.5</v>
      </c>
      <c r="AL353" t="n">
        <v>7.7</v>
      </c>
    </row>
    <row r="354">
      <c r="A354" s="78" t="n">
        <v>30803</v>
      </c>
      <c r="B354" t="n">
        <v>8.936714</v>
      </c>
      <c r="D354" t="n">
        <v>10.8</v>
      </c>
      <c r="E354" t="n">
        <v>11.7</v>
      </c>
      <c r="J354" t="n">
        <v>8</v>
      </c>
      <c r="O354" t="n">
        <v>9.9</v>
      </c>
      <c r="Q354" t="n">
        <v>10.7</v>
      </c>
      <c r="T354" t="n">
        <v>15.4</v>
      </c>
      <c r="W354" t="n">
        <v>7.8</v>
      </c>
      <c r="X354" t="n">
        <v>2.7</v>
      </c>
      <c r="Z354" t="n">
        <v>2.9</v>
      </c>
      <c r="AC354" t="n">
        <v>9.4</v>
      </c>
      <c r="AG354" t="n">
        <v>9.5</v>
      </c>
      <c r="AJ354" t="n">
        <v>3.3</v>
      </c>
      <c r="AL354" t="n">
        <v>7.4</v>
      </c>
    </row>
    <row r="355">
      <c r="A355" s="78" t="n">
        <v>30834</v>
      </c>
      <c r="B355" t="n">
        <v>9.095359</v>
      </c>
      <c r="D355" t="n">
        <v>10.8</v>
      </c>
      <c r="E355" t="n">
        <v>11.3</v>
      </c>
      <c r="J355" t="n">
        <v>8</v>
      </c>
      <c r="O355" t="n">
        <v>10</v>
      </c>
      <c r="Q355" t="n">
        <v>10.8</v>
      </c>
      <c r="T355" t="n">
        <v>15.4</v>
      </c>
      <c r="W355" t="n">
        <v>7.8</v>
      </c>
      <c r="X355" t="n">
        <v>2.8</v>
      </c>
      <c r="Z355" t="n">
        <v>2.9</v>
      </c>
      <c r="AC355" t="n">
        <v>9.300000000000001</v>
      </c>
      <c r="AG355" t="n">
        <v>9.6</v>
      </c>
      <c r="AJ355" t="n">
        <v>3.2</v>
      </c>
      <c r="AL355" t="n">
        <v>7.2</v>
      </c>
    </row>
    <row r="356">
      <c r="A356" s="78" t="n">
        <v>30864</v>
      </c>
      <c r="B356" t="n">
        <v>8.902454000000001</v>
      </c>
      <c r="D356" t="n">
        <v>10.8</v>
      </c>
      <c r="E356" t="n">
        <v>11.2</v>
      </c>
      <c r="J356" t="n">
        <v>7.9</v>
      </c>
      <c r="O356" t="n">
        <v>10.1</v>
      </c>
      <c r="Q356" t="n">
        <v>10.9</v>
      </c>
      <c r="T356" t="n">
        <v>15.5</v>
      </c>
      <c r="W356" t="n">
        <v>7.8</v>
      </c>
      <c r="X356" t="n">
        <v>2.8</v>
      </c>
      <c r="Z356" t="n">
        <v>3</v>
      </c>
      <c r="AC356" t="n">
        <v>9.300000000000001</v>
      </c>
      <c r="AG356" t="n">
        <v>9.6</v>
      </c>
      <c r="AJ356" t="n">
        <v>3.3</v>
      </c>
      <c r="AL356" t="n">
        <v>7.5</v>
      </c>
    </row>
    <row r="357">
      <c r="A357" s="78" t="n">
        <v>30895</v>
      </c>
      <c r="B357" t="n">
        <v>8.829233</v>
      </c>
      <c r="D357" t="n">
        <v>10.9</v>
      </c>
      <c r="E357" t="n">
        <v>11.3</v>
      </c>
      <c r="J357" t="n">
        <v>7.8</v>
      </c>
      <c r="O357" t="n">
        <v>10.2</v>
      </c>
      <c r="Q357" t="n">
        <v>10.9</v>
      </c>
      <c r="T357" t="n">
        <v>15.6</v>
      </c>
      <c r="W357" t="n">
        <v>7.8</v>
      </c>
      <c r="X357" t="n">
        <v>2.7</v>
      </c>
      <c r="Z357" t="n">
        <v>3</v>
      </c>
      <c r="AC357" t="n">
        <v>9.199999999999999</v>
      </c>
      <c r="AG357" t="n">
        <v>9.699999999999999</v>
      </c>
      <c r="AJ357" t="n">
        <v>3.2</v>
      </c>
      <c r="AL357" t="n">
        <v>7.5</v>
      </c>
    </row>
    <row r="358">
      <c r="A358" s="78" t="n">
        <v>30926</v>
      </c>
      <c r="B358" t="n">
        <v>8.734818000000001</v>
      </c>
      <c r="D358" t="n">
        <v>10.9</v>
      </c>
      <c r="E358" t="n">
        <v>11.8</v>
      </c>
      <c r="J358" t="n">
        <v>7.8</v>
      </c>
      <c r="O358" t="n">
        <v>10.3</v>
      </c>
      <c r="Q358" t="n">
        <v>11</v>
      </c>
      <c r="T358" t="n">
        <v>15.7</v>
      </c>
      <c r="W358" t="n">
        <v>7.8</v>
      </c>
      <c r="X358" t="n">
        <v>2.7</v>
      </c>
      <c r="Z358" t="n">
        <v>2.9</v>
      </c>
      <c r="AC358" t="n">
        <v>9.199999999999999</v>
      </c>
      <c r="AG358" t="n">
        <v>9.699999999999999</v>
      </c>
      <c r="AJ358" t="n">
        <v>2.9</v>
      </c>
      <c r="AL358" t="n">
        <v>7.3</v>
      </c>
    </row>
    <row r="359">
      <c r="A359" s="78" t="n">
        <v>30956</v>
      </c>
      <c r="B359" t="n">
        <v>8.695603999999999</v>
      </c>
      <c r="D359" t="n">
        <v>10.8</v>
      </c>
      <c r="E359" t="n">
        <v>11.3</v>
      </c>
      <c r="J359" t="n">
        <v>7.7</v>
      </c>
      <c r="O359" t="n">
        <v>10.4</v>
      </c>
      <c r="Q359" t="n">
        <v>11</v>
      </c>
      <c r="T359" t="n">
        <v>15.8</v>
      </c>
      <c r="W359" t="n">
        <v>7.8</v>
      </c>
      <c r="X359" t="n">
        <v>2.7</v>
      </c>
      <c r="Z359" t="n">
        <v>3</v>
      </c>
      <c r="AC359" t="n">
        <v>9.1</v>
      </c>
      <c r="AG359" t="n">
        <v>9.800000000000001</v>
      </c>
      <c r="AJ359" t="n">
        <v>3.3</v>
      </c>
      <c r="AL359" t="n">
        <v>7.4</v>
      </c>
    </row>
    <row r="360">
      <c r="A360" s="78" t="n">
        <v>30987</v>
      </c>
      <c r="B360" t="n">
        <v>8.679069999999999</v>
      </c>
      <c r="D360" t="n">
        <v>10.8</v>
      </c>
      <c r="E360" t="n">
        <v>11.4</v>
      </c>
      <c r="J360" t="n">
        <v>7.6</v>
      </c>
      <c r="O360" t="n">
        <v>10.4</v>
      </c>
      <c r="Q360" t="n">
        <v>11.1</v>
      </c>
      <c r="T360" t="n">
        <v>16</v>
      </c>
      <c r="W360" t="n">
        <v>7.8</v>
      </c>
      <c r="X360" t="n">
        <v>2.7</v>
      </c>
      <c r="Z360" t="n">
        <v>3</v>
      </c>
      <c r="AC360" t="n">
        <v>9</v>
      </c>
      <c r="AG360" t="n">
        <v>9.9</v>
      </c>
      <c r="AJ360" t="n">
        <v>3</v>
      </c>
      <c r="AL360" t="n">
        <v>7.2</v>
      </c>
    </row>
    <row r="361">
      <c r="A361" s="78" t="n">
        <v>31017</v>
      </c>
      <c r="B361" t="n">
        <v>8.519942</v>
      </c>
      <c r="D361" t="n">
        <v>10.7</v>
      </c>
      <c r="E361" t="n">
        <v>11.1</v>
      </c>
      <c r="J361" t="n">
        <v>7.4</v>
      </c>
      <c r="O361" t="n">
        <v>10.5</v>
      </c>
      <c r="Q361" t="n">
        <v>11.1</v>
      </c>
      <c r="T361" t="n">
        <v>16.1</v>
      </c>
      <c r="W361" t="n">
        <v>7.9</v>
      </c>
      <c r="X361" t="n">
        <v>2.6</v>
      </c>
      <c r="Z361" t="n">
        <v>2.8</v>
      </c>
      <c r="AC361" t="n">
        <v>9</v>
      </c>
      <c r="AG361" t="n">
        <v>9.800000000000001</v>
      </c>
      <c r="AJ361" t="n">
        <v>2.9</v>
      </c>
      <c r="AL361" t="n">
        <v>7.3</v>
      </c>
    </row>
    <row r="362">
      <c r="A362" s="78" t="n">
        <v>31048</v>
      </c>
      <c r="B362" t="n">
        <v>8.550572000000001</v>
      </c>
      <c r="D362" t="n">
        <v>10.6</v>
      </c>
      <c r="E362" t="n">
        <v>10.6</v>
      </c>
      <c r="J362" t="n">
        <v>7.4</v>
      </c>
      <c r="O362" t="n">
        <v>10.4</v>
      </c>
      <c r="Q362" t="n">
        <v>11.2</v>
      </c>
      <c r="T362" t="n">
        <v>16.3</v>
      </c>
      <c r="W362" t="n">
        <v>8</v>
      </c>
      <c r="X362" t="n">
        <v>2.5</v>
      </c>
      <c r="Z362" t="n">
        <v>2.8</v>
      </c>
      <c r="AC362" t="n">
        <v>8.9</v>
      </c>
      <c r="AG362" t="n">
        <v>9.6</v>
      </c>
      <c r="AJ362" t="n">
        <v>3.1</v>
      </c>
      <c r="AL362" t="n">
        <v>7.3</v>
      </c>
    </row>
    <row r="363">
      <c r="A363" s="78" t="n">
        <v>31079</v>
      </c>
      <c r="B363" t="n">
        <v>8.389474</v>
      </c>
      <c r="D363" t="n">
        <v>10.6</v>
      </c>
      <c r="E363" t="n">
        <v>10.8</v>
      </c>
      <c r="J363" t="n">
        <v>7.3</v>
      </c>
      <c r="O363" t="n">
        <v>10.4</v>
      </c>
      <c r="Q363" t="n">
        <v>11.2</v>
      </c>
      <c r="T363" t="n">
        <v>16.6</v>
      </c>
      <c r="W363" t="n">
        <v>8</v>
      </c>
      <c r="X363" t="n">
        <v>2.6</v>
      </c>
      <c r="Z363" t="n">
        <v>2.8</v>
      </c>
      <c r="AC363" t="n">
        <v>8.800000000000001</v>
      </c>
      <c r="AG363" t="n">
        <v>9.6</v>
      </c>
      <c r="AJ363" t="n">
        <v>2.9</v>
      </c>
      <c r="AL363" t="n">
        <v>7.2</v>
      </c>
    </row>
    <row r="364">
      <c r="A364" s="78" t="n">
        <v>31107</v>
      </c>
      <c r="B364" t="n">
        <v>8.665922</v>
      </c>
      <c r="D364" t="n">
        <v>10.4</v>
      </c>
      <c r="E364" t="n">
        <v>11</v>
      </c>
      <c r="J364" t="n">
        <v>7.2</v>
      </c>
      <c r="O364" t="n">
        <v>10.4</v>
      </c>
      <c r="Q364" t="n">
        <v>11.2</v>
      </c>
      <c r="T364" t="n">
        <v>16.6</v>
      </c>
      <c r="W364" t="n">
        <v>8</v>
      </c>
      <c r="X364" t="n">
        <v>2.6</v>
      </c>
      <c r="Z364" t="n">
        <v>2.9</v>
      </c>
      <c r="AC364" t="n">
        <v>8.699999999999999</v>
      </c>
      <c r="AG364" t="n">
        <v>9.699999999999999</v>
      </c>
      <c r="AJ364" t="n">
        <v>3</v>
      </c>
      <c r="AL364" t="n">
        <v>7.2</v>
      </c>
    </row>
    <row r="365">
      <c r="A365" s="78" t="n">
        <v>31138</v>
      </c>
      <c r="B365" t="n">
        <v>8.403572</v>
      </c>
      <c r="D365" t="n">
        <v>10.2</v>
      </c>
      <c r="E365" t="n">
        <v>10.8</v>
      </c>
      <c r="J365" t="n">
        <v>7.1</v>
      </c>
      <c r="O365" t="n">
        <v>10.4</v>
      </c>
      <c r="Q365" t="n">
        <v>11.3</v>
      </c>
      <c r="T365" t="n">
        <v>16.7</v>
      </c>
      <c r="W365" t="n">
        <v>8</v>
      </c>
      <c r="X365" t="n">
        <v>2.5</v>
      </c>
      <c r="Z365" t="n">
        <v>3</v>
      </c>
      <c r="AC365" t="n">
        <v>8.699999999999999</v>
      </c>
      <c r="AG365" t="n">
        <v>9.800000000000001</v>
      </c>
      <c r="AJ365" t="n">
        <v>3</v>
      </c>
      <c r="AL365" t="n">
        <v>7.3</v>
      </c>
    </row>
    <row r="366">
      <c r="A366" s="78" t="n">
        <v>31168</v>
      </c>
      <c r="B366" t="n">
        <v>8.375730000000001</v>
      </c>
      <c r="D366" t="n">
        <v>10.1</v>
      </c>
      <c r="E366" t="n">
        <v>10.6</v>
      </c>
      <c r="J366" t="n">
        <v>7</v>
      </c>
      <c r="O366" t="n">
        <v>10.4</v>
      </c>
      <c r="Q366" t="n">
        <v>11.3</v>
      </c>
      <c r="T366" t="n">
        <v>16.7</v>
      </c>
      <c r="W366" t="n">
        <v>8</v>
      </c>
      <c r="X366" t="n">
        <v>2.6</v>
      </c>
      <c r="Z366" t="n">
        <v>3</v>
      </c>
      <c r="AC366" t="n">
        <v>8.6</v>
      </c>
      <c r="AG366" t="n">
        <v>9.800000000000001</v>
      </c>
      <c r="AJ366" t="n">
        <v>3</v>
      </c>
      <c r="AL366" t="n">
        <v>7.2</v>
      </c>
    </row>
    <row r="367">
      <c r="A367" s="78" t="n">
        <v>31199</v>
      </c>
      <c r="B367" t="n">
        <v>8.570898</v>
      </c>
      <c r="D367" t="n">
        <v>10</v>
      </c>
      <c r="E367" t="n">
        <v>10.7</v>
      </c>
      <c r="J367" t="n">
        <v>6.8</v>
      </c>
      <c r="O367" t="n">
        <v>10.4</v>
      </c>
      <c r="Q367" t="n">
        <v>11.2</v>
      </c>
      <c r="T367" t="n">
        <v>16.8</v>
      </c>
      <c r="W367" t="n">
        <v>8.1</v>
      </c>
      <c r="X367" t="n">
        <v>2.6</v>
      </c>
      <c r="Z367" t="n">
        <v>3</v>
      </c>
      <c r="AC367" t="n">
        <v>8.5</v>
      </c>
      <c r="AG367" t="n">
        <v>9.800000000000001</v>
      </c>
      <c r="AJ367" t="n">
        <v>2.9</v>
      </c>
      <c r="AL367" t="n">
        <v>7.4</v>
      </c>
    </row>
    <row r="368">
      <c r="A368" s="78" t="n">
        <v>31229</v>
      </c>
      <c r="B368" t="n">
        <v>8.293583</v>
      </c>
      <c r="D368" t="n">
        <v>9.9</v>
      </c>
      <c r="E368" t="n">
        <v>10.4</v>
      </c>
      <c r="J368" t="n">
        <v>6.6</v>
      </c>
      <c r="O368" t="n">
        <v>10.4</v>
      </c>
      <c r="Q368" t="n">
        <v>11.2</v>
      </c>
      <c r="T368" t="n">
        <v>16.9</v>
      </c>
      <c r="W368" t="n">
        <v>8.199999999999999</v>
      </c>
      <c r="X368" t="n">
        <v>2.6</v>
      </c>
      <c r="Z368" t="n">
        <v>3</v>
      </c>
      <c r="AC368" t="n">
        <v>8.4</v>
      </c>
      <c r="AG368" t="n">
        <v>9.9</v>
      </c>
      <c r="AJ368" t="n">
        <v>2.8</v>
      </c>
      <c r="AL368" t="n">
        <v>7.4</v>
      </c>
    </row>
    <row r="369">
      <c r="A369" s="78" t="n">
        <v>31260</v>
      </c>
      <c r="B369" t="n">
        <v>8.156027</v>
      </c>
      <c r="D369" t="n">
        <v>9.9</v>
      </c>
      <c r="E369" t="n">
        <v>10.3</v>
      </c>
      <c r="J369" t="n">
        <v>6.4</v>
      </c>
      <c r="O369" t="n">
        <v>10.4</v>
      </c>
      <c r="Q369" t="n">
        <v>11.2</v>
      </c>
      <c r="T369" t="n">
        <v>17</v>
      </c>
      <c r="W369" t="n">
        <v>8.199999999999999</v>
      </c>
      <c r="X369" t="n">
        <v>2.5</v>
      </c>
      <c r="Z369" t="n">
        <v>2.9</v>
      </c>
      <c r="AC369" t="n">
        <v>8.300000000000001</v>
      </c>
      <c r="AG369" t="n">
        <v>10</v>
      </c>
      <c r="AJ369" t="n">
        <v>2.8</v>
      </c>
      <c r="AL369" t="n">
        <v>7.1</v>
      </c>
    </row>
    <row r="370">
      <c r="A370" s="78" t="n">
        <v>31291</v>
      </c>
      <c r="B370" t="n">
        <v>8.057295999999999</v>
      </c>
      <c r="D370" t="n">
        <v>9.9</v>
      </c>
      <c r="E370" t="n">
        <v>10.2</v>
      </c>
      <c r="J370" t="n">
        <v>6.2</v>
      </c>
      <c r="O370" t="n">
        <v>10.4</v>
      </c>
      <c r="Q370" t="n">
        <v>11.2</v>
      </c>
      <c r="T370" t="n">
        <v>17.1</v>
      </c>
      <c r="W370" t="n">
        <v>8.300000000000001</v>
      </c>
      <c r="X370" t="n">
        <v>2.7</v>
      </c>
      <c r="Z370" t="n">
        <v>2.8</v>
      </c>
      <c r="AC370" t="n">
        <v>8.199999999999999</v>
      </c>
      <c r="AG370" t="n">
        <v>10</v>
      </c>
      <c r="AJ370" t="n">
        <v>2.8</v>
      </c>
      <c r="AL370" t="n">
        <v>7.1</v>
      </c>
    </row>
    <row r="371">
      <c r="A371" s="78" t="n">
        <v>31321</v>
      </c>
      <c r="B371" t="n">
        <v>7.848575</v>
      </c>
      <c r="D371" t="n">
        <v>9.9</v>
      </c>
      <c r="E371" t="n">
        <v>10.3</v>
      </c>
      <c r="J371" t="n">
        <v>6</v>
      </c>
      <c r="O371" t="n">
        <v>10.4</v>
      </c>
      <c r="Q371" t="n">
        <v>11.2</v>
      </c>
      <c r="T371" t="n">
        <v>17</v>
      </c>
      <c r="W371" t="n">
        <v>8.300000000000001</v>
      </c>
      <c r="X371" t="n">
        <v>2.7</v>
      </c>
      <c r="Z371" t="n">
        <v>2.8</v>
      </c>
      <c r="AC371" t="n">
        <v>8.199999999999999</v>
      </c>
      <c r="AG371" t="n">
        <v>10</v>
      </c>
      <c r="AJ371" t="n">
        <v>2.6</v>
      </c>
      <c r="AL371" t="n">
        <v>7.1</v>
      </c>
    </row>
    <row r="372">
      <c r="A372" s="78" t="n">
        <v>31352</v>
      </c>
      <c r="B372" t="n">
        <v>7.9501</v>
      </c>
      <c r="D372" t="n">
        <v>9.9</v>
      </c>
      <c r="E372" t="n">
        <v>10.3</v>
      </c>
      <c r="J372" t="n">
        <v>5.8</v>
      </c>
      <c r="O372" t="n">
        <v>10.5</v>
      </c>
      <c r="Q372" t="n">
        <v>11.1</v>
      </c>
      <c r="T372" t="n">
        <v>16.9</v>
      </c>
      <c r="W372" t="n">
        <v>8.4</v>
      </c>
      <c r="X372" t="n">
        <v>2.8</v>
      </c>
      <c r="Z372" t="n">
        <v>2.8</v>
      </c>
      <c r="AC372" t="n">
        <v>8.1</v>
      </c>
      <c r="AG372" t="n">
        <v>10</v>
      </c>
      <c r="AJ372" t="n">
        <v>2.7</v>
      </c>
      <c r="AL372" t="n">
        <v>7</v>
      </c>
    </row>
    <row r="373">
      <c r="A373" s="78" t="n">
        <v>31382</v>
      </c>
      <c r="B373" t="n">
        <v>7.784721</v>
      </c>
      <c r="D373" t="n">
        <v>10</v>
      </c>
      <c r="E373" t="n">
        <v>10.1</v>
      </c>
      <c r="J373" t="n">
        <v>5.6</v>
      </c>
      <c r="O373" t="n">
        <v>10.5</v>
      </c>
      <c r="Q373" t="n">
        <v>11.2</v>
      </c>
      <c r="T373" t="n">
        <v>17</v>
      </c>
      <c r="W373" t="n">
        <v>8.5</v>
      </c>
      <c r="X373" t="n">
        <v>2.8</v>
      </c>
      <c r="Z373" t="n">
        <v>2.8</v>
      </c>
      <c r="AC373" t="n">
        <v>8</v>
      </c>
      <c r="AG373" t="n">
        <v>10.1</v>
      </c>
      <c r="AJ373" t="n">
        <v>2.8</v>
      </c>
      <c r="AL373" t="n">
        <v>7</v>
      </c>
    </row>
    <row r="374">
      <c r="A374" s="78" t="n">
        <v>31413</v>
      </c>
      <c r="B374" t="n">
        <v>7.805233</v>
      </c>
      <c r="D374" t="n">
        <v>10.1</v>
      </c>
      <c r="E374" t="n">
        <v>9.800000000000001</v>
      </c>
      <c r="G374" t="n">
        <v>14.48594</v>
      </c>
      <c r="J374" t="n">
        <v>5.4</v>
      </c>
      <c r="O374" t="n">
        <v>10.4</v>
      </c>
      <c r="Q374" t="n">
        <v>11.2</v>
      </c>
      <c r="T374" t="n">
        <v>16.9</v>
      </c>
      <c r="W374" t="n">
        <v>8.5</v>
      </c>
      <c r="X374" t="n">
        <v>2.7</v>
      </c>
      <c r="Z374" t="n">
        <v>2.8</v>
      </c>
      <c r="AC374" t="n">
        <v>7.9</v>
      </c>
      <c r="AG374" t="n">
        <v>10.1</v>
      </c>
      <c r="AJ374" t="n">
        <v>2.7</v>
      </c>
      <c r="AL374" t="n">
        <v>6.7</v>
      </c>
    </row>
    <row r="375">
      <c r="A375" s="78" t="n">
        <v>31444</v>
      </c>
      <c r="B375" t="n">
        <v>8.002891999999999</v>
      </c>
      <c r="D375" t="n">
        <v>10.1</v>
      </c>
      <c r="E375" t="n">
        <v>9.9</v>
      </c>
      <c r="G375" t="n">
        <v>13.88046</v>
      </c>
      <c r="J375" t="n">
        <v>5.2</v>
      </c>
      <c r="O375" t="n">
        <v>10.3</v>
      </c>
      <c r="Q375" t="n">
        <v>11.1</v>
      </c>
      <c r="T375" t="n">
        <v>16.8</v>
      </c>
      <c r="W375" t="n">
        <v>8.6</v>
      </c>
      <c r="X375" t="n">
        <v>2.6</v>
      </c>
      <c r="Z375" t="n">
        <v>2.8</v>
      </c>
      <c r="AC375" t="n">
        <v>7.8</v>
      </c>
      <c r="AG375" t="n">
        <v>10.1</v>
      </c>
      <c r="AJ375" t="n">
        <v>2.9</v>
      </c>
      <c r="AL375" t="n">
        <v>7.2</v>
      </c>
    </row>
    <row r="376">
      <c r="A376" s="78" t="n">
        <v>31472</v>
      </c>
      <c r="B376" t="n">
        <v>7.927978</v>
      </c>
      <c r="D376" t="n">
        <v>10.1</v>
      </c>
      <c r="E376" t="n">
        <v>9.800000000000001</v>
      </c>
      <c r="G376" t="n">
        <v>13.08717</v>
      </c>
      <c r="J376" t="n">
        <v>5.1</v>
      </c>
      <c r="O376" t="n">
        <v>10.4</v>
      </c>
      <c r="Q376" t="n">
        <v>11.2</v>
      </c>
      <c r="T376" t="n">
        <v>16.8</v>
      </c>
      <c r="W376" t="n">
        <v>8.6</v>
      </c>
      <c r="X376" t="n">
        <v>2.7</v>
      </c>
      <c r="Z376" t="n">
        <v>2.7</v>
      </c>
      <c r="AC376" t="n">
        <v>7.8</v>
      </c>
      <c r="AG376" t="n">
        <v>10.1</v>
      </c>
      <c r="AJ376" t="n">
        <v>2.9</v>
      </c>
      <c r="AL376" t="n">
        <v>7.2</v>
      </c>
    </row>
    <row r="377">
      <c r="A377" s="78" t="n">
        <v>31503</v>
      </c>
      <c r="B377" t="n">
        <v>7.902133</v>
      </c>
      <c r="D377" t="n">
        <v>10.1</v>
      </c>
      <c r="E377" t="n">
        <v>9.699999999999999</v>
      </c>
      <c r="G377" t="n">
        <v>12.48148</v>
      </c>
      <c r="J377" t="n">
        <v>5</v>
      </c>
      <c r="L377" t="n">
        <v>20.6</v>
      </c>
      <c r="O377" t="n">
        <v>10.4</v>
      </c>
      <c r="Q377" t="n">
        <v>11.3</v>
      </c>
      <c r="T377" t="n">
        <v>16.8</v>
      </c>
      <c r="W377" t="n">
        <v>8.699999999999999</v>
      </c>
      <c r="X377" t="n">
        <v>2.8</v>
      </c>
      <c r="Z377" t="n">
        <v>2.7</v>
      </c>
      <c r="AC377" t="n">
        <v>7.7</v>
      </c>
      <c r="AG377" t="n">
        <v>9.9</v>
      </c>
      <c r="AJ377" t="n">
        <v>2.6</v>
      </c>
      <c r="AL377" t="n">
        <v>7.1</v>
      </c>
    </row>
    <row r="378">
      <c r="A378" s="78" t="n">
        <v>31533</v>
      </c>
      <c r="B378" t="n">
        <v>7.846069</v>
      </c>
      <c r="D378" t="n">
        <v>10.1</v>
      </c>
      <c r="E378" t="n">
        <v>9.5</v>
      </c>
      <c r="G378" t="n">
        <v>12.01447</v>
      </c>
      <c r="J378" t="n">
        <v>4.9</v>
      </c>
      <c r="L378" t="n">
        <v>20.5</v>
      </c>
      <c r="O378" t="n">
        <v>10.5</v>
      </c>
      <c r="Q378" t="n">
        <v>11.3</v>
      </c>
      <c r="T378" t="n">
        <v>16.8</v>
      </c>
      <c r="W378" t="n">
        <v>8.800000000000001</v>
      </c>
      <c r="X378" t="n">
        <v>2.7</v>
      </c>
      <c r="Z378" t="n">
        <v>2.7</v>
      </c>
      <c r="AC378" t="n">
        <v>7.6</v>
      </c>
      <c r="AG378" t="n">
        <v>9.800000000000001</v>
      </c>
      <c r="AJ378" t="n">
        <v>2.8</v>
      </c>
      <c r="AL378" t="n">
        <v>7.2</v>
      </c>
    </row>
    <row r="379">
      <c r="A379" s="78" t="n">
        <v>31564</v>
      </c>
      <c r="B379" t="n">
        <v>7.654072</v>
      </c>
      <c r="D379" t="n">
        <v>10.1</v>
      </c>
      <c r="E379" t="n">
        <v>9.6</v>
      </c>
      <c r="G379" t="n">
        <v>11.56116</v>
      </c>
      <c r="J379" t="n">
        <v>4.9</v>
      </c>
      <c r="L379" t="n">
        <v>20.4</v>
      </c>
      <c r="O379" t="n">
        <v>10.5</v>
      </c>
      <c r="Q379" t="n">
        <v>11.3</v>
      </c>
      <c r="T379" t="n">
        <v>16.9</v>
      </c>
      <c r="W379" t="n">
        <v>8.800000000000001</v>
      </c>
      <c r="X379" t="n">
        <v>2.8</v>
      </c>
      <c r="Z379" t="n">
        <v>2.7</v>
      </c>
      <c r="AC379" t="n">
        <v>7.6</v>
      </c>
      <c r="AG379" t="n">
        <v>9.699999999999999</v>
      </c>
      <c r="AJ379" t="n">
        <v>2.6</v>
      </c>
      <c r="AL379" t="n">
        <v>7.2</v>
      </c>
    </row>
    <row r="380">
      <c r="A380" s="78" t="n">
        <v>31594</v>
      </c>
      <c r="B380" t="n">
        <v>8.115928</v>
      </c>
      <c r="D380" t="n">
        <v>10</v>
      </c>
      <c r="E380" t="n">
        <v>9.6</v>
      </c>
      <c r="G380" t="n">
        <v>11.27899</v>
      </c>
      <c r="J380" t="n">
        <v>4.9</v>
      </c>
      <c r="L380" t="n">
        <v>20.4</v>
      </c>
      <c r="O380" t="n">
        <v>10.6</v>
      </c>
      <c r="Q380" t="n">
        <v>11.3</v>
      </c>
      <c r="T380" t="n">
        <v>16.9</v>
      </c>
      <c r="W380" t="n">
        <v>8.9</v>
      </c>
      <c r="X380" t="n">
        <v>2.9</v>
      </c>
      <c r="Z380" t="n">
        <v>2.5</v>
      </c>
      <c r="AC380" t="n">
        <v>7.6</v>
      </c>
      <c r="AG380" t="n">
        <v>9.4</v>
      </c>
      <c r="AJ380" t="n">
        <v>2.5</v>
      </c>
      <c r="AL380" t="n">
        <v>7</v>
      </c>
    </row>
    <row r="381">
      <c r="A381" s="78" t="n">
        <v>31625</v>
      </c>
      <c r="B381" t="n">
        <v>8.239507</v>
      </c>
      <c r="D381" t="n">
        <v>9.9</v>
      </c>
      <c r="E381" t="n">
        <v>9.6</v>
      </c>
      <c r="G381" t="n">
        <v>11.31101</v>
      </c>
      <c r="J381" t="n">
        <v>4.9</v>
      </c>
      <c r="L381" t="n">
        <v>20.3</v>
      </c>
      <c r="O381" t="n">
        <v>10.6</v>
      </c>
      <c r="Q381" t="n">
        <v>11.3</v>
      </c>
      <c r="T381" t="n">
        <v>16.8</v>
      </c>
      <c r="W381" t="n">
        <v>9</v>
      </c>
      <c r="X381" t="n">
        <v>2.8</v>
      </c>
      <c r="Z381" t="n">
        <v>2.5</v>
      </c>
      <c r="AC381" t="n">
        <v>7.5</v>
      </c>
      <c r="AG381" t="n">
        <v>9.199999999999999</v>
      </c>
      <c r="AJ381" t="n">
        <v>2.6</v>
      </c>
      <c r="AL381" t="n">
        <v>6.9</v>
      </c>
    </row>
    <row r="382">
      <c r="A382" s="78" t="n">
        <v>31656</v>
      </c>
      <c r="B382" t="n">
        <v>8.338011</v>
      </c>
      <c r="D382" t="n">
        <v>9.9</v>
      </c>
      <c r="E382" t="n">
        <v>9.5</v>
      </c>
      <c r="G382" t="n">
        <v>11.29958</v>
      </c>
      <c r="J382" t="n">
        <v>4.9</v>
      </c>
      <c r="L382" t="n">
        <v>20.3</v>
      </c>
      <c r="O382" t="n">
        <v>10.7</v>
      </c>
      <c r="Q382" t="n">
        <v>11.3</v>
      </c>
      <c r="T382" t="n">
        <v>16.8</v>
      </c>
      <c r="W382" t="n">
        <v>9.1</v>
      </c>
      <c r="X382" t="n">
        <v>2.8</v>
      </c>
      <c r="Z382" t="n">
        <v>2.4</v>
      </c>
      <c r="AC382" t="n">
        <v>7.5</v>
      </c>
      <c r="AG382" t="n">
        <v>9</v>
      </c>
      <c r="AJ382" t="n">
        <v>2.6</v>
      </c>
      <c r="AL382" t="n">
        <v>7</v>
      </c>
    </row>
    <row r="383">
      <c r="A383" s="78" t="n">
        <v>31686</v>
      </c>
      <c r="B383" t="n">
        <v>8.309570000000001</v>
      </c>
      <c r="D383" t="n">
        <v>10</v>
      </c>
      <c r="E383" t="n">
        <v>9.4</v>
      </c>
      <c r="G383" t="n">
        <v>11.50699</v>
      </c>
      <c r="J383" t="n">
        <v>4.8</v>
      </c>
      <c r="L383" t="n">
        <v>20.2</v>
      </c>
      <c r="O383" t="n">
        <v>10.8</v>
      </c>
      <c r="Q383" t="n">
        <v>11.2</v>
      </c>
      <c r="T383" t="n">
        <v>16.7</v>
      </c>
      <c r="W383" t="n">
        <v>9.1</v>
      </c>
      <c r="X383" t="n">
        <v>2.7</v>
      </c>
      <c r="Z383" t="n">
        <v>2.3</v>
      </c>
      <c r="AC383" t="n">
        <v>7.5</v>
      </c>
      <c r="AG383" t="n">
        <v>9</v>
      </c>
      <c r="AJ383" t="n">
        <v>2.6</v>
      </c>
      <c r="AL383" t="n">
        <v>7</v>
      </c>
    </row>
    <row r="384">
      <c r="A384" s="78" t="n">
        <v>31717</v>
      </c>
      <c r="B384" t="n">
        <v>8.318403</v>
      </c>
      <c r="D384" t="n">
        <v>10.1</v>
      </c>
      <c r="E384" t="n">
        <v>9.4</v>
      </c>
      <c r="G384" t="n">
        <v>11.23287</v>
      </c>
      <c r="J384" t="n">
        <v>4.9</v>
      </c>
      <c r="L384" t="n">
        <v>20.3</v>
      </c>
      <c r="O384" t="n">
        <v>10.8</v>
      </c>
      <c r="Q384" t="n">
        <v>11.2</v>
      </c>
      <c r="T384" t="n">
        <v>16.8</v>
      </c>
      <c r="W384" t="n">
        <v>9.1</v>
      </c>
      <c r="X384" t="n">
        <v>2.8</v>
      </c>
      <c r="Z384" t="n">
        <v>2.3</v>
      </c>
      <c r="AC384" t="n">
        <v>7.4</v>
      </c>
      <c r="AG384" t="n">
        <v>8.9</v>
      </c>
      <c r="AJ384" t="n">
        <v>2.7</v>
      </c>
      <c r="AL384" t="n">
        <v>6.9</v>
      </c>
    </row>
    <row r="385">
      <c r="A385" s="78" t="n">
        <v>31747</v>
      </c>
      <c r="B385" t="n">
        <v>8.363006</v>
      </c>
      <c r="D385" t="n">
        <v>10.1</v>
      </c>
      <c r="E385" t="n">
        <v>9.5</v>
      </c>
      <c r="G385" t="n">
        <v>11.01317</v>
      </c>
      <c r="J385" t="n">
        <v>4.9</v>
      </c>
      <c r="L385" t="n">
        <v>20.2</v>
      </c>
      <c r="O385" t="n">
        <v>10.9</v>
      </c>
      <c r="Q385" t="n">
        <v>11.2</v>
      </c>
      <c r="T385" t="n">
        <v>16.8</v>
      </c>
      <c r="W385" t="n">
        <v>9.199999999999999</v>
      </c>
      <c r="X385" t="n">
        <v>2.9</v>
      </c>
      <c r="Z385" t="n">
        <v>2.4</v>
      </c>
      <c r="AC385" t="n">
        <v>7.4</v>
      </c>
      <c r="AG385" t="n">
        <v>8.9</v>
      </c>
      <c r="AJ385" t="n">
        <v>2.6</v>
      </c>
      <c r="AL385" t="n">
        <v>6.6</v>
      </c>
    </row>
    <row r="386">
      <c r="A386" s="78" t="n">
        <v>31778</v>
      </c>
      <c r="B386" t="n">
        <v>8.186321</v>
      </c>
      <c r="D386" t="n">
        <v>10.1</v>
      </c>
      <c r="E386" t="n">
        <v>9.5</v>
      </c>
      <c r="G386" t="n">
        <v>10.99695</v>
      </c>
      <c r="J386" t="n">
        <v>5</v>
      </c>
      <c r="L386" t="n">
        <v>20.2</v>
      </c>
      <c r="O386" t="n">
        <v>10.8</v>
      </c>
      <c r="Q386" t="n">
        <v>11.1</v>
      </c>
      <c r="T386" t="n">
        <v>16.8</v>
      </c>
      <c r="W386" t="n">
        <v>9.199999999999999</v>
      </c>
      <c r="X386" t="n">
        <v>3</v>
      </c>
      <c r="Z386" t="n">
        <v>2.4</v>
      </c>
      <c r="AB386" t="n">
        <v>4.5</v>
      </c>
      <c r="AC386" t="n">
        <v>7.4</v>
      </c>
      <c r="AG386" t="n">
        <v>8.699999999999999</v>
      </c>
      <c r="AJ386" t="n">
        <v>2.3</v>
      </c>
      <c r="AL386" t="n">
        <v>6.6</v>
      </c>
    </row>
    <row r="387">
      <c r="A387" s="78" t="n">
        <v>31809</v>
      </c>
      <c r="B387" t="n">
        <v>8.210767000000001</v>
      </c>
      <c r="D387" t="n">
        <v>10</v>
      </c>
      <c r="E387" t="n">
        <v>9.5</v>
      </c>
      <c r="G387" t="n">
        <v>11.05473</v>
      </c>
      <c r="J387" t="n">
        <v>5</v>
      </c>
      <c r="L387" t="n">
        <v>20.1</v>
      </c>
      <c r="O387" t="n">
        <v>10.8</v>
      </c>
      <c r="Q387" t="n">
        <v>11</v>
      </c>
      <c r="T387" t="n">
        <v>16.7</v>
      </c>
      <c r="W387" t="n">
        <v>9.300000000000001</v>
      </c>
      <c r="X387" t="n">
        <v>2.9</v>
      </c>
      <c r="Z387" t="n">
        <v>2.5</v>
      </c>
      <c r="AB387" t="n">
        <v>4.7</v>
      </c>
      <c r="AC387" t="n">
        <v>7.4</v>
      </c>
      <c r="AG387" t="n">
        <v>8.699999999999999</v>
      </c>
      <c r="AJ387" t="n">
        <v>2.4</v>
      </c>
      <c r="AL387" t="n">
        <v>6.6</v>
      </c>
    </row>
    <row r="388">
      <c r="A388" s="78" t="n">
        <v>31837</v>
      </c>
      <c r="B388" t="n">
        <v>8.436396999999999</v>
      </c>
      <c r="D388" t="n">
        <v>10</v>
      </c>
      <c r="E388" t="n">
        <v>9.4</v>
      </c>
      <c r="G388" t="n">
        <v>11.19265</v>
      </c>
      <c r="J388" t="n">
        <v>5</v>
      </c>
      <c r="L388" t="n">
        <v>19.9</v>
      </c>
      <c r="O388" t="n">
        <v>10.8</v>
      </c>
      <c r="Q388" t="n">
        <v>10.9</v>
      </c>
      <c r="T388" t="n">
        <v>16.7</v>
      </c>
      <c r="W388" t="n">
        <v>9.300000000000001</v>
      </c>
      <c r="X388" t="n">
        <v>2.9</v>
      </c>
      <c r="Z388" t="n">
        <v>2.6</v>
      </c>
      <c r="AB388" t="n">
        <v>4.2</v>
      </c>
      <c r="AC388" t="n">
        <v>7.4</v>
      </c>
      <c r="AG388" t="n">
        <v>8.5</v>
      </c>
      <c r="AJ388" t="n">
        <v>2.4</v>
      </c>
      <c r="AL388" t="n">
        <v>6.6</v>
      </c>
    </row>
    <row r="389">
      <c r="A389" s="78" t="n">
        <v>31868</v>
      </c>
      <c r="B389" t="n">
        <v>8.301710999999999</v>
      </c>
      <c r="D389" t="n">
        <v>10</v>
      </c>
      <c r="E389" t="n">
        <v>9.199999999999999</v>
      </c>
      <c r="G389" t="n">
        <v>11.31373</v>
      </c>
      <c r="J389" t="n">
        <v>5</v>
      </c>
      <c r="L389" t="n">
        <v>19.8</v>
      </c>
      <c r="O389" t="n">
        <v>10.7</v>
      </c>
      <c r="Q389" t="n">
        <v>10.8</v>
      </c>
      <c r="T389" t="n">
        <v>16.7</v>
      </c>
      <c r="W389" t="n">
        <v>9.4</v>
      </c>
      <c r="X389" t="n">
        <v>2.9</v>
      </c>
      <c r="Z389" t="n">
        <v>2.6</v>
      </c>
      <c r="AB389" t="n">
        <v>4.4</v>
      </c>
      <c r="AC389" t="n">
        <v>7.4</v>
      </c>
      <c r="AG389" t="n">
        <v>8.300000000000001</v>
      </c>
      <c r="AJ389" t="n">
        <v>2.3</v>
      </c>
      <c r="AL389" t="n">
        <v>6.3</v>
      </c>
    </row>
    <row r="390">
      <c r="A390" s="78" t="n">
        <v>31898</v>
      </c>
      <c r="B390" t="n">
        <v>8.200996999999999</v>
      </c>
      <c r="D390" t="n">
        <v>9.9</v>
      </c>
      <c r="E390" t="n">
        <v>8.9</v>
      </c>
      <c r="G390" t="n">
        <v>11.40226</v>
      </c>
      <c r="J390" t="n">
        <v>5</v>
      </c>
      <c r="L390" t="n">
        <v>19.7</v>
      </c>
      <c r="O390" t="n">
        <v>10.7</v>
      </c>
      <c r="Q390" t="n">
        <v>10.6</v>
      </c>
      <c r="T390" t="n">
        <v>16.7</v>
      </c>
      <c r="W390" t="n">
        <v>9.699999999999999</v>
      </c>
      <c r="X390" t="n">
        <v>3.1</v>
      </c>
      <c r="Z390" t="n">
        <v>2.6</v>
      </c>
      <c r="AB390" t="n">
        <v>3.9</v>
      </c>
      <c r="AC390" t="n">
        <v>7.4</v>
      </c>
      <c r="AG390" t="n">
        <v>8.199999999999999</v>
      </c>
      <c r="AJ390" t="n">
        <v>2.3</v>
      </c>
      <c r="AL390" t="n">
        <v>6.3</v>
      </c>
    </row>
    <row r="391">
      <c r="A391" s="78" t="n">
        <v>31929</v>
      </c>
      <c r="B391" t="n">
        <v>8.009684</v>
      </c>
      <c r="D391" t="n">
        <v>9.9</v>
      </c>
      <c r="E391" t="n">
        <v>8.9</v>
      </c>
      <c r="G391" t="n">
        <v>11.42596</v>
      </c>
      <c r="J391" t="n">
        <v>5</v>
      </c>
      <c r="L391" t="n">
        <v>19.6</v>
      </c>
      <c r="O391" t="n">
        <v>10.6</v>
      </c>
      <c r="Q391" t="n">
        <v>10.5</v>
      </c>
      <c r="T391" t="n">
        <v>16.7</v>
      </c>
      <c r="W391" t="n">
        <v>9.9</v>
      </c>
      <c r="X391" t="n">
        <v>3</v>
      </c>
      <c r="Z391" t="n">
        <v>2.5</v>
      </c>
      <c r="AB391" t="n">
        <v>3.9</v>
      </c>
      <c r="AC391" t="n">
        <v>7.5</v>
      </c>
      <c r="AG391" t="n">
        <v>8.1</v>
      </c>
      <c r="AJ391" t="n">
        <v>2.3</v>
      </c>
      <c r="AL391" t="n">
        <v>6.2</v>
      </c>
    </row>
    <row r="392">
      <c r="A392" s="78" t="n">
        <v>31959</v>
      </c>
      <c r="B392" t="n">
        <v>8.083061000000001</v>
      </c>
      <c r="D392" t="n">
        <v>9.800000000000001</v>
      </c>
      <c r="E392" t="n">
        <v>8.699999999999999</v>
      </c>
      <c r="G392" t="n">
        <v>11.0965</v>
      </c>
      <c r="J392" t="n">
        <v>5</v>
      </c>
      <c r="L392" t="n">
        <v>19.7</v>
      </c>
      <c r="O392" t="n">
        <v>10.6</v>
      </c>
      <c r="Q392" t="n">
        <v>10.3</v>
      </c>
      <c r="T392" t="n">
        <v>16.6</v>
      </c>
      <c r="W392" t="n">
        <v>9.800000000000001</v>
      </c>
      <c r="X392" t="n">
        <v>2.8</v>
      </c>
      <c r="Z392" t="n">
        <v>2.5</v>
      </c>
      <c r="AB392" t="n">
        <v>3.7</v>
      </c>
      <c r="AC392" t="n">
        <v>7.5</v>
      </c>
      <c r="AG392" t="n">
        <v>7.8</v>
      </c>
      <c r="AJ392" t="n">
        <v>2.2</v>
      </c>
      <c r="AL392" t="n">
        <v>6.1</v>
      </c>
    </row>
    <row r="393">
      <c r="A393" s="78" t="n">
        <v>31990</v>
      </c>
      <c r="B393" t="n">
        <v>8.105273</v>
      </c>
      <c r="D393" t="n">
        <v>9.699999999999999</v>
      </c>
      <c r="E393" t="n">
        <v>8.6</v>
      </c>
      <c r="G393" t="n">
        <v>10.89429</v>
      </c>
      <c r="J393" t="n">
        <v>5</v>
      </c>
      <c r="L393" t="n">
        <v>19.7</v>
      </c>
      <c r="O393" t="n">
        <v>10.6</v>
      </c>
      <c r="Q393" t="n">
        <v>10.1</v>
      </c>
      <c r="T393" t="n">
        <v>16.5</v>
      </c>
      <c r="W393" t="n">
        <v>9.800000000000001</v>
      </c>
      <c r="X393" t="n">
        <v>2.8</v>
      </c>
      <c r="Z393" t="n">
        <v>2.4</v>
      </c>
      <c r="AB393" t="n">
        <v>3.7</v>
      </c>
      <c r="AC393" t="n">
        <v>7.5</v>
      </c>
      <c r="AG393" t="n">
        <v>7.7</v>
      </c>
      <c r="AJ393" t="n">
        <v>2.4</v>
      </c>
      <c r="AL393" t="n">
        <v>6</v>
      </c>
    </row>
    <row r="394">
      <c r="A394" s="78" t="n">
        <v>32021</v>
      </c>
      <c r="B394" t="n">
        <v>7.754991</v>
      </c>
      <c r="D394" t="n">
        <v>9.6</v>
      </c>
      <c r="E394" t="n">
        <v>8.4</v>
      </c>
      <c r="G394" t="n">
        <v>10.83351</v>
      </c>
      <c r="J394" t="n">
        <v>5</v>
      </c>
      <c r="L394" t="n">
        <v>19.7</v>
      </c>
      <c r="O394" t="n">
        <v>10.5</v>
      </c>
      <c r="Q394" t="n">
        <v>10</v>
      </c>
      <c r="T394" t="n">
        <v>16.5</v>
      </c>
      <c r="W394" t="n">
        <v>9.800000000000001</v>
      </c>
      <c r="X394" t="n">
        <v>2.7</v>
      </c>
      <c r="Z394" t="n">
        <v>2.4</v>
      </c>
      <c r="AB394" t="n">
        <v>3.4</v>
      </c>
      <c r="AC394" t="n">
        <v>7.5</v>
      </c>
      <c r="AG394" t="n">
        <v>7.7</v>
      </c>
      <c r="AJ394" t="n">
        <v>1.9</v>
      </c>
      <c r="AL394" t="n">
        <v>5.9</v>
      </c>
    </row>
    <row r="395">
      <c r="A395" s="78" t="n">
        <v>32051</v>
      </c>
      <c r="B395" t="n">
        <v>8.085412</v>
      </c>
      <c r="D395" t="n">
        <v>9.6</v>
      </c>
      <c r="E395" t="n">
        <v>8.300000000000001</v>
      </c>
      <c r="G395" t="n">
        <v>10.24389</v>
      </c>
      <c r="J395" t="n">
        <v>5</v>
      </c>
      <c r="L395" t="n">
        <v>19.5</v>
      </c>
      <c r="O395" t="n">
        <v>10.5</v>
      </c>
      <c r="Q395" t="n">
        <v>9.800000000000001</v>
      </c>
      <c r="T395" t="n">
        <v>16.5</v>
      </c>
      <c r="W395" t="n">
        <v>9.800000000000001</v>
      </c>
      <c r="X395" t="n">
        <v>2.7</v>
      </c>
      <c r="Z395" t="n">
        <v>2.3</v>
      </c>
      <c r="AB395" t="n">
        <v>3.6</v>
      </c>
      <c r="AC395" t="n">
        <v>7.5</v>
      </c>
      <c r="AG395" t="n">
        <v>7.6</v>
      </c>
      <c r="AJ395" t="n">
        <v>2</v>
      </c>
      <c r="AL395" t="n">
        <v>6</v>
      </c>
    </row>
    <row r="396">
      <c r="A396" s="78" t="n">
        <v>32082</v>
      </c>
      <c r="B396" t="n">
        <v>7.930613</v>
      </c>
      <c r="D396" t="n">
        <v>9.6</v>
      </c>
      <c r="E396" t="n">
        <v>8.199999999999999</v>
      </c>
      <c r="G396" t="n">
        <v>10.36085</v>
      </c>
      <c r="J396" t="n">
        <v>5</v>
      </c>
      <c r="L396" t="n">
        <v>19.4</v>
      </c>
      <c r="O396" t="n">
        <v>10.5</v>
      </c>
      <c r="Q396" t="n">
        <v>9.6</v>
      </c>
      <c r="T396" t="n">
        <v>16.5</v>
      </c>
      <c r="W396" t="n">
        <v>9.699999999999999</v>
      </c>
      <c r="X396" t="n">
        <v>2.7</v>
      </c>
      <c r="Z396" t="n">
        <v>2.3</v>
      </c>
      <c r="AB396" t="n">
        <v>3.5</v>
      </c>
      <c r="AC396" t="n">
        <v>7.5</v>
      </c>
      <c r="AG396" t="n">
        <v>7.5</v>
      </c>
      <c r="AJ396" t="n">
        <v>1.9</v>
      </c>
      <c r="AL396" t="n">
        <v>5.8</v>
      </c>
    </row>
    <row r="397">
      <c r="A397" s="78" t="n">
        <v>32112</v>
      </c>
      <c r="B397" t="n">
        <v>7.727452</v>
      </c>
      <c r="D397" t="n">
        <v>9.5</v>
      </c>
      <c r="E397" t="n">
        <v>8</v>
      </c>
      <c r="G397" t="n">
        <v>10.19404</v>
      </c>
      <c r="J397" t="n">
        <v>5</v>
      </c>
      <c r="L397" t="n">
        <v>19.4</v>
      </c>
      <c r="O397" t="n">
        <v>10.5</v>
      </c>
      <c r="Q397" t="n">
        <v>9.4</v>
      </c>
      <c r="T397" t="n">
        <v>16.5</v>
      </c>
      <c r="W397" t="n">
        <v>9.699999999999999</v>
      </c>
      <c r="X397" t="n">
        <v>2.7</v>
      </c>
      <c r="Z397" t="n">
        <v>2.3</v>
      </c>
      <c r="AB397" t="n">
        <v>3.1</v>
      </c>
      <c r="AC397" t="n">
        <v>7.5</v>
      </c>
      <c r="AG397" t="n">
        <v>7.3</v>
      </c>
      <c r="AJ397" t="n">
        <v>1.8</v>
      </c>
      <c r="AL397" t="n">
        <v>5.7</v>
      </c>
    </row>
    <row r="398">
      <c r="A398" s="78" t="n">
        <v>32143</v>
      </c>
      <c r="B398" t="n">
        <v>7.630851</v>
      </c>
      <c r="D398" t="n">
        <v>9.5</v>
      </c>
      <c r="E398" t="n">
        <v>8.1</v>
      </c>
      <c r="G398" t="n">
        <v>10.6727</v>
      </c>
      <c r="J398" t="n">
        <v>5.1</v>
      </c>
      <c r="L398" t="n">
        <v>19.3</v>
      </c>
      <c r="N398" t="n">
        <v>4.8</v>
      </c>
      <c r="O398" t="n">
        <v>10.3</v>
      </c>
      <c r="Q398" t="n">
        <v>9.199999999999999</v>
      </c>
      <c r="T398" t="n">
        <v>16.5</v>
      </c>
      <c r="W398" t="n">
        <v>9.699999999999999</v>
      </c>
      <c r="X398" t="n">
        <v>2.7</v>
      </c>
      <c r="Z398" t="n">
        <v>2.3</v>
      </c>
      <c r="AB398" t="n">
        <v>3.5</v>
      </c>
      <c r="AC398" t="n">
        <v>7.5</v>
      </c>
      <c r="AG398" t="n">
        <v>7</v>
      </c>
      <c r="AJ398" t="n">
        <v>2</v>
      </c>
      <c r="AL398" t="n">
        <v>5.7</v>
      </c>
    </row>
    <row r="399">
      <c r="A399" s="78" t="n">
        <v>32174</v>
      </c>
      <c r="B399" t="n">
        <v>7.416609</v>
      </c>
      <c r="D399" t="n">
        <v>9.4</v>
      </c>
      <c r="E399" t="n">
        <v>7.8</v>
      </c>
      <c r="G399" t="n">
        <v>10.45646</v>
      </c>
      <c r="J399" t="n">
        <v>5.2</v>
      </c>
      <c r="L399" t="n">
        <v>19.2</v>
      </c>
      <c r="N399" t="n">
        <v>4.6</v>
      </c>
      <c r="O399" t="n">
        <v>10.3</v>
      </c>
      <c r="Q399" t="n">
        <v>9.1</v>
      </c>
      <c r="T399" t="n">
        <v>16.5</v>
      </c>
      <c r="W399" t="n">
        <v>9.699999999999999</v>
      </c>
      <c r="X399" t="n">
        <v>2.7</v>
      </c>
      <c r="Z399" t="n">
        <v>2.2</v>
      </c>
      <c r="AB399" t="n">
        <v>3.3</v>
      </c>
      <c r="AC399" t="n">
        <v>7.5</v>
      </c>
      <c r="AG399" t="n">
        <v>7</v>
      </c>
      <c r="AJ399" t="n">
        <v>1.8</v>
      </c>
      <c r="AL399" t="n">
        <v>5.7</v>
      </c>
    </row>
    <row r="400">
      <c r="A400" s="78" t="n">
        <v>32203</v>
      </c>
      <c r="B400" t="n">
        <v>7.505372</v>
      </c>
      <c r="D400" t="n">
        <v>9.300000000000001</v>
      </c>
      <c r="E400" t="n">
        <v>7.8</v>
      </c>
      <c r="G400" t="n">
        <v>10.57969</v>
      </c>
      <c r="J400" t="n">
        <v>5.2</v>
      </c>
      <c r="L400" t="n">
        <v>19.1</v>
      </c>
      <c r="N400" t="n">
        <v>4.5</v>
      </c>
      <c r="O400" t="n">
        <v>10.2</v>
      </c>
      <c r="Q400" t="n">
        <v>8.9</v>
      </c>
      <c r="T400" t="n">
        <v>16.5</v>
      </c>
      <c r="W400" t="n">
        <v>9.699999999999999</v>
      </c>
      <c r="X400" t="n">
        <v>2.6</v>
      </c>
      <c r="Z400" t="n">
        <v>2.2</v>
      </c>
      <c r="AB400" t="n">
        <v>3.7</v>
      </c>
      <c r="AC400" t="n">
        <v>7.5</v>
      </c>
      <c r="AG400" t="n">
        <v>7</v>
      </c>
      <c r="AJ400" t="n">
        <v>1.9</v>
      </c>
      <c r="AL400" t="n">
        <v>5.7</v>
      </c>
    </row>
    <row r="401">
      <c r="A401" s="78" t="n">
        <v>32234</v>
      </c>
      <c r="B401" t="n">
        <v>7.914468</v>
      </c>
      <c r="D401" t="n">
        <v>9.199999999999999</v>
      </c>
      <c r="E401" t="n">
        <v>7.7</v>
      </c>
      <c r="G401" t="n">
        <v>10.31111</v>
      </c>
      <c r="J401" t="n">
        <v>5.3</v>
      </c>
      <c r="L401" t="n">
        <v>19.1</v>
      </c>
      <c r="N401" t="n">
        <v>4.4</v>
      </c>
      <c r="O401" t="n">
        <v>10.2</v>
      </c>
      <c r="Q401" t="n">
        <v>8.800000000000001</v>
      </c>
      <c r="T401" t="n">
        <v>16.4</v>
      </c>
      <c r="W401" t="n">
        <v>9.699999999999999</v>
      </c>
      <c r="X401" t="n">
        <v>2.5</v>
      </c>
      <c r="Z401" t="n">
        <v>2.1</v>
      </c>
      <c r="AB401" t="n">
        <v>3.7</v>
      </c>
      <c r="AC401" t="n">
        <v>7.4</v>
      </c>
      <c r="AG401" t="n">
        <v>7.1</v>
      </c>
      <c r="AJ401" t="n">
        <v>1.8</v>
      </c>
      <c r="AL401" t="n">
        <v>5.4</v>
      </c>
    </row>
    <row r="402">
      <c r="A402" s="78" t="n">
        <v>32264</v>
      </c>
      <c r="B402" t="n">
        <v>7.450454</v>
      </c>
      <c r="D402" t="n">
        <v>9.1</v>
      </c>
      <c r="E402" t="n">
        <v>7.8</v>
      </c>
      <c r="G402" t="n">
        <v>10.28317</v>
      </c>
      <c r="J402" t="n">
        <v>5.4</v>
      </c>
      <c r="L402" t="n">
        <v>19.1</v>
      </c>
      <c r="N402" t="n">
        <v>4.3</v>
      </c>
      <c r="O402" t="n">
        <v>10.1</v>
      </c>
      <c r="Q402" t="n">
        <v>8.699999999999999</v>
      </c>
      <c r="T402" t="n">
        <v>16.3</v>
      </c>
      <c r="W402" t="n">
        <v>9.6</v>
      </c>
      <c r="X402" t="n">
        <v>2.5</v>
      </c>
      <c r="Z402" t="n">
        <v>2</v>
      </c>
      <c r="AB402" t="n">
        <v>3.7</v>
      </c>
      <c r="AC402" t="n">
        <v>7.4</v>
      </c>
      <c r="AG402" t="n">
        <v>7</v>
      </c>
      <c r="AJ402" t="n">
        <v>1.9</v>
      </c>
      <c r="AL402" t="n">
        <v>5.6</v>
      </c>
    </row>
    <row r="403">
      <c r="A403" s="78" t="n">
        <v>32295</v>
      </c>
      <c r="B403" t="n">
        <v>7.562256</v>
      </c>
      <c r="D403" t="n">
        <v>8.9</v>
      </c>
      <c r="E403" t="n">
        <v>7.6</v>
      </c>
      <c r="G403" t="n">
        <v>10.02116</v>
      </c>
      <c r="J403" t="n">
        <v>5.6</v>
      </c>
      <c r="L403" t="n">
        <v>19</v>
      </c>
      <c r="N403" t="n">
        <v>4.3</v>
      </c>
      <c r="O403" t="n">
        <v>10.1</v>
      </c>
      <c r="Q403" t="n">
        <v>8.5</v>
      </c>
      <c r="T403" t="n">
        <v>16.3</v>
      </c>
      <c r="W403" t="n">
        <v>9.6</v>
      </c>
      <c r="X403" t="n">
        <v>2.4</v>
      </c>
      <c r="Z403" t="n">
        <v>2</v>
      </c>
      <c r="AB403" t="n">
        <v>3.8</v>
      </c>
      <c r="AC403" t="n">
        <v>7.4</v>
      </c>
      <c r="AG403" t="n">
        <v>6.7</v>
      </c>
      <c r="AJ403" t="n">
        <v>1.8</v>
      </c>
      <c r="AL403" t="n">
        <v>5.4</v>
      </c>
    </row>
    <row r="404">
      <c r="A404" s="78" t="n">
        <v>32325</v>
      </c>
      <c r="B404" t="n">
        <v>6.763477</v>
      </c>
      <c r="D404" t="n">
        <v>8.800000000000001</v>
      </c>
      <c r="E404" t="n">
        <v>7.8</v>
      </c>
      <c r="G404" t="n">
        <v>9.860761999999999</v>
      </c>
      <c r="J404" t="n">
        <v>5.7</v>
      </c>
      <c r="L404" t="n">
        <v>18.9</v>
      </c>
      <c r="N404" t="n">
        <v>4.1</v>
      </c>
      <c r="O404" t="n">
        <v>10</v>
      </c>
      <c r="Q404" t="n">
        <v>8.4</v>
      </c>
      <c r="T404" t="n">
        <v>16.2</v>
      </c>
      <c r="W404" t="n">
        <v>9.6</v>
      </c>
      <c r="X404" t="n">
        <v>2.5</v>
      </c>
      <c r="Z404" t="n">
        <v>2</v>
      </c>
      <c r="AB404" t="n">
        <v>3.6</v>
      </c>
      <c r="AC404" t="n">
        <v>7.4</v>
      </c>
      <c r="AG404" t="n">
        <v>6.4</v>
      </c>
      <c r="AJ404" t="n">
        <v>1.9</v>
      </c>
      <c r="AL404" t="n">
        <v>5.4</v>
      </c>
    </row>
    <row r="405">
      <c r="A405" s="78" t="n">
        <v>32356</v>
      </c>
      <c r="B405" t="n">
        <v>7.0682</v>
      </c>
      <c r="D405" t="n">
        <v>8.699999999999999</v>
      </c>
      <c r="E405" t="n">
        <v>7.8</v>
      </c>
      <c r="G405" t="n">
        <v>9.653250999999999</v>
      </c>
      <c r="J405" t="n">
        <v>5.8</v>
      </c>
      <c r="L405" t="n">
        <v>18.7</v>
      </c>
      <c r="N405" t="n">
        <v>4</v>
      </c>
      <c r="O405" t="n">
        <v>10</v>
      </c>
      <c r="Q405" t="n">
        <v>8.300000000000001</v>
      </c>
      <c r="T405" t="n">
        <v>16.2</v>
      </c>
      <c r="W405" t="n">
        <v>9.6</v>
      </c>
      <c r="X405" t="n">
        <v>2.6</v>
      </c>
      <c r="Z405" t="n">
        <v>1.9</v>
      </c>
      <c r="AB405" t="n">
        <v>3.5</v>
      </c>
      <c r="AC405" t="n">
        <v>7.3</v>
      </c>
      <c r="AG405" t="n">
        <v>6.3</v>
      </c>
      <c r="AJ405" t="n">
        <v>1.8</v>
      </c>
      <c r="AL405" t="n">
        <v>5.6</v>
      </c>
    </row>
    <row r="406">
      <c r="A406" s="78" t="n">
        <v>32387</v>
      </c>
      <c r="B406" t="n">
        <v>6.934089</v>
      </c>
      <c r="D406" t="n">
        <v>8.5</v>
      </c>
      <c r="E406" t="n">
        <v>7.8</v>
      </c>
      <c r="G406" t="n">
        <v>9.192121999999999</v>
      </c>
      <c r="J406" t="n">
        <v>5.9</v>
      </c>
      <c r="L406" t="n">
        <v>18.4</v>
      </c>
      <c r="N406" t="n">
        <v>3.9</v>
      </c>
      <c r="O406" t="n">
        <v>10</v>
      </c>
      <c r="Q406" t="n">
        <v>8.4</v>
      </c>
      <c r="T406" t="n">
        <v>16.1</v>
      </c>
      <c r="W406" t="n">
        <v>9.6</v>
      </c>
      <c r="X406" t="n">
        <v>2.5</v>
      </c>
      <c r="Z406" t="n">
        <v>1.9</v>
      </c>
      <c r="AB406" t="n">
        <v>3.5</v>
      </c>
      <c r="AC406" t="n">
        <v>7.3</v>
      </c>
      <c r="AG406" t="n">
        <v>6.3</v>
      </c>
      <c r="AJ406" t="n">
        <v>1.8</v>
      </c>
      <c r="AL406" t="n">
        <v>5.4</v>
      </c>
    </row>
    <row r="407">
      <c r="A407" s="78" t="n">
        <v>32417</v>
      </c>
      <c r="B407" t="n">
        <v>6.817264</v>
      </c>
      <c r="D407" t="n">
        <v>8.300000000000001</v>
      </c>
      <c r="E407" t="n">
        <v>7.8</v>
      </c>
      <c r="G407" t="n">
        <v>8.886094</v>
      </c>
      <c r="J407" t="n">
        <v>6.1</v>
      </c>
      <c r="L407" t="n">
        <v>18</v>
      </c>
      <c r="N407" t="n">
        <v>3.8</v>
      </c>
      <c r="O407" t="n">
        <v>9.9</v>
      </c>
      <c r="Q407" t="n">
        <v>8</v>
      </c>
      <c r="T407" t="n">
        <v>16</v>
      </c>
      <c r="W407" t="n">
        <v>9.800000000000001</v>
      </c>
      <c r="X407" t="n">
        <v>2.4</v>
      </c>
      <c r="Z407" t="n">
        <v>1.8</v>
      </c>
      <c r="AB407" t="n">
        <v>3.3</v>
      </c>
      <c r="AC407" t="n">
        <v>7.2</v>
      </c>
      <c r="AG407" t="n">
        <v>6.4</v>
      </c>
      <c r="AJ407" t="n">
        <v>1.8</v>
      </c>
      <c r="AL407" t="n">
        <v>5.4</v>
      </c>
    </row>
    <row r="408">
      <c r="A408" s="78" t="n">
        <v>32448</v>
      </c>
      <c r="B408" t="n">
        <v>6.612247</v>
      </c>
      <c r="D408" t="n">
        <v>8.199999999999999</v>
      </c>
      <c r="E408" t="n">
        <v>7.8</v>
      </c>
      <c r="G408" t="n">
        <v>8.603896000000001</v>
      </c>
      <c r="J408" t="n">
        <v>6.2</v>
      </c>
      <c r="L408" t="n">
        <v>17.7</v>
      </c>
      <c r="N408" t="n">
        <v>3.7</v>
      </c>
      <c r="O408" t="n">
        <v>9.9</v>
      </c>
      <c r="Q408" t="n">
        <v>7.9</v>
      </c>
      <c r="T408" t="n">
        <v>15.8</v>
      </c>
      <c r="W408" t="n">
        <v>9.800000000000001</v>
      </c>
      <c r="X408" t="n">
        <v>2.4</v>
      </c>
      <c r="Z408" t="n">
        <v>1.8</v>
      </c>
      <c r="AB408" t="n">
        <v>3.5</v>
      </c>
      <c r="AC408" t="n">
        <v>7.2</v>
      </c>
      <c r="AG408" t="n">
        <v>6.4</v>
      </c>
      <c r="AJ408" t="n">
        <v>1.7</v>
      </c>
      <c r="AL408" t="n">
        <v>5.3</v>
      </c>
    </row>
    <row r="409">
      <c r="A409" s="78" t="n">
        <v>32478</v>
      </c>
      <c r="B409" t="n">
        <v>6.831818</v>
      </c>
      <c r="D409" t="n">
        <v>8.1</v>
      </c>
      <c r="E409" t="n">
        <v>7.5</v>
      </c>
      <c r="G409" t="n">
        <v>8.312082</v>
      </c>
      <c r="J409" t="n">
        <v>6.4</v>
      </c>
      <c r="L409" t="n">
        <v>17.6</v>
      </c>
      <c r="N409" t="n">
        <v>3.6</v>
      </c>
      <c r="O409" t="n">
        <v>9.9</v>
      </c>
      <c r="Q409" t="n">
        <v>7.7</v>
      </c>
      <c r="T409" t="n">
        <v>15.7</v>
      </c>
      <c r="W409" t="n">
        <v>9.800000000000001</v>
      </c>
      <c r="X409" t="n">
        <v>2.4</v>
      </c>
      <c r="Z409" t="n">
        <v>1.8</v>
      </c>
      <c r="AB409" t="n">
        <v>3.5</v>
      </c>
      <c r="AC409" t="n">
        <v>7.1</v>
      </c>
      <c r="AG409" t="n">
        <v>6.3</v>
      </c>
      <c r="AJ409" t="n">
        <v>1.4</v>
      </c>
      <c r="AL409" t="n">
        <v>5.3</v>
      </c>
    </row>
    <row r="410">
      <c r="A410" s="78" t="n">
        <v>32509</v>
      </c>
      <c r="B410" t="n">
        <v>6.807146</v>
      </c>
      <c r="D410" t="n">
        <v>7.9</v>
      </c>
      <c r="E410" t="n">
        <v>7.5</v>
      </c>
      <c r="G410" t="n">
        <v>8.169233</v>
      </c>
      <c r="J410" t="n">
        <v>6.5</v>
      </c>
      <c r="L410" t="n">
        <v>17.5</v>
      </c>
      <c r="N410" t="n">
        <v>3.6</v>
      </c>
      <c r="O410" t="n">
        <v>9.800000000000001</v>
      </c>
      <c r="Q410" t="n">
        <v>7.6</v>
      </c>
      <c r="T410" t="n">
        <v>15.5</v>
      </c>
      <c r="W410" t="n">
        <v>9.800000000000001</v>
      </c>
      <c r="X410" t="n">
        <v>2.3</v>
      </c>
      <c r="Z410" t="n">
        <v>1.7</v>
      </c>
      <c r="AB410" t="n">
        <v>3.4</v>
      </c>
      <c r="AC410" t="n">
        <v>7.1</v>
      </c>
      <c r="AD410" t="n">
        <v>4.9</v>
      </c>
      <c r="AG410" t="n">
        <v>6.2</v>
      </c>
      <c r="AJ410" t="n">
        <v>1.5</v>
      </c>
      <c r="AL410" t="n">
        <v>5.4</v>
      </c>
    </row>
    <row r="411">
      <c r="A411" s="78" t="n">
        <v>32540</v>
      </c>
      <c r="B411" t="n">
        <v>6.637397</v>
      </c>
      <c r="D411" t="n">
        <v>7.8</v>
      </c>
      <c r="E411" t="n">
        <v>7.6</v>
      </c>
      <c r="G411" t="n">
        <v>8.195244000000001</v>
      </c>
      <c r="J411" t="n">
        <v>6.6</v>
      </c>
      <c r="L411" t="n">
        <v>17.3</v>
      </c>
      <c r="N411" t="n">
        <v>3.5</v>
      </c>
      <c r="O411" t="n">
        <v>9.699999999999999</v>
      </c>
      <c r="Q411" t="n">
        <v>7.5</v>
      </c>
      <c r="T411" t="n">
        <v>15.4</v>
      </c>
      <c r="W411" t="n">
        <v>9.800000000000001</v>
      </c>
      <c r="X411" t="n">
        <v>2.3</v>
      </c>
      <c r="Z411" t="n">
        <v>1.7</v>
      </c>
      <c r="AB411" t="n">
        <v>3.1</v>
      </c>
      <c r="AC411" t="n">
        <v>7</v>
      </c>
      <c r="AD411" t="n">
        <v>5</v>
      </c>
      <c r="AG411" t="n">
        <v>6.2</v>
      </c>
      <c r="AJ411" t="n">
        <v>1.7</v>
      </c>
      <c r="AL411" t="n">
        <v>5.2</v>
      </c>
    </row>
    <row r="412">
      <c r="A412" s="78" t="n">
        <v>32568</v>
      </c>
      <c r="B412" t="n">
        <v>6.340164</v>
      </c>
      <c r="D412" t="n">
        <v>7.7</v>
      </c>
      <c r="E412" t="n">
        <v>7.5</v>
      </c>
      <c r="G412" t="n">
        <v>8.29341</v>
      </c>
      <c r="J412" t="n">
        <v>6.7</v>
      </c>
      <c r="L412" t="n">
        <v>17.1</v>
      </c>
      <c r="N412" t="n">
        <v>3.4</v>
      </c>
      <c r="O412" t="n">
        <v>9.699999999999999</v>
      </c>
      <c r="Q412" t="n">
        <v>7.4</v>
      </c>
      <c r="T412" t="n">
        <v>15.2</v>
      </c>
      <c r="W412" t="n">
        <v>9.800000000000001</v>
      </c>
      <c r="X412" t="n">
        <v>2.4</v>
      </c>
      <c r="Z412" t="n">
        <v>1.7</v>
      </c>
      <c r="AB412" t="n">
        <v>3</v>
      </c>
      <c r="AC412" t="n">
        <v>6.9</v>
      </c>
      <c r="AD412" t="n">
        <v>4.9</v>
      </c>
      <c r="AG412" t="n">
        <v>6.2</v>
      </c>
      <c r="AJ412" t="n">
        <v>1.6</v>
      </c>
      <c r="AL412" t="n">
        <v>5</v>
      </c>
    </row>
    <row r="413">
      <c r="A413" s="78" t="n">
        <v>32599</v>
      </c>
      <c r="B413" t="n">
        <v>6.201429</v>
      </c>
      <c r="D413" t="n">
        <v>7.6</v>
      </c>
      <c r="E413" t="n">
        <v>7.8</v>
      </c>
      <c r="G413" t="n">
        <v>8.411139</v>
      </c>
      <c r="J413" t="n">
        <v>6.7</v>
      </c>
      <c r="L413" t="n">
        <v>16.9</v>
      </c>
      <c r="N413" t="n">
        <v>3.2</v>
      </c>
      <c r="O413" t="n">
        <v>9.699999999999999</v>
      </c>
      <c r="Q413" t="n">
        <v>7.2</v>
      </c>
      <c r="T413" t="n">
        <v>15.1</v>
      </c>
      <c r="W413" t="n">
        <v>9.800000000000001</v>
      </c>
      <c r="X413" t="n">
        <v>2.4</v>
      </c>
      <c r="Z413" t="n">
        <v>1.8</v>
      </c>
      <c r="AB413" t="n">
        <v>2.9</v>
      </c>
      <c r="AC413" t="n">
        <v>6.9</v>
      </c>
      <c r="AD413" t="n">
        <v>5.1</v>
      </c>
      <c r="AG413" t="n">
        <v>6.1</v>
      </c>
      <c r="AJ413" t="n">
        <v>1.6</v>
      </c>
      <c r="AL413" t="n">
        <v>5.2</v>
      </c>
    </row>
    <row r="414">
      <c r="A414" s="78" t="n">
        <v>32629</v>
      </c>
      <c r="B414" t="n">
        <v>6.279022</v>
      </c>
      <c r="D414" t="n">
        <v>7.5</v>
      </c>
      <c r="E414" t="n">
        <v>7.7</v>
      </c>
      <c r="G414" t="n">
        <v>8.218871</v>
      </c>
      <c r="J414" t="n">
        <v>6.8</v>
      </c>
      <c r="L414" t="n">
        <v>16.7</v>
      </c>
      <c r="N414" t="n">
        <v>3.1</v>
      </c>
      <c r="O414" t="n">
        <v>9.699999999999999</v>
      </c>
      <c r="Q414" t="n">
        <v>7.1</v>
      </c>
      <c r="T414" t="n">
        <v>15</v>
      </c>
      <c r="W414" t="n">
        <v>9.800000000000001</v>
      </c>
      <c r="X414" t="n">
        <v>2.3</v>
      </c>
      <c r="Z414" t="n">
        <v>1.7</v>
      </c>
      <c r="AB414" t="n">
        <v>3.1</v>
      </c>
      <c r="AC414" t="n">
        <v>6.8</v>
      </c>
      <c r="AD414" t="n">
        <v>5.3</v>
      </c>
      <c r="AG414" t="n">
        <v>6</v>
      </c>
      <c r="AJ414" t="n">
        <v>1.6</v>
      </c>
      <c r="AL414" t="n">
        <v>5.2</v>
      </c>
    </row>
    <row r="415">
      <c r="A415" s="78" t="n">
        <v>32660</v>
      </c>
      <c r="B415" t="n">
        <v>6.013093</v>
      </c>
      <c r="D415" t="n">
        <v>7.4</v>
      </c>
      <c r="E415" t="n">
        <v>7.5</v>
      </c>
      <c r="G415" t="n">
        <v>7.82776</v>
      </c>
      <c r="J415" t="n">
        <v>6.9</v>
      </c>
      <c r="L415" t="n">
        <v>16.4</v>
      </c>
      <c r="N415" t="n">
        <v>3</v>
      </c>
      <c r="O415" t="n">
        <v>9.6</v>
      </c>
      <c r="Q415" t="n">
        <v>7</v>
      </c>
      <c r="T415" t="n">
        <v>14.9</v>
      </c>
      <c r="W415" t="n">
        <v>9.800000000000001</v>
      </c>
      <c r="X415" t="n">
        <v>2.2</v>
      </c>
      <c r="Z415" t="n">
        <v>1.8</v>
      </c>
      <c r="AB415" t="n">
        <v>2.9</v>
      </c>
      <c r="AC415" t="n">
        <v>6.7</v>
      </c>
      <c r="AD415" t="n">
        <v>5.4</v>
      </c>
      <c r="AG415" t="n">
        <v>6.1</v>
      </c>
      <c r="AJ415" t="n">
        <v>1.5</v>
      </c>
      <c r="AL415" t="n">
        <v>5.3</v>
      </c>
    </row>
    <row r="416">
      <c r="A416" s="78" t="n">
        <v>32690</v>
      </c>
      <c r="B416" t="n">
        <v>6.049687</v>
      </c>
      <c r="D416" t="n">
        <v>7.3</v>
      </c>
      <c r="E416" t="n">
        <v>7.5</v>
      </c>
      <c r="G416" t="n">
        <v>7.736998</v>
      </c>
      <c r="J416" t="n">
        <v>6.8</v>
      </c>
      <c r="L416" t="n">
        <v>16.2</v>
      </c>
      <c r="N416" t="n">
        <v>2.9</v>
      </c>
      <c r="O416" t="n">
        <v>9.6</v>
      </c>
      <c r="Q416" t="n">
        <v>7</v>
      </c>
      <c r="T416" t="n">
        <v>14.6</v>
      </c>
      <c r="W416" t="n">
        <v>9.800000000000001</v>
      </c>
      <c r="X416" t="n">
        <v>2.2</v>
      </c>
      <c r="Z416" t="n">
        <v>1.8</v>
      </c>
      <c r="AB416" t="n">
        <v>2.8</v>
      </c>
      <c r="AC416" t="n">
        <v>6.7</v>
      </c>
      <c r="AD416" t="n">
        <v>5.2</v>
      </c>
      <c r="AG416" t="n">
        <v>6.1</v>
      </c>
      <c r="AJ416" t="n">
        <v>1.3</v>
      </c>
      <c r="AL416" t="n">
        <v>5.2</v>
      </c>
    </row>
    <row r="417">
      <c r="A417" s="78" t="n">
        <v>32721</v>
      </c>
      <c r="B417" t="n">
        <v>5.943746</v>
      </c>
      <c r="D417" t="n">
        <v>7.2</v>
      </c>
      <c r="E417" t="n">
        <v>7.3</v>
      </c>
      <c r="G417" t="n">
        <v>7.525748</v>
      </c>
      <c r="J417" t="n">
        <v>6.9</v>
      </c>
      <c r="L417" t="n">
        <v>16.2</v>
      </c>
      <c r="N417" t="n">
        <v>2.9</v>
      </c>
      <c r="O417" t="n">
        <v>9.6</v>
      </c>
      <c r="Q417" t="n">
        <v>7</v>
      </c>
      <c r="T417" t="n">
        <v>14.5</v>
      </c>
      <c r="W417" t="n">
        <v>9.699999999999999</v>
      </c>
      <c r="X417" t="n">
        <v>2.2</v>
      </c>
      <c r="Z417" t="n">
        <v>1.9</v>
      </c>
      <c r="AB417" t="n">
        <v>3.1</v>
      </c>
      <c r="AC417" t="n">
        <v>6.6</v>
      </c>
      <c r="AD417" t="n">
        <v>5.5</v>
      </c>
      <c r="AG417" t="n">
        <v>6</v>
      </c>
      <c r="AJ417" t="n">
        <v>1.5</v>
      </c>
      <c r="AL417" t="n">
        <v>5.2</v>
      </c>
    </row>
    <row r="418">
      <c r="A418" s="78" t="n">
        <v>32752</v>
      </c>
      <c r="B418" t="n">
        <v>6.030779</v>
      </c>
      <c r="D418" t="n">
        <v>7.1</v>
      </c>
      <c r="E418" t="n">
        <v>7.3</v>
      </c>
      <c r="G418" t="n">
        <v>7.77733</v>
      </c>
      <c r="J418" t="n">
        <v>7</v>
      </c>
      <c r="L418" t="n">
        <v>16</v>
      </c>
      <c r="N418" t="n">
        <v>2.9</v>
      </c>
      <c r="O418" t="n">
        <v>9.6</v>
      </c>
      <c r="Q418" t="n">
        <v>6.9</v>
      </c>
      <c r="T418" t="n">
        <v>14.3</v>
      </c>
      <c r="W418" t="n">
        <v>9.6</v>
      </c>
      <c r="X418" t="n">
        <v>2.2</v>
      </c>
      <c r="Z418" t="n">
        <v>1.9</v>
      </c>
      <c r="AB418" t="n">
        <v>2.8</v>
      </c>
      <c r="AC418" t="n">
        <v>6.5</v>
      </c>
      <c r="AD418" t="n">
        <v>5.8</v>
      </c>
      <c r="AG418" t="n">
        <v>5.8</v>
      </c>
      <c r="AJ418" t="n">
        <v>1.5</v>
      </c>
      <c r="AL418" t="n">
        <v>5.3</v>
      </c>
    </row>
    <row r="419">
      <c r="A419" s="78" t="n">
        <v>32782</v>
      </c>
      <c r="B419" t="n">
        <v>5.923559</v>
      </c>
      <c r="D419" t="n">
        <v>7</v>
      </c>
      <c r="E419" t="n">
        <v>7.2</v>
      </c>
      <c r="G419" t="n">
        <v>7.667766</v>
      </c>
      <c r="J419" t="n">
        <v>7</v>
      </c>
      <c r="L419" t="n">
        <v>16.1</v>
      </c>
      <c r="N419" t="n">
        <v>2.9</v>
      </c>
      <c r="O419" t="n">
        <v>9.6</v>
      </c>
      <c r="Q419" t="n">
        <v>6.8</v>
      </c>
      <c r="T419" t="n">
        <v>14.2</v>
      </c>
      <c r="W419" t="n">
        <v>9.4</v>
      </c>
      <c r="X419" t="n">
        <v>2.2</v>
      </c>
      <c r="Z419" t="n">
        <v>1.9</v>
      </c>
      <c r="AB419" t="n">
        <v>2.5</v>
      </c>
      <c r="AC419" t="n">
        <v>6.5</v>
      </c>
      <c r="AD419" t="n">
        <v>5.9</v>
      </c>
      <c r="AG419" t="n">
        <v>5.7</v>
      </c>
      <c r="AJ419" t="n">
        <v>1.7</v>
      </c>
      <c r="AL419" t="n">
        <v>5.3</v>
      </c>
    </row>
    <row r="420">
      <c r="A420" s="78" t="n">
        <v>32813</v>
      </c>
      <c r="B420" t="n">
        <v>5.786228</v>
      </c>
      <c r="D420" t="n">
        <v>7</v>
      </c>
      <c r="E420" t="n">
        <v>7.5</v>
      </c>
      <c r="G420" t="n">
        <v>7.691029</v>
      </c>
      <c r="J420" t="n">
        <v>7</v>
      </c>
      <c r="L420" t="n">
        <v>16.1</v>
      </c>
      <c r="N420" t="n">
        <v>2.9</v>
      </c>
      <c r="O420" t="n">
        <v>9.6</v>
      </c>
      <c r="Q420" t="n">
        <v>6.8</v>
      </c>
      <c r="T420" t="n">
        <v>14.1</v>
      </c>
      <c r="W420" t="n">
        <v>9.4</v>
      </c>
      <c r="X420" t="n">
        <v>2.2</v>
      </c>
      <c r="Z420" t="n">
        <v>1.8</v>
      </c>
      <c r="AB420" t="n">
        <v>2.7</v>
      </c>
      <c r="AC420" t="n">
        <v>6.4</v>
      </c>
      <c r="AD420" t="n">
        <v>5.9</v>
      </c>
      <c r="AG420" t="n">
        <v>5.8</v>
      </c>
      <c r="AJ420" t="n">
        <v>1.5</v>
      </c>
      <c r="AL420" t="n">
        <v>5.4</v>
      </c>
    </row>
    <row r="421">
      <c r="A421" s="78" t="n">
        <v>32843</v>
      </c>
      <c r="B421" t="n">
        <v>5.847372</v>
      </c>
      <c r="D421" t="n">
        <v>6.9</v>
      </c>
      <c r="E421" t="n">
        <v>7.7</v>
      </c>
      <c r="G421" t="n">
        <v>7.407219</v>
      </c>
      <c r="J421" t="n">
        <v>7</v>
      </c>
      <c r="L421" t="n">
        <v>16.1</v>
      </c>
      <c r="N421" t="n">
        <v>2.9</v>
      </c>
      <c r="O421" t="n">
        <v>9.6</v>
      </c>
      <c r="Q421" t="n">
        <v>6.8</v>
      </c>
      <c r="T421" t="n">
        <v>13.9</v>
      </c>
      <c r="W421" t="n">
        <v>9.300000000000001</v>
      </c>
      <c r="X421" t="n">
        <v>2.1</v>
      </c>
      <c r="Z421" t="n">
        <v>1.8</v>
      </c>
      <c r="AB421" t="n">
        <v>2.7</v>
      </c>
      <c r="AC421" t="n">
        <v>6.4</v>
      </c>
      <c r="AD421" t="n">
        <v>5.8</v>
      </c>
      <c r="AG421" t="n">
        <v>5.9</v>
      </c>
      <c r="AJ421" t="n">
        <v>1.5</v>
      </c>
      <c r="AL421" t="n">
        <v>5.4</v>
      </c>
    </row>
    <row r="422">
      <c r="A422" s="78" t="n">
        <v>32874</v>
      </c>
      <c r="B422" t="n">
        <v>6.112289</v>
      </c>
      <c r="D422" t="n">
        <v>6.8</v>
      </c>
      <c r="E422" t="n">
        <v>7.9</v>
      </c>
      <c r="G422" t="n">
        <v>7.311689</v>
      </c>
      <c r="J422" t="n">
        <v>7</v>
      </c>
      <c r="L422" t="n">
        <v>15.9</v>
      </c>
      <c r="N422" t="n">
        <v>3</v>
      </c>
      <c r="O422" t="n">
        <v>9.5</v>
      </c>
      <c r="Q422" t="n">
        <v>6.8</v>
      </c>
      <c r="T422" t="n">
        <v>13.8</v>
      </c>
      <c r="W422" t="n">
        <v>9.1</v>
      </c>
      <c r="X422" t="n">
        <v>2.2</v>
      </c>
      <c r="Y422" t="n">
        <v>2.6</v>
      </c>
      <c r="Z422" t="n">
        <v>1.8</v>
      </c>
      <c r="AB422" t="n">
        <v>2.5</v>
      </c>
      <c r="AC422" t="n">
        <v>6.3</v>
      </c>
      <c r="AD422" t="n">
        <v>6</v>
      </c>
      <c r="AG422" t="n">
        <v>6</v>
      </c>
      <c r="AJ422" t="n">
        <v>1.5</v>
      </c>
      <c r="AL422" t="n">
        <v>5.4</v>
      </c>
    </row>
    <row r="423">
      <c r="A423" s="78" t="n">
        <v>32905</v>
      </c>
      <c r="B423" t="n">
        <v>6.391237</v>
      </c>
      <c r="D423" t="n">
        <v>6.7</v>
      </c>
      <c r="E423" t="n">
        <v>7.7</v>
      </c>
      <c r="G423" t="n">
        <v>7.39484</v>
      </c>
      <c r="J423" t="n">
        <v>7</v>
      </c>
      <c r="L423" t="n">
        <v>15.8</v>
      </c>
      <c r="N423" t="n">
        <v>3</v>
      </c>
      <c r="O423" t="n">
        <v>9.5</v>
      </c>
      <c r="Q423" t="n">
        <v>6.8</v>
      </c>
      <c r="T423" t="n">
        <v>13.7</v>
      </c>
      <c r="W423" t="n">
        <v>9</v>
      </c>
      <c r="X423" t="n">
        <v>2.2</v>
      </c>
      <c r="Y423" t="n">
        <v>2.5</v>
      </c>
      <c r="Z423" t="n">
        <v>1.8</v>
      </c>
      <c r="AB423" t="n">
        <v>2.5</v>
      </c>
      <c r="AC423" t="n">
        <v>6.3</v>
      </c>
      <c r="AD423" t="n">
        <v>5.9</v>
      </c>
      <c r="AG423" t="n">
        <v>5.9</v>
      </c>
      <c r="AJ423" t="n">
        <v>1.4</v>
      </c>
      <c r="AL423" t="n">
        <v>5.3</v>
      </c>
    </row>
    <row r="424">
      <c r="A424" s="78" t="n">
        <v>32933</v>
      </c>
      <c r="B424" t="n">
        <v>6.184783</v>
      </c>
      <c r="D424" t="n">
        <v>6.7</v>
      </c>
      <c r="E424" t="n">
        <v>7.3</v>
      </c>
      <c r="G424" t="n">
        <v>7.662237</v>
      </c>
      <c r="J424" t="n">
        <v>7</v>
      </c>
      <c r="L424" t="n">
        <v>15.6</v>
      </c>
      <c r="N424" t="n">
        <v>3</v>
      </c>
      <c r="O424" t="n">
        <v>9.5</v>
      </c>
      <c r="Q424" t="n">
        <v>6.7</v>
      </c>
      <c r="T424" t="n">
        <v>13.4</v>
      </c>
      <c r="W424" t="n">
        <v>8.9</v>
      </c>
      <c r="X424" t="n">
        <v>2</v>
      </c>
      <c r="Y424" t="n">
        <v>2.2</v>
      </c>
      <c r="Z424" t="n">
        <v>1.7</v>
      </c>
      <c r="AB424" t="n">
        <v>2.5</v>
      </c>
      <c r="AC424" t="n">
        <v>6.2</v>
      </c>
      <c r="AD424" t="n">
        <v>5.8</v>
      </c>
      <c r="AG424" t="n">
        <v>5.7</v>
      </c>
      <c r="AJ424" t="n">
        <v>1.4</v>
      </c>
      <c r="AL424" t="n">
        <v>5.2</v>
      </c>
    </row>
    <row r="425">
      <c r="A425" s="78" t="n">
        <v>32964</v>
      </c>
      <c r="B425" t="n">
        <v>6.280515</v>
      </c>
      <c r="D425" t="n">
        <v>6.6</v>
      </c>
      <c r="E425" t="n">
        <v>7.6</v>
      </c>
      <c r="G425" t="n">
        <v>7.806419</v>
      </c>
      <c r="J425" t="n">
        <v>7</v>
      </c>
      <c r="L425" t="n">
        <v>15.6</v>
      </c>
      <c r="N425" t="n">
        <v>3</v>
      </c>
      <c r="O425" t="n">
        <v>9.4</v>
      </c>
      <c r="Q425" t="n">
        <v>6.8</v>
      </c>
      <c r="T425" t="n">
        <v>13.2</v>
      </c>
      <c r="W425" t="n">
        <v>8.9</v>
      </c>
      <c r="X425" t="n">
        <v>2.1</v>
      </c>
      <c r="Y425" t="n">
        <v>2.2</v>
      </c>
      <c r="Z425" t="n">
        <v>1.7</v>
      </c>
      <c r="AB425" t="n">
        <v>2.7</v>
      </c>
      <c r="AC425" t="n">
        <v>6.2</v>
      </c>
      <c r="AD425" t="n">
        <v>5.6</v>
      </c>
      <c r="AG425" t="n">
        <v>5.4</v>
      </c>
      <c r="AJ425" t="n">
        <v>1.4</v>
      </c>
      <c r="AL425" t="n">
        <v>5.4</v>
      </c>
    </row>
    <row r="426">
      <c r="A426" s="78" t="n">
        <v>32994</v>
      </c>
      <c r="B426" t="n">
        <v>6.503617</v>
      </c>
      <c r="D426" t="n">
        <v>6.6</v>
      </c>
      <c r="E426" t="n">
        <v>7.8</v>
      </c>
      <c r="G426" t="n">
        <v>7.894972</v>
      </c>
      <c r="J426" t="n">
        <v>7.1</v>
      </c>
      <c r="L426" t="n">
        <v>15.6</v>
      </c>
      <c r="N426" t="n">
        <v>2.9</v>
      </c>
      <c r="O426" t="n">
        <v>9.4</v>
      </c>
      <c r="Q426" t="n">
        <v>6.7</v>
      </c>
      <c r="T426" t="n">
        <v>13.2</v>
      </c>
      <c r="W426" t="n">
        <v>8.9</v>
      </c>
      <c r="X426" t="n">
        <v>2.1</v>
      </c>
      <c r="Y426" t="n">
        <v>2.4</v>
      </c>
      <c r="Z426" t="n">
        <v>1.7</v>
      </c>
      <c r="AB426" t="n">
        <v>2.8</v>
      </c>
      <c r="AC426" t="n">
        <v>6.1</v>
      </c>
      <c r="AD426" t="n">
        <v>5.7</v>
      </c>
      <c r="AG426" t="n">
        <v>5.4</v>
      </c>
      <c r="AJ426" t="n">
        <v>1.7</v>
      </c>
      <c r="AL426" t="n">
        <v>5.4</v>
      </c>
    </row>
    <row r="427">
      <c r="A427" s="78" t="n">
        <v>33025</v>
      </c>
      <c r="B427" t="n">
        <v>6.610027</v>
      </c>
      <c r="D427" t="n">
        <v>6.6</v>
      </c>
      <c r="E427" t="n">
        <v>7.6</v>
      </c>
      <c r="G427" t="n">
        <v>7.885642</v>
      </c>
      <c r="J427" t="n">
        <v>7.1</v>
      </c>
      <c r="L427" t="n">
        <v>15.5</v>
      </c>
      <c r="N427" t="n">
        <v>2.9</v>
      </c>
      <c r="O427" t="n">
        <v>9.4</v>
      </c>
      <c r="Q427" t="n">
        <v>6.7</v>
      </c>
      <c r="T427" t="n">
        <v>13.2</v>
      </c>
      <c r="W427" t="n">
        <v>8.9</v>
      </c>
      <c r="X427" t="n">
        <v>2.2</v>
      </c>
      <c r="Y427" t="n">
        <v>2.3</v>
      </c>
      <c r="Z427" t="n">
        <v>1.7</v>
      </c>
      <c r="AB427" t="n">
        <v>3</v>
      </c>
      <c r="AC427" t="n">
        <v>6.1</v>
      </c>
      <c r="AD427" t="n">
        <v>5.9</v>
      </c>
      <c r="AG427" t="n">
        <v>5.6</v>
      </c>
      <c r="AJ427" t="n">
        <v>1.5</v>
      </c>
      <c r="AL427" t="n">
        <v>5.2</v>
      </c>
    </row>
    <row r="428">
      <c r="A428" s="78" t="n">
        <v>33055</v>
      </c>
      <c r="B428" t="n">
        <v>7.084592</v>
      </c>
      <c r="D428" t="n">
        <v>6.6</v>
      </c>
      <c r="E428" t="n">
        <v>7.9</v>
      </c>
      <c r="G428" t="n">
        <v>7.825984</v>
      </c>
      <c r="J428" t="n">
        <v>7.2</v>
      </c>
      <c r="K428" t="n">
        <v>7.589817</v>
      </c>
      <c r="L428" t="n">
        <v>15.3</v>
      </c>
      <c r="N428" t="n">
        <v>2.9</v>
      </c>
      <c r="O428" t="n">
        <v>9.300000000000001</v>
      </c>
      <c r="Q428" t="n">
        <v>6.8</v>
      </c>
      <c r="T428" t="n">
        <v>13.2</v>
      </c>
      <c r="W428" t="n">
        <v>8.800000000000001</v>
      </c>
      <c r="X428" t="n">
        <v>2.1</v>
      </c>
      <c r="Y428" t="n">
        <v>2.5</v>
      </c>
      <c r="Z428" t="n">
        <v>1.6</v>
      </c>
      <c r="AB428" t="n">
        <v>3.2</v>
      </c>
      <c r="AC428" t="n">
        <v>6</v>
      </c>
      <c r="AD428" t="n">
        <v>5.8</v>
      </c>
      <c r="AG428" t="n">
        <v>5.7</v>
      </c>
      <c r="AJ428" t="n">
        <v>1.7</v>
      </c>
      <c r="AL428" t="n">
        <v>5.5</v>
      </c>
    </row>
    <row r="429">
      <c r="A429" s="78" t="n">
        <v>33086</v>
      </c>
      <c r="B429" t="n">
        <v>7.211162</v>
      </c>
      <c r="D429" t="n">
        <v>6.5</v>
      </c>
      <c r="E429" t="n">
        <v>8.1</v>
      </c>
      <c r="G429" t="n">
        <v>7.721553</v>
      </c>
      <c r="J429" t="n">
        <v>7.2</v>
      </c>
      <c r="K429" t="n">
        <v>7.644053</v>
      </c>
      <c r="L429" t="n">
        <v>15.3</v>
      </c>
      <c r="N429" t="n">
        <v>3</v>
      </c>
      <c r="O429" t="n">
        <v>9.300000000000001</v>
      </c>
      <c r="Q429" t="n">
        <v>6.8</v>
      </c>
      <c r="T429" t="n">
        <v>13.3</v>
      </c>
      <c r="W429" t="n">
        <v>8.800000000000001</v>
      </c>
      <c r="X429" t="n">
        <v>2</v>
      </c>
      <c r="Y429" t="n">
        <v>2.5</v>
      </c>
      <c r="Z429" t="n">
        <v>1.6</v>
      </c>
      <c r="AB429" t="n">
        <v>3.1</v>
      </c>
      <c r="AC429" t="n">
        <v>6</v>
      </c>
      <c r="AD429" t="n">
        <v>5.8</v>
      </c>
      <c r="AG429" t="n">
        <v>5.8</v>
      </c>
      <c r="AJ429" t="n">
        <v>1.7</v>
      </c>
      <c r="AL429" t="n">
        <v>5.7</v>
      </c>
    </row>
    <row r="430">
      <c r="A430" s="78" t="n">
        <v>33117</v>
      </c>
      <c r="B430" t="n">
        <v>7.374037</v>
      </c>
      <c r="D430" t="n">
        <v>6.4</v>
      </c>
      <c r="E430" t="n">
        <v>8.5</v>
      </c>
      <c r="G430" t="n">
        <v>7.87249</v>
      </c>
      <c r="J430" t="n">
        <v>7.3</v>
      </c>
      <c r="K430" t="n">
        <v>7.69924</v>
      </c>
      <c r="L430" t="n">
        <v>15.3</v>
      </c>
      <c r="N430" t="n">
        <v>3.2</v>
      </c>
      <c r="O430" t="n">
        <v>9.300000000000001</v>
      </c>
      <c r="Q430" t="n">
        <v>6.9</v>
      </c>
      <c r="T430" t="n">
        <v>13.3</v>
      </c>
      <c r="W430" t="n">
        <v>8.800000000000001</v>
      </c>
      <c r="X430" t="n">
        <v>2.1</v>
      </c>
      <c r="Y430" t="n">
        <v>2.6</v>
      </c>
      <c r="Z430" t="n">
        <v>1.5</v>
      </c>
      <c r="AB430" t="n">
        <v>2.4</v>
      </c>
      <c r="AC430" t="n">
        <v>6</v>
      </c>
      <c r="AD430" t="n">
        <v>5.6</v>
      </c>
      <c r="AG430" t="n">
        <v>5.8</v>
      </c>
      <c r="AJ430" t="n">
        <v>1.9</v>
      </c>
      <c r="AL430" t="n">
        <v>5.9</v>
      </c>
    </row>
    <row r="431">
      <c r="A431" s="78" t="n">
        <v>33147</v>
      </c>
      <c r="B431" t="n">
        <v>7.636448</v>
      </c>
      <c r="D431" t="n">
        <v>6.4</v>
      </c>
      <c r="E431" t="n">
        <v>8.800000000000001</v>
      </c>
      <c r="G431" t="n">
        <v>8.122165000000001</v>
      </c>
      <c r="J431" t="n">
        <v>7.3</v>
      </c>
      <c r="K431" t="n">
        <v>7.724481</v>
      </c>
      <c r="L431" t="n">
        <v>15.3</v>
      </c>
      <c r="N431" t="n">
        <v>3.5</v>
      </c>
      <c r="O431" t="n">
        <v>9.300000000000001</v>
      </c>
      <c r="Q431" t="n">
        <v>7</v>
      </c>
      <c r="T431" t="n">
        <v>13.4</v>
      </c>
      <c r="W431" t="n">
        <v>8.800000000000001</v>
      </c>
      <c r="X431" t="n">
        <v>2.2</v>
      </c>
      <c r="Y431" t="n">
        <v>2.6</v>
      </c>
      <c r="Z431" t="n">
        <v>1.6</v>
      </c>
      <c r="AB431" t="n">
        <v>3</v>
      </c>
      <c r="AC431" t="n">
        <v>5.9</v>
      </c>
      <c r="AD431" t="n">
        <v>5.7</v>
      </c>
      <c r="AG431" t="n">
        <v>5.5</v>
      </c>
      <c r="AJ431" t="n">
        <v>2</v>
      </c>
      <c r="AL431" t="n">
        <v>5.9</v>
      </c>
    </row>
    <row r="432">
      <c r="A432" s="78" t="n">
        <v>33178</v>
      </c>
      <c r="B432" t="n">
        <v>7.945372</v>
      </c>
      <c r="D432" t="n">
        <v>6.4</v>
      </c>
      <c r="E432" t="n">
        <v>9.1</v>
      </c>
      <c r="G432" t="n">
        <v>8.043210999999999</v>
      </c>
      <c r="J432" t="n">
        <v>7.4</v>
      </c>
      <c r="K432" t="n">
        <v>7.762915</v>
      </c>
      <c r="L432" t="n">
        <v>15.3</v>
      </c>
      <c r="N432" t="n">
        <v>3.7</v>
      </c>
      <c r="O432" t="n">
        <v>9.300000000000001</v>
      </c>
      <c r="Q432" t="n">
        <v>7.1</v>
      </c>
      <c r="T432" t="n">
        <v>13.6</v>
      </c>
      <c r="W432" t="n">
        <v>8.699999999999999</v>
      </c>
      <c r="X432" t="n">
        <v>2</v>
      </c>
      <c r="Y432" t="n">
        <v>2.6</v>
      </c>
      <c r="Z432" t="n">
        <v>1.6</v>
      </c>
      <c r="AB432" t="n">
        <v>2.6</v>
      </c>
      <c r="AC432" t="n">
        <v>5.9</v>
      </c>
      <c r="AD432" t="n">
        <v>5.7</v>
      </c>
      <c r="AG432" t="n">
        <v>5.4</v>
      </c>
      <c r="AJ432" t="n">
        <v>2.3</v>
      </c>
      <c r="AL432" t="n">
        <v>6.2</v>
      </c>
    </row>
    <row r="433">
      <c r="A433" s="78" t="n">
        <v>33208</v>
      </c>
      <c r="B433" t="n">
        <v>8.018257</v>
      </c>
      <c r="D433" t="n">
        <v>6.4</v>
      </c>
      <c r="E433" t="n">
        <v>9.5</v>
      </c>
      <c r="G433" t="n">
        <v>7.968884</v>
      </c>
      <c r="J433" t="n">
        <v>7.4</v>
      </c>
      <c r="K433" t="n">
        <v>7.79253</v>
      </c>
      <c r="L433" t="n">
        <v>15.3</v>
      </c>
      <c r="N433" t="n">
        <v>3.9</v>
      </c>
      <c r="O433" t="n">
        <v>9.300000000000001</v>
      </c>
      <c r="Q433" t="n">
        <v>7.4</v>
      </c>
      <c r="T433" t="n">
        <v>13.7</v>
      </c>
      <c r="W433" t="n">
        <v>8.699999999999999</v>
      </c>
      <c r="X433" t="n">
        <v>2</v>
      </c>
      <c r="Y433" t="n">
        <v>2.5</v>
      </c>
      <c r="Z433" t="n">
        <v>1.6</v>
      </c>
      <c r="AB433" t="n">
        <v>2.6</v>
      </c>
      <c r="AC433" t="n">
        <v>5.9</v>
      </c>
      <c r="AD433" t="n">
        <v>5.9</v>
      </c>
      <c r="AG433" t="n">
        <v>5.3</v>
      </c>
      <c r="AJ433" t="n">
        <v>2.2</v>
      </c>
      <c r="AL433" t="n">
        <v>6.3</v>
      </c>
    </row>
    <row r="434">
      <c r="A434" s="78" t="n">
        <v>33239</v>
      </c>
      <c r="B434" t="n">
        <v>8.396183000000001</v>
      </c>
      <c r="D434" t="n">
        <v>6.4</v>
      </c>
      <c r="E434" t="n">
        <v>9.800000000000001</v>
      </c>
      <c r="G434" t="n">
        <v>7.976402</v>
      </c>
      <c r="I434" t="n">
        <v>5.2</v>
      </c>
      <c r="J434" t="n">
        <v>7.4</v>
      </c>
      <c r="K434" t="n">
        <v>7.790544</v>
      </c>
      <c r="L434" t="n">
        <v>15.1</v>
      </c>
      <c r="N434" t="n">
        <v>4.3</v>
      </c>
      <c r="O434" t="n">
        <v>9.199999999999999</v>
      </c>
      <c r="P434" t="n">
        <v>5.994907</v>
      </c>
      <c r="Q434" t="n">
        <v>7.5</v>
      </c>
      <c r="T434" t="n">
        <v>13.9</v>
      </c>
      <c r="W434" t="n">
        <v>8.699999999999999</v>
      </c>
      <c r="X434" t="n">
        <v>2</v>
      </c>
      <c r="Y434" t="n">
        <v>2.6</v>
      </c>
      <c r="Z434" t="n">
        <v>1.6</v>
      </c>
      <c r="AB434" t="n">
        <v>2.7</v>
      </c>
      <c r="AC434" t="n">
        <v>5.8</v>
      </c>
      <c r="AD434" t="n">
        <v>5.8</v>
      </c>
      <c r="AG434" t="n">
        <v>5.2</v>
      </c>
      <c r="AJ434" t="n">
        <v>2.2</v>
      </c>
      <c r="AL434" t="n">
        <v>6.4</v>
      </c>
    </row>
    <row r="435">
      <c r="A435" s="78" t="n">
        <v>33270</v>
      </c>
      <c r="B435" t="n">
        <v>8.616248000000001</v>
      </c>
      <c r="D435" t="n">
        <v>6.4</v>
      </c>
      <c r="E435" t="n">
        <v>10.2</v>
      </c>
      <c r="G435" t="n">
        <v>8.286168</v>
      </c>
      <c r="I435" t="n">
        <v>5.2</v>
      </c>
      <c r="J435" t="n">
        <v>7.5</v>
      </c>
      <c r="K435" t="n">
        <v>7.80848</v>
      </c>
      <c r="L435" t="n">
        <v>15.1</v>
      </c>
      <c r="N435" t="n">
        <v>4.6</v>
      </c>
      <c r="O435" t="n">
        <v>9.300000000000001</v>
      </c>
      <c r="P435" t="n">
        <v>6.109064</v>
      </c>
      <c r="Q435" t="n">
        <v>7.7</v>
      </c>
      <c r="T435" t="n">
        <v>14.1</v>
      </c>
      <c r="W435" t="n">
        <v>8.6</v>
      </c>
      <c r="X435" t="n">
        <v>2.1</v>
      </c>
      <c r="Y435" t="n">
        <v>2.5</v>
      </c>
      <c r="Z435" t="n">
        <v>1.5</v>
      </c>
      <c r="AB435" t="n">
        <v>2.6</v>
      </c>
      <c r="AC435" t="n">
        <v>5.8</v>
      </c>
      <c r="AD435" t="n">
        <v>5.8</v>
      </c>
      <c r="AG435" t="n">
        <v>5</v>
      </c>
      <c r="AJ435" t="n">
        <v>2.5</v>
      </c>
      <c r="AL435" t="n">
        <v>6.6</v>
      </c>
    </row>
    <row r="436">
      <c r="A436" s="78" t="n">
        <v>33298</v>
      </c>
      <c r="B436" t="n">
        <v>9.182112999999999</v>
      </c>
      <c r="D436" t="n">
        <v>6.4</v>
      </c>
      <c r="E436" t="n">
        <v>10.5</v>
      </c>
      <c r="G436" t="n">
        <v>8.192329000000001</v>
      </c>
      <c r="I436" t="n">
        <v>5.3</v>
      </c>
      <c r="J436" t="n">
        <v>7.6</v>
      </c>
      <c r="K436" t="n">
        <v>7.83097</v>
      </c>
      <c r="L436" t="n">
        <v>15.1</v>
      </c>
      <c r="N436" t="n">
        <v>5</v>
      </c>
      <c r="O436" t="n">
        <v>9.300000000000001</v>
      </c>
      <c r="P436" t="n">
        <v>6.28747</v>
      </c>
      <c r="Q436" t="n">
        <v>8.1</v>
      </c>
      <c r="T436" t="n">
        <v>14.3</v>
      </c>
      <c r="W436" t="n">
        <v>8.6</v>
      </c>
      <c r="X436" t="n">
        <v>2.2</v>
      </c>
      <c r="Y436" t="n">
        <v>2.4</v>
      </c>
      <c r="Z436" t="n">
        <v>1.4</v>
      </c>
      <c r="AB436" t="n">
        <v>2.9</v>
      </c>
      <c r="AC436" t="n">
        <v>5.8</v>
      </c>
      <c r="AD436" t="n">
        <v>5.9</v>
      </c>
      <c r="AG436" t="n">
        <v>4.9</v>
      </c>
      <c r="AJ436" t="n">
        <v>2.6</v>
      </c>
      <c r="AL436" t="n">
        <v>6.8</v>
      </c>
    </row>
    <row r="437">
      <c r="A437" s="78" t="n">
        <v>33329</v>
      </c>
      <c r="B437" t="n">
        <v>9.862949</v>
      </c>
      <c r="D437" t="n">
        <v>6.4</v>
      </c>
      <c r="E437" t="n">
        <v>10.3</v>
      </c>
      <c r="G437" t="n">
        <v>8.128942</v>
      </c>
      <c r="I437" t="n">
        <v>5.3</v>
      </c>
      <c r="J437" t="n">
        <v>7.7</v>
      </c>
      <c r="K437" t="n">
        <v>7.86967</v>
      </c>
      <c r="L437" t="n">
        <v>15.2</v>
      </c>
      <c r="N437" t="n">
        <v>5.4</v>
      </c>
      <c r="O437" t="n">
        <v>9.4</v>
      </c>
      <c r="P437" t="n">
        <v>6.243644</v>
      </c>
      <c r="Q437" t="n">
        <v>8.300000000000001</v>
      </c>
      <c r="T437" t="n">
        <v>14.6</v>
      </c>
      <c r="W437" t="n">
        <v>8.5</v>
      </c>
      <c r="X437" t="n">
        <v>2.1</v>
      </c>
      <c r="Y437" t="n">
        <v>2.3</v>
      </c>
      <c r="Z437" t="n">
        <v>1.5</v>
      </c>
      <c r="AB437" t="n">
        <v>2.6</v>
      </c>
      <c r="AC437" t="n">
        <v>5.8</v>
      </c>
      <c r="AD437" t="n">
        <v>5.9</v>
      </c>
      <c r="AG437" t="n">
        <v>4.8</v>
      </c>
      <c r="AJ437" t="n">
        <v>2.7</v>
      </c>
      <c r="AL437" t="n">
        <v>6.7</v>
      </c>
    </row>
    <row r="438">
      <c r="A438" s="78" t="n">
        <v>33359</v>
      </c>
      <c r="B438" t="n">
        <v>9.501379999999999</v>
      </c>
      <c r="D438" t="n">
        <v>6.4</v>
      </c>
      <c r="E438" t="n">
        <v>10.2</v>
      </c>
      <c r="G438" t="n">
        <v>8.029439999999999</v>
      </c>
      <c r="I438" t="n">
        <v>5.3</v>
      </c>
      <c r="J438" t="n">
        <v>7.8</v>
      </c>
      <c r="K438" t="n">
        <v>7.929185</v>
      </c>
      <c r="L438" t="n">
        <v>15.3</v>
      </c>
      <c r="N438" t="n">
        <v>5.9</v>
      </c>
      <c r="O438" t="n">
        <v>9.4</v>
      </c>
      <c r="P438" t="n">
        <v>6.338387</v>
      </c>
      <c r="Q438" t="n">
        <v>8.5</v>
      </c>
      <c r="T438" t="n">
        <v>14.7</v>
      </c>
      <c r="W438" t="n">
        <v>8.5</v>
      </c>
      <c r="X438" t="n">
        <v>2.1</v>
      </c>
      <c r="Y438" t="n">
        <v>2.3</v>
      </c>
      <c r="Z438" t="n">
        <v>1.6</v>
      </c>
      <c r="AB438" t="n">
        <v>2.3</v>
      </c>
      <c r="AC438" t="n">
        <v>5.7</v>
      </c>
      <c r="AD438" t="n">
        <v>5.7</v>
      </c>
      <c r="AG438" t="n">
        <v>4.9</v>
      </c>
      <c r="AJ438" t="n">
        <v>2.7</v>
      </c>
      <c r="AL438" t="n">
        <v>6.9</v>
      </c>
    </row>
    <row r="439">
      <c r="A439" s="78" t="n">
        <v>33390</v>
      </c>
      <c r="B439" t="n">
        <v>9.529211999999999</v>
      </c>
      <c r="D439" t="n">
        <v>6.4</v>
      </c>
      <c r="E439" t="n">
        <v>10.5</v>
      </c>
      <c r="G439" t="n">
        <v>8.455079</v>
      </c>
      <c r="I439" t="n">
        <v>5.4</v>
      </c>
      <c r="J439" t="n">
        <v>7.9</v>
      </c>
      <c r="K439" t="n">
        <v>7.594852</v>
      </c>
      <c r="L439" t="n">
        <v>15.4</v>
      </c>
      <c r="N439" t="n">
        <v>6.4</v>
      </c>
      <c r="O439" t="n">
        <v>9.5</v>
      </c>
      <c r="P439" t="n">
        <v>6.365647</v>
      </c>
      <c r="Q439" t="n">
        <v>8.6</v>
      </c>
      <c r="T439" t="n">
        <v>14.8</v>
      </c>
      <c r="W439" t="n">
        <v>8.4</v>
      </c>
      <c r="X439" t="n">
        <v>2.1</v>
      </c>
      <c r="Y439" t="n">
        <v>2.3</v>
      </c>
      <c r="Z439" t="n">
        <v>1.6</v>
      </c>
      <c r="AB439" t="n">
        <v>2.2</v>
      </c>
      <c r="AC439" t="n">
        <v>5.7</v>
      </c>
      <c r="AD439" t="n">
        <v>5.8</v>
      </c>
      <c r="AG439" t="n">
        <v>5</v>
      </c>
      <c r="AJ439" t="n">
        <v>2.8</v>
      </c>
      <c r="AL439" t="n">
        <v>6.9</v>
      </c>
    </row>
    <row r="440">
      <c r="A440" s="78" t="n">
        <v>33420</v>
      </c>
      <c r="B440" t="n">
        <v>9.691706</v>
      </c>
      <c r="D440" t="n">
        <v>6.4</v>
      </c>
      <c r="E440" t="n">
        <v>10.5</v>
      </c>
      <c r="G440" t="n">
        <v>8.507895</v>
      </c>
      <c r="I440" t="n">
        <v>5.5</v>
      </c>
      <c r="J440" t="n">
        <v>7.9</v>
      </c>
      <c r="K440" t="n">
        <v>7.763278</v>
      </c>
      <c r="L440" t="n">
        <v>15.6</v>
      </c>
      <c r="N440" t="n">
        <v>6.9</v>
      </c>
      <c r="O440" t="n">
        <v>9.6</v>
      </c>
      <c r="P440" t="n">
        <v>6.382034</v>
      </c>
      <c r="Q440" t="n">
        <v>8.800000000000001</v>
      </c>
      <c r="T440" t="n">
        <v>15</v>
      </c>
      <c r="W440" t="n">
        <v>8.4</v>
      </c>
      <c r="X440" t="n">
        <v>2.1</v>
      </c>
      <c r="Y440" t="n">
        <v>2.5</v>
      </c>
      <c r="Z440" t="n">
        <v>1.6</v>
      </c>
      <c r="AB440" t="n">
        <v>2.4</v>
      </c>
      <c r="AC440" t="n">
        <v>5.7</v>
      </c>
      <c r="AD440" t="n">
        <v>5.9</v>
      </c>
      <c r="AG440" t="n">
        <v>5.2</v>
      </c>
      <c r="AJ440" t="n">
        <v>3.2</v>
      </c>
      <c r="AL440" t="n">
        <v>6.8</v>
      </c>
    </row>
    <row r="441">
      <c r="A441" s="78" t="n">
        <v>33451</v>
      </c>
      <c r="B441" t="n">
        <v>9.789239</v>
      </c>
      <c r="D441" t="n">
        <v>6.4</v>
      </c>
      <c r="E441" t="n">
        <v>10.5</v>
      </c>
      <c r="G441" t="n">
        <v>8.65193</v>
      </c>
      <c r="I441" t="n">
        <v>5.6</v>
      </c>
      <c r="J441" t="n">
        <v>8</v>
      </c>
      <c r="K441" t="n">
        <v>7.822947</v>
      </c>
      <c r="L441" t="n">
        <v>15.8</v>
      </c>
      <c r="N441" t="n">
        <v>7.5</v>
      </c>
      <c r="O441" t="n">
        <v>9.699999999999999</v>
      </c>
      <c r="P441" t="n">
        <v>6.437002</v>
      </c>
      <c r="Q441" t="n">
        <v>9</v>
      </c>
      <c r="T441" t="n">
        <v>15</v>
      </c>
      <c r="W441" t="n">
        <v>8.4</v>
      </c>
      <c r="X441" t="n">
        <v>2.1</v>
      </c>
      <c r="Y441" t="n">
        <v>2.3</v>
      </c>
      <c r="Z441" t="n">
        <v>1.7</v>
      </c>
      <c r="AB441" t="n">
        <v>3.3</v>
      </c>
      <c r="AC441" t="n">
        <v>5.7</v>
      </c>
      <c r="AD441" t="n">
        <v>6.2</v>
      </c>
      <c r="AG441" t="n">
        <v>5.2</v>
      </c>
      <c r="AJ441" t="n">
        <v>3.4</v>
      </c>
      <c r="AL441" t="n">
        <v>6.9</v>
      </c>
    </row>
    <row r="442">
      <c r="A442" s="78" t="n">
        <v>33482</v>
      </c>
      <c r="B442" t="n">
        <v>10.03236</v>
      </c>
      <c r="D442" t="n">
        <v>6.4</v>
      </c>
      <c r="E442" t="n">
        <v>10.3</v>
      </c>
      <c r="G442" t="n">
        <v>8.449145</v>
      </c>
      <c r="I442" t="n">
        <v>5.7</v>
      </c>
      <c r="J442" t="n">
        <v>8.1</v>
      </c>
      <c r="K442" t="n">
        <v>7.842628</v>
      </c>
      <c r="L442" t="n">
        <v>15.9</v>
      </c>
      <c r="N442" t="n">
        <v>8</v>
      </c>
      <c r="O442" t="n">
        <v>9.800000000000001</v>
      </c>
      <c r="P442" t="n">
        <v>6.45976</v>
      </c>
      <c r="Q442" t="n">
        <v>9</v>
      </c>
      <c r="T442" t="n">
        <v>15.1</v>
      </c>
      <c r="W442" t="n">
        <v>8.5</v>
      </c>
      <c r="X442" t="n">
        <v>2.1</v>
      </c>
      <c r="Y442" t="n">
        <v>2.4</v>
      </c>
      <c r="Z442" t="n">
        <v>1.7</v>
      </c>
      <c r="AB442" t="n">
        <v>2.8</v>
      </c>
      <c r="AC442" t="n">
        <v>5.7</v>
      </c>
      <c r="AD442" t="n">
        <v>5.9</v>
      </c>
      <c r="AG442" t="n">
        <v>5.2</v>
      </c>
      <c r="AJ442" t="n">
        <v>3.5</v>
      </c>
      <c r="AL442" t="n">
        <v>6.9</v>
      </c>
    </row>
    <row r="443">
      <c r="A443" s="78" t="n">
        <v>33512</v>
      </c>
      <c r="B443" t="n">
        <v>9.986335</v>
      </c>
      <c r="D443" t="n">
        <v>6.5</v>
      </c>
      <c r="E443" t="n">
        <v>10.3</v>
      </c>
      <c r="G443" t="n">
        <v>8.214651</v>
      </c>
      <c r="I443" t="n">
        <v>5.8</v>
      </c>
      <c r="J443" t="n">
        <v>8.1</v>
      </c>
      <c r="K443" t="n">
        <v>7.900774</v>
      </c>
      <c r="L443" t="n">
        <v>15.9</v>
      </c>
      <c r="N443" t="n">
        <v>8.300000000000001</v>
      </c>
      <c r="O443" t="n">
        <v>9.9</v>
      </c>
      <c r="P443" t="n">
        <v>6.500385</v>
      </c>
      <c r="Q443" t="n">
        <v>9</v>
      </c>
      <c r="T443" t="n">
        <v>15.1</v>
      </c>
      <c r="W443" t="n">
        <v>8.5</v>
      </c>
      <c r="X443" t="n">
        <v>2</v>
      </c>
      <c r="Y443" t="n">
        <v>2.5</v>
      </c>
      <c r="Z443" t="n">
        <v>1.8</v>
      </c>
      <c r="AB443" t="n">
        <v>2.9</v>
      </c>
      <c r="AC443" t="n">
        <v>5.7</v>
      </c>
      <c r="AD443" t="n">
        <v>6.2</v>
      </c>
      <c r="AG443" t="n">
        <v>5.2</v>
      </c>
      <c r="AJ443" t="n">
        <v>3.7</v>
      </c>
      <c r="AL443" t="n">
        <v>7</v>
      </c>
    </row>
    <row r="444">
      <c r="A444" s="78" t="n">
        <v>33543</v>
      </c>
      <c r="B444" t="n">
        <v>10.1972</v>
      </c>
      <c r="D444" t="n">
        <v>6.6</v>
      </c>
      <c r="E444" t="n">
        <v>10.4</v>
      </c>
      <c r="G444" t="n">
        <v>7.660864</v>
      </c>
      <c r="I444" t="n">
        <v>5.9</v>
      </c>
      <c r="J444" t="n">
        <v>8.199999999999999</v>
      </c>
      <c r="K444" t="n">
        <v>7.95415</v>
      </c>
      <c r="L444" t="n">
        <v>15.9</v>
      </c>
      <c r="N444" t="n">
        <v>8.699999999999999</v>
      </c>
      <c r="O444" t="n">
        <v>10</v>
      </c>
      <c r="P444" t="n">
        <v>6.579254</v>
      </c>
      <c r="Q444" t="n">
        <v>9.1</v>
      </c>
      <c r="T444" t="n">
        <v>15.1</v>
      </c>
      <c r="W444" t="n">
        <v>8.699999999999999</v>
      </c>
      <c r="X444" t="n">
        <v>2.1</v>
      </c>
      <c r="Y444" t="n">
        <v>2.5</v>
      </c>
      <c r="Z444" t="n">
        <v>1.8</v>
      </c>
      <c r="AB444" t="n">
        <v>2.9</v>
      </c>
      <c r="AC444" t="n">
        <v>5.6</v>
      </c>
      <c r="AD444" t="n">
        <v>6.5</v>
      </c>
      <c r="AG444" t="n">
        <v>5</v>
      </c>
      <c r="AJ444" t="n">
        <v>3.8</v>
      </c>
      <c r="AL444" t="n">
        <v>7</v>
      </c>
    </row>
    <row r="445">
      <c r="A445" s="78" t="n">
        <v>33573</v>
      </c>
      <c r="B445" t="n">
        <v>10.47255</v>
      </c>
      <c r="D445" t="n">
        <v>6.7</v>
      </c>
      <c r="E445" t="n">
        <v>10.3</v>
      </c>
      <c r="G445" t="n">
        <v>7.338313</v>
      </c>
      <c r="I445" t="n">
        <v>6</v>
      </c>
      <c r="J445" t="n">
        <v>8.199999999999999</v>
      </c>
      <c r="K445" t="n">
        <v>7.974288</v>
      </c>
      <c r="L445" t="n">
        <v>15.9</v>
      </c>
      <c r="N445" t="n">
        <v>9.199999999999999</v>
      </c>
      <c r="O445" t="n">
        <v>10.1</v>
      </c>
      <c r="P445" t="n">
        <v>6.681372</v>
      </c>
      <c r="Q445" t="n">
        <v>9.199999999999999</v>
      </c>
      <c r="T445" t="n">
        <v>15.1</v>
      </c>
      <c r="W445" t="n">
        <v>8.6</v>
      </c>
      <c r="X445" t="n">
        <v>2.1</v>
      </c>
      <c r="Y445" t="n">
        <v>2.4</v>
      </c>
      <c r="Z445" t="n">
        <v>1.8</v>
      </c>
      <c r="AB445" t="n">
        <v>2.8</v>
      </c>
      <c r="AC445" t="n">
        <v>5.6</v>
      </c>
      <c r="AD445" t="n">
        <v>6.7</v>
      </c>
      <c r="AG445" t="n">
        <v>4.9</v>
      </c>
      <c r="AJ445" t="n">
        <v>4.1</v>
      </c>
      <c r="AL445" t="n">
        <v>7.3</v>
      </c>
    </row>
    <row r="446">
      <c r="A446" s="78" t="n">
        <v>33604</v>
      </c>
      <c r="B446" t="n">
        <v>10.34612</v>
      </c>
      <c r="D446" t="n">
        <v>6.7</v>
      </c>
      <c r="E446" t="n">
        <v>10.4</v>
      </c>
      <c r="G446" t="n">
        <v>7.163505</v>
      </c>
      <c r="I446" t="n">
        <v>6</v>
      </c>
      <c r="J446" t="n">
        <v>8.199999999999999</v>
      </c>
      <c r="K446" t="n">
        <v>8.134561</v>
      </c>
      <c r="L446" t="n">
        <v>16</v>
      </c>
      <c r="N446" t="n">
        <v>9.6</v>
      </c>
      <c r="O446" t="n">
        <v>10.2</v>
      </c>
      <c r="P446" t="n">
        <v>6.724585</v>
      </c>
      <c r="Q446" t="n">
        <v>9.300000000000001</v>
      </c>
      <c r="T446" t="n">
        <v>15.1</v>
      </c>
      <c r="W446" t="n">
        <v>8.6</v>
      </c>
      <c r="X446" t="n">
        <v>2.1</v>
      </c>
      <c r="Y446" t="n">
        <v>2.4</v>
      </c>
      <c r="Z446" t="n">
        <v>1.8</v>
      </c>
      <c r="AB446" t="n">
        <v>2.8</v>
      </c>
      <c r="AC446" t="n">
        <v>5.6</v>
      </c>
      <c r="AD446" t="n">
        <v>6.5</v>
      </c>
      <c r="AG446" t="n">
        <v>4.8</v>
      </c>
      <c r="AJ446" t="n">
        <v>4.3</v>
      </c>
      <c r="AL446" t="n">
        <v>7.3</v>
      </c>
    </row>
    <row r="447">
      <c r="A447" s="78" t="n">
        <v>33635</v>
      </c>
      <c r="B447" t="n">
        <v>10.40437</v>
      </c>
      <c r="D447" t="n">
        <v>6.7</v>
      </c>
      <c r="E447" t="n">
        <v>10.5</v>
      </c>
      <c r="G447" t="n">
        <v>7.058466</v>
      </c>
      <c r="I447" t="n">
        <v>6.1</v>
      </c>
      <c r="J447" t="n">
        <v>8.300000000000001</v>
      </c>
      <c r="K447" t="n">
        <v>8.1439</v>
      </c>
      <c r="L447" t="n">
        <v>16.1</v>
      </c>
      <c r="N447" t="n">
        <v>9.9</v>
      </c>
      <c r="O447" t="n">
        <v>10.3</v>
      </c>
      <c r="P447" t="n">
        <v>6.779931</v>
      </c>
      <c r="Q447" t="n">
        <v>9.300000000000001</v>
      </c>
      <c r="T447" t="n">
        <v>15.2</v>
      </c>
      <c r="W447" t="n">
        <v>8.699999999999999</v>
      </c>
      <c r="X447" t="n">
        <v>2</v>
      </c>
      <c r="Y447" t="n">
        <v>2.4</v>
      </c>
      <c r="Z447" t="n">
        <v>1.9</v>
      </c>
      <c r="AB447" t="n">
        <v>3.1</v>
      </c>
      <c r="AC447" t="n">
        <v>5.6</v>
      </c>
      <c r="AD447" t="n">
        <v>6.4</v>
      </c>
      <c r="AG447" t="n">
        <v>4.8</v>
      </c>
      <c r="AJ447" t="n">
        <v>4.6</v>
      </c>
      <c r="AL447" t="n">
        <v>7.4</v>
      </c>
    </row>
    <row r="448">
      <c r="A448" s="78" t="n">
        <v>33664</v>
      </c>
      <c r="B448" t="n">
        <v>10.4957</v>
      </c>
      <c r="D448" t="n">
        <v>6.8</v>
      </c>
      <c r="E448" t="n">
        <v>10.9</v>
      </c>
      <c r="G448" t="n">
        <v>6.637442</v>
      </c>
      <c r="I448" t="n">
        <v>6.2</v>
      </c>
      <c r="J448" t="n">
        <v>8.300000000000001</v>
      </c>
      <c r="K448" t="n">
        <v>8.194921000000001</v>
      </c>
      <c r="L448" t="n">
        <v>16.3</v>
      </c>
      <c r="N448" t="n">
        <v>10.1</v>
      </c>
      <c r="O448" t="n">
        <v>10.3</v>
      </c>
      <c r="P448" t="n">
        <v>6.822282</v>
      </c>
      <c r="Q448" t="n">
        <v>9.300000000000001</v>
      </c>
      <c r="T448" t="n">
        <v>15.3</v>
      </c>
      <c r="W448" t="n">
        <v>8.699999999999999</v>
      </c>
      <c r="X448" t="n">
        <v>2.1</v>
      </c>
      <c r="Y448" t="n">
        <v>2.4</v>
      </c>
      <c r="Z448" t="n">
        <v>2</v>
      </c>
      <c r="AB448" t="n">
        <v>2.7</v>
      </c>
      <c r="AC448" t="n">
        <v>5.6</v>
      </c>
      <c r="AD448" t="n">
        <v>6.3</v>
      </c>
      <c r="AG448" t="n">
        <v>4.8</v>
      </c>
      <c r="AJ448" t="n">
        <v>4.8</v>
      </c>
      <c r="AL448" t="n">
        <v>7.4</v>
      </c>
    </row>
    <row r="449">
      <c r="A449" s="78" t="n">
        <v>33695</v>
      </c>
      <c r="B449" t="n">
        <v>10.47254</v>
      </c>
      <c r="D449" t="n">
        <v>6.9</v>
      </c>
      <c r="E449" t="n">
        <v>10.7</v>
      </c>
      <c r="G449" t="n">
        <v>6.352045</v>
      </c>
      <c r="I449" t="n">
        <v>6.3</v>
      </c>
      <c r="J449" t="n">
        <v>8.300000000000001</v>
      </c>
      <c r="K449" t="n">
        <v>8.2501</v>
      </c>
      <c r="L449" t="n">
        <v>16.4</v>
      </c>
      <c r="N449" t="n">
        <v>10.5</v>
      </c>
      <c r="O449" t="n">
        <v>10.4</v>
      </c>
      <c r="P449" t="n">
        <v>6.86433</v>
      </c>
      <c r="Q449" t="n">
        <v>9.800000000000001</v>
      </c>
      <c r="T449" t="n">
        <v>15.3</v>
      </c>
      <c r="W449" t="n">
        <v>8.699999999999999</v>
      </c>
      <c r="X449" t="n">
        <v>2.1</v>
      </c>
      <c r="Y449" t="n">
        <v>2.5</v>
      </c>
      <c r="Z449" t="n">
        <v>2</v>
      </c>
      <c r="AB449" t="n">
        <v>2.7</v>
      </c>
      <c r="AC449" t="n">
        <v>5.6</v>
      </c>
      <c r="AD449" t="n">
        <v>6.5</v>
      </c>
      <c r="AG449" t="n">
        <v>4.9</v>
      </c>
      <c r="AJ449" t="n">
        <v>5</v>
      </c>
      <c r="AL449" t="n">
        <v>7.4</v>
      </c>
    </row>
    <row r="450">
      <c r="A450" s="78" t="n">
        <v>33725</v>
      </c>
      <c r="B450" t="n">
        <v>10.61762</v>
      </c>
      <c r="D450" t="n">
        <v>7</v>
      </c>
      <c r="E450" t="n">
        <v>10.9</v>
      </c>
      <c r="G450" t="n">
        <v>6.37578</v>
      </c>
      <c r="I450" t="n">
        <v>6.4</v>
      </c>
      <c r="J450" t="n">
        <v>8.4</v>
      </c>
      <c r="K450" t="n">
        <v>8.264141</v>
      </c>
      <c r="L450" t="n">
        <v>16.5</v>
      </c>
      <c r="N450" t="n">
        <v>11</v>
      </c>
      <c r="O450" t="n">
        <v>10.5</v>
      </c>
      <c r="P450" t="n">
        <v>6.984862</v>
      </c>
      <c r="Q450" t="n">
        <v>9.800000000000001</v>
      </c>
      <c r="T450" t="n">
        <v>15.2</v>
      </c>
      <c r="W450" t="n">
        <v>8.6</v>
      </c>
      <c r="X450" t="n">
        <v>2.1</v>
      </c>
      <c r="Y450" t="n">
        <v>2.4</v>
      </c>
      <c r="Z450" t="n">
        <v>2.1</v>
      </c>
      <c r="AB450" t="n">
        <v>2.9</v>
      </c>
      <c r="AC450" t="n">
        <v>5.6</v>
      </c>
      <c r="AD450" t="n">
        <v>6.5</v>
      </c>
      <c r="AG450" t="n">
        <v>4.9</v>
      </c>
      <c r="AJ450" t="n">
        <v>5.4</v>
      </c>
      <c r="AL450" t="n">
        <v>7.6</v>
      </c>
    </row>
    <row r="451">
      <c r="A451" s="78" t="n">
        <v>33756</v>
      </c>
      <c r="B451" t="n">
        <v>10.81289</v>
      </c>
      <c r="D451" t="n">
        <v>7.1</v>
      </c>
      <c r="E451" t="n">
        <v>11.4</v>
      </c>
      <c r="G451" t="n">
        <v>6.418241</v>
      </c>
      <c r="I451" t="n">
        <v>6.5</v>
      </c>
      <c r="J451" t="n">
        <v>8.4</v>
      </c>
      <c r="K451" t="n">
        <v>8.359921999999999</v>
      </c>
      <c r="L451" t="n">
        <v>16.7</v>
      </c>
      <c r="N451" t="n">
        <v>11.6</v>
      </c>
      <c r="O451" t="n">
        <v>10.6</v>
      </c>
      <c r="P451" t="n">
        <v>7.120053</v>
      </c>
      <c r="Q451" t="n">
        <v>9.9</v>
      </c>
      <c r="T451" t="n">
        <v>15.2</v>
      </c>
      <c r="W451" t="n">
        <v>8.699999999999999</v>
      </c>
      <c r="X451" t="n">
        <v>2.1</v>
      </c>
      <c r="Y451" t="n">
        <v>2.4</v>
      </c>
      <c r="Z451" t="n">
        <v>2</v>
      </c>
      <c r="AB451" t="n">
        <v>2.8</v>
      </c>
      <c r="AC451" t="n">
        <v>5.7</v>
      </c>
      <c r="AD451" t="n">
        <v>6.6</v>
      </c>
      <c r="AG451" t="n">
        <v>4.9</v>
      </c>
      <c r="AJ451" t="n">
        <v>5.4</v>
      </c>
      <c r="AL451" t="n">
        <v>7.8</v>
      </c>
    </row>
    <row r="452">
      <c r="A452" s="78" t="n">
        <v>33786</v>
      </c>
      <c r="B452" t="n">
        <v>11.12246</v>
      </c>
      <c r="D452" t="n">
        <v>7.1</v>
      </c>
      <c r="E452" t="n">
        <v>11.3</v>
      </c>
      <c r="G452" t="n">
        <v>6.535103</v>
      </c>
      <c r="I452" t="n">
        <v>6.6</v>
      </c>
      <c r="J452" t="n">
        <v>8.5</v>
      </c>
      <c r="K452" t="n">
        <v>8.469436999999999</v>
      </c>
      <c r="L452" t="n">
        <v>16.9</v>
      </c>
      <c r="N452" t="n">
        <v>12.2</v>
      </c>
      <c r="O452" t="n">
        <v>10.7</v>
      </c>
      <c r="P452" t="n">
        <v>7.100828</v>
      </c>
      <c r="Q452" t="n">
        <v>9.9</v>
      </c>
      <c r="T452" t="n">
        <v>15.4</v>
      </c>
      <c r="W452" t="n">
        <v>8.9</v>
      </c>
      <c r="X452" t="n">
        <v>2.1</v>
      </c>
      <c r="Y452" t="n">
        <v>2.4</v>
      </c>
      <c r="Z452" t="n">
        <v>2.1</v>
      </c>
      <c r="AB452" t="n">
        <v>2.8</v>
      </c>
      <c r="AC452" t="n">
        <v>5.7</v>
      </c>
      <c r="AD452" t="n">
        <v>6.5</v>
      </c>
      <c r="AG452" t="n">
        <v>5</v>
      </c>
      <c r="AJ452" t="n">
        <v>5.8</v>
      </c>
      <c r="AL452" t="n">
        <v>7.7</v>
      </c>
    </row>
    <row r="453">
      <c r="A453" s="78" t="n">
        <v>33817</v>
      </c>
      <c r="B453" t="n">
        <v>10.72166</v>
      </c>
      <c r="D453" t="n">
        <v>7.1</v>
      </c>
      <c r="E453" t="n">
        <v>11.7</v>
      </c>
      <c r="G453" t="n">
        <v>6.575441</v>
      </c>
      <c r="I453" t="n">
        <v>6.8</v>
      </c>
      <c r="J453" t="n">
        <v>8.699999999999999</v>
      </c>
      <c r="K453" t="n">
        <v>8.586491000000001</v>
      </c>
      <c r="L453" t="n">
        <v>17.2</v>
      </c>
      <c r="N453" t="n">
        <v>12.6</v>
      </c>
      <c r="O453" t="n">
        <v>10.8</v>
      </c>
      <c r="P453" t="n">
        <v>7.142069</v>
      </c>
      <c r="Q453" t="n">
        <v>9.9</v>
      </c>
      <c r="T453" t="n">
        <v>15.5</v>
      </c>
      <c r="W453" t="n">
        <v>9</v>
      </c>
      <c r="X453" t="n">
        <v>2.2</v>
      </c>
      <c r="Y453" t="n">
        <v>2.6</v>
      </c>
      <c r="Z453" t="n">
        <v>2.1</v>
      </c>
      <c r="AB453" t="n">
        <v>2.6</v>
      </c>
      <c r="AC453" t="n">
        <v>5.8</v>
      </c>
      <c r="AD453" t="n">
        <v>6.6</v>
      </c>
      <c r="AG453" t="n">
        <v>5</v>
      </c>
      <c r="AJ453" t="n">
        <v>6</v>
      </c>
      <c r="AL453" t="n">
        <v>7.6</v>
      </c>
    </row>
    <row r="454">
      <c r="A454" s="78" t="n">
        <v>33848</v>
      </c>
      <c r="B454" t="n">
        <v>10.61629</v>
      </c>
      <c r="D454" t="n">
        <v>7.2</v>
      </c>
      <c r="E454" t="n">
        <v>11.6</v>
      </c>
      <c r="G454" t="n">
        <v>6.555765</v>
      </c>
      <c r="I454" t="n">
        <v>6.9</v>
      </c>
      <c r="J454" t="n">
        <v>8.800000000000001</v>
      </c>
      <c r="K454" t="n">
        <v>8.698858</v>
      </c>
      <c r="L454" t="n">
        <v>17.5</v>
      </c>
      <c r="N454" t="n">
        <v>13</v>
      </c>
      <c r="O454" t="n">
        <v>10.9</v>
      </c>
      <c r="P454" t="n">
        <v>7.179986</v>
      </c>
      <c r="Q454" t="n">
        <v>10.1</v>
      </c>
      <c r="T454" t="n">
        <v>15.6</v>
      </c>
      <c r="W454" t="n">
        <v>9.1</v>
      </c>
      <c r="X454" t="n">
        <v>2.2</v>
      </c>
      <c r="Y454" t="n">
        <v>2.7</v>
      </c>
      <c r="Z454" t="n">
        <v>2.2</v>
      </c>
      <c r="AB454" t="n">
        <v>2.4</v>
      </c>
      <c r="AC454" t="n">
        <v>5.8</v>
      </c>
      <c r="AD454" t="n">
        <v>6.6</v>
      </c>
      <c r="AG454" t="n">
        <v>5.1</v>
      </c>
      <c r="AJ454" t="n">
        <v>6.1</v>
      </c>
      <c r="AL454" t="n">
        <v>7.6</v>
      </c>
    </row>
    <row r="455">
      <c r="A455" s="78" t="n">
        <v>33878</v>
      </c>
      <c r="B455" t="n">
        <v>11.09026</v>
      </c>
      <c r="D455" t="n">
        <v>7.3</v>
      </c>
      <c r="E455" t="n">
        <v>11.4</v>
      </c>
      <c r="G455" t="n">
        <v>6.615212</v>
      </c>
      <c r="I455" t="n">
        <v>7</v>
      </c>
      <c r="J455" t="n">
        <v>9</v>
      </c>
      <c r="K455" t="n">
        <v>8.880807000000001</v>
      </c>
      <c r="L455" t="n">
        <v>18</v>
      </c>
      <c r="N455" t="n">
        <v>13.3</v>
      </c>
      <c r="O455" t="n">
        <v>10.9</v>
      </c>
      <c r="P455" t="n">
        <v>7.072227</v>
      </c>
      <c r="Q455" t="n">
        <v>10.2</v>
      </c>
      <c r="T455" t="n">
        <v>15.6</v>
      </c>
      <c r="W455" t="n">
        <v>8.9</v>
      </c>
      <c r="X455" t="n">
        <v>2.2</v>
      </c>
      <c r="Y455" t="n">
        <v>2.6</v>
      </c>
      <c r="Z455" t="n">
        <v>2.2</v>
      </c>
      <c r="AB455" t="n">
        <v>2.6</v>
      </c>
      <c r="AC455" t="n">
        <v>5.9</v>
      </c>
      <c r="AD455" t="n">
        <v>6.7</v>
      </c>
      <c r="AG455" t="n">
        <v>5.1</v>
      </c>
      <c r="AJ455" t="n">
        <v>6.3</v>
      </c>
      <c r="AL455" t="n">
        <v>7.3</v>
      </c>
    </row>
    <row r="456">
      <c r="A456" s="78" t="n">
        <v>33909</v>
      </c>
      <c r="B456" t="n">
        <v>11.13551</v>
      </c>
      <c r="D456" t="n">
        <v>7.5</v>
      </c>
      <c r="E456" t="n">
        <v>12.1</v>
      </c>
      <c r="G456" t="n">
        <v>6.670062</v>
      </c>
      <c r="I456" t="n">
        <v>7.1</v>
      </c>
      <c r="J456" t="n">
        <v>9.1</v>
      </c>
      <c r="K456" t="n">
        <v>8.98692</v>
      </c>
      <c r="L456" t="n">
        <v>18.4</v>
      </c>
      <c r="N456" t="n">
        <v>13.6</v>
      </c>
      <c r="O456" t="n">
        <v>11</v>
      </c>
      <c r="P456" t="n">
        <v>7.192651</v>
      </c>
      <c r="Q456" t="n">
        <v>10.4</v>
      </c>
      <c r="T456" t="n">
        <v>15.7</v>
      </c>
      <c r="W456" t="n">
        <v>8.9</v>
      </c>
      <c r="X456" t="n">
        <v>2.3</v>
      </c>
      <c r="Y456" t="n">
        <v>2.6</v>
      </c>
      <c r="Z456" t="n">
        <v>2.2</v>
      </c>
      <c r="AB456" t="n">
        <v>3.3</v>
      </c>
      <c r="AC456" t="n">
        <v>5.9</v>
      </c>
      <c r="AD456" t="n">
        <v>6.7</v>
      </c>
      <c r="AG456" t="n">
        <v>5.2</v>
      </c>
      <c r="AJ456" t="n">
        <v>6.5</v>
      </c>
      <c r="AL456" t="n">
        <v>7.4</v>
      </c>
    </row>
    <row r="457">
      <c r="A457" s="78" t="n">
        <v>33939</v>
      </c>
      <c r="B457" t="n">
        <v>11.21618</v>
      </c>
      <c r="D457" t="n">
        <v>7.7</v>
      </c>
      <c r="E457" t="n">
        <v>11.7</v>
      </c>
      <c r="G457" t="n">
        <v>6.706924</v>
      </c>
      <c r="I457" t="n">
        <v>7.2</v>
      </c>
      <c r="J457" t="n">
        <v>9.300000000000001</v>
      </c>
      <c r="K457" t="n">
        <v>9.116936000000001</v>
      </c>
      <c r="L457" t="n">
        <v>18.8</v>
      </c>
      <c r="N457" t="n">
        <v>13.9</v>
      </c>
      <c r="O457" t="n">
        <v>11.1</v>
      </c>
      <c r="P457" t="n">
        <v>7.218978</v>
      </c>
      <c r="Q457" t="n">
        <v>10.5</v>
      </c>
      <c r="T457" t="n">
        <v>15.7</v>
      </c>
      <c r="W457" t="n">
        <v>8.9</v>
      </c>
      <c r="X457" t="n">
        <v>2.3</v>
      </c>
      <c r="Y457" t="n">
        <v>2.6</v>
      </c>
      <c r="Z457" t="n">
        <v>2.2</v>
      </c>
      <c r="AB457" t="n">
        <v>2.8</v>
      </c>
      <c r="AC457" t="n">
        <v>6</v>
      </c>
      <c r="AD457" t="n">
        <v>6.6</v>
      </c>
      <c r="AG457" t="n">
        <v>5.4</v>
      </c>
      <c r="AJ457" t="n">
        <v>6.7</v>
      </c>
      <c r="AL457" t="n">
        <v>7.4</v>
      </c>
    </row>
    <row r="458">
      <c r="A458" s="78" t="n">
        <v>33970</v>
      </c>
      <c r="B458" t="n">
        <v>10.83328</v>
      </c>
      <c r="C458" t="n">
        <v>3.8</v>
      </c>
      <c r="D458" t="n">
        <v>7.8</v>
      </c>
      <c r="E458" t="n">
        <v>11.2</v>
      </c>
      <c r="G458" t="n">
        <v>6.597682</v>
      </c>
      <c r="H458" t="n">
        <v>4.5</v>
      </c>
      <c r="I458" t="n">
        <v>7.3</v>
      </c>
      <c r="J458" t="n">
        <v>9.5</v>
      </c>
      <c r="K458" t="n">
        <v>9.4</v>
      </c>
      <c r="L458" t="n">
        <v>19.2</v>
      </c>
      <c r="N458" t="n">
        <v>14.2</v>
      </c>
      <c r="O458" t="n">
        <v>11.2</v>
      </c>
      <c r="P458" t="n">
        <v>7.157689</v>
      </c>
      <c r="Q458" t="n">
        <v>10.7</v>
      </c>
      <c r="T458" t="n">
        <v>15.8</v>
      </c>
      <c r="W458" t="n">
        <v>9</v>
      </c>
      <c r="X458" t="n">
        <v>2.3</v>
      </c>
      <c r="Y458" t="n">
        <v>2.8</v>
      </c>
      <c r="Z458" t="n">
        <v>2.2</v>
      </c>
      <c r="AB458" t="n">
        <v>3</v>
      </c>
      <c r="AC458" t="n">
        <v>6.1</v>
      </c>
      <c r="AD458" t="n">
        <v>6.6</v>
      </c>
      <c r="AG458" t="n">
        <v>5.5</v>
      </c>
      <c r="AJ458" t="n">
        <v>7.5</v>
      </c>
      <c r="AL458" t="n">
        <v>7.3</v>
      </c>
    </row>
    <row r="459">
      <c r="A459" s="78" t="n">
        <v>34001</v>
      </c>
      <c r="B459" t="n">
        <v>11.01381</v>
      </c>
      <c r="C459" t="n">
        <v>3.8</v>
      </c>
      <c r="D459" t="n">
        <v>7.9</v>
      </c>
      <c r="E459" t="n">
        <v>11</v>
      </c>
      <c r="G459" t="n">
        <v>6.573459</v>
      </c>
      <c r="H459" t="n">
        <v>4.4</v>
      </c>
      <c r="I459" t="n">
        <v>7.4</v>
      </c>
      <c r="J459" t="n">
        <v>9.6</v>
      </c>
      <c r="K459" t="n">
        <v>9.5</v>
      </c>
      <c r="L459" t="n">
        <v>19.5</v>
      </c>
      <c r="N459" t="n">
        <v>14.7</v>
      </c>
      <c r="O459" t="n">
        <v>11.3</v>
      </c>
      <c r="P459" t="n">
        <v>7.137839</v>
      </c>
      <c r="Q459" t="n">
        <v>10.6</v>
      </c>
      <c r="T459" t="n">
        <v>15.9</v>
      </c>
      <c r="W459" t="n">
        <v>9.1</v>
      </c>
      <c r="X459" t="n">
        <v>2.3</v>
      </c>
      <c r="Y459" t="n">
        <v>2.9</v>
      </c>
      <c r="Z459" t="n">
        <v>2.2</v>
      </c>
      <c r="AB459" t="n">
        <v>3.5</v>
      </c>
      <c r="AC459" t="n">
        <v>6.2</v>
      </c>
      <c r="AD459" t="n">
        <v>6.6</v>
      </c>
      <c r="AG459" t="n">
        <v>5.7</v>
      </c>
      <c r="AJ459" t="n">
        <v>7.6</v>
      </c>
      <c r="AL459" t="n">
        <v>7.1</v>
      </c>
    </row>
    <row r="460">
      <c r="A460" s="78" t="n">
        <v>34029</v>
      </c>
      <c r="B460" t="n">
        <v>10.85689</v>
      </c>
      <c r="C460" t="n">
        <v>3.9</v>
      </c>
      <c r="D460" t="n">
        <v>8.1</v>
      </c>
      <c r="E460" t="n">
        <v>11.2</v>
      </c>
      <c r="G460" t="n">
        <v>6.48533</v>
      </c>
      <c r="H460" t="n">
        <v>4.4</v>
      </c>
      <c r="I460" t="n">
        <v>7.5</v>
      </c>
      <c r="J460" t="n">
        <v>9.699999999999999</v>
      </c>
      <c r="K460" t="n">
        <v>9.699999999999999</v>
      </c>
      <c r="L460" t="n">
        <v>20</v>
      </c>
      <c r="N460" t="n">
        <v>15.2</v>
      </c>
      <c r="O460" t="n">
        <v>11.4</v>
      </c>
      <c r="P460" t="n">
        <v>7.133924</v>
      </c>
      <c r="Q460" t="n">
        <v>10.6</v>
      </c>
      <c r="T460" t="n">
        <v>15.8</v>
      </c>
      <c r="W460" t="n">
        <v>9.300000000000001</v>
      </c>
      <c r="X460" t="n">
        <v>2.3</v>
      </c>
      <c r="Y460" t="n">
        <v>2.8</v>
      </c>
      <c r="Z460" t="n">
        <v>2.3</v>
      </c>
      <c r="AB460" t="n">
        <v>3.5</v>
      </c>
      <c r="AC460" t="n">
        <v>6.3</v>
      </c>
      <c r="AD460" t="n">
        <v>6.8</v>
      </c>
      <c r="AG460" t="n">
        <v>5.9</v>
      </c>
      <c r="AJ460" t="n">
        <v>8</v>
      </c>
      <c r="AL460" t="n">
        <v>7</v>
      </c>
    </row>
    <row r="461">
      <c r="A461" s="78" t="n">
        <v>34060</v>
      </c>
      <c r="B461" t="n">
        <v>10.76723</v>
      </c>
      <c r="C461" t="n">
        <v>3.9</v>
      </c>
      <c r="D461" t="n">
        <v>8.199999999999999</v>
      </c>
      <c r="E461" t="n">
        <v>11.6</v>
      </c>
      <c r="G461" t="n">
        <v>6.378706</v>
      </c>
      <c r="H461" t="n">
        <v>4.4</v>
      </c>
      <c r="I461" t="n">
        <v>7.5</v>
      </c>
      <c r="J461" t="n">
        <v>9.9</v>
      </c>
      <c r="K461" t="n">
        <v>9.9</v>
      </c>
      <c r="L461" t="n">
        <v>20.2</v>
      </c>
      <c r="N461" t="n">
        <v>15.6</v>
      </c>
      <c r="O461" t="n">
        <v>11.6</v>
      </c>
      <c r="P461" t="n">
        <v>7.194532</v>
      </c>
      <c r="Q461" t="n">
        <v>10.5</v>
      </c>
      <c r="T461" t="n">
        <v>15.8</v>
      </c>
      <c r="W461" t="n">
        <v>9.699999999999999</v>
      </c>
      <c r="X461" t="n">
        <v>2.3</v>
      </c>
      <c r="Y461" t="n">
        <v>3</v>
      </c>
      <c r="Z461" t="n">
        <v>2.4</v>
      </c>
      <c r="AB461" t="n">
        <v>3</v>
      </c>
      <c r="AC461" t="n">
        <v>6.4</v>
      </c>
      <c r="AD461" t="n">
        <v>6.8</v>
      </c>
      <c r="AG461" t="n">
        <v>6.1</v>
      </c>
      <c r="AJ461" t="n">
        <v>8.6</v>
      </c>
      <c r="AL461" t="n">
        <v>7.1</v>
      </c>
    </row>
    <row r="462">
      <c r="A462" s="78" t="n">
        <v>34090</v>
      </c>
      <c r="B462" t="n">
        <v>10.78516</v>
      </c>
      <c r="C462" t="n">
        <v>4</v>
      </c>
      <c r="D462" t="n">
        <v>8.4</v>
      </c>
      <c r="E462" t="n">
        <v>11.6</v>
      </c>
      <c r="G462" t="n">
        <v>6.235002</v>
      </c>
      <c r="H462" t="n">
        <v>4.4</v>
      </c>
      <c r="I462" t="n">
        <v>7.6</v>
      </c>
      <c r="J462" t="n">
        <v>9.9</v>
      </c>
      <c r="K462" t="n">
        <v>10</v>
      </c>
      <c r="L462" t="n">
        <v>20.4</v>
      </c>
      <c r="N462" t="n">
        <v>16.1</v>
      </c>
      <c r="O462" t="n">
        <v>11.7</v>
      </c>
      <c r="P462" t="n">
        <v>7.25277</v>
      </c>
      <c r="Q462" t="n">
        <v>10.4</v>
      </c>
      <c r="T462" t="n">
        <v>15.8</v>
      </c>
      <c r="W462" t="n">
        <v>9.800000000000001</v>
      </c>
      <c r="X462" t="n">
        <v>2.5</v>
      </c>
      <c r="Y462" t="n">
        <v>3</v>
      </c>
      <c r="Z462" t="n">
        <v>2.4</v>
      </c>
      <c r="AB462" t="n">
        <v>3.3</v>
      </c>
      <c r="AC462" t="n">
        <v>6.4</v>
      </c>
      <c r="AD462" t="n">
        <v>6.6</v>
      </c>
      <c r="AG462" t="n">
        <v>6.2</v>
      </c>
      <c r="AJ462" t="n">
        <v>8.699999999999999</v>
      </c>
      <c r="AL462" t="n">
        <v>7.1</v>
      </c>
    </row>
    <row r="463">
      <c r="A463" s="78" t="n">
        <v>34121</v>
      </c>
      <c r="B463" t="n">
        <v>10.99479</v>
      </c>
      <c r="C463" t="n">
        <v>4</v>
      </c>
      <c r="D463" t="n">
        <v>8.5</v>
      </c>
      <c r="E463" t="n">
        <v>11.7</v>
      </c>
      <c r="G463" t="n">
        <v>6.291767</v>
      </c>
      <c r="H463" t="n">
        <v>4.4</v>
      </c>
      <c r="I463" t="n">
        <v>7.7</v>
      </c>
      <c r="J463" t="n">
        <v>9.9</v>
      </c>
      <c r="K463" t="n">
        <v>10.2</v>
      </c>
      <c r="L463" t="n">
        <v>20.9</v>
      </c>
      <c r="N463" t="n">
        <v>16.5</v>
      </c>
      <c r="O463" t="n">
        <v>11.8</v>
      </c>
      <c r="P463" t="n">
        <v>7.267554</v>
      </c>
      <c r="Q463" t="n">
        <v>10.4</v>
      </c>
      <c r="T463" t="n">
        <v>15.7</v>
      </c>
      <c r="W463" t="n">
        <v>9.9</v>
      </c>
      <c r="X463" t="n">
        <v>2.5</v>
      </c>
      <c r="Y463" t="n">
        <v>3</v>
      </c>
      <c r="Z463" t="n">
        <v>2.5</v>
      </c>
      <c r="AB463" t="n">
        <v>3.2</v>
      </c>
      <c r="AC463" t="n">
        <v>6.5</v>
      </c>
      <c r="AD463" t="n">
        <v>6.6</v>
      </c>
      <c r="AG463" t="n">
        <v>6.3</v>
      </c>
      <c r="AJ463" t="n">
        <v>9.800000000000001</v>
      </c>
      <c r="AL463" t="n">
        <v>7</v>
      </c>
    </row>
    <row r="464">
      <c r="A464" s="78" t="n">
        <v>34151</v>
      </c>
      <c r="B464" t="n">
        <v>10.93263</v>
      </c>
      <c r="C464" t="n">
        <v>4</v>
      </c>
      <c r="D464" t="n">
        <v>8.699999999999999</v>
      </c>
      <c r="E464" t="n">
        <v>11.6</v>
      </c>
      <c r="G464" t="n">
        <v>6.430732</v>
      </c>
      <c r="H464" t="n">
        <v>4.5</v>
      </c>
      <c r="I464" t="n">
        <v>7.8</v>
      </c>
      <c r="J464" t="n">
        <v>9.699999999999999</v>
      </c>
      <c r="K464" t="n">
        <v>10.3</v>
      </c>
      <c r="L464" t="n">
        <v>21.3</v>
      </c>
      <c r="N464" t="n">
        <v>16.8</v>
      </c>
      <c r="O464" t="n">
        <v>11.9</v>
      </c>
      <c r="P464" t="n">
        <v>7.221562</v>
      </c>
      <c r="Q464" t="n">
        <v>10.3</v>
      </c>
      <c r="T464" t="n">
        <v>15.6</v>
      </c>
      <c r="W464" t="n">
        <v>9.9</v>
      </c>
      <c r="X464" t="n">
        <v>2.5</v>
      </c>
      <c r="Y464" t="n">
        <v>3</v>
      </c>
      <c r="Z464" t="n">
        <v>2.7</v>
      </c>
      <c r="AB464" t="n">
        <v>3.3</v>
      </c>
      <c r="AC464" t="n">
        <v>6.6</v>
      </c>
      <c r="AD464" t="n">
        <v>6.6</v>
      </c>
      <c r="AG464" t="n">
        <v>6.4</v>
      </c>
      <c r="AJ464" t="n">
        <v>9.699999999999999</v>
      </c>
      <c r="AL464" t="n">
        <v>6.9</v>
      </c>
    </row>
    <row r="465">
      <c r="A465" s="78" t="n">
        <v>34182</v>
      </c>
      <c r="B465" t="n">
        <v>10.98212</v>
      </c>
      <c r="C465" t="n">
        <v>4.1</v>
      </c>
      <c r="D465" t="n">
        <v>8.9</v>
      </c>
      <c r="E465" t="n">
        <v>11.2</v>
      </c>
      <c r="G465" t="n">
        <v>6.485236</v>
      </c>
      <c r="H465" t="n">
        <v>4.3</v>
      </c>
      <c r="I465" t="n">
        <v>7.9</v>
      </c>
      <c r="J465" t="n">
        <v>9.5</v>
      </c>
      <c r="K465" t="n">
        <v>10.4</v>
      </c>
      <c r="L465" t="n">
        <v>21.4</v>
      </c>
      <c r="N465" t="n">
        <v>17.1</v>
      </c>
      <c r="O465" t="n">
        <v>12</v>
      </c>
      <c r="P465" t="n">
        <v>7.168305</v>
      </c>
      <c r="Q465" t="n">
        <v>10.2</v>
      </c>
      <c r="T465" t="n">
        <v>15.5</v>
      </c>
      <c r="W465" t="n">
        <v>10</v>
      </c>
      <c r="X465" t="n">
        <v>2.5</v>
      </c>
      <c r="Y465" t="n">
        <v>2.9</v>
      </c>
      <c r="Z465" t="n">
        <v>2.8</v>
      </c>
      <c r="AB465" t="n">
        <v>4</v>
      </c>
      <c r="AC465" t="n">
        <v>6.6</v>
      </c>
      <c r="AD465" t="n">
        <v>6.8</v>
      </c>
      <c r="AG465" t="n">
        <v>6.5</v>
      </c>
      <c r="AJ465" t="n">
        <v>9.5</v>
      </c>
      <c r="AL465" t="n">
        <v>6.8</v>
      </c>
    </row>
    <row r="466">
      <c r="A466" s="78" t="n">
        <v>34213</v>
      </c>
      <c r="B466" t="n">
        <v>10.74112</v>
      </c>
      <c r="C466" t="n">
        <v>4</v>
      </c>
      <c r="D466" t="n">
        <v>9</v>
      </c>
      <c r="E466" t="n">
        <v>11.5</v>
      </c>
      <c r="G466" t="n">
        <v>6.435065</v>
      </c>
      <c r="H466" t="n">
        <v>4</v>
      </c>
      <c r="I466" t="n">
        <v>8</v>
      </c>
      <c r="J466" t="n">
        <v>9.5</v>
      </c>
      <c r="K466" t="n">
        <v>10.5</v>
      </c>
      <c r="L466" t="n">
        <v>21.5</v>
      </c>
      <c r="N466" t="n">
        <v>17.3</v>
      </c>
      <c r="O466" t="n">
        <v>12.2</v>
      </c>
      <c r="P466" t="n">
        <v>7.209382</v>
      </c>
      <c r="Q466" t="n">
        <v>10.3</v>
      </c>
      <c r="T466" t="n">
        <v>15.5</v>
      </c>
      <c r="W466" t="n">
        <v>10</v>
      </c>
      <c r="X466" t="n">
        <v>2.6</v>
      </c>
      <c r="Y466" t="n">
        <v>2.8</v>
      </c>
      <c r="Z466" t="n">
        <v>2.9</v>
      </c>
      <c r="AB466" t="n">
        <v>3.7</v>
      </c>
      <c r="AC466" t="n">
        <v>6.7</v>
      </c>
      <c r="AD466" t="n">
        <v>6.8</v>
      </c>
      <c r="AG466" t="n">
        <v>6.6</v>
      </c>
      <c r="AJ466" t="n">
        <v>9.699999999999999</v>
      </c>
      <c r="AL466" t="n">
        <v>6.7</v>
      </c>
    </row>
    <row r="467">
      <c r="A467" s="78" t="n">
        <v>34243</v>
      </c>
      <c r="B467" t="n">
        <v>10.95642</v>
      </c>
      <c r="C467" t="n">
        <v>4</v>
      </c>
      <c r="D467" t="n">
        <v>9.199999999999999</v>
      </c>
      <c r="E467" t="n">
        <v>11.3</v>
      </c>
      <c r="G467" t="n">
        <v>6.379438</v>
      </c>
      <c r="H467" t="n">
        <v>4.3</v>
      </c>
      <c r="I467" t="n">
        <v>8.1</v>
      </c>
      <c r="J467" t="n">
        <v>9.300000000000001</v>
      </c>
      <c r="K467" t="n">
        <v>10.6</v>
      </c>
      <c r="L467" t="n">
        <v>21.7</v>
      </c>
      <c r="N467" t="n">
        <v>17.5</v>
      </c>
      <c r="O467" t="n">
        <v>12.3</v>
      </c>
      <c r="P467" t="n">
        <v>7.265956</v>
      </c>
      <c r="Q467" t="n">
        <v>10.2</v>
      </c>
      <c r="T467" t="n">
        <v>15.4</v>
      </c>
      <c r="W467" t="n">
        <v>10.4</v>
      </c>
      <c r="X467" t="n">
        <v>2.7</v>
      </c>
      <c r="Y467" t="n">
        <v>3</v>
      </c>
      <c r="Z467" t="n">
        <v>2.9</v>
      </c>
      <c r="AB467" t="n">
        <v>3.4</v>
      </c>
      <c r="AC467" t="n">
        <v>6.7</v>
      </c>
      <c r="AD467" t="n">
        <v>6.7</v>
      </c>
      <c r="AG467" t="n">
        <v>6.7</v>
      </c>
      <c r="AJ467" t="n">
        <v>9.800000000000001</v>
      </c>
      <c r="AL467" t="n">
        <v>6.8</v>
      </c>
    </row>
    <row r="468">
      <c r="A468" s="78" t="n">
        <v>34274</v>
      </c>
      <c r="B468" t="n">
        <v>10.94815</v>
      </c>
      <c r="C468" t="n">
        <v>4</v>
      </c>
      <c r="D468" t="n">
        <v>9.300000000000001</v>
      </c>
      <c r="E468" t="n">
        <v>11.2</v>
      </c>
      <c r="G468" t="n">
        <v>6.911722</v>
      </c>
      <c r="H468" t="n">
        <v>4.1</v>
      </c>
      <c r="I468" t="n">
        <v>8.199999999999999</v>
      </c>
      <c r="J468" t="n">
        <v>9.1</v>
      </c>
      <c r="K468" t="n">
        <v>10.7</v>
      </c>
      <c r="L468" t="n">
        <v>21.9</v>
      </c>
      <c r="N468" t="n">
        <v>17.5</v>
      </c>
      <c r="O468" t="n">
        <v>12.4</v>
      </c>
      <c r="P468" t="n">
        <v>7.236382</v>
      </c>
      <c r="Q468" t="n">
        <v>10.3</v>
      </c>
      <c r="T468" t="n">
        <v>15.4</v>
      </c>
      <c r="W468" t="n">
        <v>10.4</v>
      </c>
      <c r="X468" t="n">
        <v>2.7</v>
      </c>
      <c r="Y468" t="n">
        <v>2.8</v>
      </c>
      <c r="Z468" t="n">
        <v>3</v>
      </c>
      <c r="AB468" t="n">
        <v>3.5</v>
      </c>
      <c r="AC468" t="n">
        <v>6.7</v>
      </c>
      <c r="AD468" t="n">
        <v>6.4</v>
      </c>
      <c r="AG468" t="n">
        <v>6.8</v>
      </c>
      <c r="AJ468" t="n">
        <v>9.800000000000001</v>
      </c>
      <c r="AL468" t="n">
        <v>6.6</v>
      </c>
    </row>
    <row r="469">
      <c r="A469" s="78" t="n">
        <v>34304</v>
      </c>
      <c r="B469" t="n">
        <v>10.75523</v>
      </c>
      <c r="C469" t="n">
        <v>4</v>
      </c>
      <c r="D469" t="n">
        <v>9.5</v>
      </c>
      <c r="E469" t="n">
        <v>11.4</v>
      </c>
      <c r="G469" t="n">
        <v>7.336212</v>
      </c>
      <c r="H469" t="n">
        <v>4.2</v>
      </c>
      <c r="I469" t="n">
        <v>8.300000000000001</v>
      </c>
      <c r="J469" t="n">
        <v>8.800000000000001</v>
      </c>
      <c r="K469" t="n">
        <v>10.8</v>
      </c>
      <c r="L469" t="n">
        <v>22</v>
      </c>
      <c r="N469" t="n">
        <v>17.6</v>
      </c>
      <c r="O469" t="n">
        <v>12.4</v>
      </c>
      <c r="P469" t="n">
        <v>7.251782</v>
      </c>
      <c r="Q469" t="n">
        <v>10.3</v>
      </c>
      <c r="T469" t="n">
        <v>15.4</v>
      </c>
      <c r="W469" t="n">
        <v>10.5</v>
      </c>
      <c r="X469" t="n">
        <v>2.8</v>
      </c>
      <c r="Y469" t="n">
        <v>2.7</v>
      </c>
      <c r="Z469" t="n">
        <v>3</v>
      </c>
      <c r="AB469" t="n">
        <v>3.6</v>
      </c>
      <c r="AC469" t="n">
        <v>6.8</v>
      </c>
      <c r="AD469" t="n">
        <v>6</v>
      </c>
      <c r="AG469" t="n">
        <v>7</v>
      </c>
      <c r="AJ469" t="n">
        <v>9.800000000000001</v>
      </c>
      <c r="AL469" t="n">
        <v>6.5</v>
      </c>
    </row>
    <row r="470">
      <c r="A470" s="78" t="n">
        <v>34335</v>
      </c>
      <c r="B470" t="n">
        <v>10.56837</v>
      </c>
      <c r="C470" t="n">
        <v>4</v>
      </c>
      <c r="D470" t="n">
        <v>9.6</v>
      </c>
      <c r="E470" t="n">
        <v>11.4</v>
      </c>
      <c r="G470" t="n">
        <v>7.54933</v>
      </c>
      <c r="H470" t="n">
        <v>4.2</v>
      </c>
      <c r="I470" t="n">
        <v>8.4</v>
      </c>
      <c r="J470" t="n">
        <v>8.6</v>
      </c>
      <c r="K470" t="n">
        <v>10.8</v>
      </c>
      <c r="L470" t="n">
        <v>22.2</v>
      </c>
      <c r="N470" t="n">
        <v>17.6</v>
      </c>
      <c r="O470" t="n">
        <v>12.5</v>
      </c>
      <c r="P470" t="n">
        <v>7.27531</v>
      </c>
      <c r="Q470" t="n">
        <v>10.1</v>
      </c>
      <c r="T470" t="n">
        <v>15.3</v>
      </c>
      <c r="W470" t="n">
        <v>10.4</v>
      </c>
      <c r="X470" t="n">
        <v>2.8</v>
      </c>
      <c r="Y470" t="n">
        <v>2.7</v>
      </c>
      <c r="Z470" t="n">
        <v>3.1</v>
      </c>
      <c r="AB470" t="n">
        <v>3.7</v>
      </c>
      <c r="AC470" t="n">
        <v>6.8</v>
      </c>
      <c r="AD470" t="n">
        <v>6</v>
      </c>
      <c r="AG470" t="n">
        <v>7.2</v>
      </c>
      <c r="AJ470" t="n">
        <v>9.9</v>
      </c>
      <c r="AL470" t="n">
        <v>6.6</v>
      </c>
    </row>
    <row r="471">
      <c r="A471" s="78" t="n">
        <v>34366</v>
      </c>
      <c r="B471" t="n">
        <v>10.39832</v>
      </c>
      <c r="C471" t="n">
        <v>3.9</v>
      </c>
      <c r="D471" t="n">
        <v>9.699999999999999</v>
      </c>
      <c r="E471" t="n">
        <v>11.1</v>
      </c>
      <c r="G471" t="n">
        <v>7.330672</v>
      </c>
      <c r="H471" t="n">
        <v>4.2</v>
      </c>
      <c r="I471" t="n">
        <v>8.5</v>
      </c>
      <c r="J471" t="n">
        <v>8.4</v>
      </c>
      <c r="K471" t="n">
        <v>10.9</v>
      </c>
      <c r="L471" t="n">
        <v>22.3</v>
      </c>
      <c r="N471" t="n">
        <v>16.6</v>
      </c>
      <c r="O471" t="n">
        <v>12.5</v>
      </c>
      <c r="P471" t="n">
        <v>7.27071</v>
      </c>
      <c r="Q471" t="n">
        <v>9.9</v>
      </c>
      <c r="T471" t="n">
        <v>15.1</v>
      </c>
      <c r="W471" t="n">
        <v>10.4</v>
      </c>
      <c r="X471" t="n">
        <v>2.9</v>
      </c>
      <c r="Y471" t="n">
        <v>2.7</v>
      </c>
      <c r="Z471" t="n">
        <v>3.2</v>
      </c>
      <c r="AB471" t="n">
        <v>3.6</v>
      </c>
      <c r="AC471" t="n">
        <v>6.8</v>
      </c>
      <c r="AD471" t="n">
        <v>6</v>
      </c>
      <c r="AG471" t="n">
        <v>7.3</v>
      </c>
      <c r="AJ471" t="n">
        <v>9.800000000000001</v>
      </c>
      <c r="AL471" t="n">
        <v>6.6</v>
      </c>
    </row>
    <row r="472">
      <c r="A472" s="78" t="n">
        <v>34394</v>
      </c>
      <c r="B472" t="n">
        <v>10.35243</v>
      </c>
      <c r="C472" t="n">
        <v>3.8</v>
      </c>
      <c r="D472" t="n">
        <v>9.699999999999999</v>
      </c>
      <c r="E472" t="n">
        <v>10.6</v>
      </c>
      <c r="G472" t="n">
        <v>7.459504</v>
      </c>
      <c r="H472" t="n">
        <v>4</v>
      </c>
      <c r="I472" t="n">
        <v>8.5</v>
      </c>
      <c r="J472" t="n">
        <v>8.199999999999999</v>
      </c>
      <c r="K472" t="n">
        <v>10.9</v>
      </c>
      <c r="L472" t="n">
        <v>22.2</v>
      </c>
      <c r="N472" t="n">
        <v>16.8</v>
      </c>
      <c r="O472" t="n">
        <v>12.5</v>
      </c>
      <c r="P472" t="n">
        <v>7.219841</v>
      </c>
      <c r="Q472" t="n">
        <v>9.800000000000001</v>
      </c>
      <c r="T472" t="n">
        <v>15</v>
      </c>
      <c r="W472" t="n">
        <v>10.5</v>
      </c>
      <c r="X472" t="n">
        <v>2.9</v>
      </c>
      <c r="Y472" t="n">
        <v>2.7</v>
      </c>
      <c r="Z472" t="n">
        <v>3.3</v>
      </c>
      <c r="AB472" t="n">
        <v>3.5</v>
      </c>
      <c r="AC472" t="n">
        <v>6.9</v>
      </c>
      <c r="AD472" t="n">
        <v>6</v>
      </c>
      <c r="AG472" t="n">
        <v>7.4</v>
      </c>
      <c r="AJ472" t="n">
        <v>9.5</v>
      </c>
      <c r="AL472" t="n">
        <v>6.5</v>
      </c>
    </row>
    <row r="473">
      <c r="A473" s="78" t="n">
        <v>34425</v>
      </c>
      <c r="B473" t="n">
        <v>10.0626</v>
      </c>
      <c r="C473" t="n">
        <v>3.8</v>
      </c>
      <c r="D473" t="n">
        <v>9.800000000000001</v>
      </c>
      <c r="E473" t="n">
        <v>10.9</v>
      </c>
      <c r="G473" t="n">
        <v>7.571304</v>
      </c>
      <c r="H473" t="n">
        <v>4.4</v>
      </c>
      <c r="I473" t="n">
        <v>8.6</v>
      </c>
      <c r="J473" t="n">
        <v>8</v>
      </c>
      <c r="K473" t="n">
        <v>10.9</v>
      </c>
      <c r="L473" t="n">
        <v>22.2</v>
      </c>
      <c r="N473" t="n">
        <v>17</v>
      </c>
      <c r="O473" t="n">
        <v>12.5</v>
      </c>
      <c r="P473" t="n">
        <v>7.176402</v>
      </c>
      <c r="Q473" t="n">
        <v>9.699999999999999</v>
      </c>
      <c r="T473" t="n">
        <v>14.8</v>
      </c>
      <c r="W473" t="n">
        <v>10.5</v>
      </c>
      <c r="X473" t="n">
        <v>2.8</v>
      </c>
      <c r="Y473" t="n">
        <v>2.7</v>
      </c>
      <c r="Z473" t="n">
        <v>3.4</v>
      </c>
      <c r="AB473" t="n">
        <v>3.6</v>
      </c>
      <c r="AC473" t="n">
        <v>6.9</v>
      </c>
      <c r="AD473" t="n">
        <v>6.1</v>
      </c>
      <c r="AG473" t="n">
        <v>7.5</v>
      </c>
      <c r="AJ473" t="n">
        <v>9.300000000000001</v>
      </c>
      <c r="AL473" t="n">
        <v>6.4</v>
      </c>
    </row>
    <row r="474">
      <c r="A474" s="78" t="n">
        <v>34455</v>
      </c>
      <c r="B474" t="n">
        <v>9.765741</v>
      </c>
      <c r="C474" t="n">
        <v>3.9</v>
      </c>
      <c r="D474" t="n">
        <v>9.800000000000001</v>
      </c>
      <c r="E474" t="n">
        <v>10.7</v>
      </c>
      <c r="G474" t="n">
        <v>7.667616</v>
      </c>
      <c r="H474" t="n">
        <v>4.2</v>
      </c>
      <c r="I474" t="n">
        <v>8.5</v>
      </c>
      <c r="J474" t="n">
        <v>7.8</v>
      </c>
      <c r="K474" t="n">
        <v>10.9</v>
      </c>
      <c r="L474" t="n">
        <v>22.2</v>
      </c>
      <c r="N474" t="n">
        <v>17.1</v>
      </c>
      <c r="O474" t="n">
        <v>12.4</v>
      </c>
      <c r="P474" t="n">
        <v>7.01017</v>
      </c>
      <c r="Q474" t="n">
        <v>9.699999999999999</v>
      </c>
      <c r="T474" t="n">
        <v>14.7</v>
      </c>
      <c r="W474" t="n">
        <v>10.6</v>
      </c>
      <c r="X474" t="n">
        <v>2.8</v>
      </c>
      <c r="Y474" t="n">
        <v>2.5</v>
      </c>
      <c r="Z474" t="n">
        <v>3.3</v>
      </c>
      <c r="AB474" t="n">
        <v>3.3</v>
      </c>
      <c r="AC474" t="n">
        <v>7</v>
      </c>
      <c r="AD474" t="n">
        <v>6.2</v>
      </c>
      <c r="AG474" t="n">
        <v>7.6</v>
      </c>
      <c r="AJ474" t="n">
        <v>9.199999999999999</v>
      </c>
      <c r="AL474" t="n">
        <v>6.1</v>
      </c>
    </row>
    <row r="475">
      <c r="A475" s="78" t="n">
        <v>34486</v>
      </c>
      <c r="B475" t="n">
        <v>9.82119</v>
      </c>
      <c r="C475" t="n">
        <v>3.8</v>
      </c>
      <c r="D475" t="n">
        <v>9.800000000000001</v>
      </c>
      <c r="E475" t="n">
        <v>10.3</v>
      </c>
      <c r="G475" t="n">
        <v>7.72791</v>
      </c>
      <c r="H475" t="n">
        <v>4.3</v>
      </c>
      <c r="I475" t="n">
        <v>8.5</v>
      </c>
      <c r="J475" t="n">
        <v>7.7</v>
      </c>
      <c r="K475" t="n">
        <v>10.9</v>
      </c>
      <c r="L475" t="n">
        <v>22.2</v>
      </c>
      <c r="N475" t="n">
        <v>17.1</v>
      </c>
      <c r="O475" t="n">
        <v>12.3</v>
      </c>
      <c r="P475" t="n">
        <v>6.998487</v>
      </c>
      <c r="Q475" t="n">
        <v>9.6</v>
      </c>
      <c r="T475" t="n">
        <v>14.5</v>
      </c>
      <c r="W475" t="n">
        <v>10.6</v>
      </c>
      <c r="X475" t="n">
        <v>2.8</v>
      </c>
      <c r="Y475" t="n">
        <v>2.4</v>
      </c>
      <c r="Z475" t="n">
        <v>3.2</v>
      </c>
      <c r="AB475" t="n">
        <v>3.4</v>
      </c>
      <c r="AC475" t="n">
        <v>7.1</v>
      </c>
      <c r="AD475" t="n">
        <v>6.1</v>
      </c>
      <c r="AG475" t="n">
        <v>7.6</v>
      </c>
      <c r="AJ475" t="n">
        <v>9.6</v>
      </c>
      <c r="AL475" t="n">
        <v>6.1</v>
      </c>
    </row>
    <row r="476">
      <c r="A476" s="78" t="n">
        <v>34516</v>
      </c>
      <c r="B476" t="n">
        <v>9.62574</v>
      </c>
      <c r="C476" t="n">
        <v>3.8</v>
      </c>
      <c r="D476" t="n">
        <v>9.800000000000001</v>
      </c>
      <c r="E476" t="n">
        <v>10.1</v>
      </c>
      <c r="G476" t="n">
        <v>7.713088</v>
      </c>
      <c r="H476" t="n">
        <v>4.3</v>
      </c>
      <c r="I476" t="n">
        <v>8.5</v>
      </c>
      <c r="J476" t="n">
        <v>7.6</v>
      </c>
      <c r="K476" t="n">
        <v>10.9</v>
      </c>
      <c r="L476" t="n">
        <v>22.1</v>
      </c>
      <c r="N476" t="n">
        <v>16.9</v>
      </c>
      <c r="O476" t="n">
        <v>12.3</v>
      </c>
      <c r="P476" t="n">
        <v>6.989186</v>
      </c>
      <c r="Q476" t="n">
        <v>9.5</v>
      </c>
      <c r="T476" t="n">
        <v>14.4</v>
      </c>
      <c r="W476" t="n">
        <v>10.4</v>
      </c>
      <c r="X476" t="n">
        <v>2.9</v>
      </c>
      <c r="Y476" t="n">
        <v>2.4</v>
      </c>
      <c r="Z476" t="n">
        <v>3.2</v>
      </c>
      <c r="AB476" t="n">
        <v>3.5</v>
      </c>
      <c r="AC476" t="n">
        <v>7.2</v>
      </c>
      <c r="AD476" t="n">
        <v>5.9</v>
      </c>
      <c r="AG476" t="n">
        <v>7.7</v>
      </c>
      <c r="AJ476" t="n">
        <v>9.4</v>
      </c>
      <c r="AL476" t="n">
        <v>6.1</v>
      </c>
    </row>
    <row r="477">
      <c r="A477" s="78" t="n">
        <v>34547</v>
      </c>
      <c r="B477" t="n">
        <v>9.443624</v>
      </c>
      <c r="C477" t="n">
        <v>3.8</v>
      </c>
      <c r="D477" t="n">
        <v>9.800000000000001</v>
      </c>
      <c r="E477" t="n">
        <v>10.2</v>
      </c>
      <c r="G477" t="n">
        <v>7.900428</v>
      </c>
      <c r="H477" t="n">
        <v>4.4</v>
      </c>
      <c r="I477" t="n">
        <v>8.4</v>
      </c>
      <c r="J477" t="n">
        <v>7.5</v>
      </c>
      <c r="K477" t="n">
        <v>10.8</v>
      </c>
      <c r="L477" t="n">
        <v>22</v>
      </c>
      <c r="N477" t="n">
        <v>16.5</v>
      </c>
      <c r="O477" t="n">
        <v>12.2</v>
      </c>
      <c r="P477" t="n">
        <v>6.951272</v>
      </c>
      <c r="Q477" t="n">
        <v>9.4</v>
      </c>
      <c r="T477" t="n">
        <v>14.1</v>
      </c>
      <c r="W477" t="n">
        <v>10.4</v>
      </c>
      <c r="X477" t="n">
        <v>3</v>
      </c>
      <c r="Y477" t="n">
        <v>2.4</v>
      </c>
      <c r="Z477" t="n">
        <v>3.1</v>
      </c>
      <c r="AB477" t="n">
        <v>3.6</v>
      </c>
      <c r="AC477" t="n">
        <v>7.3</v>
      </c>
      <c r="AD477" t="n">
        <v>5.8</v>
      </c>
      <c r="AG477" t="n">
        <v>7.6</v>
      </c>
      <c r="AJ477" t="n">
        <v>9.300000000000001</v>
      </c>
      <c r="AL477" t="n">
        <v>6</v>
      </c>
    </row>
    <row r="478">
      <c r="A478" s="78" t="n">
        <v>34578</v>
      </c>
      <c r="B478" t="n">
        <v>9.352620999999999</v>
      </c>
      <c r="C478" t="n">
        <v>3.8</v>
      </c>
      <c r="D478" t="n">
        <v>9.800000000000001</v>
      </c>
      <c r="E478" t="n">
        <v>10.1</v>
      </c>
      <c r="G478" t="n">
        <v>8.231795999999999</v>
      </c>
      <c r="H478" t="n">
        <v>4.5</v>
      </c>
      <c r="I478" t="n">
        <v>8.4</v>
      </c>
      <c r="J478" t="n">
        <v>7.4</v>
      </c>
      <c r="K478" t="n">
        <v>10.8</v>
      </c>
      <c r="L478" t="n">
        <v>22</v>
      </c>
      <c r="N478" t="n">
        <v>16.2</v>
      </c>
      <c r="O478" t="n">
        <v>12.1</v>
      </c>
      <c r="P478" t="n">
        <v>6.874047</v>
      </c>
      <c r="Q478" t="n">
        <v>9.300000000000001</v>
      </c>
      <c r="T478" t="n">
        <v>13.9</v>
      </c>
      <c r="W478" t="n">
        <v>10.4</v>
      </c>
      <c r="X478" t="n">
        <v>3</v>
      </c>
      <c r="Y478" t="n">
        <v>2.5</v>
      </c>
      <c r="Z478" t="n">
        <v>3.1</v>
      </c>
      <c r="AB478" t="n">
        <v>3.6</v>
      </c>
      <c r="AC478" t="n">
        <v>7.4</v>
      </c>
      <c r="AD478" t="n">
        <v>6</v>
      </c>
      <c r="AG478" t="n">
        <v>7.7</v>
      </c>
      <c r="AJ478" t="n">
        <v>9</v>
      </c>
      <c r="AL478" t="n">
        <v>5.9</v>
      </c>
    </row>
    <row r="479">
      <c r="A479" s="78" t="n">
        <v>34608</v>
      </c>
      <c r="B479" t="n">
        <v>9.091709</v>
      </c>
      <c r="C479" t="n">
        <v>3.8</v>
      </c>
      <c r="D479" t="n">
        <v>9.800000000000001</v>
      </c>
      <c r="E479" t="n">
        <v>10</v>
      </c>
      <c r="G479" t="n">
        <v>8.489855</v>
      </c>
      <c r="H479" t="n">
        <v>4.5</v>
      </c>
      <c r="I479" t="n">
        <v>8.300000000000001</v>
      </c>
      <c r="J479" t="n">
        <v>7.3</v>
      </c>
      <c r="K479" t="n">
        <v>10.9</v>
      </c>
      <c r="L479" t="n">
        <v>21.8</v>
      </c>
      <c r="N479" t="n">
        <v>15.9</v>
      </c>
      <c r="O479" t="n">
        <v>12.1</v>
      </c>
      <c r="P479" t="n">
        <v>6.848844</v>
      </c>
      <c r="Q479" t="n">
        <v>9.1</v>
      </c>
      <c r="T479" t="n">
        <v>13.7</v>
      </c>
      <c r="W479" t="n">
        <v>11.1</v>
      </c>
      <c r="X479" t="n">
        <v>3</v>
      </c>
      <c r="Y479" t="n">
        <v>2.3</v>
      </c>
      <c r="Z479" t="n">
        <v>3.1</v>
      </c>
      <c r="AB479" t="n">
        <v>3.9</v>
      </c>
      <c r="AC479" t="n">
        <v>7.5</v>
      </c>
      <c r="AD479" t="n">
        <v>5.9</v>
      </c>
      <c r="AG479" t="n">
        <v>7.8</v>
      </c>
      <c r="AJ479" t="n">
        <v>9</v>
      </c>
      <c r="AL479" t="n">
        <v>5.8</v>
      </c>
    </row>
    <row r="480">
      <c r="A480" s="78" t="n">
        <v>34639</v>
      </c>
      <c r="B480" t="n">
        <v>9.142058</v>
      </c>
      <c r="C480" t="n">
        <v>3.8</v>
      </c>
      <c r="D480" t="n">
        <v>9.699999999999999</v>
      </c>
      <c r="E480" t="n">
        <v>9.699999999999999</v>
      </c>
      <c r="G480" t="n">
        <v>8.381427</v>
      </c>
      <c r="H480" t="n">
        <v>4.2</v>
      </c>
      <c r="I480" t="n">
        <v>8.300000000000001</v>
      </c>
      <c r="J480" t="n">
        <v>7.2</v>
      </c>
      <c r="K480" t="n">
        <v>10.8</v>
      </c>
      <c r="L480" t="n">
        <v>21.8</v>
      </c>
      <c r="N480" t="n">
        <v>15.7</v>
      </c>
      <c r="O480" t="n">
        <v>12</v>
      </c>
      <c r="P480" t="n">
        <v>6.712816</v>
      </c>
      <c r="Q480" t="n">
        <v>9</v>
      </c>
      <c r="T480" t="n">
        <v>13.5</v>
      </c>
      <c r="W480" t="n">
        <v>11.1</v>
      </c>
      <c r="X480" t="n">
        <v>2.9</v>
      </c>
      <c r="Y480" t="n">
        <v>2.2</v>
      </c>
      <c r="Z480" t="n">
        <v>3</v>
      </c>
      <c r="AB480" t="n">
        <v>4.1</v>
      </c>
      <c r="AC480" t="n">
        <v>7.7</v>
      </c>
      <c r="AD480" t="n">
        <v>6</v>
      </c>
      <c r="AG480" t="n">
        <v>7.8</v>
      </c>
      <c r="AJ480" t="n">
        <v>9</v>
      </c>
      <c r="AL480" t="n">
        <v>5.6</v>
      </c>
    </row>
    <row r="481">
      <c r="A481" s="78" t="n">
        <v>34669</v>
      </c>
      <c r="B481" t="n">
        <v>8.934284999999999</v>
      </c>
      <c r="C481" t="n">
        <v>3.8</v>
      </c>
      <c r="D481" t="n">
        <v>9.699999999999999</v>
      </c>
      <c r="E481" t="n">
        <v>9.6</v>
      </c>
      <c r="G481" t="n">
        <v>8.124979</v>
      </c>
      <c r="H481" t="n">
        <v>4.3</v>
      </c>
      <c r="I481" t="n">
        <v>8.199999999999999</v>
      </c>
      <c r="J481" t="n">
        <v>7.1</v>
      </c>
      <c r="K481" t="n">
        <v>10.8</v>
      </c>
      <c r="L481" t="n">
        <v>21.6</v>
      </c>
      <c r="N481" t="n">
        <v>15.5</v>
      </c>
      <c r="O481" t="n">
        <v>11.9</v>
      </c>
      <c r="P481" t="n">
        <v>6.643983</v>
      </c>
      <c r="Q481" t="n">
        <v>8.9</v>
      </c>
      <c r="T481" t="n">
        <v>13.2</v>
      </c>
      <c r="W481" t="n">
        <v>11.2</v>
      </c>
      <c r="X481" t="n">
        <v>2.9</v>
      </c>
      <c r="Y481" t="n">
        <v>2.2</v>
      </c>
      <c r="Z481" t="n">
        <v>2.9</v>
      </c>
      <c r="AB481" t="n">
        <v>4</v>
      </c>
      <c r="AC481" t="n">
        <v>7.8</v>
      </c>
      <c r="AD481" t="n">
        <v>6</v>
      </c>
      <c r="AG481" t="n">
        <v>7.8</v>
      </c>
      <c r="AJ481" t="n">
        <v>9</v>
      </c>
      <c r="AL481" t="n">
        <v>5.5</v>
      </c>
    </row>
    <row r="482">
      <c r="A482" s="78" t="n">
        <v>34700</v>
      </c>
      <c r="B482" t="n">
        <v>8.856824</v>
      </c>
      <c r="C482" t="n">
        <v>4</v>
      </c>
      <c r="D482" t="n">
        <v>9.699999999999999</v>
      </c>
      <c r="E482" t="n">
        <v>9.6</v>
      </c>
      <c r="G482" t="n">
        <v>7.805407</v>
      </c>
      <c r="H482" t="n">
        <v>4.2</v>
      </c>
      <c r="I482" t="n">
        <v>8.199999999999999</v>
      </c>
      <c r="J482" t="n">
        <v>7</v>
      </c>
      <c r="K482" t="n">
        <v>10.7</v>
      </c>
      <c r="L482" t="n">
        <v>21.4</v>
      </c>
      <c r="N482" t="n">
        <v>15.3</v>
      </c>
      <c r="O482" t="n">
        <v>11.8</v>
      </c>
      <c r="P482" t="n">
        <v>6.692385</v>
      </c>
      <c r="Q482" t="n">
        <v>8.9</v>
      </c>
      <c r="T482" t="n">
        <v>12.9</v>
      </c>
      <c r="W482" t="n">
        <v>11.2</v>
      </c>
      <c r="X482" t="n">
        <v>3</v>
      </c>
      <c r="Y482" t="n">
        <v>2.1</v>
      </c>
      <c r="Z482" t="n">
        <v>2.9</v>
      </c>
      <c r="AB482" t="n">
        <v>4.4</v>
      </c>
      <c r="AC482" t="n">
        <v>8</v>
      </c>
      <c r="AD482" t="n">
        <v>6</v>
      </c>
      <c r="AG482" t="n">
        <v>7.9</v>
      </c>
      <c r="AJ482" t="n">
        <v>9</v>
      </c>
      <c r="AL482" t="n">
        <v>5.6</v>
      </c>
    </row>
    <row r="483">
      <c r="A483" s="78" t="n">
        <v>34731</v>
      </c>
      <c r="B483" t="n">
        <v>8.822703000000001</v>
      </c>
      <c r="C483" t="n">
        <v>3.9</v>
      </c>
      <c r="D483" t="n">
        <v>9.699999999999999</v>
      </c>
      <c r="E483" t="n">
        <v>9.6</v>
      </c>
      <c r="G483" t="n">
        <v>7.661368</v>
      </c>
      <c r="H483" t="n">
        <v>4.1</v>
      </c>
      <c r="I483" t="n">
        <v>8.1</v>
      </c>
      <c r="J483" t="n">
        <v>6.9</v>
      </c>
      <c r="K483" t="n">
        <v>10.7</v>
      </c>
      <c r="L483" t="n">
        <v>21.2</v>
      </c>
      <c r="N483" t="n">
        <v>15.1</v>
      </c>
      <c r="O483" t="n">
        <v>11.8</v>
      </c>
      <c r="P483" t="n">
        <v>6.625822</v>
      </c>
      <c r="Q483" t="n">
        <v>8.9</v>
      </c>
      <c r="T483" t="n">
        <v>12.7</v>
      </c>
      <c r="W483" t="n">
        <v>11.2</v>
      </c>
      <c r="X483" t="n">
        <v>3</v>
      </c>
      <c r="Y483" t="n">
        <v>2.2</v>
      </c>
      <c r="Z483" t="n">
        <v>2.9</v>
      </c>
      <c r="AB483" t="n">
        <v>5.1</v>
      </c>
      <c r="AC483" t="n">
        <v>8.1</v>
      </c>
      <c r="AD483" t="n">
        <v>6</v>
      </c>
      <c r="AG483" t="n">
        <v>8</v>
      </c>
      <c r="AJ483" t="n">
        <v>8.800000000000001</v>
      </c>
      <c r="AL483" t="n">
        <v>5.4</v>
      </c>
    </row>
    <row r="484">
      <c r="A484" s="78" t="n">
        <v>34759</v>
      </c>
      <c r="B484" t="n">
        <v>8.615961</v>
      </c>
      <c r="C484" t="n">
        <v>3.9</v>
      </c>
      <c r="D484" t="n">
        <v>9.6</v>
      </c>
      <c r="E484" t="n">
        <v>9.699999999999999</v>
      </c>
      <c r="G484" t="n">
        <v>7.36962</v>
      </c>
      <c r="H484" t="n">
        <v>4.3</v>
      </c>
      <c r="I484" t="n">
        <v>8.1</v>
      </c>
      <c r="J484" t="n">
        <v>6.8</v>
      </c>
      <c r="K484" t="n">
        <v>10.6</v>
      </c>
      <c r="L484" t="n">
        <v>20.9</v>
      </c>
      <c r="N484" t="n">
        <v>14.9</v>
      </c>
      <c r="O484" t="n">
        <v>11.8</v>
      </c>
      <c r="P484" t="n">
        <v>6.648593</v>
      </c>
      <c r="Q484" t="n">
        <v>8.800000000000001</v>
      </c>
      <c r="T484" t="n">
        <v>12.5</v>
      </c>
      <c r="W484" t="n">
        <v>11.3</v>
      </c>
      <c r="X484" t="n">
        <v>3.1</v>
      </c>
      <c r="Y484" t="n">
        <v>2.1</v>
      </c>
      <c r="Z484" t="n">
        <v>2.8</v>
      </c>
      <c r="AB484" t="n">
        <v>5.6</v>
      </c>
      <c r="AC484" t="n">
        <v>8.199999999999999</v>
      </c>
      <c r="AD484" t="n">
        <v>5.8</v>
      </c>
      <c r="AG484" t="n">
        <v>8</v>
      </c>
      <c r="AJ484" t="n">
        <v>8.699999999999999</v>
      </c>
      <c r="AL484" t="n">
        <v>5.4</v>
      </c>
    </row>
    <row r="485">
      <c r="A485" s="78" t="n">
        <v>34790</v>
      </c>
      <c r="B485" t="n">
        <v>8.266816</v>
      </c>
      <c r="C485" t="n">
        <v>4</v>
      </c>
      <c r="D485" t="n">
        <v>9.6</v>
      </c>
      <c r="E485" t="n">
        <v>9.5</v>
      </c>
      <c r="G485" t="n">
        <v>7.452675</v>
      </c>
      <c r="H485" t="n">
        <v>4.1</v>
      </c>
      <c r="I485" t="n">
        <v>8.1</v>
      </c>
      <c r="J485" t="n">
        <v>6.8</v>
      </c>
      <c r="K485" t="n">
        <v>10.6</v>
      </c>
      <c r="L485" t="n">
        <v>20.6</v>
      </c>
      <c r="N485" t="n">
        <v>14.8</v>
      </c>
      <c r="O485" t="n">
        <v>11.8</v>
      </c>
      <c r="P485" t="n">
        <v>6.764583</v>
      </c>
      <c r="Q485" t="n">
        <v>8.800000000000001</v>
      </c>
      <c r="T485" t="n">
        <v>12.3</v>
      </c>
      <c r="W485" t="n">
        <v>11.1</v>
      </c>
      <c r="X485" t="n">
        <v>3.1</v>
      </c>
      <c r="Y485" t="n">
        <v>2</v>
      </c>
      <c r="Z485" t="n">
        <v>2.8</v>
      </c>
      <c r="AB485" t="n">
        <v>6.1</v>
      </c>
      <c r="AC485" t="n">
        <v>8.300000000000001</v>
      </c>
      <c r="AD485" t="n">
        <v>5.7</v>
      </c>
      <c r="AG485" t="n">
        <v>8</v>
      </c>
      <c r="AJ485" t="n">
        <v>8.800000000000001</v>
      </c>
      <c r="AL485" t="n">
        <v>5.8</v>
      </c>
    </row>
    <row r="486">
      <c r="A486" s="78" t="n">
        <v>34820</v>
      </c>
      <c r="B486" t="n">
        <v>8.473685</v>
      </c>
      <c r="C486" t="n">
        <v>4.1</v>
      </c>
      <c r="D486" t="n">
        <v>9.6</v>
      </c>
      <c r="E486" t="n">
        <v>9.5</v>
      </c>
      <c r="G486" t="n">
        <v>7.412184</v>
      </c>
      <c r="H486" t="n">
        <v>4.1</v>
      </c>
      <c r="I486" t="n">
        <v>8.1</v>
      </c>
      <c r="J486" t="n">
        <v>6.8</v>
      </c>
      <c r="K486" t="n">
        <v>10.6</v>
      </c>
      <c r="L486" t="n">
        <v>20.5</v>
      </c>
      <c r="N486" t="n">
        <v>14.8</v>
      </c>
      <c r="O486" t="n">
        <v>11.9</v>
      </c>
      <c r="P486" t="n">
        <v>6.692585</v>
      </c>
      <c r="Q486" t="n">
        <v>8.699999999999999</v>
      </c>
      <c r="T486" t="n">
        <v>12.2</v>
      </c>
      <c r="W486" t="n">
        <v>11.1</v>
      </c>
      <c r="X486" t="n">
        <v>3</v>
      </c>
      <c r="Y486" t="n">
        <v>2.1</v>
      </c>
      <c r="Z486" t="n">
        <v>2.8</v>
      </c>
      <c r="AB486" t="n">
        <v>6.5</v>
      </c>
      <c r="AC486" t="n">
        <v>8.4</v>
      </c>
      <c r="AD486" t="n">
        <v>5.5</v>
      </c>
      <c r="AG486" t="n">
        <v>7.9</v>
      </c>
      <c r="AJ486" t="n">
        <v>8.6</v>
      </c>
      <c r="AL486" t="n">
        <v>5.6</v>
      </c>
    </row>
    <row r="487">
      <c r="A487" s="78" t="n">
        <v>34851</v>
      </c>
      <c r="B487" t="n">
        <v>8.353871</v>
      </c>
      <c r="C487" t="n">
        <v>4.2</v>
      </c>
      <c r="D487" t="n">
        <v>9.6</v>
      </c>
      <c r="E487" t="n">
        <v>9.5</v>
      </c>
      <c r="G487" t="n">
        <v>7.407855</v>
      </c>
      <c r="H487" t="n">
        <v>4.3</v>
      </c>
      <c r="I487" t="n">
        <v>8.1</v>
      </c>
      <c r="J487" t="n">
        <v>6.8</v>
      </c>
      <c r="K487" t="n">
        <v>10.6</v>
      </c>
      <c r="L487" t="n">
        <v>20.6</v>
      </c>
      <c r="N487" t="n">
        <v>14.9</v>
      </c>
      <c r="O487" t="n">
        <v>11.9</v>
      </c>
      <c r="P487" t="n">
        <v>6.708897</v>
      </c>
      <c r="Q487" t="n">
        <v>8.699999999999999</v>
      </c>
      <c r="T487" t="n">
        <v>12.2</v>
      </c>
      <c r="W487" t="n">
        <v>11.1</v>
      </c>
      <c r="X487" t="n">
        <v>3.1</v>
      </c>
      <c r="Y487" t="n">
        <v>2</v>
      </c>
      <c r="Z487" t="n">
        <v>2.8</v>
      </c>
      <c r="AB487" t="n">
        <v>6.7</v>
      </c>
      <c r="AC487" t="n">
        <v>8.4</v>
      </c>
      <c r="AD487" t="n">
        <v>5.4</v>
      </c>
      <c r="AG487" t="n">
        <v>7.8</v>
      </c>
      <c r="AJ487" t="n">
        <v>8.699999999999999</v>
      </c>
      <c r="AL487" t="n">
        <v>5.6</v>
      </c>
    </row>
    <row r="488">
      <c r="A488" s="78" t="n">
        <v>34881</v>
      </c>
      <c r="B488" t="n">
        <v>8.423207</v>
      </c>
      <c r="C488" t="n">
        <v>4.3</v>
      </c>
      <c r="D488" t="n">
        <v>9.6</v>
      </c>
      <c r="E488" t="n">
        <v>9.6</v>
      </c>
      <c r="G488" t="n">
        <v>7.236644</v>
      </c>
      <c r="H488" t="n">
        <v>4.1</v>
      </c>
      <c r="I488" t="n">
        <v>8.199999999999999</v>
      </c>
      <c r="J488" t="n">
        <v>6.7</v>
      </c>
      <c r="K488" t="n">
        <v>10.6</v>
      </c>
      <c r="L488" t="n">
        <v>20.7</v>
      </c>
      <c r="N488" t="n">
        <v>15</v>
      </c>
      <c r="O488" t="n">
        <v>11.9</v>
      </c>
      <c r="P488" t="n">
        <v>6.755706</v>
      </c>
      <c r="Q488" t="n">
        <v>8.6</v>
      </c>
      <c r="T488" t="n">
        <v>12.1</v>
      </c>
      <c r="W488" t="n">
        <v>11.1</v>
      </c>
      <c r="X488" t="n">
        <v>3.1</v>
      </c>
      <c r="Y488" t="n">
        <v>2</v>
      </c>
      <c r="Z488" t="n">
        <v>2.8</v>
      </c>
      <c r="AB488" t="n">
        <v>6.8</v>
      </c>
      <c r="AC488" t="n">
        <v>8.4</v>
      </c>
      <c r="AD488" t="n">
        <v>5.3</v>
      </c>
      <c r="AG488" t="n">
        <v>7.8</v>
      </c>
      <c r="AJ488" t="n">
        <v>8.6</v>
      </c>
      <c r="AL488" t="n">
        <v>5.7</v>
      </c>
    </row>
    <row r="489">
      <c r="A489" s="78" t="n">
        <v>34912</v>
      </c>
      <c r="B489" t="n">
        <v>8.318857</v>
      </c>
      <c r="C489" t="n">
        <v>4.4</v>
      </c>
      <c r="D489" t="n">
        <v>9.699999999999999</v>
      </c>
      <c r="E489" t="n">
        <v>9.5</v>
      </c>
      <c r="G489" t="n">
        <v>7.056505</v>
      </c>
      <c r="H489" t="n">
        <v>4</v>
      </c>
      <c r="I489" t="n">
        <v>8.300000000000001</v>
      </c>
      <c r="J489" t="n">
        <v>6.7</v>
      </c>
      <c r="K489" t="n">
        <v>10.6</v>
      </c>
      <c r="L489" t="n">
        <v>20.8</v>
      </c>
      <c r="N489" t="n">
        <v>15</v>
      </c>
      <c r="O489" t="n">
        <v>12</v>
      </c>
      <c r="P489" t="n">
        <v>6.778284</v>
      </c>
      <c r="Q489" t="n">
        <v>8.6</v>
      </c>
      <c r="T489" t="n">
        <v>12.1</v>
      </c>
      <c r="W489" t="n">
        <v>11.2</v>
      </c>
      <c r="X489" t="n">
        <v>3.2</v>
      </c>
      <c r="Y489" t="n">
        <v>2.1</v>
      </c>
      <c r="Z489" t="n">
        <v>2.8</v>
      </c>
      <c r="AB489" t="n">
        <v>7.6</v>
      </c>
      <c r="AC489" t="n">
        <v>8.4</v>
      </c>
      <c r="AD489" t="n">
        <v>5.3</v>
      </c>
      <c r="AG489" t="n">
        <v>7.8</v>
      </c>
      <c r="AJ489" t="n">
        <v>8.699999999999999</v>
      </c>
      <c r="AL489" t="n">
        <v>5.7</v>
      </c>
    </row>
    <row r="490">
      <c r="A490" s="78" t="n">
        <v>34943</v>
      </c>
      <c r="B490" t="n">
        <v>8.361309</v>
      </c>
      <c r="C490" t="n">
        <v>4.4</v>
      </c>
      <c r="D490" t="n">
        <v>9.699999999999999</v>
      </c>
      <c r="E490" t="n">
        <v>9.199999999999999</v>
      </c>
      <c r="G490" t="n">
        <v>6.941128</v>
      </c>
      <c r="H490" t="n">
        <v>3.8</v>
      </c>
      <c r="I490" t="n">
        <v>8.300000000000001</v>
      </c>
      <c r="J490" t="n">
        <v>6.7</v>
      </c>
      <c r="K490" t="n">
        <v>10.7</v>
      </c>
      <c r="L490" t="n">
        <v>20.9</v>
      </c>
      <c r="N490" t="n">
        <v>15</v>
      </c>
      <c r="O490" t="n">
        <v>12.1</v>
      </c>
      <c r="P490" t="n">
        <v>6.763106</v>
      </c>
      <c r="Q490" t="n">
        <v>8.6</v>
      </c>
      <c r="T490" t="n">
        <v>12.1</v>
      </c>
      <c r="W490" t="n">
        <v>11.2</v>
      </c>
      <c r="X490" t="n">
        <v>3.2</v>
      </c>
      <c r="Y490" t="n">
        <v>2.2</v>
      </c>
      <c r="Z490" t="n">
        <v>2.9</v>
      </c>
      <c r="AB490" t="n">
        <v>6.7</v>
      </c>
      <c r="AC490" t="n">
        <v>8.4</v>
      </c>
      <c r="AD490" t="n">
        <v>5.2</v>
      </c>
      <c r="AG490" t="n">
        <v>7.8</v>
      </c>
      <c r="AJ490" t="n">
        <v>8.699999999999999</v>
      </c>
      <c r="AL490" t="n">
        <v>5.6</v>
      </c>
    </row>
    <row r="491">
      <c r="A491" s="78" t="n">
        <v>34973</v>
      </c>
      <c r="B491" t="n">
        <v>8.574164</v>
      </c>
      <c r="C491" t="n">
        <v>4.5</v>
      </c>
      <c r="D491" t="n">
        <v>9.800000000000001</v>
      </c>
      <c r="E491" t="n">
        <v>9.300000000000001</v>
      </c>
      <c r="G491" t="n">
        <v>6.900658</v>
      </c>
      <c r="H491" t="n">
        <v>3.9</v>
      </c>
      <c r="I491" t="n">
        <v>8.4</v>
      </c>
      <c r="J491" t="n">
        <v>6.6</v>
      </c>
      <c r="K491" t="n">
        <v>10.7</v>
      </c>
      <c r="L491" t="n">
        <v>20.7</v>
      </c>
      <c r="N491" t="n">
        <v>15.1</v>
      </c>
      <c r="O491" t="n">
        <v>12.1</v>
      </c>
      <c r="P491" t="n">
        <v>6.719524</v>
      </c>
      <c r="Q491" t="n">
        <v>8.6</v>
      </c>
      <c r="T491" t="n">
        <v>12.1</v>
      </c>
      <c r="W491" t="n">
        <v>11.1</v>
      </c>
      <c r="X491" t="n">
        <v>3.2</v>
      </c>
      <c r="Y491" t="n">
        <v>2.2</v>
      </c>
      <c r="Z491" t="n">
        <v>2.9</v>
      </c>
      <c r="AB491" t="n">
        <v>6.6</v>
      </c>
      <c r="AC491" t="n">
        <v>8.4</v>
      </c>
      <c r="AD491" t="n">
        <v>5.1</v>
      </c>
      <c r="AG491" t="n">
        <v>8</v>
      </c>
      <c r="AJ491" t="n">
        <v>8.9</v>
      </c>
      <c r="AL491" t="n">
        <v>5.5</v>
      </c>
    </row>
    <row r="492">
      <c r="A492" s="78" t="n">
        <v>35004</v>
      </c>
      <c r="B492" t="n">
        <v>8.451017999999999</v>
      </c>
      <c r="C492" t="n">
        <v>4.6</v>
      </c>
      <c r="D492" t="n">
        <v>9.800000000000001</v>
      </c>
      <c r="E492" t="n">
        <v>9.199999999999999</v>
      </c>
      <c r="G492" t="n">
        <v>7.103214</v>
      </c>
      <c r="H492" t="n">
        <v>3.7</v>
      </c>
      <c r="I492" t="n">
        <v>8.4</v>
      </c>
      <c r="J492" t="n">
        <v>6.7</v>
      </c>
      <c r="K492" t="n">
        <v>10.7</v>
      </c>
      <c r="L492" t="n">
        <v>20.7</v>
      </c>
      <c r="N492" t="n">
        <v>15.2</v>
      </c>
      <c r="O492" t="n">
        <v>12.2</v>
      </c>
      <c r="P492" t="n">
        <v>6.772744</v>
      </c>
      <c r="Q492" t="n">
        <v>8.300000000000001</v>
      </c>
      <c r="T492" t="n">
        <v>12.1</v>
      </c>
      <c r="W492" t="n">
        <v>11.1</v>
      </c>
      <c r="X492" t="n">
        <v>3.4</v>
      </c>
      <c r="Y492" t="n">
        <v>2</v>
      </c>
      <c r="Z492" t="n">
        <v>2.9</v>
      </c>
      <c r="AB492" t="n">
        <v>6.4</v>
      </c>
      <c r="AC492" t="n">
        <v>8.300000000000001</v>
      </c>
      <c r="AD492" t="n">
        <v>5</v>
      </c>
      <c r="AG492" t="n">
        <v>8</v>
      </c>
      <c r="AJ492" t="n">
        <v>9</v>
      </c>
      <c r="AL492" t="n">
        <v>5.6</v>
      </c>
    </row>
    <row r="493">
      <c r="A493" s="78" t="n">
        <v>35034</v>
      </c>
      <c r="B493" t="n">
        <v>8.143186999999999</v>
      </c>
      <c r="C493" t="n">
        <v>4.6</v>
      </c>
      <c r="D493" t="n">
        <v>9.800000000000001</v>
      </c>
      <c r="E493" t="n">
        <v>9.4</v>
      </c>
      <c r="G493" t="n">
        <v>7.526841</v>
      </c>
      <c r="H493" t="n">
        <v>3.7</v>
      </c>
      <c r="I493" t="n">
        <v>8.5</v>
      </c>
      <c r="J493" t="n">
        <v>6.6</v>
      </c>
      <c r="K493" t="n">
        <v>10.7</v>
      </c>
      <c r="L493" t="n">
        <v>20.5</v>
      </c>
      <c r="N493" t="n">
        <v>15.3</v>
      </c>
      <c r="O493" t="n">
        <v>12.2</v>
      </c>
      <c r="P493" t="n">
        <v>6.804536</v>
      </c>
      <c r="Q493" t="n">
        <v>8.4</v>
      </c>
      <c r="T493" t="n">
        <v>12.1</v>
      </c>
      <c r="W493" t="n">
        <v>11.1</v>
      </c>
      <c r="X493" t="n">
        <v>3.4</v>
      </c>
      <c r="Y493" t="n">
        <v>1.9</v>
      </c>
      <c r="Z493" t="n">
        <v>2.9</v>
      </c>
      <c r="AB493" t="n">
        <v>6.6</v>
      </c>
      <c r="AC493" t="n">
        <v>8.300000000000001</v>
      </c>
      <c r="AD493" t="n">
        <v>5.1</v>
      </c>
      <c r="AG493" t="n">
        <v>8</v>
      </c>
      <c r="AJ493" t="n">
        <v>9</v>
      </c>
      <c r="AL493" t="n">
        <v>5.6</v>
      </c>
    </row>
    <row r="494">
      <c r="A494" s="78" t="n">
        <v>35065</v>
      </c>
      <c r="B494" t="n">
        <v>8.454122999999999</v>
      </c>
      <c r="C494" t="n">
        <v>4.7</v>
      </c>
      <c r="D494" t="n">
        <v>9.9</v>
      </c>
      <c r="E494" t="n">
        <v>9.4</v>
      </c>
      <c r="G494" t="n">
        <v>7.485583</v>
      </c>
      <c r="H494" t="n">
        <v>3.8</v>
      </c>
      <c r="I494" t="n">
        <v>8.5</v>
      </c>
      <c r="J494" t="n">
        <v>6.6</v>
      </c>
      <c r="K494" t="n">
        <v>10.7</v>
      </c>
      <c r="L494" t="n">
        <v>20.4</v>
      </c>
      <c r="N494" t="n">
        <v>15.2</v>
      </c>
      <c r="O494" t="n">
        <v>12.3</v>
      </c>
      <c r="P494" t="n">
        <v>6.833548</v>
      </c>
      <c r="Q494" t="n">
        <v>8.300000000000001</v>
      </c>
      <c r="S494" t="n">
        <v>10.3</v>
      </c>
      <c r="T494" t="n">
        <v>12.1</v>
      </c>
      <c r="W494" t="n">
        <v>11</v>
      </c>
      <c r="X494" t="n">
        <v>3.5</v>
      </c>
      <c r="Y494" t="n">
        <v>1.9</v>
      </c>
      <c r="Z494" t="n">
        <v>3</v>
      </c>
      <c r="AB494" t="n">
        <v>6.2</v>
      </c>
      <c r="AC494" t="n">
        <v>8.199999999999999</v>
      </c>
      <c r="AD494" t="n">
        <v>4.8</v>
      </c>
      <c r="AG494" t="n">
        <v>8</v>
      </c>
      <c r="AI494" t="n">
        <v>7.2</v>
      </c>
      <c r="AJ494" t="n">
        <v>8.699999999999999</v>
      </c>
      <c r="AL494" t="n">
        <v>5.6</v>
      </c>
    </row>
    <row r="495">
      <c r="A495" s="78" t="n">
        <v>35096</v>
      </c>
      <c r="B495" t="n">
        <v>8.326021000000001</v>
      </c>
      <c r="C495" t="n">
        <v>4.8</v>
      </c>
      <c r="D495" t="n">
        <v>9.9</v>
      </c>
      <c r="E495" t="n">
        <v>9.5</v>
      </c>
      <c r="G495" t="n">
        <v>6.853727</v>
      </c>
      <c r="H495" t="n">
        <v>3.5</v>
      </c>
      <c r="I495" t="n">
        <v>8.6</v>
      </c>
      <c r="J495" t="n">
        <v>6.7</v>
      </c>
      <c r="K495" t="n">
        <v>10.8</v>
      </c>
      <c r="L495" t="n">
        <v>20.3</v>
      </c>
      <c r="N495" t="n">
        <v>15.1</v>
      </c>
      <c r="O495" t="n">
        <v>12.3</v>
      </c>
      <c r="P495" t="n">
        <v>6.756465</v>
      </c>
      <c r="Q495" t="n">
        <v>8.199999999999999</v>
      </c>
      <c r="S495" t="n">
        <v>10.1</v>
      </c>
      <c r="T495" t="n">
        <v>12</v>
      </c>
      <c r="W495" t="n">
        <v>11</v>
      </c>
      <c r="X495" t="n">
        <v>3.4</v>
      </c>
      <c r="Y495" t="n">
        <v>1.9</v>
      </c>
      <c r="Z495" t="n">
        <v>3</v>
      </c>
      <c r="AB495" t="n">
        <v>6.1</v>
      </c>
      <c r="AC495" t="n">
        <v>8.1</v>
      </c>
      <c r="AD495" t="n">
        <v>5</v>
      </c>
      <c r="AG495" t="n">
        <v>8</v>
      </c>
      <c r="AI495" t="n">
        <v>7.1</v>
      </c>
      <c r="AJ495" t="n">
        <v>9.199999999999999</v>
      </c>
      <c r="AL495" t="n">
        <v>5.5</v>
      </c>
    </row>
    <row r="496">
      <c r="A496" s="78" t="n">
        <v>35125</v>
      </c>
      <c r="B496" t="n">
        <v>8.420107</v>
      </c>
      <c r="C496" t="n">
        <v>4.8</v>
      </c>
      <c r="D496" t="n">
        <v>9.800000000000001</v>
      </c>
      <c r="E496" t="n">
        <v>9.6</v>
      </c>
      <c r="G496" t="n">
        <v>6.322923</v>
      </c>
      <c r="H496" t="n">
        <v>3.6</v>
      </c>
      <c r="I496" t="n">
        <v>8.6</v>
      </c>
      <c r="J496" t="n">
        <v>6.7</v>
      </c>
      <c r="K496" t="n">
        <v>10.8</v>
      </c>
      <c r="L496" t="n">
        <v>20.3</v>
      </c>
      <c r="N496" t="n">
        <v>13.9</v>
      </c>
      <c r="O496" t="n">
        <v>12.3</v>
      </c>
      <c r="P496" t="n">
        <v>6.736716</v>
      </c>
      <c r="Q496" t="n">
        <v>8.300000000000001</v>
      </c>
      <c r="S496" t="n">
        <v>10</v>
      </c>
      <c r="T496" t="n">
        <v>11.9</v>
      </c>
      <c r="W496" t="n">
        <v>11</v>
      </c>
      <c r="X496" t="n">
        <v>3.2</v>
      </c>
      <c r="Y496" t="n">
        <v>2</v>
      </c>
      <c r="Z496" t="n">
        <v>3.1</v>
      </c>
      <c r="AB496" t="n">
        <v>5.8</v>
      </c>
      <c r="AC496" t="n">
        <v>8</v>
      </c>
      <c r="AD496" t="n">
        <v>5</v>
      </c>
      <c r="AG496" t="n">
        <v>8.1</v>
      </c>
      <c r="AI496" t="n">
        <v>7</v>
      </c>
      <c r="AJ496" t="n">
        <v>9.1</v>
      </c>
      <c r="AL496" t="n">
        <v>5.5</v>
      </c>
    </row>
    <row r="497">
      <c r="A497" s="78" t="n">
        <v>35156</v>
      </c>
      <c r="B497" t="n">
        <v>8.57807</v>
      </c>
      <c r="C497" t="n">
        <v>4.8</v>
      </c>
      <c r="D497" t="n">
        <v>9.800000000000001</v>
      </c>
      <c r="E497" t="n">
        <v>9.300000000000001</v>
      </c>
      <c r="G497" t="n">
        <v>6.228558</v>
      </c>
      <c r="H497" t="n">
        <v>4</v>
      </c>
      <c r="I497" t="n">
        <v>8.699999999999999</v>
      </c>
      <c r="J497" t="n">
        <v>6.7</v>
      </c>
      <c r="K497" t="n">
        <v>10.8</v>
      </c>
      <c r="L497" t="n">
        <v>20.1</v>
      </c>
      <c r="N497" t="n">
        <v>14.1</v>
      </c>
      <c r="O497" t="n">
        <v>12.3</v>
      </c>
      <c r="P497" t="n">
        <v>6.80867</v>
      </c>
      <c r="Q497" t="n">
        <v>8.300000000000001</v>
      </c>
      <c r="S497" t="n">
        <v>10</v>
      </c>
      <c r="T497" t="n">
        <v>11.9</v>
      </c>
      <c r="W497" t="n">
        <v>11.3</v>
      </c>
      <c r="X497" t="n">
        <v>3.4</v>
      </c>
      <c r="Y497" t="n">
        <v>2</v>
      </c>
      <c r="Z497" t="n">
        <v>3.1</v>
      </c>
      <c r="AB497" t="n">
        <v>5.8</v>
      </c>
      <c r="AC497" t="n">
        <v>7.9</v>
      </c>
      <c r="AD497" t="n">
        <v>5</v>
      </c>
      <c r="AG497" t="n">
        <v>8.199999999999999</v>
      </c>
      <c r="AI497" t="n">
        <v>7</v>
      </c>
      <c r="AJ497" t="n">
        <v>9.4</v>
      </c>
      <c r="AL497" t="n">
        <v>5.6</v>
      </c>
    </row>
    <row r="498">
      <c r="A498" s="78" t="n">
        <v>35186</v>
      </c>
      <c r="B498" t="n">
        <v>8.413436000000001</v>
      </c>
      <c r="C498" t="n">
        <v>4.8</v>
      </c>
      <c r="D498" t="n">
        <v>9.699999999999999</v>
      </c>
      <c r="E498" t="n">
        <v>9.199999999999999</v>
      </c>
      <c r="G498" t="n">
        <v>6.295696</v>
      </c>
      <c r="H498" t="n">
        <v>3.9</v>
      </c>
      <c r="I498" t="n">
        <v>8.800000000000001</v>
      </c>
      <c r="J498" t="n">
        <v>6.5</v>
      </c>
      <c r="K498" t="n">
        <v>10.8</v>
      </c>
      <c r="L498" t="n">
        <v>20.1</v>
      </c>
      <c r="N498" t="n">
        <v>14.4</v>
      </c>
      <c r="O498" t="n">
        <v>12.4</v>
      </c>
      <c r="P498" t="n">
        <v>6.828724</v>
      </c>
      <c r="Q498" t="n">
        <v>8.300000000000001</v>
      </c>
      <c r="S498" t="n">
        <v>10</v>
      </c>
      <c r="T498" t="n">
        <v>11.8</v>
      </c>
      <c r="W498" t="n">
        <v>11.3</v>
      </c>
      <c r="X498" t="n">
        <v>3.4</v>
      </c>
      <c r="Y498" t="n">
        <v>2</v>
      </c>
      <c r="Z498" t="n">
        <v>3.1</v>
      </c>
      <c r="AB498" t="n">
        <v>5.4</v>
      </c>
      <c r="AC498" t="n">
        <v>7.8</v>
      </c>
      <c r="AD498" t="n">
        <v>4.8</v>
      </c>
      <c r="AG498" t="n">
        <v>8.199999999999999</v>
      </c>
      <c r="AI498" t="n">
        <v>7</v>
      </c>
      <c r="AJ498" t="n">
        <v>9.5</v>
      </c>
      <c r="AL498" t="n">
        <v>5.6</v>
      </c>
    </row>
    <row r="499">
      <c r="A499" s="78" t="n">
        <v>35217</v>
      </c>
      <c r="B499" t="n">
        <v>8.254720000000001</v>
      </c>
      <c r="C499" t="n">
        <v>4.8</v>
      </c>
      <c r="D499" t="n">
        <v>9.5</v>
      </c>
      <c r="E499" t="n">
        <v>9.800000000000001</v>
      </c>
      <c r="G499" t="n">
        <v>6.557463</v>
      </c>
      <c r="H499" t="n">
        <v>3.8</v>
      </c>
      <c r="I499" t="n">
        <v>8.800000000000001</v>
      </c>
      <c r="J499" t="n">
        <v>6.4</v>
      </c>
      <c r="K499" t="n">
        <v>10.8</v>
      </c>
      <c r="L499" t="n">
        <v>20.2</v>
      </c>
      <c r="N499" t="n">
        <v>14.7</v>
      </c>
      <c r="O499" t="n">
        <v>12.4</v>
      </c>
      <c r="P499" t="n">
        <v>6.740154</v>
      </c>
      <c r="Q499" t="n">
        <v>8.199999999999999</v>
      </c>
      <c r="S499" t="n">
        <v>10</v>
      </c>
      <c r="T499" t="n">
        <v>11.8</v>
      </c>
      <c r="W499" t="n">
        <v>11.3</v>
      </c>
      <c r="X499" t="n">
        <v>3.4</v>
      </c>
      <c r="Y499" t="n">
        <v>2.1</v>
      </c>
      <c r="Z499" t="n">
        <v>3</v>
      </c>
      <c r="AB499" t="n">
        <v>5.6</v>
      </c>
      <c r="AC499" t="n">
        <v>7.7</v>
      </c>
      <c r="AD499" t="n">
        <v>4.7</v>
      </c>
      <c r="AG499" t="n">
        <v>8.1</v>
      </c>
      <c r="AI499" t="n">
        <v>6.9</v>
      </c>
      <c r="AJ499" t="n">
        <v>9.6</v>
      </c>
      <c r="AL499" t="n">
        <v>5.3</v>
      </c>
    </row>
    <row r="500">
      <c r="A500" s="78" t="n">
        <v>35247</v>
      </c>
      <c r="B500" t="n">
        <v>8.565716999999999</v>
      </c>
      <c r="C500" t="n">
        <v>4.7</v>
      </c>
      <c r="D500" t="n">
        <v>9.5</v>
      </c>
      <c r="E500" t="n">
        <v>9.699999999999999</v>
      </c>
      <c r="G500" t="n">
        <v>6.466427</v>
      </c>
      <c r="H500" t="n">
        <v>3.9</v>
      </c>
      <c r="I500" t="n">
        <v>8.9</v>
      </c>
      <c r="J500" t="n">
        <v>6.5</v>
      </c>
      <c r="K500" t="n">
        <v>10.8</v>
      </c>
      <c r="L500" t="n">
        <v>20.1</v>
      </c>
      <c r="N500" t="n">
        <v>14.9</v>
      </c>
      <c r="O500" t="n">
        <v>12.4</v>
      </c>
      <c r="P500" t="n">
        <v>6.784435</v>
      </c>
      <c r="Q500" t="n">
        <v>8.1</v>
      </c>
      <c r="S500" t="n">
        <v>9.9</v>
      </c>
      <c r="T500" t="n">
        <v>11.7</v>
      </c>
      <c r="W500" t="n">
        <v>11.1</v>
      </c>
      <c r="X500" t="n">
        <v>3.4</v>
      </c>
      <c r="Y500" t="n">
        <v>2</v>
      </c>
      <c r="Z500" t="n">
        <v>2.9</v>
      </c>
      <c r="AB500" t="n">
        <v>5.4</v>
      </c>
      <c r="AC500" t="n">
        <v>7.6</v>
      </c>
      <c r="AD500" t="n">
        <v>4.7</v>
      </c>
      <c r="AG500" t="n">
        <v>8</v>
      </c>
      <c r="AI500" t="n">
        <v>6.8</v>
      </c>
      <c r="AJ500" t="n">
        <v>9.5</v>
      </c>
      <c r="AL500" t="n">
        <v>5.5</v>
      </c>
    </row>
    <row r="501">
      <c r="A501" s="78" t="n">
        <v>35278</v>
      </c>
      <c r="B501" t="n">
        <v>8.720143999999999</v>
      </c>
      <c r="C501" t="n">
        <v>4.7</v>
      </c>
      <c r="D501" t="n">
        <v>9.4</v>
      </c>
      <c r="E501" t="n">
        <v>9.4</v>
      </c>
      <c r="G501" t="n">
        <v>6.276995</v>
      </c>
      <c r="H501" t="n">
        <v>4</v>
      </c>
      <c r="I501" t="n">
        <v>9</v>
      </c>
      <c r="J501" t="n">
        <v>6.3</v>
      </c>
      <c r="K501" t="n">
        <v>10.8</v>
      </c>
      <c r="L501" t="n">
        <v>19.8</v>
      </c>
      <c r="N501" t="n">
        <v>14.9</v>
      </c>
      <c r="O501" t="n">
        <v>12.4</v>
      </c>
      <c r="P501" t="n">
        <v>6.635273</v>
      </c>
      <c r="Q501" t="n">
        <v>8.1</v>
      </c>
      <c r="S501" t="n">
        <v>9.800000000000001</v>
      </c>
      <c r="T501" t="n">
        <v>11.7</v>
      </c>
      <c r="W501" t="n">
        <v>11.1</v>
      </c>
      <c r="X501" t="n">
        <v>3.3</v>
      </c>
      <c r="Y501" t="n">
        <v>2.1</v>
      </c>
      <c r="Z501" t="n">
        <v>2.8</v>
      </c>
      <c r="AB501" t="n">
        <v>5.3</v>
      </c>
      <c r="AC501" t="n">
        <v>7.5</v>
      </c>
      <c r="AD501" t="n">
        <v>4.8</v>
      </c>
      <c r="AG501" t="n">
        <v>7.9</v>
      </c>
      <c r="AI501" t="n">
        <v>6.7</v>
      </c>
      <c r="AJ501" t="n">
        <v>9.9</v>
      </c>
      <c r="AL501" t="n">
        <v>5.1</v>
      </c>
    </row>
    <row r="502">
      <c r="A502" s="78" t="n">
        <v>35309</v>
      </c>
      <c r="B502" t="n">
        <v>8.574749000000001</v>
      </c>
      <c r="C502" t="n">
        <v>4.7</v>
      </c>
      <c r="D502" t="n">
        <v>9.4</v>
      </c>
      <c r="E502" t="n">
        <v>9.9</v>
      </c>
      <c r="G502" t="n">
        <v>5.96545</v>
      </c>
      <c r="H502" t="n">
        <v>3.9</v>
      </c>
      <c r="I502" t="n">
        <v>9.1</v>
      </c>
      <c r="J502" t="n">
        <v>6</v>
      </c>
      <c r="K502" t="n">
        <v>10.8</v>
      </c>
      <c r="L502" t="n">
        <v>19.7</v>
      </c>
      <c r="N502" t="n">
        <v>14.8</v>
      </c>
      <c r="O502" t="n">
        <v>12.5</v>
      </c>
      <c r="P502" t="n">
        <v>6.688869</v>
      </c>
      <c r="Q502" t="n">
        <v>8.1</v>
      </c>
      <c r="S502" t="n">
        <v>9.699999999999999</v>
      </c>
      <c r="T502" t="n">
        <v>11.5</v>
      </c>
      <c r="W502" t="n">
        <v>11.1</v>
      </c>
      <c r="X502" t="n">
        <v>3.3</v>
      </c>
      <c r="Y502" t="n">
        <v>2</v>
      </c>
      <c r="Z502" t="n">
        <v>2.8</v>
      </c>
      <c r="AB502" t="n">
        <v>5.4</v>
      </c>
      <c r="AC502" t="n">
        <v>7.4</v>
      </c>
      <c r="AD502" t="n">
        <v>4.7</v>
      </c>
      <c r="AG502" t="n">
        <v>7.9</v>
      </c>
      <c r="AI502" t="n">
        <v>6.8</v>
      </c>
      <c r="AJ502" t="n">
        <v>9.800000000000001</v>
      </c>
      <c r="AL502" t="n">
        <v>5.2</v>
      </c>
    </row>
    <row r="503">
      <c r="A503" s="78" t="n">
        <v>35339</v>
      </c>
      <c r="B503" t="n">
        <v>8.758429</v>
      </c>
      <c r="C503" t="n">
        <v>4.6</v>
      </c>
      <c r="D503" t="n">
        <v>9.300000000000001</v>
      </c>
      <c r="E503" t="n">
        <v>9.9</v>
      </c>
      <c r="G503" t="n">
        <v>5.966523</v>
      </c>
      <c r="H503" t="n">
        <v>4</v>
      </c>
      <c r="I503" t="n">
        <v>9.199999999999999</v>
      </c>
      <c r="J503" t="n">
        <v>5.9</v>
      </c>
      <c r="K503" t="n">
        <v>10.8</v>
      </c>
      <c r="L503" t="n">
        <v>19.5</v>
      </c>
      <c r="N503" t="n">
        <v>14.6</v>
      </c>
      <c r="O503" t="n">
        <v>12.5</v>
      </c>
      <c r="P503" t="n">
        <v>6.725904</v>
      </c>
      <c r="Q503" t="n">
        <v>8</v>
      </c>
      <c r="S503" t="n">
        <v>9.5</v>
      </c>
      <c r="T503" t="n">
        <v>11.3</v>
      </c>
      <c r="W503" t="n">
        <v>11.2</v>
      </c>
      <c r="X503" t="n">
        <v>3.4</v>
      </c>
      <c r="Y503" t="n">
        <v>2.1</v>
      </c>
      <c r="Z503" t="n">
        <v>2.8</v>
      </c>
      <c r="AB503" t="n">
        <v>5</v>
      </c>
      <c r="AC503" t="n">
        <v>7.3</v>
      </c>
      <c r="AD503" t="n">
        <v>4.6</v>
      </c>
      <c r="AG503" t="n">
        <v>7.9</v>
      </c>
      <c r="AI503" t="n">
        <v>6.8</v>
      </c>
      <c r="AJ503" t="n">
        <v>9.800000000000001</v>
      </c>
      <c r="AL503" t="n">
        <v>5.2</v>
      </c>
    </row>
    <row r="504">
      <c r="A504" s="78" t="n">
        <v>35370</v>
      </c>
      <c r="B504" t="n">
        <v>8.469526</v>
      </c>
      <c r="C504" t="n">
        <v>4.6</v>
      </c>
      <c r="D504" t="n">
        <v>9.199999999999999</v>
      </c>
      <c r="E504" t="n">
        <v>9.9</v>
      </c>
      <c r="G504" t="n">
        <v>5.870908</v>
      </c>
      <c r="H504" t="n">
        <v>4.1</v>
      </c>
      <c r="I504" t="n">
        <v>9.300000000000001</v>
      </c>
      <c r="J504" t="n">
        <v>5.8</v>
      </c>
      <c r="K504" t="n">
        <v>10.8</v>
      </c>
      <c r="L504" t="n">
        <v>19.3</v>
      </c>
      <c r="N504" t="n">
        <v>14.4</v>
      </c>
      <c r="O504" t="n">
        <v>12.5</v>
      </c>
      <c r="P504" t="n">
        <v>6.766078</v>
      </c>
      <c r="Q504" t="n">
        <v>7.8</v>
      </c>
      <c r="S504" t="n">
        <v>9.4</v>
      </c>
      <c r="T504" t="n">
        <v>11.1</v>
      </c>
      <c r="W504" t="n">
        <v>11.2</v>
      </c>
      <c r="X504" t="n">
        <v>3.3</v>
      </c>
      <c r="Y504" t="n">
        <v>2.2</v>
      </c>
      <c r="Z504" t="n">
        <v>2.8</v>
      </c>
      <c r="AB504" t="n">
        <v>5.1</v>
      </c>
      <c r="AC504" t="n">
        <v>7.2</v>
      </c>
      <c r="AD504" t="n">
        <v>4.6</v>
      </c>
      <c r="AG504" t="n">
        <v>7.8</v>
      </c>
      <c r="AI504" t="n">
        <v>6.8</v>
      </c>
      <c r="AJ504" t="n">
        <v>9.9</v>
      </c>
      <c r="AL504" t="n">
        <v>5.4</v>
      </c>
    </row>
    <row r="505">
      <c r="A505" s="78" t="n">
        <v>35400</v>
      </c>
      <c r="B505" t="n">
        <v>8.629751000000001</v>
      </c>
      <c r="C505" t="n">
        <v>4.6</v>
      </c>
      <c r="D505" t="n">
        <v>9.199999999999999</v>
      </c>
      <c r="E505" t="n">
        <v>9.699999999999999</v>
      </c>
      <c r="G505" t="n">
        <v>5.926356</v>
      </c>
      <c r="H505" t="n">
        <v>4.2</v>
      </c>
      <c r="I505" t="n">
        <v>9.4</v>
      </c>
      <c r="J505" t="n">
        <v>5.7</v>
      </c>
      <c r="K505" t="n">
        <v>10.8</v>
      </c>
      <c r="L505" t="n">
        <v>19.1</v>
      </c>
      <c r="N505" t="n">
        <v>13.6</v>
      </c>
      <c r="O505" t="n">
        <v>12.5</v>
      </c>
      <c r="P505" t="n">
        <v>6.778917</v>
      </c>
      <c r="Q505" t="n">
        <v>7.7</v>
      </c>
      <c r="S505" t="n">
        <v>9.4</v>
      </c>
      <c r="T505" t="n">
        <v>11</v>
      </c>
      <c r="W505" t="n">
        <v>11.2</v>
      </c>
      <c r="X505" t="n">
        <v>3.4</v>
      </c>
      <c r="Y505" t="n">
        <v>2.3</v>
      </c>
      <c r="Z505" t="n">
        <v>2.8</v>
      </c>
      <c r="AB505" t="n">
        <v>4.4</v>
      </c>
      <c r="AC505" t="n">
        <v>7.1</v>
      </c>
      <c r="AD505" t="n">
        <v>4.6</v>
      </c>
      <c r="AG505" t="n">
        <v>7.8</v>
      </c>
      <c r="AI505" t="n">
        <v>6.8</v>
      </c>
      <c r="AJ505" t="n">
        <v>10.1</v>
      </c>
      <c r="AL505" t="n">
        <v>5.4</v>
      </c>
    </row>
    <row r="506">
      <c r="A506" s="78" t="n">
        <v>35431</v>
      </c>
      <c r="B506" t="n">
        <v>8.564888</v>
      </c>
      <c r="C506" t="n">
        <v>4.6</v>
      </c>
      <c r="D506" t="n">
        <v>9.1</v>
      </c>
      <c r="E506" t="n">
        <v>9.5</v>
      </c>
      <c r="G506" t="n">
        <v>5.901767</v>
      </c>
      <c r="H506" t="n">
        <v>4.3</v>
      </c>
      <c r="I506" t="n">
        <v>9.5</v>
      </c>
      <c r="J506" t="n">
        <v>5.6</v>
      </c>
      <c r="K506" t="n">
        <v>10.8</v>
      </c>
      <c r="L506" t="n">
        <v>18.8</v>
      </c>
      <c r="M506" t="n">
        <v>10.2</v>
      </c>
      <c r="N506" t="n">
        <v>13.5</v>
      </c>
      <c r="O506" t="n">
        <v>12.5</v>
      </c>
      <c r="P506" t="n">
        <v>6.720163</v>
      </c>
      <c r="Q506" t="n">
        <v>7.5</v>
      </c>
      <c r="S506" t="n">
        <v>9.1</v>
      </c>
      <c r="T506" t="n">
        <v>10.8</v>
      </c>
      <c r="W506" t="n">
        <v>11.2</v>
      </c>
      <c r="X506" t="n">
        <v>3.3</v>
      </c>
      <c r="Y506" t="n">
        <v>2.4</v>
      </c>
      <c r="Z506" t="n">
        <v>2.7</v>
      </c>
      <c r="AB506" t="n">
        <v>4.3</v>
      </c>
      <c r="AC506" t="n">
        <v>7</v>
      </c>
      <c r="AD506" t="n">
        <v>4.6</v>
      </c>
      <c r="AF506" t="n">
        <v>11.8</v>
      </c>
      <c r="AG506" t="n">
        <v>7.9</v>
      </c>
      <c r="AI506" t="n">
        <v>6.8</v>
      </c>
      <c r="AJ506" t="n">
        <v>10</v>
      </c>
      <c r="AL506" t="n">
        <v>5.3</v>
      </c>
    </row>
    <row r="507">
      <c r="A507" s="78" t="n">
        <v>35462</v>
      </c>
      <c r="B507" t="n">
        <v>8.701879</v>
      </c>
      <c r="C507" t="n">
        <v>4.7</v>
      </c>
      <c r="D507" t="n">
        <v>9.1</v>
      </c>
      <c r="E507" t="n">
        <v>9.5</v>
      </c>
      <c r="G507" t="n">
        <v>6.113039</v>
      </c>
      <c r="H507" t="n">
        <v>4.1</v>
      </c>
      <c r="I507" t="n">
        <v>9.5</v>
      </c>
      <c r="J507" t="n">
        <v>5.5</v>
      </c>
      <c r="K507" t="n">
        <v>10.9</v>
      </c>
      <c r="L507" t="n">
        <v>18.7</v>
      </c>
      <c r="M507" t="n">
        <v>10.2</v>
      </c>
      <c r="N507" t="n">
        <v>13.4</v>
      </c>
      <c r="O507" t="n">
        <v>12.5</v>
      </c>
      <c r="P507" t="n">
        <v>6.705905</v>
      </c>
      <c r="Q507" t="n">
        <v>7.3</v>
      </c>
      <c r="S507" t="n">
        <v>9.199999999999999</v>
      </c>
      <c r="T507" t="n">
        <v>10.6</v>
      </c>
      <c r="W507" t="n">
        <v>11.3</v>
      </c>
      <c r="X507" t="n">
        <v>3.4</v>
      </c>
      <c r="Y507" t="n">
        <v>2.6</v>
      </c>
      <c r="Z507" t="n">
        <v>2.6</v>
      </c>
      <c r="AB507" t="n">
        <v>3.8</v>
      </c>
      <c r="AC507" t="n">
        <v>6.9</v>
      </c>
      <c r="AD507" t="n">
        <v>4</v>
      </c>
      <c r="AF507" t="n">
        <v>11.5</v>
      </c>
      <c r="AG507" t="n">
        <v>7.9</v>
      </c>
      <c r="AI507" t="n">
        <v>6.7</v>
      </c>
      <c r="AJ507" t="n">
        <v>10.4</v>
      </c>
      <c r="AL507" t="n">
        <v>5.2</v>
      </c>
    </row>
    <row r="508">
      <c r="A508" s="78" t="n">
        <v>35490</v>
      </c>
      <c r="B508" t="n">
        <v>8.591364</v>
      </c>
      <c r="C508" t="n">
        <v>4.7</v>
      </c>
      <c r="D508" t="n">
        <v>9.1</v>
      </c>
      <c r="E508" t="n">
        <v>9.300000000000001</v>
      </c>
      <c r="G508" t="n">
        <v>6.199073</v>
      </c>
      <c r="H508" t="n">
        <v>4.1</v>
      </c>
      <c r="I508" t="n">
        <v>9.6</v>
      </c>
      <c r="J508" t="n">
        <v>5.3</v>
      </c>
      <c r="K508" t="n">
        <v>10.8</v>
      </c>
      <c r="L508" t="n">
        <v>18.6</v>
      </c>
      <c r="M508" t="n">
        <v>10.2</v>
      </c>
      <c r="N508" t="n">
        <v>13.3</v>
      </c>
      <c r="O508" t="n">
        <v>12.5</v>
      </c>
      <c r="P508" t="n">
        <v>6.632575</v>
      </c>
      <c r="Q508" t="n">
        <v>7.2</v>
      </c>
      <c r="S508" t="n">
        <v>9.1</v>
      </c>
      <c r="T508" t="n">
        <v>10.5</v>
      </c>
      <c r="W508" t="n">
        <v>11.3</v>
      </c>
      <c r="X508" t="n">
        <v>3.3</v>
      </c>
      <c r="Y508" t="n">
        <v>3</v>
      </c>
      <c r="Z508" t="n">
        <v>2.6</v>
      </c>
      <c r="AB508" t="n">
        <v>4.1</v>
      </c>
      <c r="AC508" t="n">
        <v>6.8</v>
      </c>
      <c r="AD508" t="n">
        <v>4</v>
      </c>
      <c r="AF508" t="n">
        <v>11.3</v>
      </c>
      <c r="AG508" t="n">
        <v>7.7</v>
      </c>
      <c r="AI508" t="n">
        <v>6.7</v>
      </c>
      <c r="AJ508" t="n">
        <v>10.4</v>
      </c>
      <c r="AL508" t="n">
        <v>5.2</v>
      </c>
    </row>
    <row r="509">
      <c r="A509" s="78" t="n">
        <v>35521</v>
      </c>
      <c r="B509" t="n">
        <v>8.567548</v>
      </c>
      <c r="C509" t="n">
        <v>4.7</v>
      </c>
      <c r="D509" t="n">
        <v>9.1</v>
      </c>
      <c r="E509" t="n">
        <v>9.4</v>
      </c>
      <c r="G509" t="n">
        <v>6.307708</v>
      </c>
      <c r="H509" t="n">
        <v>4.5</v>
      </c>
      <c r="I509" t="n">
        <v>9.699999999999999</v>
      </c>
      <c r="J509" t="n">
        <v>5.2</v>
      </c>
      <c r="K509" t="n">
        <v>10.9</v>
      </c>
      <c r="L509" t="n">
        <v>18.6</v>
      </c>
      <c r="M509" t="n">
        <v>9.699999999999999</v>
      </c>
      <c r="N509" t="n">
        <v>13.2</v>
      </c>
      <c r="O509" t="n">
        <v>12.4</v>
      </c>
      <c r="P509" t="n">
        <v>6.603722</v>
      </c>
      <c r="Q509" t="n">
        <v>7.2</v>
      </c>
      <c r="S509" t="n">
        <v>9.1</v>
      </c>
      <c r="T509" t="n">
        <v>10.4</v>
      </c>
      <c r="W509" t="n">
        <v>11.4</v>
      </c>
      <c r="X509" t="n">
        <v>3.2</v>
      </c>
      <c r="Y509" t="n">
        <v>2.7</v>
      </c>
      <c r="Z509" t="n">
        <v>2.5</v>
      </c>
      <c r="AB509" t="n">
        <v>4</v>
      </c>
      <c r="AC509" t="n">
        <v>6.7</v>
      </c>
      <c r="AD509" t="n">
        <v>4.1</v>
      </c>
      <c r="AF509" t="n">
        <v>11.1</v>
      </c>
      <c r="AG509" t="n">
        <v>7.5</v>
      </c>
      <c r="AI509" t="n">
        <v>6.7</v>
      </c>
      <c r="AJ509" t="n">
        <v>10.2</v>
      </c>
      <c r="AL509" t="n">
        <v>5.1</v>
      </c>
    </row>
    <row r="510">
      <c r="A510" s="78" t="n">
        <v>35551</v>
      </c>
      <c r="B510" t="n">
        <v>8.546564999999999</v>
      </c>
      <c r="C510" t="n">
        <v>4.7</v>
      </c>
      <c r="D510" t="n">
        <v>9.1</v>
      </c>
      <c r="E510" t="n">
        <v>9.4</v>
      </c>
      <c r="G510" t="n">
        <v>6.321061</v>
      </c>
      <c r="H510" t="n">
        <v>4.6</v>
      </c>
      <c r="I510" t="n">
        <v>9.699999999999999</v>
      </c>
      <c r="J510" t="n">
        <v>5.3</v>
      </c>
      <c r="K510" t="n">
        <v>10.8</v>
      </c>
      <c r="L510" t="n">
        <v>18.7</v>
      </c>
      <c r="M510" t="n">
        <v>9.699999999999999</v>
      </c>
      <c r="N510" t="n">
        <v>13</v>
      </c>
      <c r="O510" t="n">
        <v>12.4</v>
      </c>
      <c r="P510" t="n">
        <v>6.568651</v>
      </c>
      <c r="Q510" t="n">
        <v>7.2</v>
      </c>
      <c r="S510" t="n">
        <v>9</v>
      </c>
      <c r="T510" t="n">
        <v>10.2</v>
      </c>
      <c r="W510" t="n">
        <v>11.4</v>
      </c>
      <c r="X510" t="n">
        <v>3.4</v>
      </c>
      <c r="Y510" t="n">
        <v>2.6</v>
      </c>
      <c r="Z510" t="n">
        <v>2.6</v>
      </c>
      <c r="AB510" t="n">
        <v>4</v>
      </c>
      <c r="AC510" t="n">
        <v>6.6</v>
      </c>
      <c r="AD510" t="n">
        <v>4.2</v>
      </c>
      <c r="AF510" t="n">
        <v>10.9</v>
      </c>
      <c r="AG510" t="n">
        <v>7.4</v>
      </c>
      <c r="AI510" t="n">
        <v>6.8</v>
      </c>
      <c r="AJ510" t="n">
        <v>10.2</v>
      </c>
      <c r="AL510" t="n">
        <v>4.9</v>
      </c>
    </row>
    <row r="511">
      <c r="A511" s="78" t="n">
        <v>35582</v>
      </c>
      <c r="B511" t="n">
        <v>8.330895</v>
      </c>
      <c r="C511" t="n">
        <v>4.7</v>
      </c>
      <c r="D511" t="n">
        <v>9.199999999999999</v>
      </c>
      <c r="E511" t="n">
        <v>9.1</v>
      </c>
      <c r="G511" t="n">
        <v>6.243071</v>
      </c>
      <c r="H511" t="n">
        <v>4.7</v>
      </c>
      <c r="I511" t="n">
        <v>9.699999999999999</v>
      </c>
      <c r="J511" t="n">
        <v>5.2</v>
      </c>
      <c r="K511" t="n">
        <v>10.8</v>
      </c>
      <c r="L511" t="n">
        <v>18.8</v>
      </c>
      <c r="M511" t="n">
        <v>9.699999999999999</v>
      </c>
      <c r="N511" t="n">
        <v>12.7</v>
      </c>
      <c r="O511" t="n">
        <v>12.4</v>
      </c>
      <c r="P511" t="n">
        <v>6.593942</v>
      </c>
      <c r="Q511" t="n">
        <v>7.3</v>
      </c>
      <c r="S511" t="n">
        <v>9</v>
      </c>
      <c r="T511" t="n">
        <v>10</v>
      </c>
      <c r="W511" t="n">
        <v>11.4</v>
      </c>
      <c r="X511" t="n">
        <v>3.4</v>
      </c>
      <c r="Y511" t="n">
        <v>2.4</v>
      </c>
      <c r="Z511" t="n">
        <v>2.7</v>
      </c>
      <c r="AB511" t="n">
        <v>3.6</v>
      </c>
      <c r="AC511" t="n">
        <v>6.5</v>
      </c>
      <c r="AD511" t="n">
        <v>4.1</v>
      </c>
      <c r="AF511" t="n">
        <v>10.9</v>
      </c>
      <c r="AG511" t="n">
        <v>7.4</v>
      </c>
      <c r="AI511" t="n">
        <v>6.9</v>
      </c>
      <c r="AJ511" t="n">
        <v>10.5</v>
      </c>
      <c r="AL511" t="n">
        <v>5</v>
      </c>
    </row>
    <row r="512">
      <c r="A512" s="78" t="n">
        <v>35612</v>
      </c>
      <c r="B512" t="n">
        <v>8.58797</v>
      </c>
      <c r="C512" t="n">
        <v>4.8</v>
      </c>
      <c r="D512" t="n">
        <v>9.300000000000001</v>
      </c>
      <c r="E512" t="n">
        <v>8.9</v>
      </c>
      <c r="G512" t="n">
        <v>6.151809</v>
      </c>
      <c r="H512" t="n">
        <v>4.9</v>
      </c>
      <c r="I512" t="n">
        <v>9.699999999999999</v>
      </c>
      <c r="J512" t="n">
        <v>5.2</v>
      </c>
      <c r="K512" t="n">
        <v>10.7</v>
      </c>
      <c r="L512" t="n">
        <v>18.6</v>
      </c>
      <c r="M512" t="n">
        <v>9.5</v>
      </c>
      <c r="N512" t="n">
        <v>12.5</v>
      </c>
      <c r="O512" t="n">
        <v>12.4</v>
      </c>
      <c r="P512" t="n">
        <v>6.4977</v>
      </c>
      <c r="Q512" t="n">
        <v>7.1</v>
      </c>
      <c r="S512" t="n">
        <v>9</v>
      </c>
      <c r="T512" t="n">
        <v>9.800000000000001</v>
      </c>
      <c r="W512" t="n">
        <v>11</v>
      </c>
      <c r="X512" t="n">
        <v>3.4</v>
      </c>
      <c r="Y512" t="n">
        <v>2.4</v>
      </c>
      <c r="Z512" t="n">
        <v>2.7</v>
      </c>
      <c r="AB512" t="n">
        <v>4</v>
      </c>
      <c r="AC512" t="n">
        <v>6.4</v>
      </c>
      <c r="AD512" t="n">
        <v>4</v>
      </c>
      <c r="AF512" t="n">
        <v>10.8</v>
      </c>
      <c r="AG512" t="n">
        <v>7.6</v>
      </c>
      <c r="AI512" t="n">
        <v>7</v>
      </c>
      <c r="AJ512" t="n">
        <v>10.1</v>
      </c>
      <c r="AL512" t="n">
        <v>4.9</v>
      </c>
    </row>
    <row r="513">
      <c r="A513" s="78" t="n">
        <v>35643</v>
      </c>
      <c r="B513" t="n">
        <v>8.463937</v>
      </c>
      <c r="C513" t="n">
        <v>4.8</v>
      </c>
      <c r="D513" t="n">
        <v>9.300000000000001</v>
      </c>
      <c r="E513" t="n">
        <v>8.9</v>
      </c>
      <c r="G513" t="n">
        <v>6.219759</v>
      </c>
      <c r="H513" t="n">
        <v>4.9</v>
      </c>
      <c r="I513" t="n">
        <v>9.699999999999999</v>
      </c>
      <c r="J513" t="n">
        <v>5.2</v>
      </c>
      <c r="K513" t="n">
        <v>10.7</v>
      </c>
      <c r="L513" t="n">
        <v>18.3</v>
      </c>
      <c r="M513" t="n">
        <v>9.5</v>
      </c>
      <c r="N513" t="n">
        <v>12.3</v>
      </c>
      <c r="O513" t="n">
        <v>12.3</v>
      </c>
      <c r="P513" t="n">
        <v>6.455472</v>
      </c>
      <c r="Q513" t="n">
        <v>6.8</v>
      </c>
      <c r="S513" t="n">
        <v>9</v>
      </c>
      <c r="T513" t="n">
        <v>9.6</v>
      </c>
      <c r="W513" t="n">
        <v>11</v>
      </c>
      <c r="X513" t="n">
        <v>3.4</v>
      </c>
      <c r="Y513" t="n">
        <v>2.4</v>
      </c>
      <c r="Z513" t="n">
        <v>2.7</v>
      </c>
      <c r="AB513" t="n">
        <v>3.6</v>
      </c>
      <c r="AC513" t="n">
        <v>6.3</v>
      </c>
      <c r="AD513" t="n">
        <v>3.8</v>
      </c>
      <c r="AF513" t="n">
        <v>10.7</v>
      </c>
      <c r="AG513" t="n">
        <v>7.6</v>
      </c>
      <c r="AI513" t="n">
        <v>7.1</v>
      </c>
      <c r="AJ513" t="n">
        <v>9.6</v>
      </c>
      <c r="AL513" t="n">
        <v>4.8</v>
      </c>
    </row>
    <row r="514">
      <c r="A514" s="78" t="n">
        <v>35674</v>
      </c>
      <c r="B514" t="n">
        <v>8.066423</v>
      </c>
      <c r="C514" t="n">
        <v>4.8</v>
      </c>
      <c r="D514" t="n">
        <v>9.300000000000001</v>
      </c>
      <c r="E514" t="n">
        <v>8.800000000000001</v>
      </c>
      <c r="G514" t="n">
        <v>6.174142</v>
      </c>
      <c r="H514" t="n">
        <v>5</v>
      </c>
      <c r="I514" t="n">
        <v>9.699999999999999</v>
      </c>
      <c r="J514" t="n">
        <v>5.1</v>
      </c>
      <c r="K514" t="n">
        <v>10.7</v>
      </c>
      <c r="L514" t="n">
        <v>18.3</v>
      </c>
      <c r="M514" t="n">
        <v>9.5</v>
      </c>
      <c r="N514" t="n">
        <v>12.2</v>
      </c>
      <c r="O514" t="n">
        <v>12.3</v>
      </c>
      <c r="P514" t="n">
        <v>6.467073</v>
      </c>
      <c r="Q514" t="n">
        <v>6.7</v>
      </c>
      <c r="S514" t="n">
        <v>9</v>
      </c>
      <c r="T514" t="n">
        <v>9.4</v>
      </c>
      <c r="W514" t="n">
        <v>11</v>
      </c>
      <c r="X514" t="n">
        <v>3.5</v>
      </c>
      <c r="Y514" t="n">
        <v>2.5</v>
      </c>
      <c r="Z514" t="n">
        <v>2.8</v>
      </c>
      <c r="AB514" t="n">
        <v>3.4</v>
      </c>
      <c r="AC514" t="n">
        <v>6.2</v>
      </c>
      <c r="AD514" t="n">
        <v>3.7</v>
      </c>
      <c r="AF514" t="n">
        <v>10.5</v>
      </c>
      <c r="AG514" t="n">
        <v>7.5</v>
      </c>
      <c r="AI514" t="n">
        <v>7.1</v>
      </c>
      <c r="AJ514" t="n">
        <v>9.5</v>
      </c>
      <c r="AL514" t="n">
        <v>4.9</v>
      </c>
    </row>
    <row r="515">
      <c r="A515" s="78" t="n">
        <v>35704</v>
      </c>
      <c r="B515" t="n">
        <v>8.032154999999999</v>
      </c>
      <c r="C515" t="n">
        <v>4.8</v>
      </c>
      <c r="D515" t="n">
        <v>9.300000000000001</v>
      </c>
      <c r="E515" t="n">
        <v>8.9</v>
      </c>
      <c r="G515" t="n">
        <v>6.056342</v>
      </c>
      <c r="H515" t="n">
        <v>5.2</v>
      </c>
      <c r="I515" t="n">
        <v>9.699999999999999</v>
      </c>
      <c r="J515" t="n">
        <v>5.1</v>
      </c>
      <c r="K515" t="n">
        <v>10.7</v>
      </c>
      <c r="L515" t="n">
        <v>18</v>
      </c>
      <c r="M515" t="n">
        <v>9.199999999999999</v>
      </c>
      <c r="N515" t="n">
        <v>12.1</v>
      </c>
      <c r="O515" t="n">
        <v>12.2</v>
      </c>
      <c r="P515" t="n">
        <v>6.426906</v>
      </c>
      <c r="Q515" t="n">
        <v>6.6</v>
      </c>
      <c r="S515" t="n">
        <v>9</v>
      </c>
      <c r="T515" t="n">
        <v>9.199999999999999</v>
      </c>
      <c r="W515" t="n">
        <v>11.3</v>
      </c>
      <c r="X515" t="n">
        <v>3.5</v>
      </c>
      <c r="Y515" t="n">
        <v>2.4</v>
      </c>
      <c r="Z515" t="n">
        <v>2.8</v>
      </c>
      <c r="AB515" t="n">
        <v>3.3</v>
      </c>
      <c r="AC515" t="n">
        <v>6.1</v>
      </c>
      <c r="AD515" t="n">
        <v>3.5</v>
      </c>
      <c r="AF515" t="n">
        <v>10.4</v>
      </c>
      <c r="AG515" t="n">
        <v>7.4</v>
      </c>
      <c r="AI515" t="n">
        <v>7.1</v>
      </c>
      <c r="AJ515" t="n">
        <v>9.4</v>
      </c>
      <c r="AL515" t="n">
        <v>4.7</v>
      </c>
    </row>
    <row r="516">
      <c r="A516" s="78" t="n">
        <v>35735</v>
      </c>
      <c r="B516" t="n">
        <v>7.985768</v>
      </c>
      <c r="C516" t="n">
        <v>4.9</v>
      </c>
      <c r="D516" t="n">
        <v>9.300000000000001</v>
      </c>
      <c r="E516" t="n">
        <v>8.9</v>
      </c>
      <c r="G516" t="n">
        <v>5.81982</v>
      </c>
      <c r="H516" t="n">
        <v>5.4</v>
      </c>
      <c r="I516" t="n">
        <v>9.699999999999999</v>
      </c>
      <c r="J516" t="n">
        <v>5.1</v>
      </c>
      <c r="K516" t="n">
        <v>10.6</v>
      </c>
      <c r="L516" t="n">
        <v>17.8</v>
      </c>
      <c r="M516" t="n">
        <v>9.199999999999999</v>
      </c>
      <c r="N516" t="n">
        <v>12</v>
      </c>
      <c r="O516" t="n">
        <v>12.2</v>
      </c>
      <c r="P516" t="n">
        <v>6.375536</v>
      </c>
      <c r="Q516" t="n">
        <v>6.5</v>
      </c>
      <c r="S516" t="n">
        <v>9.1</v>
      </c>
      <c r="T516" t="n">
        <v>9</v>
      </c>
      <c r="W516" t="n">
        <v>11.3</v>
      </c>
      <c r="X516" t="n">
        <v>3.5</v>
      </c>
      <c r="Y516" t="n">
        <v>2.9</v>
      </c>
      <c r="Z516" t="n">
        <v>2.8</v>
      </c>
      <c r="AB516" t="n">
        <v>3.4</v>
      </c>
      <c r="AC516" t="n">
        <v>5.9</v>
      </c>
      <c r="AD516" t="n">
        <v>3.5</v>
      </c>
      <c r="AF516" t="n">
        <v>10.2</v>
      </c>
      <c r="AG516" t="n">
        <v>7.2</v>
      </c>
      <c r="AI516" t="n">
        <v>7.1</v>
      </c>
      <c r="AJ516" t="n">
        <v>9.199999999999999</v>
      </c>
      <c r="AL516" t="n">
        <v>4.6</v>
      </c>
    </row>
    <row r="517">
      <c r="A517" s="78" t="n">
        <v>35765</v>
      </c>
      <c r="B517" t="n">
        <v>7.909556</v>
      </c>
      <c r="C517" t="n">
        <v>4.9</v>
      </c>
      <c r="D517" t="n">
        <v>9.4</v>
      </c>
      <c r="E517" t="n">
        <v>8.5</v>
      </c>
      <c r="G517" t="n">
        <v>5.718153</v>
      </c>
      <c r="H517" t="n">
        <v>5.7</v>
      </c>
      <c r="I517" t="n">
        <v>9.699999999999999</v>
      </c>
      <c r="J517" t="n">
        <v>5.1</v>
      </c>
      <c r="K517" t="n">
        <v>10.6</v>
      </c>
      <c r="L517" t="n">
        <v>17.6</v>
      </c>
      <c r="M517" t="n">
        <v>9.199999999999999</v>
      </c>
      <c r="N517" t="n">
        <v>11.9</v>
      </c>
      <c r="O517" t="n">
        <v>12.1</v>
      </c>
      <c r="P517" t="n">
        <v>6.384022</v>
      </c>
      <c r="Q517" t="n">
        <v>6.4</v>
      </c>
      <c r="S517" t="n">
        <v>9.1</v>
      </c>
      <c r="T517" t="n">
        <v>8.800000000000001</v>
      </c>
      <c r="W517" t="n">
        <v>11.3</v>
      </c>
      <c r="X517" t="n">
        <v>3.5</v>
      </c>
      <c r="Y517" t="n">
        <v>3.1</v>
      </c>
      <c r="Z517" t="n">
        <v>2.9</v>
      </c>
      <c r="AB517" t="n">
        <v>3.1</v>
      </c>
      <c r="AC517" t="n">
        <v>5.8</v>
      </c>
      <c r="AD517" t="n">
        <v>3.4</v>
      </c>
      <c r="AF517" t="n">
        <v>10.1</v>
      </c>
      <c r="AG517" t="n">
        <v>7</v>
      </c>
      <c r="AI517" t="n">
        <v>7.2</v>
      </c>
      <c r="AJ517" t="n">
        <v>8.800000000000001</v>
      </c>
      <c r="AL517" t="n">
        <v>4.7</v>
      </c>
    </row>
    <row r="518">
      <c r="A518" s="78" t="n">
        <v>35796</v>
      </c>
      <c r="B518" t="n">
        <v>7.864006</v>
      </c>
      <c r="C518" t="n">
        <v>4.9</v>
      </c>
      <c r="D518" t="n">
        <v>9.4</v>
      </c>
      <c r="E518" t="n">
        <v>8.800000000000001</v>
      </c>
      <c r="G518" t="n">
        <v>5.548343</v>
      </c>
      <c r="H518" t="n">
        <v>5.7</v>
      </c>
      <c r="I518" t="n">
        <v>9.699999999999999</v>
      </c>
      <c r="J518" t="n">
        <v>5.1</v>
      </c>
      <c r="K518" t="n">
        <v>10.5</v>
      </c>
      <c r="L518" t="n">
        <v>17.1</v>
      </c>
      <c r="M518" t="n">
        <v>9.199999999999999</v>
      </c>
      <c r="N518" t="n">
        <v>11.8</v>
      </c>
      <c r="O518" t="n">
        <v>12.1</v>
      </c>
      <c r="P518" t="n">
        <v>6.363106</v>
      </c>
      <c r="Q518" t="n">
        <v>6.4</v>
      </c>
      <c r="S518" t="n">
        <v>9.1</v>
      </c>
      <c r="T518" t="n">
        <v>8.6</v>
      </c>
      <c r="W518" t="n">
        <v>11.1</v>
      </c>
      <c r="X518" t="n">
        <v>3.6</v>
      </c>
      <c r="Y518" t="n">
        <v>4.1</v>
      </c>
      <c r="Z518" t="n">
        <v>2.8</v>
      </c>
      <c r="AB518" t="n">
        <v>3.5</v>
      </c>
      <c r="AC518" t="n">
        <v>5.7</v>
      </c>
      <c r="AD518" t="n">
        <v>3.3</v>
      </c>
      <c r="AF518" t="n">
        <v>10</v>
      </c>
      <c r="AG518" t="n">
        <v>7.1</v>
      </c>
      <c r="AH518" t="n">
        <v>12.1</v>
      </c>
      <c r="AI518" t="n">
        <v>7.3</v>
      </c>
      <c r="AJ518" t="n">
        <v>8.800000000000001</v>
      </c>
      <c r="AL518" t="n">
        <v>4.6</v>
      </c>
    </row>
    <row r="519">
      <c r="A519" s="78" t="n">
        <v>35827</v>
      </c>
      <c r="B519" t="n">
        <v>7.771649</v>
      </c>
      <c r="C519" t="n">
        <v>5</v>
      </c>
      <c r="D519" t="n">
        <v>9.4</v>
      </c>
      <c r="E519" t="n">
        <v>8.6</v>
      </c>
      <c r="G519" t="n">
        <v>5.531654</v>
      </c>
      <c r="H519" t="n">
        <v>5.6</v>
      </c>
      <c r="I519" t="n">
        <v>9.699999999999999</v>
      </c>
      <c r="J519" t="n">
        <v>4.9</v>
      </c>
      <c r="K519" t="n">
        <v>10.5</v>
      </c>
      <c r="L519" t="n">
        <v>16.7</v>
      </c>
      <c r="M519" t="n">
        <v>9.199999999999999</v>
      </c>
      <c r="N519" t="n">
        <v>11.7</v>
      </c>
      <c r="O519" t="n">
        <v>12</v>
      </c>
      <c r="P519" t="n">
        <v>6.338701</v>
      </c>
      <c r="Q519" t="n">
        <v>6.4</v>
      </c>
      <c r="S519" t="n">
        <v>9.1</v>
      </c>
      <c r="T519" t="n">
        <v>8.300000000000001</v>
      </c>
      <c r="W519" t="n">
        <v>11.1</v>
      </c>
      <c r="X519" t="n">
        <v>3.6</v>
      </c>
      <c r="Y519" t="n">
        <v>5</v>
      </c>
      <c r="Z519" t="n">
        <v>2.8</v>
      </c>
      <c r="AB519" t="n">
        <v>3.4</v>
      </c>
      <c r="AC519" t="n">
        <v>5.6</v>
      </c>
      <c r="AD519" t="n">
        <v>3.2</v>
      </c>
      <c r="AF519" t="n">
        <v>9.9</v>
      </c>
      <c r="AG519" t="n">
        <v>6.7</v>
      </c>
      <c r="AH519" t="n">
        <v>12.2</v>
      </c>
      <c r="AI519" t="n">
        <v>7.3</v>
      </c>
      <c r="AJ519" t="n">
        <v>8.800000000000001</v>
      </c>
      <c r="AL519" t="n">
        <v>4.6</v>
      </c>
    </row>
    <row r="520">
      <c r="A520" s="78" t="n">
        <v>35855</v>
      </c>
      <c r="B520" t="n">
        <v>7.882557</v>
      </c>
      <c r="C520" t="n">
        <v>4.9</v>
      </c>
      <c r="D520" t="n">
        <v>9.5</v>
      </c>
      <c r="E520" t="n">
        <v>8.4</v>
      </c>
      <c r="G520" t="n">
        <v>5.487621</v>
      </c>
      <c r="H520" t="n">
        <v>5.9</v>
      </c>
      <c r="I520" t="n">
        <v>9.6</v>
      </c>
      <c r="J520" t="n">
        <v>4.9</v>
      </c>
      <c r="K520" t="n">
        <v>10.5</v>
      </c>
      <c r="L520" t="n">
        <v>16.7</v>
      </c>
      <c r="M520" t="n">
        <v>9.199999999999999</v>
      </c>
      <c r="N520" t="n">
        <v>11.7</v>
      </c>
      <c r="O520" t="n">
        <v>12</v>
      </c>
      <c r="P520" t="n">
        <v>6.394176</v>
      </c>
      <c r="Q520" t="n">
        <v>6.3</v>
      </c>
      <c r="S520" t="n">
        <v>9.1</v>
      </c>
      <c r="T520" t="n">
        <v>8.1</v>
      </c>
      <c r="W520" t="n">
        <v>11.1</v>
      </c>
      <c r="X520" t="n">
        <v>3.8</v>
      </c>
      <c r="Y520" t="n">
        <v>5.8</v>
      </c>
      <c r="Z520" t="n">
        <v>2.8</v>
      </c>
      <c r="AB520" t="n">
        <v>3.3</v>
      </c>
      <c r="AC520" t="n">
        <v>5.5</v>
      </c>
      <c r="AD520" t="n">
        <v>3.3</v>
      </c>
      <c r="AF520" t="n">
        <v>9.800000000000001</v>
      </c>
      <c r="AG520" t="n">
        <v>6.5</v>
      </c>
      <c r="AH520" t="n">
        <v>12.2</v>
      </c>
      <c r="AI520" t="n">
        <v>7.4</v>
      </c>
      <c r="AJ520" t="n">
        <v>8.4</v>
      </c>
      <c r="AL520" t="n">
        <v>4.7</v>
      </c>
    </row>
    <row r="521">
      <c r="A521" s="78" t="n">
        <v>35886</v>
      </c>
      <c r="B521" t="n">
        <v>7.602958</v>
      </c>
      <c r="C521" t="n">
        <v>4.9</v>
      </c>
      <c r="D521" t="n">
        <v>9.5</v>
      </c>
      <c r="E521" t="n">
        <v>8.300000000000001</v>
      </c>
      <c r="G521" t="n">
        <v>5.600441</v>
      </c>
      <c r="H521" t="n">
        <v>5.9</v>
      </c>
      <c r="I521" t="n">
        <v>9.6</v>
      </c>
      <c r="J521" t="n">
        <v>4.9</v>
      </c>
      <c r="K521" t="n">
        <v>10.6</v>
      </c>
      <c r="L521" t="n">
        <v>16.6</v>
      </c>
      <c r="M521" t="n">
        <v>9.1</v>
      </c>
      <c r="N521" t="n">
        <v>11.7</v>
      </c>
      <c r="O521" t="n">
        <v>12</v>
      </c>
      <c r="P521" t="n">
        <v>6.308194</v>
      </c>
      <c r="Q521" t="n">
        <v>6.3</v>
      </c>
      <c r="R521" t="n">
        <v>10.9</v>
      </c>
      <c r="S521" t="n">
        <v>9</v>
      </c>
      <c r="T521" t="n">
        <v>7.9</v>
      </c>
      <c r="W521" t="n">
        <v>11.5</v>
      </c>
      <c r="X521" t="n">
        <v>4</v>
      </c>
      <c r="Y521" t="n">
        <v>6.5</v>
      </c>
      <c r="Z521" t="n">
        <v>2.8</v>
      </c>
      <c r="AA521" t="n">
        <v>14.3</v>
      </c>
      <c r="AB521" t="n">
        <v>3.1</v>
      </c>
      <c r="AC521" t="n">
        <v>5.4</v>
      </c>
      <c r="AD521" t="n">
        <v>3.4</v>
      </c>
      <c r="AF521" t="n">
        <v>9.800000000000001</v>
      </c>
      <c r="AG521" t="n">
        <v>6.2</v>
      </c>
      <c r="AH521" t="n">
        <v>12.2</v>
      </c>
      <c r="AI521" t="n">
        <v>7.4</v>
      </c>
      <c r="AJ521" t="n">
        <v>8.699999999999999</v>
      </c>
      <c r="AL521" t="n">
        <v>4.3</v>
      </c>
    </row>
    <row r="522">
      <c r="A522" s="78" t="n">
        <v>35916</v>
      </c>
      <c r="B522" t="n">
        <v>7.763993</v>
      </c>
      <c r="C522" t="n">
        <v>4.8</v>
      </c>
      <c r="D522" t="n">
        <v>9.4</v>
      </c>
      <c r="E522" t="n">
        <v>8.300000000000001</v>
      </c>
      <c r="G522" t="n">
        <v>5.839211</v>
      </c>
      <c r="H522" t="n">
        <v>5.9</v>
      </c>
      <c r="I522" t="n">
        <v>9.5</v>
      </c>
      <c r="J522" t="n">
        <v>4.9</v>
      </c>
      <c r="K522" t="n">
        <v>10.6</v>
      </c>
      <c r="L522" t="n">
        <v>16.6</v>
      </c>
      <c r="M522" t="n">
        <v>9.1</v>
      </c>
      <c r="N522" t="n">
        <v>11.7</v>
      </c>
      <c r="O522" t="n">
        <v>12.1</v>
      </c>
      <c r="P522" t="n">
        <v>6.344234</v>
      </c>
      <c r="Q522" t="n">
        <v>6.3</v>
      </c>
      <c r="R522" t="n">
        <v>11</v>
      </c>
      <c r="S522" t="n">
        <v>8.9</v>
      </c>
      <c r="T522" t="n">
        <v>7.8</v>
      </c>
      <c r="W522" t="n">
        <v>11.5</v>
      </c>
      <c r="X522" t="n">
        <v>4.1</v>
      </c>
      <c r="Y522" t="n">
        <v>7.1</v>
      </c>
      <c r="Z522" t="n">
        <v>2.8</v>
      </c>
      <c r="AA522" t="n">
        <v>14.4</v>
      </c>
      <c r="AB522" t="n">
        <v>3.3</v>
      </c>
      <c r="AC522" t="n">
        <v>5.3</v>
      </c>
      <c r="AD522" t="n">
        <v>3.3</v>
      </c>
      <c r="AF522" t="n">
        <v>9.9</v>
      </c>
      <c r="AG522" t="n">
        <v>6</v>
      </c>
      <c r="AH522" t="n">
        <v>12.3</v>
      </c>
      <c r="AI522" t="n">
        <v>7.4</v>
      </c>
      <c r="AJ522" t="n">
        <v>8.9</v>
      </c>
      <c r="AL522" t="n">
        <v>4.4</v>
      </c>
    </row>
    <row r="523">
      <c r="A523" s="78" t="n">
        <v>35947</v>
      </c>
      <c r="B523" t="n">
        <v>7.832007</v>
      </c>
      <c r="C523" t="n">
        <v>4.8</v>
      </c>
      <c r="D523" t="n">
        <v>9.4</v>
      </c>
      <c r="E523" t="n">
        <v>8.4</v>
      </c>
      <c r="G523" t="n">
        <v>6.006906</v>
      </c>
      <c r="H523" t="n">
        <v>6.4</v>
      </c>
      <c r="I523" t="n">
        <v>9.4</v>
      </c>
      <c r="J523" t="n">
        <v>4.8</v>
      </c>
      <c r="K523" t="n">
        <v>10.5</v>
      </c>
      <c r="L523" t="n">
        <v>16.8</v>
      </c>
      <c r="M523" t="n">
        <v>9.1</v>
      </c>
      <c r="N523" t="n">
        <v>11.6</v>
      </c>
      <c r="O523" t="n">
        <v>12.1</v>
      </c>
      <c r="P523" t="n">
        <v>6.396316</v>
      </c>
      <c r="Q523" t="n">
        <v>6.3</v>
      </c>
      <c r="R523" t="n">
        <v>10.9</v>
      </c>
      <c r="S523" t="n">
        <v>8.800000000000001</v>
      </c>
      <c r="T523" t="n">
        <v>7.6</v>
      </c>
      <c r="W523" t="n">
        <v>11.5</v>
      </c>
      <c r="X523" t="n">
        <v>4.1</v>
      </c>
      <c r="Y523" t="n">
        <v>7.5</v>
      </c>
      <c r="Z523" t="n">
        <v>2.7</v>
      </c>
      <c r="AA523" t="n">
        <v>14.4</v>
      </c>
      <c r="AB523" t="n">
        <v>3.3</v>
      </c>
      <c r="AC523" t="n">
        <v>5.2</v>
      </c>
      <c r="AD523" t="n">
        <v>3.3</v>
      </c>
      <c r="AF523" t="n">
        <v>10</v>
      </c>
      <c r="AG523" t="n">
        <v>6.2</v>
      </c>
      <c r="AH523" t="n">
        <v>12.5</v>
      </c>
      <c r="AI523" t="n">
        <v>7.4</v>
      </c>
      <c r="AJ523" t="n">
        <v>8.199999999999999</v>
      </c>
      <c r="AL523" t="n">
        <v>4.5</v>
      </c>
    </row>
    <row r="524">
      <c r="A524" s="78" t="n">
        <v>35977</v>
      </c>
      <c r="B524" t="n">
        <v>7.973562</v>
      </c>
      <c r="C524" t="n">
        <v>4.7</v>
      </c>
      <c r="D524" t="n">
        <v>9.300000000000001</v>
      </c>
      <c r="E524" t="n">
        <v>8.300000000000001</v>
      </c>
      <c r="G524" t="n">
        <v>6.279891</v>
      </c>
      <c r="H524" t="n">
        <v>6.6</v>
      </c>
      <c r="I524" t="n">
        <v>9.4</v>
      </c>
      <c r="J524" t="n">
        <v>4.9</v>
      </c>
      <c r="K524" t="n">
        <v>10.5</v>
      </c>
      <c r="L524" t="n">
        <v>16.6</v>
      </c>
      <c r="M524" t="n">
        <v>9.1</v>
      </c>
      <c r="N524" t="n">
        <v>11.5</v>
      </c>
      <c r="O524" t="n">
        <v>12.1</v>
      </c>
      <c r="P524" t="n">
        <v>6.38148</v>
      </c>
      <c r="Q524" t="n">
        <v>6.3</v>
      </c>
      <c r="R524" t="n">
        <v>11</v>
      </c>
      <c r="S524" t="n">
        <v>8.699999999999999</v>
      </c>
      <c r="T524" t="n">
        <v>7.5</v>
      </c>
      <c r="W524" t="n">
        <v>11.3</v>
      </c>
      <c r="X524" t="n">
        <v>4.1</v>
      </c>
      <c r="Y524" t="n">
        <v>8.199999999999999</v>
      </c>
      <c r="Z524" t="n">
        <v>2.7</v>
      </c>
      <c r="AA524" t="n">
        <v>14.3</v>
      </c>
      <c r="AB524" t="n">
        <v>3.3</v>
      </c>
      <c r="AC524" t="n">
        <v>5.1</v>
      </c>
      <c r="AD524" t="n">
        <v>3.2</v>
      </c>
      <c r="AF524" t="n">
        <v>10.1</v>
      </c>
      <c r="AG524" t="n">
        <v>6.1</v>
      </c>
      <c r="AH524" t="n">
        <v>12.9</v>
      </c>
      <c r="AI524" t="n">
        <v>7.4</v>
      </c>
      <c r="AJ524" t="n">
        <v>8.300000000000001</v>
      </c>
      <c r="AL524" t="n">
        <v>4.5</v>
      </c>
    </row>
    <row r="525">
      <c r="A525" s="78" t="n">
        <v>36008</v>
      </c>
      <c r="B525" t="n">
        <v>7.754319</v>
      </c>
      <c r="C525" t="n">
        <v>4.7</v>
      </c>
      <c r="D525" t="n">
        <v>9.4</v>
      </c>
      <c r="E525" t="n">
        <v>8.1</v>
      </c>
      <c r="G525" t="n">
        <v>6.330407</v>
      </c>
      <c r="H525" t="n">
        <v>6.6</v>
      </c>
      <c r="I525" t="n">
        <v>9.300000000000001</v>
      </c>
      <c r="J525" t="n">
        <v>4.9</v>
      </c>
      <c r="K525" t="n">
        <v>10.4</v>
      </c>
      <c r="L525" t="n">
        <v>16.4</v>
      </c>
      <c r="M525" t="n">
        <v>9.1</v>
      </c>
      <c r="N525" t="n">
        <v>11.3</v>
      </c>
      <c r="O525" t="n">
        <v>12.1</v>
      </c>
      <c r="P525" t="n">
        <v>6.385903</v>
      </c>
      <c r="Q525" t="n">
        <v>6.2</v>
      </c>
      <c r="R525" t="n">
        <v>11.2</v>
      </c>
      <c r="S525" t="n">
        <v>8.6</v>
      </c>
      <c r="T525" t="n">
        <v>7.3</v>
      </c>
      <c r="W525" t="n">
        <v>11.3</v>
      </c>
      <c r="X525" t="n">
        <v>4.4</v>
      </c>
      <c r="Y525" t="n">
        <v>8</v>
      </c>
      <c r="Z525" t="n">
        <v>2.6</v>
      </c>
      <c r="AA525" t="n">
        <v>14.1</v>
      </c>
      <c r="AB525" t="n">
        <v>3.1</v>
      </c>
      <c r="AC525" t="n">
        <v>5</v>
      </c>
      <c r="AD525" t="n">
        <v>3</v>
      </c>
      <c r="AF525" t="n">
        <v>10.2</v>
      </c>
      <c r="AG525" t="n">
        <v>5.9</v>
      </c>
      <c r="AH525" t="n">
        <v>13</v>
      </c>
      <c r="AI525" t="n">
        <v>7.4</v>
      </c>
      <c r="AJ525" t="n">
        <v>8.1</v>
      </c>
      <c r="AL525" t="n">
        <v>4.5</v>
      </c>
    </row>
    <row r="526">
      <c r="A526" s="78" t="n">
        <v>36039</v>
      </c>
      <c r="B526" t="n">
        <v>7.632497</v>
      </c>
      <c r="C526" t="n">
        <v>4.6</v>
      </c>
      <c r="D526" t="n">
        <v>9.4</v>
      </c>
      <c r="E526" t="n">
        <v>8.199999999999999</v>
      </c>
      <c r="G526" t="n">
        <v>6.693139</v>
      </c>
      <c r="H526" t="n">
        <v>6.9</v>
      </c>
      <c r="I526" t="n">
        <v>9.199999999999999</v>
      </c>
      <c r="J526" t="n">
        <v>4.8</v>
      </c>
      <c r="K526" t="n">
        <v>10.4</v>
      </c>
      <c r="L526" t="n">
        <v>16.3</v>
      </c>
      <c r="M526" t="n">
        <v>9.1</v>
      </c>
      <c r="N526" t="n">
        <v>11</v>
      </c>
      <c r="O526" t="n">
        <v>12.1</v>
      </c>
      <c r="P526" t="n">
        <v>6.396735</v>
      </c>
      <c r="Q526" t="n">
        <v>6.2</v>
      </c>
      <c r="R526" t="n">
        <v>11.1</v>
      </c>
      <c r="S526" t="n">
        <v>8.4</v>
      </c>
      <c r="T526" t="n">
        <v>7.1</v>
      </c>
      <c r="W526" t="n">
        <v>11.3</v>
      </c>
      <c r="X526" t="n">
        <v>4.3</v>
      </c>
      <c r="Y526" t="n">
        <v>8.199999999999999</v>
      </c>
      <c r="Z526" t="n">
        <v>2.6</v>
      </c>
      <c r="AA526" t="n">
        <v>13.9</v>
      </c>
      <c r="AB526" t="n">
        <v>3.2</v>
      </c>
      <c r="AC526" t="n">
        <v>4.9</v>
      </c>
      <c r="AD526" t="n">
        <v>2.8</v>
      </c>
      <c r="AF526" t="n">
        <v>10.4</v>
      </c>
      <c r="AG526" t="n">
        <v>5.7</v>
      </c>
      <c r="AH526" t="n">
        <v>13.2</v>
      </c>
      <c r="AI526" t="n">
        <v>7.4</v>
      </c>
      <c r="AJ526" t="n">
        <v>7.6</v>
      </c>
      <c r="AL526" t="n">
        <v>4.6</v>
      </c>
    </row>
    <row r="527">
      <c r="A527" s="78" t="n">
        <v>36069</v>
      </c>
      <c r="B527" t="n">
        <v>7.312757</v>
      </c>
      <c r="C527" t="n">
        <v>4.5</v>
      </c>
      <c r="D527" t="n">
        <v>9.199999999999999</v>
      </c>
      <c r="E527" t="n">
        <v>8</v>
      </c>
      <c r="G527" t="n">
        <v>7.347814</v>
      </c>
      <c r="H527" t="n">
        <v>7.3</v>
      </c>
      <c r="I527" t="n">
        <v>9.1</v>
      </c>
      <c r="J527" t="n">
        <v>4.8</v>
      </c>
      <c r="K527" t="n">
        <v>10.3</v>
      </c>
      <c r="L527" t="n">
        <v>16</v>
      </c>
      <c r="M527" t="n">
        <v>9.300000000000001</v>
      </c>
      <c r="N527" t="n">
        <v>10.9</v>
      </c>
      <c r="O527" t="n">
        <v>12</v>
      </c>
      <c r="P527" t="n">
        <v>6.375484</v>
      </c>
      <c r="Q527" t="n">
        <v>6.2</v>
      </c>
      <c r="R527" t="n">
        <v>11.1</v>
      </c>
      <c r="S527" t="n">
        <v>8.300000000000001</v>
      </c>
      <c r="T527" t="n">
        <v>7</v>
      </c>
      <c r="W527" t="n">
        <v>11.5</v>
      </c>
      <c r="X527" t="n">
        <v>4.3</v>
      </c>
      <c r="Y527" t="n">
        <v>8.1</v>
      </c>
      <c r="Z527" t="n">
        <v>2.6</v>
      </c>
      <c r="AA527" t="n">
        <v>13.8</v>
      </c>
      <c r="AB527" t="n">
        <v>3.1</v>
      </c>
      <c r="AC527" t="n">
        <v>4.8</v>
      </c>
      <c r="AD527" t="n">
        <v>2.7</v>
      </c>
      <c r="AF527" t="n">
        <v>10.6</v>
      </c>
      <c r="AG527" t="n">
        <v>5.6</v>
      </c>
      <c r="AH527" t="n">
        <v>13.2</v>
      </c>
      <c r="AI527" t="n">
        <v>7.4</v>
      </c>
      <c r="AJ527" t="n">
        <v>7.4</v>
      </c>
      <c r="AL527" t="n">
        <v>4.5</v>
      </c>
    </row>
    <row r="528">
      <c r="A528" s="78" t="n">
        <v>36100</v>
      </c>
      <c r="B528" t="n">
        <v>7.62579</v>
      </c>
      <c r="C528" t="n">
        <v>4.4</v>
      </c>
      <c r="D528" t="n">
        <v>9.1</v>
      </c>
      <c r="E528" t="n">
        <v>8</v>
      </c>
      <c r="G528" t="n">
        <v>7.952356</v>
      </c>
      <c r="H528" t="n">
        <v>7.3</v>
      </c>
      <c r="I528" t="n">
        <v>9.1</v>
      </c>
      <c r="J528" t="n">
        <v>4.8</v>
      </c>
      <c r="K528" t="n">
        <v>10.3</v>
      </c>
      <c r="L528" t="n">
        <v>15.7</v>
      </c>
      <c r="M528" t="n">
        <v>9.300000000000001</v>
      </c>
      <c r="N528" t="n">
        <v>10.8</v>
      </c>
      <c r="O528" t="n">
        <v>12</v>
      </c>
      <c r="P528" t="n">
        <v>6.348832</v>
      </c>
      <c r="Q528" t="n">
        <v>6.1</v>
      </c>
      <c r="R528" t="n">
        <v>11.4</v>
      </c>
      <c r="S528" t="n">
        <v>8.1</v>
      </c>
      <c r="T528" t="n">
        <v>6.8</v>
      </c>
      <c r="W528" t="n">
        <v>11.4</v>
      </c>
      <c r="X528" t="n">
        <v>4.5</v>
      </c>
      <c r="Y528" t="n">
        <v>7.9</v>
      </c>
      <c r="Z528" t="n">
        <v>2.5</v>
      </c>
      <c r="AA528" t="n">
        <v>13.7</v>
      </c>
      <c r="AB528" t="n">
        <v>3</v>
      </c>
      <c r="AC528" t="n">
        <v>4.7</v>
      </c>
      <c r="AD528" t="n">
        <v>2.9</v>
      </c>
      <c r="AF528" t="n">
        <v>10.8</v>
      </c>
      <c r="AG528" t="n">
        <v>5.9</v>
      </c>
      <c r="AH528" t="n">
        <v>13.3</v>
      </c>
      <c r="AI528" t="n">
        <v>7.4</v>
      </c>
      <c r="AJ528" t="n">
        <v>7.6</v>
      </c>
      <c r="AL528" t="n">
        <v>4.4</v>
      </c>
    </row>
    <row r="529">
      <c r="A529" s="78" t="n">
        <v>36130</v>
      </c>
      <c r="B529" t="n">
        <v>7.182858</v>
      </c>
      <c r="C529" t="n">
        <v>4.3</v>
      </c>
      <c r="D529" t="n">
        <v>9.1</v>
      </c>
      <c r="E529" t="n">
        <v>8.1</v>
      </c>
      <c r="G529" t="n">
        <v>8.318832</v>
      </c>
      <c r="H529" t="n">
        <v>7.4</v>
      </c>
      <c r="I529" t="n">
        <v>9</v>
      </c>
      <c r="J529" t="n">
        <v>4.9</v>
      </c>
      <c r="K529" t="n">
        <v>10.2</v>
      </c>
      <c r="L529" t="n">
        <v>15.4</v>
      </c>
      <c r="M529" t="n">
        <v>9.300000000000001</v>
      </c>
      <c r="N529" t="n">
        <v>10.8</v>
      </c>
      <c r="O529" t="n">
        <v>12</v>
      </c>
      <c r="P529" t="n">
        <v>6.310801</v>
      </c>
      <c r="Q529" t="n">
        <v>6.2</v>
      </c>
      <c r="R529" t="n">
        <v>11.4</v>
      </c>
      <c r="S529" t="n">
        <v>7.8</v>
      </c>
      <c r="T529" t="n">
        <v>6.6</v>
      </c>
      <c r="W529" t="n">
        <v>11.4</v>
      </c>
      <c r="X529" t="n">
        <v>4.4</v>
      </c>
      <c r="Y529" t="n">
        <v>7.9</v>
      </c>
      <c r="Z529" t="n">
        <v>2.4</v>
      </c>
      <c r="AA529" t="n">
        <v>13.7</v>
      </c>
      <c r="AB529" t="n">
        <v>3.1</v>
      </c>
      <c r="AC529" t="n">
        <v>4.6</v>
      </c>
      <c r="AD529" t="n">
        <v>2.8</v>
      </c>
      <c r="AF529" t="n">
        <v>11</v>
      </c>
      <c r="AG529" t="n">
        <v>5.8</v>
      </c>
      <c r="AH529" t="n">
        <v>13.6</v>
      </c>
      <c r="AI529" t="n">
        <v>7.4</v>
      </c>
      <c r="AJ529" t="n">
        <v>7.4</v>
      </c>
      <c r="AL529" t="n">
        <v>4.4</v>
      </c>
    </row>
    <row r="530">
      <c r="A530" s="78" t="n">
        <v>36161</v>
      </c>
      <c r="B530" t="n">
        <v>7.118066</v>
      </c>
      <c r="C530" t="n">
        <v>4.3</v>
      </c>
      <c r="D530" t="n">
        <v>8.9</v>
      </c>
      <c r="E530" t="n">
        <v>7.9</v>
      </c>
      <c r="G530" t="n">
        <v>8.372978</v>
      </c>
      <c r="H530" t="n">
        <v>7.8</v>
      </c>
      <c r="I530" t="n">
        <v>8.9</v>
      </c>
      <c r="J530" t="n">
        <v>5</v>
      </c>
      <c r="K530" t="n">
        <v>10.1</v>
      </c>
      <c r="L530" t="n">
        <v>14.8</v>
      </c>
      <c r="M530" t="n">
        <v>10.1</v>
      </c>
      <c r="N530" t="n">
        <v>10.7</v>
      </c>
      <c r="O530" t="n">
        <v>12</v>
      </c>
      <c r="P530" t="n">
        <v>6.262836</v>
      </c>
      <c r="Q530" t="n">
        <v>6.2</v>
      </c>
      <c r="R530" t="n">
        <v>11.4</v>
      </c>
      <c r="S530" t="n">
        <v>7.2</v>
      </c>
      <c r="T530" t="n">
        <v>6.5</v>
      </c>
      <c r="W530" t="n">
        <v>11.1</v>
      </c>
      <c r="X530" t="n">
        <v>4.5</v>
      </c>
      <c r="Y530" t="n">
        <v>7.6</v>
      </c>
      <c r="Z530" t="n">
        <v>2.4</v>
      </c>
      <c r="AA530" t="n">
        <v>13.7</v>
      </c>
      <c r="AB530" t="n">
        <v>2.6</v>
      </c>
      <c r="AC530" t="n">
        <v>4.6</v>
      </c>
      <c r="AD530" t="n">
        <v>2.7</v>
      </c>
      <c r="AF530" t="n">
        <v>11.5</v>
      </c>
      <c r="AG530" t="n">
        <v>5.8</v>
      </c>
      <c r="AH530" t="n">
        <v>14.2</v>
      </c>
      <c r="AI530" t="n">
        <v>7.3</v>
      </c>
      <c r="AJ530" t="n">
        <v>7.3</v>
      </c>
      <c r="AL530" t="n">
        <v>4.3</v>
      </c>
    </row>
    <row r="531">
      <c r="A531" s="78" t="n">
        <v>36192</v>
      </c>
      <c r="B531" t="n">
        <v>7.114388</v>
      </c>
      <c r="C531" t="n">
        <v>4.2</v>
      </c>
      <c r="D531" t="n">
        <v>9</v>
      </c>
      <c r="E531" t="n">
        <v>7.9</v>
      </c>
      <c r="G531" t="n">
        <v>8.815518000000001</v>
      </c>
      <c r="H531" t="n">
        <v>8.1</v>
      </c>
      <c r="I531" t="n">
        <v>8.800000000000001</v>
      </c>
      <c r="J531" t="n">
        <v>5</v>
      </c>
      <c r="K531" t="n">
        <v>10</v>
      </c>
      <c r="L531" t="n">
        <v>14.3</v>
      </c>
      <c r="M531" t="n">
        <v>10.1</v>
      </c>
      <c r="N531" t="n">
        <v>10.6</v>
      </c>
      <c r="O531" t="n">
        <v>12</v>
      </c>
      <c r="P531" t="n">
        <v>6.311007</v>
      </c>
      <c r="Q531" t="n">
        <v>6.2</v>
      </c>
      <c r="R531" t="n">
        <v>11.4</v>
      </c>
      <c r="S531" t="n">
        <v>7.2</v>
      </c>
      <c r="T531" t="n">
        <v>6.3</v>
      </c>
      <c r="W531" t="n">
        <v>11.1</v>
      </c>
      <c r="X531" t="n">
        <v>4.6</v>
      </c>
      <c r="Y531" t="n">
        <v>7.4</v>
      </c>
      <c r="Z531" t="n">
        <v>2.4</v>
      </c>
      <c r="AA531" t="n">
        <v>13.8</v>
      </c>
      <c r="AB531" t="n">
        <v>3.1</v>
      </c>
      <c r="AC531" t="n">
        <v>4.5</v>
      </c>
      <c r="AD531" t="n">
        <v>2.7</v>
      </c>
      <c r="AF531" t="n">
        <v>12</v>
      </c>
      <c r="AG531" t="n">
        <v>5.8</v>
      </c>
      <c r="AH531" t="n">
        <v>14.8</v>
      </c>
      <c r="AI531" t="n">
        <v>7.2</v>
      </c>
      <c r="AJ531" t="n">
        <v>7</v>
      </c>
      <c r="AL531" t="n">
        <v>4.4</v>
      </c>
    </row>
    <row r="532">
      <c r="A532" s="78" t="n">
        <v>36220</v>
      </c>
      <c r="B532" t="n">
        <v>7.011948</v>
      </c>
      <c r="C532" t="n">
        <v>4.2</v>
      </c>
      <c r="D532" t="n">
        <v>9</v>
      </c>
      <c r="E532" t="n">
        <v>7.9</v>
      </c>
      <c r="G532" t="n">
        <v>9.310903</v>
      </c>
      <c r="H532" t="n">
        <v>8.6</v>
      </c>
      <c r="I532" t="n">
        <v>8.800000000000001</v>
      </c>
      <c r="J532" t="n">
        <v>5</v>
      </c>
      <c r="K532" t="n">
        <v>9.9</v>
      </c>
      <c r="L532" t="n">
        <v>13.9</v>
      </c>
      <c r="M532" t="n">
        <v>10.1</v>
      </c>
      <c r="N532" t="n">
        <v>10.5</v>
      </c>
      <c r="O532" t="n">
        <v>11.8</v>
      </c>
      <c r="P532" t="n">
        <v>6.215368</v>
      </c>
      <c r="Q532" t="n">
        <v>6.2</v>
      </c>
      <c r="R532" t="n">
        <v>11.4</v>
      </c>
      <c r="S532" t="n">
        <v>7.1</v>
      </c>
      <c r="T532" t="n">
        <v>6.3</v>
      </c>
      <c r="W532" t="n">
        <v>11.1</v>
      </c>
      <c r="X532" t="n">
        <v>4.7</v>
      </c>
      <c r="Y532" t="n">
        <v>7.2</v>
      </c>
      <c r="Z532" t="n">
        <v>2.4</v>
      </c>
      <c r="AA532" t="n">
        <v>13.8</v>
      </c>
      <c r="AB532" t="n">
        <v>2.7</v>
      </c>
      <c r="AC532" t="n">
        <v>4.4</v>
      </c>
      <c r="AD532" t="n">
        <v>2.9</v>
      </c>
      <c r="AF532" t="n">
        <v>12.3</v>
      </c>
      <c r="AG532" t="n">
        <v>5.9</v>
      </c>
      <c r="AH532" t="n">
        <v>15.4</v>
      </c>
      <c r="AI532" t="n">
        <v>7.2</v>
      </c>
      <c r="AJ532" t="n">
        <v>7</v>
      </c>
      <c r="AL532" t="n">
        <v>4.2</v>
      </c>
    </row>
    <row r="533">
      <c r="A533" s="78" t="n">
        <v>36251</v>
      </c>
      <c r="B533" t="n">
        <v>6.978716</v>
      </c>
      <c r="C533" t="n">
        <v>4.2</v>
      </c>
      <c r="D533" t="n">
        <v>9</v>
      </c>
      <c r="E533" t="n">
        <v>8.199999999999999</v>
      </c>
      <c r="G533" t="n">
        <v>10.03722</v>
      </c>
      <c r="H533" t="n">
        <v>8.6</v>
      </c>
      <c r="I533" t="n">
        <v>8.699999999999999</v>
      </c>
      <c r="J533" t="n">
        <v>5</v>
      </c>
      <c r="K533" t="n">
        <v>9.9</v>
      </c>
      <c r="L533" t="n">
        <v>13.6</v>
      </c>
      <c r="M533" t="n">
        <v>11.1</v>
      </c>
      <c r="N533" t="n">
        <v>10.4</v>
      </c>
      <c r="O533" t="n">
        <v>11.7</v>
      </c>
      <c r="P533" t="n">
        <v>6.272702</v>
      </c>
      <c r="Q533" t="n">
        <v>6.1</v>
      </c>
      <c r="R533" t="n">
        <v>12.1</v>
      </c>
      <c r="S533" t="n">
        <v>7</v>
      </c>
      <c r="T533" t="n">
        <v>6.3</v>
      </c>
      <c r="W533" t="n">
        <v>11.1</v>
      </c>
      <c r="X533" t="n">
        <v>4.7</v>
      </c>
      <c r="Y533" t="n">
        <v>7</v>
      </c>
      <c r="Z533" t="n">
        <v>2.4</v>
      </c>
      <c r="AA533" t="n">
        <v>13.8</v>
      </c>
      <c r="AB533" t="n">
        <v>2.8</v>
      </c>
      <c r="AC533" t="n">
        <v>4.4</v>
      </c>
      <c r="AD533" t="n">
        <v>2.9</v>
      </c>
      <c r="AF533" t="n">
        <v>12.7</v>
      </c>
      <c r="AG533" t="n">
        <v>6</v>
      </c>
      <c r="AH533" t="n">
        <v>15.7</v>
      </c>
      <c r="AI533" t="n">
        <v>7.5</v>
      </c>
      <c r="AJ533" t="n">
        <v>6.9</v>
      </c>
      <c r="AL533" t="n">
        <v>4.3</v>
      </c>
    </row>
    <row r="534">
      <c r="A534" s="78" t="n">
        <v>36281</v>
      </c>
      <c r="B534" t="n">
        <v>7.024241</v>
      </c>
      <c r="C534" t="n">
        <v>4.2</v>
      </c>
      <c r="D534" t="n">
        <v>9</v>
      </c>
      <c r="E534" t="n">
        <v>7.9</v>
      </c>
      <c r="G534" t="n">
        <v>10.64839</v>
      </c>
      <c r="H534" t="n">
        <v>8.699999999999999</v>
      </c>
      <c r="I534" t="n">
        <v>8.6</v>
      </c>
      <c r="J534" t="n">
        <v>5</v>
      </c>
      <c r="K534" t="n">
        <v>9.9</v>
      </c>
      <c r="L534" t="n">
        <v>13.5</v>
      </c>
      <c r="M534" t="n">
        <v>11.1</v>
      </c>
      <c r="N534" t="n">
        <v>10.3</v>
      </c>
      <c r="O534" t="n">
        <v>11.5</v>
      </c>
      <c r="P534" t="n">
        <v>6.155478</v>
      </c>
      <c r="Q534" t="n">
        <v>6</v>
      </c>
      <c r="R534" t="n">
        <v>12</v>
      </c>
      <c r="S534" t="n">
        <v>6.9</v>
      </c>
      <c r="T534" t="n">
        <v>6.3</v>
      </c>
      <c r="W534" t="n">
        <v>11.1</v>
      </c>
      <c r="X534" t="n">
        <v>4.7</v>
      </c>
      <c r="Y534" t="n">
        <v>6.8</v>
      </c>
      <c r="Z534" t="n">
        <v>2.4</v>
      </c>
      <c r="AA534" t="n">
        <v>13.8</v>
      </c>
      <c r="AB534" t="n">
        <v>2.6</v>
      </c>
      <c r="AC534" t="n">
        <v>4.3</v>
      </c>
      <c r="AD534" t="n">
        <v>2.9</v>
      </c>
      <c r="AF534" t="n">
        <v>12.9</v>
      </c>
      <c r="AG534" t="n">
        <v>6.1</v>
      </c>
      <c r="AH534" t="n">
        <v>16.1</v>
      </c>
      <c r="AI534" t="n">
        <v>7.5</v>
      </c>
      <c r="AJ534" t="n">
        <v>6.7</v>
      </c>
      <c r="AL534" t="n">
        <v>4.2</v>
      </c>
    </row>
    <row r="535">
      <c r="A535" s="78" t="n">
        <v>36312</v>
      </c>
      <c r="B535" t="n">
        <v>6.65308</v>
      </c>
      <c r="C535" t="n">
        <v>4.2</v>
      </c>
      <c r="D535" t="n">
        <v>8.699999999999999</v>
      </c>
      <c r="E535" t="n">
        <v>7.6</v>
      </c>
      <c r="G535" t="n">
        <v>10.74485</v>
      </c>
      <c r="H535" t="n">
        <v>8.5</v>
      </c>
      <c r="I535" t="n">
        <v>8.6</v>
      </c>
      <c r="J535" t="n">
        <v>4.9</v>
      </c>
      <c r="K535" t="n">
        <v>9.800000000000001</v>
      </c>
      <c r="L535" t="n">
        <v>13.5</v>
      </c>
      <c r="M535" t="n">
        <v>11.1</v>
      </c>
      <c r="N535" t="n">
        <v>10.3</v>
      </c>
      <c r="O535" t="n">
        <v>11.4</v>
      </c>
      <c r="P535" t="n">
        <v>6.182482</v>
      </c>
      <c r="Q535" t="n">
        <v>6</v>
      </c>
      <c r="R535" t="n">
        <v>12</v>
      </c>
      <c r="S535" t="n">
        <v>6.9</v>
      </c>
      <c r="T535" t="n">
        <v>6</v>
      </c>
      <c r="W535" t="n">
        <v>11</v>
      </c>
      <c r="X535" t="n">
        <v>4.8</v>
      </c>
      <c r="Y535" t="n">
        <v>7.3</v>
      </c>
      <c r="Z535" t="n">
        <v>2.4</v>
      </c>
      <c r="AA535" t="n">
        <v>13.9</v>
      </c>
      <c r="AB535" t="n">
        <v>2.7</v>
      </c>
      <c r="AC535" t="n">
        <v>4.3</v>
      </c>
      <c r="AD535" t="n">
        <v>2.8</v>
      </c>
      <c r="AF535" t="n">
        <v>13.2</v>
      </c>
      <c r="AG535" t="n">
        <v>5.9</v>
      </c>
      <c r="AH535" t="n">
        <v>16.5</v>
      </c>
      <c r="AI535" t="n">
        <v>7.6</v>
      </c>
      <c r="AJ535" t="n">
        <v>6.7</v>
      </c>
      <c r="AL535" t="n">
        <v>4.3</v>
      </c>
    </row>
    <row r="536">
      <c r="A536" s="78" t="n">
        <v>36342</v>
      </c>
      <c r="B536" t="n">
        <v>6.674418</v>
      </c>
      <c r="C536" t="n">
        <v>4.1</v>
      </c>
      <c r="D536" t="n">
        <v>8.300000000000001</v>
      </c>
      <c r="E536" t="n">
        <v>7.6</v>
      </c>
      <c r="G536" t="n">
        <v>10.94555</v>
      </c>
      <c r="H536" t="n">
        <v>8.699999999999999</v>
      </c>
      <c r="I536" t="n">
        <v>8.5</v>
      </c>
      <c r="J536" t="n">
        <v>5</v>
      </c>
      <c r="K536" t="n">
        <v>9.800000000000001</v>
      </c>
      <c r="L536" t="n">
        <v>13.5</v>
      </c>
      <c r="M536" t="n">
        <v>11.8</v>
      </c>
      <c r="N536" t="n">
        <v>10.2</v>
      </c>
      <c r="O536" t="n">
        <v>11.3</v>
      </c>
      <c r="P536" t="n">
        <v>6.18581</v>
      </c>
      <c r="Q536" t="n">
        <v>5.9</v>
      </c>
      <c r="R536" t="n">
        <v>12</v>
      </c>
      <c r="S536" t="n">
        <v>6.8</v>
      </c>
      <c r="T536" t="n">
        <v>5.7</v>
      </c>
      <c r="W536" t="n">
        <v>11</v>
      </c>
      <c r="X536" t="n">
        <v>4.8</v>
      </c>
      <c r="Y536" t="n">
        <v>7</v>
      </c>
      <c r="Z536" t="n">
        <v>2.4</v>
      </c>
      <c r="AA536" t="n">
        <v>14</v>
      </c>
      <c r="AB536" t="n">
        <v>2.3</v>
      </c>
      <c r="AC536" t="n">
        <v>4.2</v>
      </c>
      <c r="AD536" t="n">
        <v>2.9</v>
      </c>
      <c r="AF536" t="n">
        <v>13.5</v>
      </c>
      <c r="AG536" t="n">
        <v>5.8</v>
      </c>
      <c r="AH536" t="n">
        <v>16.7</v>
      </c>
      <c r="AI536" t="n">
        <v>7.6</v>
      </c>
      <c r="AJ536" t="n">
        <v>6.6</v>
      </c>
      <c r="AL536" t="n">
        <v>4.3</v>
      </c>
    </row>
    <row r="537">
      <c r="A537" s="78" t="n">
        <v>36373</v>
      </c>
      <c r="B537" t="n">
        <v>6.90508</v>
      </c>
      <c r="C537" t="n">
        <v>4</v>
      </c>
      <c r="D537" t="n">
        <v>8.199999999999999</v>
      </c>
      <c r="E537" t="n">
        <v>7.4</v>
      </c>
      <c r="G537" t="n">
        <v>10.96766</v>
      </c>
      <c r="H537" t="n">
        <v>8.9</v>
      </c>
      <c r="I537" t="n">
        <v>8.5</v>
      </c>
      <c r="J537" t="n">
        <v>5.3</v>
      </c>
      <c r="K537" t="n">
        <v>9.699999999999999</v>
      </c>
      <c r="L537" t="n">
        <v>13.5</v>
      </c>
      <c r="M537" t="n">
        <v>11.8</v>
      </c>
      <c r="N537" t="n">
        <v>10.1</v>
      </c>
      <c r="O537" t="n">
        <v>11.1</v>
      </c>
      <c r="P537" t="n">
        <v>6.079429</v>
      </c>
      <c r="Q537" t="n">
        <v>5.9</v>
      </c>
      <c r="R537" t="n">
        <v>12.1</v>
      </c>
      <c r="S537" t="n">
        <v>6.7</v>
      </c>
      <c r="T537" t="n">
        <v>5.5</v>
      </c>
      <c r="W537" t="n">
        <v>10.9</v>
      </c>
      <c r="X537" t="n">
        <v>4.7</v>
      </c>
      <c r="Y537" t="n">
        <v>6.4</v>
      </c>
      <c r="Z537" t="n">
        <v>2.4</v>
      </c>
      <c r="AA537" t="n">
        <v>14.1</v>
      </c>
      <c r="AB537" t="n">
        <v>2.5</v>
      </c>
      <c r="AC537" t="n">
        <v>4.2</v>
      </c>
      <c r="AD537" t="n">
        <v>3.1</v>
      </c>
      <c r="AF537" t="n">
        <v>13.8</v>
      </c>
      <c r="AG537" t="n">
        <v>5.6</v>
      </c>
      <c r="AH537" t="n">
        <v>17.1</v>
      </c>
      <c r="AI537" t="n">
        <v>7.6</v>
      </c>
      <c r="AJ537" t="n">
        <v>6.7</v>
      </c>
      <c r="AL537" t="n">
        <v>4.2</v>
      </c>
    </row>
    <row r="538">
      <c r="A538" s="78" t="n">
        <v>36404</v>
      </c>
      <c r="B538" t="n">
        <v>7.040379</v>
      </c>
      <c r="C538" t="n">
        <v>4</v>
      </c>
      <c r="D538" t="n">
        <v>7.9</v>
      </c>
      <c r="E538" t="n">
        <v>7.5</v>
      </c>
      <c r="G538" t="n">
        <v>10.97513</v>
      </c>
      <c r="H538" t="n">
        <v>9.199999999999999</v>
      </c>
      <c r="I538" t="n">
        <v>8.4</v>
      </c>
      <c r="J538" t="n">
        <v>5.2</v>
      </c>
      <c r="K538" t="n">
        <v>9.699999999999999</v>
      </c>
      <c r="L538" t="n">
        <v>13.4</v>
      </c>
      <c r="M538" t="n">
        <v>11.8</v>
      </c>
      <c r="N538" t="n">
        <v>10</v>
      </c>
      <c r="O538" t="n">
        <v>11</v>
      </c>
      <c r="P538" t="n">
        <v>6.059389</v>
      </c>
      <c r="Q538" t="n">
        <v>5.8</v>
      </c>
      <c r="R538" t="n">
        <v>12</v>
      </c>
      <c r="S538" t="n">
        <v>6.7</v>
      </c>
      <c r="T538" t="n">
        <v>5.5</v>
      </c>
      <c r="W538" t="n">
        <v>10.9</v>
      </c>
      <c r="X538" t="n">
        <v>4.6</v>
      </c>
      <c r="Y538" t="n">
        <v>5.7</v>
      </c>
      <c r="Z538" t="n">
        <v>2.4</v>
      </c>
      <c r="AA538" t="n">
        <v>14.3</v>
      </c>
      <c r="AB538" t="n">
        <v>2.3</v>
      </c>
      <c r="AC538" t="n">
        <v>4.1</v>
      </c>
      <c r="AD538" t="n">
        <v>3.4</v>
      </c>
      <c r="AF538" t="n">
        <v>14.2</v>
      </c>
      <c r="AG538" t="n">
        <v>5.5</v>
      </c>
      <c r="AH538" t="n">
        <v>17.3</v>
      </c>
      <c r="AI538" t="n">
        <v>7.6</v>
      </c>
      <c r="AJ538" t="n">
        <v>6.6</v>
      </c>
      <c r="AL538" t="n">
        <v>4.2</v>
      </c>
    </row>
    <row r="539">
      <c r="A539" s="78" t="n">
        <v>36434</v>
      </c>
      <c r="B539" t="n">
        <v>6.775551</v>
      </c>
      <c r="C539" t="n">
        <v>4</v>
      </c>
      <c r="D539" t="n">
        <v>7.8</v>
      </c>
      <c r="E539" t="n">
        <v>7.2</v>
      </c>
      <c r="G539" t="n">
        <v>10.6077</v>
      </c>
      <c r="H539" t="n">
        <v>9.199999999999999</v>
      </c>
      <c r="I539" t="n">
        <v>8.4</v>
      </c>
      <c r="J539" t="n">
        <v>5.3</v>
      </c>
      <c r="K539" t="n">
        <v>9.6</v>
      </c>
      <c r="L539" t="n">
        <v>13.2</v>
      </c>
      <c r="M539" t="n">
        <v>12.4</v>
      </c>
      <c r="N539" t="n">
        <v>10.1</v>
      </c>
      <c r="O539" t="n">
        <v>10.8</v>
      </c>
      <c r="P539" t="n">
        <v>5.977794</v>
      </c>
      <c r="Q539" t="n">
        <v>5.8</v>
      </c>
      <c r="R539" t="n">
        <v>12.3</v>
      </c>
      <c r="S539" t="n">
        <v>6.7</v>
      </c>
      <c r="T539" t="n">
        <v>5.6</v>
      </c>
      <c r="W539" t="n">
        <v>10.7</v>
      </c>
      <c r="X539" t="n">
        <v>4.6</v>
      </c>
      <c r="Y539" t="n">
        <v>5.4</v>
      </c>
      <c r="Z539" t="n">
        <v>2.4</v>
      </c>
      <c r="AA539" t="n">
        <v>14.4</v>
      </c>
      <c r="AB539" t="n">
        <v>2.4</v>
      </c>
      <c r="AC539" t="n">
        <v>4.1</v>
      </c>
      <c r="AD539" t="n">
        <v>3.4</v>
      </c>
      <c r="AF539" t="n">
        <v>14.5</v>
      </c>
      <c r="AG539" t="n">
        <v>5.3</v>
      </c>
      <c r="AH539" t="n">
        <v>17.7</v>
      </c>
      <c r="AI539" t="n">
        <v>7.5</v>
      </c>
      <c r="AJ539" t="n">
        <v>6.4</v>
      </c>
      <c r="AL539" t="n">
        <v>4.1</v>
      </c>
    </row>
    <row r="540">
      <c r="A540" s="78" t="n">
        <v>36465</v>
      </c>
      <c r="B540" t="n">
        <v>6.439112</v>
      </c>
      <c r="C540" t="n">
        <v>4.1</v>
      </c>
      <c r="D540" t="n">
        <v>7.7</v>
      </c>
      <c r="E540" t="n">
        <v>6.9</v>
      </c>
      <c r="G540" t="n">
        <v>10.15282</v>
      </c>
      <c r="H540" t="n">
        <v>8.9</v>
      </c>
      <c r="I540" t="n">
        <v>8.300000000000001</v>
      </c>
      <c r="J540" t="n">
        <v>5.3</v>
      </c>
      <c r="K540" t="n">
        <v>9.6</v>
      </c>
      <c r="L540" t="n">
        <v>13.1</v>
      </c>
      <c r="M540" t="n">
        <v>12.4</v>
      </c>
      <c r="N540" t="n">
        <v>10.1</v>
      </c>
      <c r="O540" t="n">
        <v>10.7</v>
      </c>
      <c r="P540" t="n">
        <v>5.903398</v>
      </c>
      <c r="Q540" t="n">
        <v>5.8</v>
      </c>
      <c r="R540" t="n">
        <v>12.4</v>
      </c>
      <c r="S540" t="n">
        <v>6.7</v>
      </c>
      <c r="T540" t="n">
        <v>5.5</v>
      </c>
      <c r="W540" t="n">
        <v>10.7</v>
      </c>
      <c r="X540" t="n">
        <v>4.6</v>
      </c>
      <c r="Y540" t="n">
        <v>5.2</v>
      </c>
      <c r="Z540" t="n">
        <v>2.4</v>
      </c>
      <c r="AA540" t="n">
        <v>14.5</v>
      </c>
      <c r="AB540" t="n">
        <v>2.3</v>
      </c>
      <c r="AC540" t="n">
        <v>4</v>
      </c>
      <c r="AD540" t="n">
        <v>3.4</v>
      </c>
      <c r="AF540" t="n">
        <v>14.8</v>
      </c>
      <c r="AG540" t="n">
        <v>5.4</v>
      </c>
      <c r="AH540" t="n">
        <v>18.1</v>
      </c>
      <c r="AI540" t="n">
        <v>7.4</v>
      </c>
      <c r="AJ540" t="n">
        <v>6.3</v>
      </c>
      <c r="AL540" t="n">
        <v>4.1</v>
      </c>
    </row>
    <row r="541">
      <c r="A541" s="78" t="n">
        <v>36495</v>
      </c>
      <c r="B541" t="n">
        <v>6.683746</v>
      </c>
      <c r="C541" t="n">
        <v>4.2</v>
      </c>
      <c r="D541" t="n">
        <v>7.6</v>
      </c>
      <c r="E541" t="n">
        <v>6.8</v>
      </c>
      <c r="G541" t="n">
        <v>9.600121</v>
      </c>
      <c r="H541" t="n">
        <v>9.1</v>
      </c>
      <c r="I541" t="n">
        <v>8.199999999999999</v>
      </c>
      <c r="J541" t="n">
        <v>5.3</v>
      </c>
      <c r="K541" t="n">
        <v>9.5</v>
      </c>
      <c r="L541" t="n">
        <v>12.9</v>
      </c>
      <c r="M541" t="n">
        <v>12.4</v>
      </c>
      <c r="N541" t="n">
        <v>10.1</v>
      </c>
      <c r="O541" t="n">
        <v>10.5</v>
      </c>
      <c r="P541" t="n">
        <v>5.869812</v>
      </c>
      <c r="Q541" t="n">
        <v>5.9</v>
      </c>
      <c r="R541" t="n">
        <v>12.3</v>
      </c>
      <c r="S541" t="n">
        <v>6.6</v>
      </c>
      <c r="T541" t="n">
        <v>5.4</v>
      </c>
      <c r="W541" t="n">
        <v>10.6</v>
      </c>
      <c r="X541" t="n">
        <v>4.7</v>
      </c>
      <c r="Y541" t="n">
        <v>5.1</v>
      </c>
      <c r="Z541" t="n">
        <v>2.4</v>
      </c>
      <c r="AA541" t="n">
        <v>14.4</v>
      </c>
      <c r="AB541" t="n">
        <v>2.4</v>
      </c>
      <c r="AC541" t="n">
        <v>4</v>
      </c>
      <c r="AD541" t="n">
        <v>3.4</v>
      </c>
      <c r="AF541" t="n">
        <v>15.1</v>
      </c>
      <c r="AG541" t="n">
        <v>5.5</v>
      </c>
      <c r="AH541" t="n">
        <v>18.3</v>
      </c>
      <c r="AI541" t="n">
        <v>7.1</v>
      </c>
      <c r="AJ541" t="n">
        <v>6.3</v>
      </c>
      <c r="AL541" t="n">
        <v>4</v>
      </c>
    </row>
    <row r="542">
      <c r="A542" s="78" t="n">
        <v>36526</v>
      </c>
      <c r="B542" t="n">
        <v>6.767147</v>
      </c>
      <c r="C542" t="n">
        <v>4.3</v>
      </c>
      <c r="D542" t="n">
        <v>7.3</v>
      </c>
      <c r="E542" t="n">
        <v>6.8</v>
      </c>
      <c r="G542" t="n">
        <v>9.168365</v>
      </c>
      <c r="H542" t="n">
        <v>9.300000000000001</v>
      </c>
      <c r="I542" t="n">
        <v>8.199999999999999</v>
      </c>
      <c r="J542" t="n">
        <v>5</v>
      </c>
      <c r="K542" t="n">
        <v>9.4</v>
      </c>
      <c r="L542" t="n">
        <v>12.8</v>
      </c>
      <c r="M542" t="n">
        <v>14</v>
      </c>
      <c r="N542" t="n">
        <v>10.1</v>
      </c>
      <c r="O542" t="n">
        <v>10.4</v>
      </c>
      <c r="P542" t="n">
        <v>5.843853</v>
      </c>
      <c r="Q542" t="n">
        <v>5.8</v>
      </c>
      <c r="R542" t="n">
        <v>11.5</v>
      </c>
      <c r="S542" t="n">
        <v>6.6</v>
      </c>
      <c r="T542" t="n">
        <v>4.9</v>
      </c>
      <c r="W542" t="n">
        <v>10.6</v>
      </c>
      <c r="X542" t="n">
        <v>4.7</v>
      </c>
      <c r="Y542" t="n">
        <v>5</v>
      </c>
      <c r="Z542" t="n">
        <v>2.3</v>
      </c>
      <c r="AA542" t="n">
        <v>14.4</v>
      </c>
      <c r="AB542" t="n">
        <v>2.3</v>
      </c>
      <c r="AC542" t="n">
        <v>3.9</v>
      </c>
      <c r="AD542" t="n">
        <v>3.4</v>
      </c>
      <c r="AF542" t="n">
        <v>15.5</v>
      </c>
      <c r="AG542" t="n">
        <v>5.6</v>
      </c>
      <c r="AH542" t="n">
        <v>18.3</v>
      </c>
      <c r="AI542" t="n">
        <v>6.8</v>
      </c>
      <c r="AJ542" t="n">
        <v>6.2</v>
      </c>
      <c r="AL542" t="n">
        <v>4</v>
      </c>
    </row>
    <row r="543">
      <c r="A543" s="78" t="n">
        <v>36557</v>
      </c>
      <c r="B543" t="n">
        <v>6.618431</v>
      </c>
      <c r="C543" t="n">
        <v>4.3</v>
      </c>
      <c r="D543" t="n">
        <v>7.1</v>
      </c>
      <c r="E543" t="n">
        <v>6.9</v>
      </c>
      <c r="G543" t="n">
        <v>9.01479</v>
      </c>
      <c r="H543" t="n">
        <v>9.199999999999999</v>
      </c>
      <c r="I543" t="n">
        <v>8.1</v>
      </c>
      <c r="J543" t="n">
        <v>4.6</v>
      </c>
      <c r="K543" t="n">
        <v>9.300000000000001</v>
      </c>
      <c r="L543" t="n">
        <v>12.4</v>
      </c>
      <c r="M543" t="n">
        <v>14.9</v>
      </c>
      <c r="N543" t="n">
        <v>10.2</v>
      </c>
      <c r="O543" t="n">
        <v>10.2</v>
      </c>
      <c r="P543" t="n">
        <v>5.891764</v>
      </c>
      <c r="Q543" t="n">
        <v>5.8</v>
      </c>
      <c r="R543" t="n">
        <v>11.6</v>
      </c>
      <c r="S543" t="n">
        <v>6.6</v>
      </c>
      <c r="T543" t="n">
        <v>4.8</v>
      </c>
      <c r="W543" t="n">
        <v>10.6</v>
      </c>
      <c r="X543" t="n">
        <v>4.9</v>
      </c>
      <c r="Y543" t="n">
        <v>4.9</v>
      </c>
      <c r="Z543" t="n">
        <v>2.3</v>
      </c>
      <c r="AA543" t="n">
        <v>14.3</v>
      </c>
      <c r="AB543" t="n">
        <v>2.1</v>
      </c>
      <c r="AC543" t="n">
        <v>3.9</v>
      </c>
      <c r="AD543" t="n">
        <v>3.4</v>
      </c>
      <c r="AF543" t="n">
        <v>15.8</v>
      </c>
      <c r="AG543" t="n">
        <v>5.4</v>
      </c>
      <c r="AH543" t="n">
        <v>18.5</v>
      </c>
      <c r="AI543" t="n">
        <v>6.8</v>
      </c>
      <c r="AJ543" t="n">
        <v>6.1</v>
      </c>
      <c r="AL543" t="n">
        <v>4.1</v>
      </c>
    </row>
    <row r="544">
      <c r="A544" s="78" t="n">
        <v>36586</v>
      </c>
      <c r="B544" t="n">
        <v>6.564384</v>
      </c>
      <c r="C544" t="n">
        <v>4.1</v>
      </c>
      <c r="D544" t="n">
        <v>6.9</v>
      </c>
      <c r="E544" t="n">
        <v>6.9</v>
      </c>
      <c r="G544" t="n">
        <v>9.239439000000001</v>
      </c>
      <c r="H544" t="n">
        <v>9.300000000000001</v>
      </c>
      <c r="I544" t="n">
        <v>8.1</v>
      </c>
      <c r="J544" t="n">
        <v>4.4</v>
      </c>
      <c r="K544" t="n">
        <v>9.199999999999999</v>
      </c>
      <c r="L544" t="n">
        <v>12.2</v>
      </c>
      <c r="M544" t="n">
        <v>14.2</v>
      </c>
      <c r="N544" t="n">
        <v>10.2</v>
      </c>
      <c r="O544" t="n">
        <v>10.1</v>
      </c>
      <c r="P544" t="n">
        <v>5.831672</v>
      </c>
      <c r="Q544" t="n">
        <v>5.7</v>
      </c>
      <c r="R544" t="n">
        <v>11.6</v>
      </c>
      <c r="S544" t="n">
        <v>6.5</v>
      </c>
      <c r="T544" t="n">
        <v>4.7</v>
      </c>
      <c r="W544" t="n">
        <v>10.5</v>
      </c>
      <c r="X544" t="n">
        <v>4.9</v>
      </c>
      <c r="Y544" t="n">
        <v>4.6</v>
      </c>
      <c r="Z544" t="n">
        <v>2.3</v>
      </c>
      <c r="AA544" t="n">
        <v>14.3</v>
      </c>
      <c r="AB544" t="n">
        <v>2.2</v>
      </c>
      <c r="AC544" t="n">
        <v>3.8</v>
      </c>
      <c r="AD544" t="n">
        <v>3.3</v>
      </c>
      <c r="AF544" t="n">
        <v>16.1</v>
      </c>
      <c r="AG544" t="n">
        <v>5.2</v>
      </c>
      <c r="AH544" t="n">
        <v>18.7</v>
      </c>
      <c r="AI544" t="n">
        <v>6.8</v>
      </c>
      <c r="AJ544" t="n">
        <v>5.9</v>
      </c>
      <c r="AL544" t="n">
        <v>4</v>
      </c>
    </row>
    <row r="545">
      <c r="A545" s="78" t="n">
        <v>36617</v>
      </c>
      <c r="B545" t="n">
        <v>6.375683</v>
      </c>
      <c r="C545" t="n">
        <v>3.8</v>
      </c>
      <c r="D545" t="n">
        <v>6.9</v>
      </c>
      <c r="E545" t="n">
        <v>6.7</v>
      </c>
      <c r="G545" t="n">
        <v>9.235307000000001</v>
      </c>
      <c r="H545" t="n">
        <v>9.1</v>
      </c>
      <c r="I545" t="n">
        <v>8</v>
      </c>
      <c r="J545" t="n">
        <v>4.4</v>
      </c>
      <c r="K545" t="n">
        <v>9.1</v>
      </c>
      <c r="L545" t="n">
        <v>12</v>
      </c>
      <c r="M545" t="n">
        <v>14.5</v>
      </c>
      <c r="N545" t="n">
        <v>10</v>
      </c>
      <c r="O545" t="n">
        <v>9.9</v>
      </c>
      <c r="P545" t="n">
        <v>5.692266</v>
      </c>
      <c r="Q545" t="n">
        <v>5.6</v>
      </c>
      <c r="R545" t="n">
        <v>11.5</v>
      </c>
      <c r="S545" t="n">
        <v>6.5</v>
      </c>
      <c r="T545" t="n">
        <v>4.7</v>
      </c>
      <c r="W545" t="n">
        <v>10.3</v>
      </c>
      <c r="X545" t="n">
        <v>4.8</v>
      </c>
      <c r="Y545" t="n">
        <v>4.5</v>
      </c>
      <c r="Z545" t="n">
        <v>2.3</v>
      </c>
      <c r="AA545" t="n">
        <v>14.3</v>
      </c>
      <c r="AB545" t="n">
        <v>2.792068</v>
      </c>
      <c r="AC545" t="n">
        <v>3.8</v>
      </c>
      <c r="AD545" t="n">
        <v>3.2</v>
      </c>
      <c r="AF545" t="n">
        <v>16.2</v>
      </c>
      <c r="AG545" t="n">
        <v>5.2</v>
      </c>
      <c r="AH545" t="n">
        <v>18.9</v>
      </c>
      <c r="AI545" t="n">
        <v>7.1</v>
      </c>
      <c r="AJ545" t="n">
        <v>5.9</v>
      </c>
      <c r="AL545" t="n">
        <v>3.8</v>
      </c>
    </row>
    <row r="546">
      <c r="A546" s="78" t="n">
        <v>36647</v>
      </c>
      <c r="B546" t="n">
        <v>6.413677</v>
      </c>
      <c r="C546" t="n">
        <v>3.7</v>
      </c>
      <c r="D546" t="n">
        <v>6.8</v>
      </c>
      <c r="E546" t="n">
        <v>6.6</v>
      </c>
      <c r="G546" t="n">
        <v>9.401771</v>
      </c>
      <c r="H546" t="n">
        <v>8.9</v>
      </c>
      <c r="I546" t="n">
        <v>8</v>
      </c>
      <c r="J546" t="n">
        <v>4.5</v>
      </c>
      <c r="K546" t="n">
        <v>9</v>
      </c>
      <c r="L546" t="n">
        <v>11.9</v>
      </c>
      <c r="M546" t="n">
        <v>13.9</v>
      </c>
      <c r="N546" t="n">
        <v>9.800000000000001</v>
      </c>
      <c r="O546" t="n">
        <v>9.699999999999999</v>
      </c>
      <c r="P546" t="n">
        <v>5.713626</v>
      </c>
      <c r="Q546" t="n">
        <v>5.5</v>
      </c>
      <c r="R546" t="n">
        <v>11.5</v>
      </c>
      <c r="S546" t="n">
        <v>6.4</v>
      </c>
      <c r="T546" t="n">
        <v>4.6</v>
      </c>
      <c r="W546" t="n">
        <v>10.3</v>
      </c>
      <c r="X546" t="n">
        <v>4.6</v>
      </c>
      <c r="Y546" t="n">
        <v>4.3</v>
      </c>
      <c r="Z546" t="n">
        <v>2.3</v>
      </c>
      <c r="AA546" t="n">
        <v>14.4</v>
      </c>
      <c r="AB546" t="n">
        <v>2.722647</v>
      </c>
      <c r="AC546" t="n">
        <v>3.7</v>
      </c>
      <c r="AD546" t="n">
        <v>3</v>
      </c>
      <c r="AF546" t="n">
        <v>16.3</v>
      </c>
      <c r="AG546" t="n">
        <v>5.3</v>
      </c>
      <c r="AH546" t="n">
        <v>19.2</v>
      </c>
      <c r="AI546" t="n">
        <v>7.2</v>
      </c>
      <c r="AJ546" t="n">
        <v>5.6</v>
      </c>
      <c r="AL546" t="n">
        <v>4</v>
      </c>
    </row>
    <row r="547">
      <c r="A547" s="78" t="n">
        <v>36678</v>
      </c>
      <c r="B547" t="n">
        <v>6.114767</v>
      </c>
      <c r="C547" t="n">
        <v>3.6</v>
      </c>
      <c r="D547" t="n">
        <v>6.7</v>
      </c>
      <c r="E547" t="n">
        <v>6.7</v>
      </c>
      <c r="G547" t="n">
        <v>9.978331000000001</v>
      </c>
      <c r="H547" t="n">
        <v>8.699999999999999</v>
      </c>
      <c r="I547" t="n">
        <v>8</v>
      </c>
      <c r="J547" t="n">
        <v>4.4</v>
      </c>
      <c r="K547" t="n">
        <v>9</v>
      </c>
      <c r="L547" t="n">
        <v>11.9</v>
      </c>
      <c r="M547" t="n">
        <v>14</v>
      </c>
      <c r="N547" t="n">
        <v>9.6</v>
      </c>
      <c r="O547" t="n">
        <v>9.5</v>
      </c>
      <c r="P547" t="n">
        <v>5.657969</v>
      </c>
      <c r="Q547" t="n">
        <v>5.3</v>
      </c>
      <c r="R547" t="n">
        <v>11.4</v>
      </c>
      <c r="S547" t="n">
        <v>6.3</v>
      </c>
      <c r="T547" t="n">
        <v>4.5</v>
      </c>
      <c r="W547" t="n">
        <v>10.2</v>
      </c>
      <c r="X547" t="n">
        <v>4.7</v>
      </c>
      <c r="Y547" t="n">
        <v>4.2</v>
      </c>
      <c r="Z547" t="n">
        <v>2.3</v>
      </c>
      <c r="AA547" t="n">
        <v>14.4</v>
      </c>
      <c r="AB547" t="n">
        <v>2.72309</v>
      </c>
      <c r="AC547" t="n">
        <v>3.7</v>
      </c>
      <c r="AD547" t="n">
        <v>3</v>
      </c>
      <c r="AF547" t="n">
        <v>16.1</v>
      </c>
      <c r="AG547" t="n">
        <v>5.2</v>
      </c>
      <c r="AH547" t="n">
        <v>19.4</v>
      </c>
      <c r="AI547" t="n">
        <v>7.2</v>
      </c>
      <c r="AJ547" t="n">
        <v>5.8</v>
      </c>
      <c r="AL547" t="n">
        <v>4</v>
      </c>
    </row>
    <row r="548">
      <c r="A548" s="78" t="n">
        <v>36708</v>
      </c>
      <c r="B548" t="n">
        <v>5.95335</v>
      </c>
      <c r="C548" t="n">
        <v>3.8</v>
      </c>
      <c r="D548" t="n">
        <v>6.8</v>
      </c>
      <c r="E548" t="n">
        <v>6.8</v>
      </c>
      <c r="G548" t="n">
        <v>10.25509</v>
      </c>
      <c r="H548" t="n">
        <v>8.6</v>
      </c>
      <c r="I548" t="n">
        <v>7.9</v>
      </c>
      <c r="J548" t="n">
        <v>4.2</v>
      </c>
      <c r="K548" t="n">
        <v>9</v>
      </c>
      <c r="L548" t="n">
        <v>11.9</v>
      </c>
      <c r="M548" t="n">
        <v>13.9</v>
      </c>
      <c r="N548" t="n">
        <v>9.6</v>
      </c>
      <c r="O548" t="n">
        <v>9.4</v>
      </c>
      <c r="P548" t="n">
        <v>5.652494</v>
      </c>
      <c r="Q548" t="n">
        <v>5.3</v>
      </c>
      <c r="R548" t="n">
        <v>11.3</v>
      </c>
      <c r="S548" t="n">
        <v>6.2</v>
      </c>
      <c r="T548" t="n">
        <v>4.4</v>
      </c>
      <c r="W548" t="n">
        <v>10</v>
      </c>
      <c r="X548" t="n">
        <v>4.7</v>
      </c>
      <c r="Y548" t="n">
        <v>4.1</v>
      </c>
      <c r="Z548" t="n">
        <v>2.2</v>
      </c>
      <c r="AA548" t="n">
        <v>14.3</v>
      </c>
      <c r="AB548" t="n">
        <v>2.457457</v>
      </c>
      <c r="AC548" t="n">
        <v>3.6</v>
      </c>
      <c r="AD548" t="n">
        <v>3.1</v>
      </c>
      <c r="AF548" t="n">
        <v>16</v>
      </c>
      <c r="AG548" t="n">
        <v>5.3</v>
      </c>
      <c r="AH548" t="n">
        <v>19.7</v>
      </c>
      <c r="AI548" t="n">
        <v>7</v>
      </c>
      <c r="AJ548" t="n">
        <v>5.6</v>
      </c>
      <c r="AL548" t="n">
        <v>4</v>
      </c>
    </row>
    <row r="549">
      <c r="A549" s="78" t="n">
        <v>36739</v>
      </c>
      <c r="B549" t="n">
        <v>6.050714</v>
      </c>
      <c r="C549" t="n">
        <v>3.8</v>
      </c>
      <c r="D549" t="n">
        <v>7</v>
      </c>
      <c r="E549" t="n">
        <v>7</v>
      </c>
      <c r="G549" t="n">
        <v>10.53221</v>
      </c>
      <c r="H549" t="n">
        <v>8.5</v>
      </c>
      <c r="I549" t="n">
        <v>7.9</v>
      </c>
      <c r="J549" t="n">
        <v>4.1</v>
      </c>
      <c r="K549" t="n">
        <v>8.9</v>
      </c>
      <c r="L549" t="n">
        <v>11.8</v>
      </c>
      <c r="M549" t="n">
        <v>14.3</v>
      </c>
      <c r="N549" t="n">
        <v>9.6</v>
      </c>
      <c r="O549" t="n">
        <v>9.300000000000001</v>
      </c>
      <c r="P549" t="n">
        <v>5.680441</v>
      </c>
      <c r="Q549" t="n">
        <v>5.3</v>
      </c>
      <c r="R549" t="n">
        <v>11.2</v>
      </c>
      <c r="S549" t="n">
        <v>6.1</v>
      </c>
      <c r="T549" t="n">
        <v>4.3</v>
      </c>
      <c r="W549" t="n">
        <v>10</v>
      </c>
      <c r="X549" t="n">
        <v>4.6</v>
      </c>
      <c r="Y549" t="n">
        <v>4.2</v>
      </c>
      <c r="Z549" t="n">
        <v>2.2</v>
      </c>
      <c r="AA549" t="n">
        <v>14.4</v>
      </c>
      <c r="AB549" t="n">
        <v>2.72916</v>
      </c>
      <c r="AC549" t="n">
        <v>3.6</v>
      </c>
      <c r="AD549" t="n">
        <v>3.3</v>
      </c>
      <c r="AF549" t="n">
        <v>15.9</v>
      </c>
      <c r="AG549" t="n">
        <v>5.4</v>
      </c>
      <c r="AH549" t="n">
        <v>18.6</v>
      </c>
      <c r="AI549" t="n">
        <v>6.8</v>
      </c>
      <c r="AJ549" t="n">
        <v>5.5</v>
      </c>
      <c r="AL549" t="n">
        <v>4.1</v>
      </c>
    </row>
    <row r="550">
      <c r="A550" s="78" t="n">
        <v>36770</v>
      </c>
      <c r="B550" t="n">
        <v>5.96232</v>
      </c>
      <c r="C550" t="n">
        <v>3.9</v>
      </c>
      <c r="D550" t="n">
        <v>6.9</v>
      </c>
      <c r="E550" t="n">
        <v>6.9</v>
      </c>
      <c r="G550" t="n">
        <v>10.14001</v>
      </c>
      <c r="H550" t="n">
        <v>8.4</v>
      </c>
      <c r="I550" t="n">
        <v>7.9</v>
      </c>
      <c r="J550" t="n">
        <v>4</v>
      </c>
      <c r="K550" t="n">
        <v>8.800000000000001</v>
      </c>
      <c r="L550" t="n">
        <v>11.7</v>
      </c>
      <c r="M550" t="n">
        <v>14.2</v>
      </c>
      <c r="N550" t="n">
        <v>9.6</v>
      </c>
      <c r="O550" t="n">
        <v>9.1</v>
      </c>
      <c r="P550" t="n">
        <v>5.607521</v>
      </c>
      <c r="Q550" t="n">
        <v>5.4</v>
      </c>
      <c r="R550" t="n">
        <v>11.2</v>
      </c>
      <c r="S550" t="n">
        <v>6</v>
      </c>
      <c r="T550" t="n">
        <v>4.1</v>
      </c>
      <c r="W550" t="n">
        <v>9.9</v>
      </c>
      <c r="X550" t="n">
        <v>4.7</v>
      </c>
      <c r="Y550" t="n">
        <v>4.4</v>
      </c>
      <c r="Z550" t="n">
        <v>2.2</v>
      </c>
      <c r="AA550" t="n">
        <v>14.4</v>
      </c>
      <c r="AB550" t="n">
        <v>2.619258</v>
      </c>
      <c r="AC550" t="n">
        <v>3.5</v>
      </c>
      <c r="AD550" t="n">
        <v>3.3</v>
      </c>
      <c r="AF550" t="n">
        <v>16</v>
      </c>
      <c r="AG550" t="n">
        <v>5.3</v>
      </c>
      <c r="AH550" t="n">
        <v>18.6</v>
      </c>
      <c r="AI550" t="n">
        <v>6.6</v>
      </c>
      <c r="AJ550" t="n">
        <v>5.2</v>
      </c>
      <c r="AL550" t="n">
        <v>3.9</v>
      </c>
    </row>
    <row r="551">
      <c r="A551" s="78" t="n">
        <v>36800</v>
      </c>
      <c r="B551" t="n">
        <v>6.009036</v>
      </c>
      <c r="C551" t="n">
        <v>3.8</v>
      </c>
      <c r="D551" t="n">
        <v>6.8</v>
      </c>
      <c r="E551" t="n">
        <v>7</v>
      </c>
      <c r="G551" t="n">
        <v>10.19168</v>
      </c>
      <c r="H551" t="n">
        <v>8.4</v>
      </c>
      <c r="I551" t="n">
        <v>7.8</v>
      </c>
      <c r="J551" t="n">
        <v>4</v>
      </c>
      <c r="K551" t="n">
        <v>8.699999999999999</v>
      </c>
      <c r="L551" t="n">
        <v>11.7</v>
      </c>
      <c r="M551" t="n">
        <v>14.1</v>
      </c>
      <c r="N551" t="n">
        <v>9.5</v>
      </c>
      <c r="O551" t="n">
        <v>9</v>
      </c>
      <c r="P551" t="n">
        <v>5.535267</v>
      </c>
      <c r="Q551" t="n">
        <v>5.3</v>
      </c>
      <c r="R551" t="n">
        <v>10.6</v>
      </c>
      <c r="S551" t="n">
        <v>6</v>
      </c>
      <c r="T551" t="n">
        <v>3.9</v>
      </c>
      <c r="W551" t="n">
        <v>9.6</v>
      </c>
      <c r="X551" t="n">
        <v>4.7</v>
      </c>
      <c r="Y551" t="n">
        <v>4.1</v>
      </c>
      <c r="Z551" t="n">
        <v>2.1</v>
      </c>
      <c r="AA551" t="n">
        <v>14.5</v>
      </c>
      <c r="AB551" t="n">
        <v>2.487701</v>
      </c>
      <c r="AC551" t="n">
        <v>3.4</v>
      </c>
      <c r="AD551" t="n">
        <v>3.2</v>
      </c>
      <c r="AF551" t="n">
        <v>16.2</v>
      </c>
      <c r="AG551" t="n">
        <v>5.2</v>
      </c>
      <c r="AH551" t="n">
        <v>18.8</v>
      </c>
      <c r="AI551" t="n">
        <v>6.3</v>
      </c>
      <c r="AJ551" t="n">
        <v>5.2</v>
      </c>
      <c r="AL551" t="n">
        <v>3.9</v>
      </c>
    </row>
    <row r="552">
      <c r="A552" s="78" t="n">
        <v>36831</v>
      </c>
      <c r="B552" t="n">
        <v>6.260812</v>
      </c>
      <c r="C552" t="n">
        <v>3.8</v>
      </c>
      <c r="D552" t="n">
        <v>6.7</v>
      </c>
      <c r="E552" t="n">
        <v>6.9</v>
      </c>
      <c r="G552" t="n">
        <v>9.717460000000001</v>
      </c>
      <c r="H552" t="n">
        <v>8.5</v>
      </c>
      <c r="I552" t="n">
        <v>7.8</v>
      </c>
      <c r="J552" t="n">
        <v>4.1</v>
      </c>
      <c r="K552" t="n">
        <v>8.699999999999999</v>
      </c>
      <c r="L552" t="n">
        <v>11.5</v>
      </c>
      <c r="M552" t="n">
        <v>14.4</v>
      </c>
      <c r="N552" t="n">
        <v>9.4</v>
      </c>
      <c r="O552" t="n">
        <v>8.9</v>
      </c>
      <c r="P552" t="n">
        <v>5.555243</v>
      </c>
      <c r="Q552" t="n">
        <v>5.2</v>
      </c>
      <c r="R552" t="n">
        <v>10.7</v>
      </c>
      <c r="S552" t="n">
        <v>5.9</v>
      </c>
      <c r="T552" t="n">
        <v>3.9</v>
      </c>
      <c r="W552" t="n">
        <v>9.6</v>
      </c>
      <c r="X552" t="n">
        <v>4.7</v>
      </c>
      <c r="Y552" t="n">
        <v>4.2</v>
      </c>
      <c r="Z552" t="n">
        <v>2.1</v>
      </c>
      <c r="AA552" t="n">
        <v>14.5</v>
      </c>
      <c r="AB552" t="n">
        <v>2.359279</v>
      </c>
      <c r="AC552" t="n">
        <v>3.4</v>
      </c>
      <c r="AD552" t="n">
        <v>3.3</v>
      </c>
      <c r="AF552" t="n">
        <v>16.5</v>
      </c>
      <c r="AG552" t="n">
        <v>5</v>
      </c>
      <c r="AH552" t="n">
        <v>19</v>
      </c>
      <c r="AI552" t="n">
        <v>6.2</v>
      </c>
      <c r="AJ552" t="n">
        <v>5.2</v>
      </c>
      <c r="AL552" t="n">
        <v>3.9</v>
      </c>
    </row>
    <row r="553">
      <c r="A553" s="78" t="n">
        <v>36861</v>
      </c>
      <c r="B553" t="n">
        <v>6.243224</v>
      </c>
      <c r="C553" t="n">
        <v>3.7</v>
      </c>
      <c r="D553" t="n">
        <v>6.4</v>
      </c>
      <c r="E553" t="n">
        <v>6.8</v>
      </c>
      <c r="G553" t="n">
        <v>9.817710999999999</v>
      </c>
      <c r="H553" t="n">
        <v>8.199999999999999</v>
      </c>
      <c r="I553" t="n">
        <v>7.7</v>
      </c>
      <c r="J553" t="n">
        <v>4.1</v>
      </c>
      <c r="K553" t="n">
        <v>8.6</v>
      </c>
      <c r="L553" t="n">
        <v>11.2</v>
      </c>
      <c r="M553" t="n">
        <v>14.3</v>
      </c>
      <c r="N553" t="n">
        <v>9.300000000000001</v>
      </c>
      <c r="O553" t="n">
        <v>8.800000000000001</v>
      </c>
      <c r="P553" t="n">
        <v>5.528145</v>
      </c>
      <c r="Q553" t="n">
        <v>5.2</v>
      </c>
      <c r="R553" t="n">
        <v>10.6</v>
      </c>
      <c r="S553" t="n">
        <v>5.8</v>
      </c>
      <c r="T553" t="n">
        <v>3.9</v>
      </c>
      <c r="W553" t="n">
        <v>9.6</v>
      </c>
      <c r="X553" t="n">
        <v>4.8</v>
      </c>
      <c r="Y553" t="n">
        <v>4.3</v>
      </c>
      <c r="Z553" t="n">
        <v>2</v>
      </c>
      <c r="AA553" t="n">
        <v>14.3</v>
      </c>
      <c r="AB553" t="n">
        <v>2.547241</v>
      </c>
      <c r="AC553" t="n">
        <v>3.3</v>
      </c>
      <c r="AD553" t="n">
        <v>3.4</v>
      </c>
      <c r="AF553" t="n">
        <v>16.8</v>
      </c>
      <c r="AG553" t="n">
        <v>5</v>
      </c>
      <c r="AH553" t="n">
        <v>19.1</v>
      </c>
      <c r="AI553" t="n">
        <v>6.2</v>
      </c>
      <c r="AJ553" t="n">
        <v>4.9</v>
      </c>
      <c r="AL553" t="n">
        <v>3.9</v>
      </c>
    </row>
    <row r="554">
      <c r="A554" s="78" t="n">
        <v>36892</v>
      </c>
      <c r="B554" t="n">
        <v>6.139595</v>
      </c>
      <c r="C554" t="n">
        <v>3.6</v>
      </c>
      <c r="D554" t="n">
        <v>6.1</v>
      </c>
      <c r="E554" t="n">
        <v>6.9</v>
      </c>
      <c r="G554" t="n">
        <v>9.811318</v>
      </c>
      <c r="H554" t="n">
        <v>8.4</v>
      </c>
      <c r="I554" t="n">
        <v>7.7</v>
      </c>
      <c r="J554" t="n">
        <v>4.3</v>
      </c>
      <c r="K554" t="n">
        <v>8.5</v>
      </c>
      <c r="L554" t="n">
        <v>10.8</v>
      </c>
      <c r="M554" t="n">
        <v>14.4</v>
      </c>
      <c r="N554" t="n">
        <v>9.4</v>
      </c>
      <c r="O554" t="n">
        <v>8.699999999999999</v>
      </c>
      <c r="P554" t="n">
        <v>5.6214</v>
      </c>
      <c r="Q554" t="n">
        <v>5.2</v>
      </c>
      <c r="R554" t="n">
        <v>10.5</v>
      </c>
      <c r="S554" t="n">
        <v>5.7</v>
      </c>
      <c r="T554" t="n">
        <v>4</v>
      </c>
      <c r="W554" t="n">
        <v>9.4</v>
      </c>
      <c r="X554" t="n">
        <v>4.8</v>
      </c>
      <c r="Y554" t="n">
        <v>4.5</v>
      </c>
      <c r="Z554" t="n">
        <v>1.9</v>
      </c>
      <c r="AA554" t="n">
        <v>14.1</v>
      </c>
      <c r="AB554" t="n">
        <v>2.544988</v>
      </c>
      <c r="AC554" t="n">
        <v>3.2</v>
      </c>
      <c r="AD554" t="n">
        <v>3.4</v>
      </c>
      <c r="AE554" t="n">
        <v>6.455102</v>
      </c>
      <c r="AF554" t="n">
        <v>17.1</v>
      </c>
      <c r="AG554" t="n">
        <v>5.1</v>
      </c>
      <c r="AH554" t="n">
        <v>19.4</v>
      </c>
      <c r="AI554" t="n">
        <v>6.1</v>
      </c>
      <c r="AJ554" t="n">
        <v>6</v>
      </c>
      <c r="AL554" t="n">
        <v>4.2</v>
      </c>
    </row>
    <row r="555">
      <c r="A555" s="78" t="n">
        <v>36923</v>
      </c>
      <c r="B555" t="n">
        <v>6.501164</v>
      </c>
      <c r="C555" t="n">
        <v>3.6</v>
      </c>
      <c r="D555" t="n">
        <v>6</v>
      </c>
      <c r="E555" t="n">
        <v>7</v>
      </c>
      <c r="G555" t="n">
        <v>9.943357000000001</v>
      </c>
      <c r="H555" t="n">
        <v>8.199999999999999</v>
      </c>
      <c r="I555" t="n">
        <v>7.7</v>
      </c>
      <c r="J555" t="n">
        <v>4.4</v>
      </c>
      <c r="K555" t="n">
        <v>8.4</v>
      </c>
      <c r="L555" t="n">
        <v>10.7</v>
      </c>
      <c r="M555" t="n">
        <v>13.9</v>
      </c>
      <c r="N555" t="n">
        <v>9.4</v>
      </c>
      <c r="O555" t="n">
        <v>8.699999999999999</v>
      </c>
      <c r="P555" t="n">
        <v>5.616585</v>
      </c>
      <c r="Q555" t="n">
        <v>5.1</v>
      </c>
      <c r="R555" t="n">
        <v>10.5</v>
      </c>
      <c r="S555" t="n">
        <v>5.7</v>
      </c>
      <c r="T555" t="n">
        <v>4</v>
      </c>
      <c r="W555" t="n">
        <v>9.4</v>
      </c>
      <c r="X555" t="n">
        <v>4.7</v>
      </c>
      <c r="Y555" t="n">
        <v>4.7</v>
      </c>
      <c r="Z555" t="n">
        <v>1.9</v>
      </c>
      <c r="AA555" t="n">
        <v>13.8</v>
      </c>
      <c r="AB555" t="n">
        <v>3.209051</v>
      </c>
      <c r="AC555" t="n">
        <v>3.2</v>
      </c>
      <c r="AD555" t="n">
        <v>3.4</v>
      </c>
      <c r="AE555" t="n">
        <v>6.472875</v>
      </c>
      <c r="AF555" t="n">
        <v>17.4</v>
      </c>
      <c r="AG555" t="n">
        <v>5.3</v>
      </c>
      <c r="AH555" t="n">
        <v>19.3</v>
      </c>
      <c r="AI555" t="n">
        <v>6</v>
      </c>
      <c r="AJ555" t="n">
        <v>5.9</v>
      </c>
      <c r="AL555" t="n">
        <v>4.2</v>
      </c>
    </row>
    <row r="556">
      <c r="A556" s="78" t="n">
        <v>36951</v>
      </c>
      <c r="B556" t="n">
        <v>6.458078</v>
      </c>
      <c r="C556" t="n">
        <v>3.7</v>
      </c>
      <c r="D556" t="n">
        <v>6.1</v>
      </c>
      <c r="E556" t="n">
        <v>7.1</v>
      </c>
      <c r="G556" t="n">
        <v>10.02796</v>
      </c>
      <c r="H556" t="n">
        <v>8.199999999999999</v>
      </c>
      <c r="I556" t="n">
        <v>7.6</v>
      </c>
      <c r="J556" t="n">
        <v>4.4</v>
      </c>
      <c r="K556" t="n">
        <v>8.4</v>
      </c>
      <c r="L556" t="n">
        <v>10.5</v>
      </c>
      <c r="M556" t="n">
        <v>14</v>
      </c>
      <c r="N556" t="n">
        <v>9</v>
      </c>
      <c r="O556" t="n">
        <v>8.699999999999999</v>
      </c>
      <c r="P556" t="n">
        <v>5.623621</v>
      </c>
      <c r="Q556" t="n">
        <v>5</v>
      </c>
      <c r="R556" t="n">
        <v>10.5</v>
      </c>
      <c r="S556" t="n">
        <v>5.6</v>
      </c>
      <c r="T556" t="n">
        <v>3.9</v>
      </c>
      <c r="W556" t="n">
        <v>9.300000000000001</v>
      </c>
      <c r="X556" t="n">
        <v>4.8</v>
      </c>
      <c r="Y556" t="n">
        <v>4.6</v>
      </c>
      <c r="Z556" t="n">
        <v>1.9</v>
      </c>
      <c r="AA556" t="n">
        <v>13.5</v>
      </c>
      <c r="AB556" t="n">
        <v>2.663894</v>
      </c>
      <c r="AC556" t="n">
        <v>3.2</v>
      </c>
      <c r="AD556" t="n">
        <v>3.2</v>
      </c>
      <c r="AE556" t="n">
        <v>6.474843</v>
      </c>
      <c r="AF556" t="n">
        <v>17.7</v>
      </c>
      <c r="AG556" t="n">
        <v>5.4</v>
      </c>
      <c r="AH556" t="n">
        <v>19.4</v>
      </c>
      <c r="AI556" t="n">
        <v>6.1</v>
      </c>
      <c r="AJ556" t="n">
        <v>5.8</v>
      </c>
      <c r="AL556" t="n">
        <v>4.3</v>
      </c>
    </row>
    <row r="557">
      <c r="A557" s="78" t="n">
        <v>36982</v>
      </c>
      <c r="B557" t="n">
        <v>6.78166</v>
      </c>
      <c r="C557" t="n">
        <v>3.9</v>
      </c>
      <c r="D557" t="n">
        <v>6.5</v>
      </c>
      <c r="E557" t="n">
        <v>7.1</v>
      </c>
      <c r="G557" t="n">
        <v>10.14594</v>
      </c>
      <c r="H557" t="n">
        <v>8.300000000000001</v>
      </c>
      <c r="I557" t="n">
        <v>7.6</v>
      </c>
      <c r="J557" t="n">
        <v>4.3</v>
      </c>
      <c r="K557" t="n">
        <v>8.4</v>
      </c>
      <c r="L557" t="n">
        <v>10.4</v>
      </c>
      <c r="M557" t="n">
        <v>14.2</v>
      </c>
      <c r="N557" t="n">
        <v>9.199999999999999</v>
      </c>
      <c r="O557" t="n">
        <v>8.699999999999999</v>
      </c>
      <c r="P557" t="n">
        <v>5.664043</v>
      </c>
      <c r="Q557" t="n">
        <v>4.9</v>
      </c>
      <c r="R557" t="n">
        <v>10.7</v>
      </c>
      <c r="S557" t="n">
        <v>5.6</v>
      </c>
      <c r="T557" t="n">
        <v>3.9</v>
      </c>
      <c r="W557" t="n">
        <v>9.199999999999999</v>
      </c>
      <c r="X557" t="n">
        <v>4.8</v>
      </c>
      <c r="Y557" t="n">
        <v>4.1</v>
      </c>
      <c r="Z557" t="n">
        <v>1.9</v>
      </c>
      <c r="AA557" t="n">
        <v>13.2</v>
      </c>
      <c r="AB557" t="n">
        <v>2.703472</v>
      </c>
      <c r="AC557" t="n">
        <v>3.1</v>
      </c>
      <c r="AD557" t="n">
        <v>3.2</v>
      </c>
      <c r="AE557" t="n">
        <v>6.498415</v>
      </c>
      <c r="AF557" t="n">
        <v>18.1</v>
      </c>
      <c r="AG557" t="n">
        <v>5.4</v>
      </c>
      <c r="AH557" t="n">
        <v>19.6</v>
      </c>
      <c r="AI557" t="n">
        <v>6</v>
      </c>
      <c r="AJ557" t="n">
        <v>5.7</v>
      </c>
      <c r="AL557" t="n">
        <v>4.4</v>
      </c>
    </row>
    <row r="558">
      <c r="A558" s="78" t="n">
        <v>37012</v>
      </c>
      <c r="B558" t="n">
        <v>6.892185</v>
      </c>
      <c r="C558" t="n">
        <v>4</v>
      </c>
      <c r="D558" t="n">
        <v>6.6</v>
      </c>
      <c r="E558" t="n">
        <v>7</v>
      </c>
      <c r="G558" t="n">
        <v>9.893063</v>
      </c>
      <c r="H558" t="n">
        <v>8</v>
      </c>
      <c r="I558" t="n">
        <v>7.7</v>
      </c>
      <c r="J558" t="n">
        <v>4.3</v>
      </c>
      <c r="K558" t="n">
        <v>8.4</v>
      </c>
      <c r="L558" t="n">
        <v>10.6</v>
      </c>
      <c r="M558" t="n">
        <v>13.6</v>
      </c>
      <c r="N558" t="n">
        <v>9.1</v>
      </c>
      <c r="O558" t="n">
        <v>8.699999999999999</v>
      </c>
      <c r="P558" t="n">
        <v>5.688575</v>
      </c>
      <c r="Q558" t="n">
        <v>5</v>
      </c>
      <c r="R558" t="n">
        <v>10.7</v>
      </c>
      <c r="S558" t="n">
        <v>5.6</v>
      </c>
      <c r="T558" t="n">
        <v>4</v>
      </c>
      <c r="W558" t="n">
        <v>9.1</v>
      </c>
      <c r="X558" t="n">
        <v>4.9</v>
      </c>
      <c r="Y558" t="n">
        <v>3.9</v>
      </c>
      <c r="Z558" t="n">
        <v>1.8</v>
      </c>
      <c r="AA558" t="n">
        <v>13.1</v>
      </c>
      <c r="AB558" t="n">
        <v>2.780142</v>
      </c>
      <c r="AC558" t="n">
        <v>3.1</v>
      </c>
      <c r="AD558" t="n">
        <v>3.2</v>
      </c>
      <c r="AE558" t="n">
        <v>6.51896</v>
      </c>
      <c r="AF558" t="n">
        <v>18.4</v>
      </c>
      <c r="AG558" t="n">
        <v>5.4</v>
      </c>
      <c r="AH558" t="n">
        <v>19.5</v>
      </c>
      <c r="AI558" t="n">
        <v>5.9</v>
      </c>
      <c r="AJ558" t="n">
        <v>5.7</v>
      </c>
      <c r="AL558" t="n">
        <v>4.3</v>
      </c>
    </row>
    <row r="559">
      <c r="A559" s="78" t="n">
        <v>37043</v>
      </c>
      <c r="B559" t="n">
        <v>6.93252</v>
      </c>
      <c r="C559" t="n">
        <v>4.1</v>
      </c>
      <c r="D559" t="n">
        <v>6.4</v>
      </c>
      <c r="E559" t="n">
        <v>7.2</v>
      </c>
      <c r="G559" t="n">
        <v>9.801373</v>
      </c>
      <c r="H559" t="n">
        <v>8</v>
      </c>
      <c r="I559" t="n">
        <v>7.7</v>
      </c>
      <c r="J559" t="n">
        <v>4.4</v>
      </c>
      <c r="K559" t="n">
        <v>8.4</v>
      </c>
      <c r="L559" t="n">
        <v>10.5</v>
      </c>
      <c r="M559" t="n">
        <v>12.9</v>
      </c>
      <c r="N559" t="n">
        <v>9</v>
      </c>
      <c r="O559" t="n">
        <v>8.800000000000001</v>
      </c>
      <c r="P559" t="n">
        <v>5.781653</v>
      </c>
      <c r="Q559" t="n">
        <v>5</v>
      </c>
      <c r="R559" t="n">
        <v>10.7</v>
      </c>
      <c r="S559" t="n">
        <v>5.6</v>
      </c>
      <c r="T559" t="n">
        <v>4.1</v>
      </c>
      <c r="W559" t="n">
        <v>9.1</v>
      </c>
      <c r="X559" t="n">
        <v>5</v>
      </c>
      <c r="Y559" t="n">
        <v>3.8</v>
      </c>
      <c r="Z559" t="n">
        <v>1.8</v>
      </c>
      <c r="AA559" t="n">
        <v>13</v>
      </c>
      <c r="AB559" t="n">
        <v>2.737625</v>
      </c>
      <c r="AC559" t="n">
        <v>3.1</v>
      </c>
      <c r="AD559" t="n">
        <v>3.4</v>
      </c>
      <c r="AE559" t="n">
        <v>6.574185</v>
      </c>
      <c r="AF559" t="n">
        <v>18.5</v>
      </c>
      <c r="AG559" t="n">
        <v>5.5</v>
      </c>
      <c r="AH559" t="n">
        <v>19.5</v>
      </c>
      <c r="AI559" t="n">
        <v>5.9</v>
      </c>
      <c r="AJ559" t="n">
        <v>5.7</v>
      </c>
      <c r="AL559" t="n">
        <v>4.5</v>
      </c>
    </row>
    <row r="560">
      <c r="A560" s="78" t="n">
        <v>37073</v>
      </c>
      <c r="B560" t="n">
        <v>6.87906</v>
      </c>
      <c r="C560" t="n">
        <v>4.1</v>
      </c>
      <c r="D560" t="n">
        <v>6.1</v>
      </c>
      <c r="E560" t="n">
        <v>7.1</v>
      </c>
      <c r="G560" t="n">
        <v>9.656396000000001</v>
      </c>
      <c r="H560" t="n">
        <v>8.199999999999999</v>
      </c>
      <c r="I560" t="n">
        <v>7.8</v>
      </c>
      <c r="J560" t="n">
        <v>4.5</v>
      </c>
      <c r="K560" t="n">
        <v>8.4</v>
      </c>
      <c r="L560" t="n">
        <v>10.5</v>
      </c>
      <c r="M560" t="n">
        <v>13.1</v>
      </c>
      <c r="N560" t="n">
        <v>8.800000000000001</v>
      </c>
      <c r="O560" t="n">
        <v>8.800000000000001</v>
      </c>
      <c r="P560" t="n">
        <v>5.823291</v>
      </c>
      <c r="Q560" t="n">
        <v>5.1</v>
      </c>
      <c r="R560" t="n">
        <v>10.7</v>
      </c>
      <c r="S560" t="n">
        <v>5.6</v>
      </c>
      <c r="T560" t="n">
        <v>4.3</v>
      </c>
      <c r="W560" t="n">
        <v>9.1</v>
      </c>
      <c r="X560" t="n">
        <v>5</v>
      </c>
      <c r="Y560" t="n">
        <v>3.8</v>
      </c>
      <c r="Z560" t="n">
        <v>1.8</v>
      </c>
      <c r="AA560" t="n">
        <v>13.1</v>
      </c>
      <c r="AB560" t="n">
        <v>2.82023</v>
      </c>
      <c r="AC560" t="n">
        <v>3.1</v>
      </c>
      <c r="AD560" t="n">
        <v>3.4</v>
      </c>
      <c r="AE560" t="n">
        <v>6.650904</v>
      </c>
      <c r="AF560" t="n">
        <v>18.4</v>
      </c>
      <c r="AG560" t="n">
        <v>5.5</v>
      </c>
      <c r="AH560" t="n">
        <v>19.4</v>
      </c>
      <c r="AI560" t="n">
        <v>5.9</v>
      </c>
      <c r="AJ560" t="n">
        <v>5.9</v>
      </c>
      <c r="AL560" t="n">
        <v>4.6</v>
      </c>
    </row>
    <row r="561">
      <c r="A561" s="78" t="n">
        <v>37104</v>
      </c>
      <c r="B561" t="n">
        <v>6.880255</v>
      </c>
      <c r="C561" t="n">
        <v>4.1</v>
      </c>
      <c r="D561" t="n">
        <v>6.2</v>
      </c>
      <c r="E561" t="n">
        <v>7.2</v>
      </c>
      <c r="G561" t="n">
        <v>10.1157</v>
      </c>
      <c r="H561" t="n">
        <v>8.199999999999999</v>
      </c>
      <c r="I561" t="n">
        <v>7.8</v>
      </c>
      <c r="J561" t="n">
        <v>4.7</v>
      </c>
      <c r="K561" t="n">
        <v>8.4</v>
      </c>
      <c r="L561" t="n">
        <v>10.6</v>
      </c>
      <c r="M561" t="n">
        <v>12.6</v>
      </c>
      <c r="N561" t="n">
        <v>8.9</v>
      </c>
      <c r="O561" t="n">
        <v>8.800000000000001</v>
      </c>
      <c r="P561" t="n">
        <v>5.97644</v>
      </c>
      <c r="Q561" t="n">
        <v>5.1</v>
      </c>
      <c r="R561" t="n">
        <v>10.6</v>
      </c>
      <c r="S561" t="n">
        <v>5.5</v>
      </c>
      <c r="T561" t="n">
        <v>4.4</v>
      </c>
      <c r="W561" t="n">
        <v>9</v>
      </c>
      <c r="X561" t="n">
        <v>5.1</v>
      </c>
      <c r="Y561" t="n">
        <v>3.7</v>
      </c>
      <c r="Z561" t="n">
        <v>1.9</v>
      </c>
      <c r="AA561" t="n">
        <v>13.1</v>
      </c>
      <c r="AB561" t="n">
        <v>2.30718</v>
      </c>
      <c r="AC561" t="n">
        <v>3.1</v>
      </c>
      <c r="AD561" t="n">
        <v>3.4</v>
      </c>
      <c r="AE561" t="n">
        <v>6.74956</v>
      </c>
      <c r="AF561" t="n">
        <v>18.4</v>
      </c>
      <c r="AG561" t="n">
        <v>5.4</v>
      </c>
      <c r="AH561" t="n">
        <v>19.5</v>
      </c>
      <c r="AI561" t="n">
        <v>6</v>
      </c>
      <c r="AJ561" t="n">
        <v>5.8</v>
      </c>
      <c r="AL561" t="n">
        <v>4.9</v>
      </c>
    </row>
    <row r="562">
      <c r="A562" s="78" t="n">
        <v>37135</v>
      </c>
      <c r="B562" t="n">
        <v>6.840938</v>
      </c>
      <c r="C562" t="n">
        <v>4.1</v>
      </c>
      <c r="D562" t="n">
        <v>6.6</v>
      </c>
      <c r="E562" t="n">
        <v>7.2</v>
      </c>
      <c r="G562" t="n">
        <v>9.983273000000001</v>
      </c>
      <c r="H562" t="n">
        <v>8.199999999999999</v>
      </c>
      <c r="I562" t="n">
        <v>7.9</v>
      </c>
      <c r="J562" t="n">
        <v>4.7</v>
      </c>
      <c r="K562" t="n">
        <v>8.4</v>
      </c>
      <c r="L562" t="n">
        <v>10.5</v>
      </c>
      <c r="M562" t="n">
        <v>12.7</v>
      </c>
      <c r="N562" t="n">
        <v>9.5</v>
      </c>
      <c r="O562" t="n">
        <v>8.800000000000001</v>
      </c>
      <c r="P562" t="n">
        <v>6.041503</v>
      </c>
      <c r="Q562" t="n">
        <v>5.1</v>
      </c>
      <c r="R562" t="n">
        <v>10.6</v>
      </c>
      <c r="S562" t="n">
        <v>5.5</v>
      </c>
      <c r="T562" t="n">
        <v>4.4</v>
      </c>
      <c r="W562" t="n">
        <v>9</v>
      </c>
      <c r="X562" t="n">
        <v>5.3</v>
      </c>
      <c r="Y562" t="n">
        <v>3.7</v>
      </c>
      <c r="Z562" t="n">
        <v>1.9</v>
      </c>
      <c r="AA562" t="n">
        <v>13.2</v>
      </c>
      <c r="AB562" t="n">
        <v>2.503783</v>
      </c>
      <c r="AC562" t="n">
        <v>3.1</v>
      </c>
      <c r="AD562" t="n">
        <v>3.6</v>
      </c>
      <c r="AE562" t="n">
        <v>6.793154</v>
      </c>
      <c r="AF562" t="n">
        <v>18.6</v>
      </c>
      <c r="AG562" t="n">
        <v>5.4</v>
      </c>
      <c r="AH562" t="n">
        <v>19.5</v>
      </c>
      <c r="AI562" t="n">
        <v>6.3</v>
      </c>
      <c r="AJ562" t="n">
        <v>5.8</v>
      </c>
      <c r="AL562" t="n">
        <v>5</v>
      </c>
    </row>
    <row r="563">
      <c r="A563" s="78" t="n">
        <v>37165</v>
      </c>
      <c r="B563" t="n">
        <v>7.192648</v>
      </c>
      <c r="C563" t="n">
        <v>4.2</v>
      </c>
      <c r="D563" t="n">
        <v>7.3</v>
      </c>
      <c r="E563" t="n">
        <v>7.3</v>
      </c>
      <c r="G563" t="n">
        <v>9.789548</v>
      </c>
      <c r="H563" t="n">
        <v>7.9</v>
      </c>
      <c r="I563" t="n">
        <v>8</v>
      </c>
      <c r="J563" t="n">
        <v>4.7</v>
      </c>
      <c r="K563" t="n">
        <v>8.4</v>
      </c>
      <c r="L563" t="n">
        <v>10.5</v>
      </c>
      <c r="M563" t="n">
        <v>11.6</v>
      </c>
      <c r="N563" t="n">
        <v>9</v>
      </c>
      <c r="O563" t="n">
        <v>8.800000000000001</v>
      </c>
      <c r="P563" t="n">
        <v>6.209729</v>
      </c>
      <c r="Q563" t="n">
        <v>5.1</v>
      </c>
      <c r="R563" t="n">
        <v>10.9</v>
      </c>
      <c r="S563" t="n">
        <v>5.5</v>
      </c>
      <c r="T563" t="n">
        <v>4.4</v>
      </c>
      <c r="W563" t="n">
        <v>8.9</v>
      </c>
      <c r="X563" t="n">
        <v>5.3</v>
      </c>
      <c r="Y563" t="n">
        <v>3.6</v>
      </c>
      <c r="Z563" t="n">
        <v>2</v>
      </c>
      <c r="AA563" t="n">
        <v>14.4</v>
      </c>
      <c r="AB563" t="n">
        <v>2.863269</v>
      </c>
      <c r="AC563" t="n">
        <v>3.1</v>
      </c>
      <c r="AD563" t="n">
        <v>3.7</v>
      </c>
      <c r="AE563" t="n">
        <v>6.96981</v>
      </c>
      <c r="AF563" t="n">
        <v>18.8</v>
      </c>
      <c r="AG563" t="n">
        <v>5.3</v>
      </c>
      <c r="AH563" t="n">
        <v>19.6</v>
      </c>
      <c r="AI563" t="n">
        <v>6.5</v>
      </c>
      <c r="AJ563" t="n">
        <v>6.2</v>
      </c>
      <c r="AL563" t="n">
        <v>5.3</v>
      </c>
    </row>
    <row r="564">
      <c r="A564" s="78" t="n">
        <v>37196</v>
      </c>
      <c r="B564" t="n">
        <v>6.882589</v>
      </c>
      <c r="C564" t="n">
        <v>4.3</v>
      </c>
      <c r="D564" t="n">
        <v>7.4</v>
      </c>
      <c r="E564" t="n">
        <v>7.5</v>
      </c>
      <c r="G564" t="n">
        <v>9.455349999999999</v>
      </c>
      <c r="H564" t="n">
        <v>7.9</v>
      </c>
      <c r="I564" t="n">
        <v>8</v>
      </c>
      <c r="J564" t="n">
        <v>4.7</v>
      </c>
      <c r="K564" t="n">
        <v>8.5</v>
      </c>
      <c r="L564" t="n">
        <v>10.6</v>
      </c>
      <c r="M564" t="n">
        <v>11.9</v>
      </c>
      <c r="N564" t="n">
        <v>9.4</v>
      </c>
      <c r="O564" t="n">
        <v>8.800000000000001</v>
      </c>
      <c r="P564" t="n">
        <v>6.332154</v>
      </c>
      <c r="Q564" t="n">
        <v>5.2</v>
      </c>
      <c r="R564" t="n">
        <v>10.9</v>
      </c>
      <c r="S564" t="n">
        <v>5.5</v>
      </c>
      <c r="T564" t="n">
        <v>4.4</v>
      </c>
      <c r="W564" t="n">
        <v>8.9</v>
      </c>
      <c r="X564" t="n">
        <v>5.4</v>
      </c>
      <c r="Y564" t="n">
        <v>3.7</v>
      </c>
      <c r="Z564" t="n">
        <v>2</v>
      </c>
      <c r="AA564" t="n">
        <v>14</v>
      </c>
      <c r="AB564" t="n">
        <v>2.996422</v>
      </c>
      <c r="AC564" t="n">
        <v>3.1</v>
      </c>
      <c r="AD564" t="n">
        <v>3.6</v>
      </c>
      <c r="AE564" t="n">
        <v>7.045832</v>
      </c>
      <c r="AF564" t="n">
        <v>19.1</v>
      </c>
      <c r="AG564" t="n">
        <v>5.4</v>
      </c>
      <c r="AH564" t="n">
        <v>19.5</v>
      </c>
      <c r="AI564" t="n">
        <v>6.8</v>
      </c>
      <c r="AJ564" t="n">
        <v>5.8</v>
      </c>
      <c r="AL564" t="n">
        <v>5.5</v>
      </c>
    </row>
    <row r="565">
      <c r="A565" s="78" t="n">
        <v>37226</v>
      </c>
      <c r="B565" t="n">
        <v>6.860652</v>
      </c>
      <c r="C565" t="n">
        <v>4.4</v>
      </c>
      <c r="D565" t="n">
        <v>7.5</v>
      </c>
      <c r="E565" t="n">
        <v>8.1</v>
      </c>
      <c r="G565" t="n">
        <v>9.626625000000001</v>
      </c>
      <c r="H565" t="n">
        <v>8</v>
      </c>
      <c r="I565" t="n">
        <v>8.1</v>
      </c>
      <c r="J565" t="n">
        <v>4.7</v>
      </c>
      <c r="K565" t="n">
        <v>8.5</v>
      </c>
      <c r="L565" t="n">
        <v>10.7</v>
      </c>
      <c r="M565" t="n">
        <v>11.5</v>
      </c>
      <c r="N565" t="n">
        <v>8.9</v>
      </c>
      <c r="O565" t="n">
        <v>8.800000000000001</v>
      </c>
      <c r="P565" t="n">
        <v>6.445934</v>
      </c>
      <c r="Q565" t="n">
        <v>5.2</v>
      </c>
      <c r="R565" t="n">
        <v>10.8</v>
      </c>
      <c r="S565" t="n">
        <v>5.5</v>
      </c>
      <c r="T565" t="n">
        <v>4.4</v>
      </c>
      <c r="W565" t="n">
        <v>8.800000000000001</v>
      </c>
      <c r="X565" t="n">
        <v>5.4</v>
      </c>
      <c r="Y565" t="n">
        <v>3.7</v>
      </c>
      <c r="Z565" t="n">
        <v>2</v>
      </c>
      <c r="AA565" t="n">
        <v>13.4</v>
      </c>
      <c r="AB565" t="n">
        <v>3.086165</v>
      </c>
      <c r="AC565" t="n">
        <v>3.2</v>
      </c>
      <c r="AD565" t="n">
        <v>3.6</v>
      </c>
      <c r="AE565" t="n">
        <v>7.123406</v>
      </c>
      <c r="AF565" t="n">
        <v>19.2</v>
      </c>
      <c r="AG565" t="n">
        <v>5.4</v>
      </c>
      <c r="AH565" t="n">
        <v>19.3</v>
      </c>
      <c r="AI565" t="n">
        <v>6.8</v>
      </c>
      <c r="AJ565" t="n">
        <v>5.9</v>
      </c>
      <c r="AL565" t="n">
        <v>5.7</v>
      </c>
    </row>
    <row r="566">
      <c r="A566" s="78" t="n">
        <v>37257</v>
      </c>
      <c r="B566" t="n">
        <v>6.912065</v>
      </c>
      <c r="C566" t="n">
        <v>4.5</v>
      </c>
      <c r="D566" t="n">
        <v>7.4</v>
      </c>
      <c r="E566" t="n">
        <v>8</v>
      </c>
      <c r="G566" t="n">
        <v>9.879875</v>
      </c>
      <c r="H566" t="n">
        <v>7.5</v>
      </c>
      <c r="I566" t="n">
        <v>8.1</v>
      </c>
      <c r="J566" t="n">
        <v>4.6</v>
      </c>
      <c r="K566" t="n">
        <v>8.5</v>
      </c>
      <c r="L566" t="n">
        <v>11.1</v>
      </c>
      <c r="M566" t="n">
        <v>11.6</v>
      </c>
      <c r="N566" t="n">
        <v>9.4</v>
      </c>
      <c r="O566" t="n">
        <v>8.800000000000001</v>
      </c>
      <c r="P566" t="n">
        <v>6.375368</v>
      </c>
      <c r="Q566" t="n">
        <v>5.1</v>
      </c>
      <c r="R566" t="n">
        <v>10.7</v>
      </c>
      <c r="S566" t="n">
        <v>5.5</v>
      </c>
      <c r="T566" t="n">
        <v>4.4</v>
      </c>
      <c r="W566" t="n">
        <v>8.6</v>
      </c>
      <c r="X566" t="n">
        <v>5.2</v>
      </c>
      <c r="Y566" t="n">
        <v>3.6</v>
      </c>
      <c r="Z566" t="n">
        <v>2.2</v>
      </c>
      <c r="AA566" t="n">
        <v>12.6</v>
      </c>
      <c r="AB566" t="n">
        <v>3.360129</v>
      </c>
      <c r="AC566" t="n">
        <v>3.2</v>
      </c>
      <c r="AD566" t="n">
        <v>3.6</v>
      </c>
      <c r="AE566" t="n">
        <v>7.135046</v>
      </c>
      <c r="AF566" t="n">
        <v>19.4</v>
      </c>
      <c r="AG566" t="n">
        <v>5.6</v>
      </c>
      <c r="AH566" t="n">
        <v>19.1</v>
      </c>
      <c r="AI566" t="n">
        <v>6.7</v>
      </c>
      <c r="AJ566" t="n">
        <v>5.8</v>
      </c>
      <c r="AL566" t="n">
        <v>5.7</v>
      </c>
    </row>
    <row r="567">
      <c r="A567" s="78" t="n">
        <v>37288</v>
      </c>
      <c r="B567" t="n">
        <v>6.535728</v>
      </c>
      <c r="C567" t="n">
        <v>4.5</v>
      </c>
      <c r="D567" t="n">
        <v>7.3</v>
      </c>
      <c r="E567" t="n">
        <v>8</v>
      </c>
      <c r="G567" t="n">
        <v>10.0137</v>
      </c>
      <c r="H567" t="n">
        <v>7.5</v>
      </c>
      <c r="I567" t="n">
        <v>8.199999999999999</v>
      </c>
      <c r="J567" t="n">
        <v>4.4</v>
      </c>
      <c r="K567" t="n">
        <v>8.5</v>
      </c>
      <c r="L567" t="n">
        <v>11.5</v>
      </c>
      <c r="M567" t="n">
        <v>11.6</v>
      </c>
      <c r="N567" t="n">
        <v>9</v>
      </c>
      <c r="O567" t="n">
        <v>8.800000000000001</v>
      </c>
      <c r="P567" t="n">
        <v>6.391064</v>
      </c>
      <c r="Q567" t="n">
        <v>5.2</v>
      </c>
      <c r="R567" t="n">
        <v>10.7</v>
      </c>
      <c r="S567" t="n">
        <v>5.5</v>
      </c>
      <c r="T567" t="n">
        <v>4.5</v>
      </c>
      <c r="W567" t="n">
        <v>8.5</v>
      </c>
      <c r="X567" t="n">
        <v>5.3</v>
      </c>
      <c r="Y567" t="n">
        <v>3.5</v>
      </c>
      <c r="Z567" t="n">
        <v>2.2</v>
      </c>
      <c r="AA567" t="n">
        <v>12.4</v>
      </c>
      <c r="AB567" t="n">
        <v>3.03529</v>
      </c>
      <c r="AC567" t="n">
        <v>3.3</v>
      </c>
      <c r="AD567" t="n">
        <v>3.8</v>
      </c>
      <c r="AE567" t="n">
        <v>7.143944</v>
      </c>
      <c r="AF567" t="n">
        <v>19.4</v>
      </c>
      <c r="AG567" t="n">
        <v>5.6</v>
      </c>
      <c r="AH567" t="n">
        <v>19</v>
      </c>
      <c r="AI567" t="n">
        <v>6.6</v>
      </c>
      <c r="AJ567" t="n">
        <v>5.8</v>
      </c>
      <c r="AL567" t="n">
        <v>5.7</v>
      </c>
    </row>
    <row r="568">
      <c r="A568" s="78" t="n">
        <v>37316</v>
      </c>
      <c r="B568" t="n">
        <v>6.429688</v>
      </c>
      <c r="C568" t="n">
        <v>4.5</v>
      </c>
      <c r="D568" t="n">
        <v>7.3</v>
      </c>
      <c r="E568" t="n">
        <v>7.9</v>
      </c>
      <c r="G568" t="n">
        <v>9.902756999999999</v>
      </c>
      <c r="H568" t="n">
        <v>7.5</v>
      </c>
      <c r="I568" t="n">
        <v>8.199999999999999</v>
      </c>
      <c r="J568" t="n">
        <v>4.3</v>
      </c>
      <c r="K568" t="n">
        <v>8.5</v>
      </c>
      <c r="L568" t="n">
        <v>11.2</v>
      </c>
      <c r="M568" t="n">
        <v>11.2</v>
      </c>
      <c r="N568" t="n">
        <v>8.9</v>
      </c>
      <c r="O568" t="n">
        <v>8.699999999999999</v>
      </c>
      <c r="P568" t="n">
        <v>6.413757</v>
      </c>
      <c r="Q568" t="n">
        <v>5.2</v>
      </c>
      <c r="R568" t="n">
        <v>10.7</v>
      </c>
      <c r="S568" t="n">
        <v>5.5</v>
      </c>
      <c r="T568" t="n">
        <v>4.7</v>
      </c>
      <c r="W568" t="n">
        <v>8.5</v>
      </c>
      <c r="X568" t="n">
        <v>5.3</v>
      </c>
      <c r="Y568" t="n">
        <v>3.4</v>
      </c>
      <c r="Z568" t="n">
        <v>2.2</v>
      </c>
      <c r="AA568" t="n">
        <v>12.8</v>
      </c>
      <c r="AB568" t="n">
        <v>3.022208</v>
      </c>
      <c r="AC568" t="n">
        <v>3.4</v>
      </c>
      <c r="AD568" t="n">
        <v>3.7</v>
      </c>
      <c r="AE568" t="n">
        <v>7.145884</v>
      </c>
      <c r="AF568" t="n">
        <v>19.6</v>
      </c>
      <c r="AG568" t="n">
        <v>5.7</v>
      </c>
      <c r="AH568" t="n">
        <v>18.9</v>
      </c>
      <c r="AI568" t="n">
        <v>6.4</v>
      </c>
      <c r="AJ568" t="n">
        <v>5.8</v>
      </c>
      <c r="AL568" t="n">
        <v>5.7</v>
      </c>
    </row>
    <row r="569">
      <c r="A569" s="78" t="n">
        <v>37347</v>
      </c>
      <c r="B569" t="n">
        <v>6.344839</v>
      </c>
      <c r="C569" t="n">
        <v>4.3</v>
      </c>
      <c r="D569" t="n">
        <v>7.3</v>
      </c>
      <c r="E569" t="n">
        <v>7.7</v>
      </c>
      <c r="G569" t="n">
        <v>9.782753</v>
      </c>
      <c r="H569" t="n">
        <v>7</v>
      </c>
      <c r="I569" t="n">
        <v>8.300000000000001</v>
      </c>
      <c r="J569" t="n">
        <v>4.3</v>
      </c>
      <c r="K569" t="n">
        <v>8.6</v>
      </c>
      <c r="L569" t="n">
        <v>11.2</v>
      </c>
      <c r="M569" t="n">
        <v>10.7</v>
      </c>
      <c r="N569" t="n">
        <v>9.199999999999999</v>
      </c>
      <c r="O569" t="n">
        <v>8.699999999999999</v>
      </c>
      <c r="P569" t="n">
        <v>6.520747</v>
      </c>
      <c r="Q569" t="n">
        <v>5.2</v>
      </c>
      <c r="R569" t="n">
        <v>10.3</v>
      </c>
      <c r="S569" t="n">
        <v>5.5</v>
      </c>
      <c r="T569" t="n">
        <v>4.6</v>
      </c>
      <c r="W569" t="n">
        <v>8.9</v>
      </c>
      <c r="X569" t="n">
        <v>5.3</v>
      </c>
      <c r="Y569" t="n">
        <v>3.4</v>
      </c>
      <c r="Z569" t="n">
        <v>2.3</v>
      </c>
      <c r="AA569" t="n">
        <v>13.6</v>
      </c>
      <c r="AB569" t="n">
        <v>3.05236</v>
      </c>
      <c r="AC569" t="n">
        <v>3.4</v>
      </c>
      <c r="AD569" t="n">
        <v>3.8</v>
      </c>
      <c r="AE569" t="n">
        <v>7.214634</v>
      </c>
      <c r="AF569" t="n">
        <v>19.9</v>
      </c>
      <c r="AG569" t="n">
        <v>5.8</v>
      </c>
      <c r="AH569" t="n">
        <v>18.9</v>
      </c>
      <c r="AI569" t="n">
        <v>6.3</v>
      </c>
      <c r="AJ569" t="n">
        <v>6</v>
      </c>
      <c r="AL569" t="n">
        <v>5.9</v>
      </c>
    </row>
    <row r="570">
      <c r="A570" s="78" t="n">
        <v>37377</v>
      </c>
      <c r="B570" t="n">
        <v>6.371769</v>
      </c>
      <c r="C570" t="n">
        <v>4.2</v>
      </c>
      <c r="D570" t="n">
        <v>7.3</v>
      </c>
      <c r="E570" t="n">
        <v>7.8</v>
      </c>
      <c r="G570" t="n">
        <v>9.794354999999999</v>
      </c>
      <c r="H570" t="n">
        <v>7.2</v>
      </c>
      <c r="I570" t="n">
        <v>8.4</v>
      </c>
      <c r="J570" t="n">
        <v>4.4</v>
      </c>
      <c r="K570" t="n">
        <v>8.6</v>
      </c>
      <c r="L570" t="n">
        <v>11.2</v>
      </c>
      <c r="M570" t="n">
        <v>10.5</v>
      </c>
      <c r="N570" t="n">
        <v>9.5</v>
      </c>
      <c r="O570" t="n">
        <v>8.6</v>
      </c>
      <c r="P570" t="n">
        <v>6.481463</v>
      </c>
      <c r="Q570" t="n">
        <v>5.2</v>
      </c>
      <c r="R570" t="n">
        <v>10.3</v>
      </c>
      <c r="S570" t="n">
        <v>5.5</v>
      </c>
      <c r="T570" t="n">
        <v>4.7</v>
      </c>
      <c r="W570" t="n">
        <v>8.800000000000001</v>
      </c>
      <c r="X570" t="n">
        <v>5.4</v>
      </c>
      <c r="Y570" t="n">
        <v>3.3</v>
      </c>
      <c r="Z570" t="n">
        <v>2.4</v>
      </c>
      <c r="AA570" t="n">
        <v>13.7</v>
      </c>
      <c r="AB570" t="n">
        <v>3.128937</v>
      </c>
      <c r="AC570" t="n">
        <v>3.5</v>
      </c>
      <c r="AD570" t="n">
        <v>3.7</v>
      </c>
      <c r="AE570" t="n">
        <v>7.190681</v>
      </c>
      <c r="AF570" t="n">
        <v>19.8</v>
      </c>
      <c r="AG570" t="n">
        <v>6.2</v>
      </c>
      <c r="AH570" t="n">
        <v>19</v>
      </c>
      <c r="AI570" t="n">
        <v>6.3</v>
      </c>
      <c r="AJ570" t="n">
        <v>5.8</v>
      </c>
      <c r="AL570" t="n">
        <v>5.8</v>
      </c>
    </row>
    <row r="571">
      <c r="A571" s="78" t="n">
        <v>37408</v>
      </c>
      <c r="B571" t="n">
        <v>6.495378</v>
      </c>
      <c r="C571" t="n">
        <v>4.2</v>
      </c>
      <c r="D571" t="n">
        <v>7.3</v>
      </c>
      <c r="E571" t="n">
        <v>7.6</v>
      </c>
      <c r="G571" t="n">
        <v>9.576212</v>
      </c>
      <c r="H571" t="n">
        <v>7.3</v>
      </c>
      <c r="I571" t="n">
        <v>8.5</v>
      </c>
      <c r="J571" t="n">
        <v>4.5</v>
      </c>
      <c r="K571" t="n">
        <v>8.6</v>
      </c>
      <c r="L571" t="n">
        <v>11.4</v>
      </c>
      <c r="M571" t="n">
        <v>11.2</v>
      </c>
      <c r="N571" t="n">
        <v>8.699999999999999</v>
      </c>
      <c r="O571" t="n">
        <v>8.6</v>
      </c>
      <c r="P571" t="n">
        <v>6.501253</v>
      </c>
      <c r="Q571" t="n">
        <v>5.2</v>
      </c>
      <c r="R571" t="n">
        <v>10.3</v>
      </c>
      <c r="S571" t="n">
        <v>5.6</v>
      </c>
      <c r="T571" t="n">
        <v>4.6</v>
      </c>
      <c r="W571" t="n">
        <v>8.800000000000001</v>
      </c>
      <c r="X571" t="n">
        <v>5.5</v>
      </c>
      <c r="Y571" t="n">
        <v>3.1</v>
      </c>
      <c r="Z571" t="n">
        <v>2.5</v>
      </c>
      <c r="AA571" t="n">
        <v>13.1</v>
      </c>
      <c r="AB571" t="n">
        <v>3.039378</v>
      </c>
      <c r="AC571" t="n">
        <v>3.6</v>
      </c>
      <c r="AD571" t="n">
        <v>3.5</v>
      </c>
      <c r="AE571" t="n">
        <v>7.210403</v>
      </c>
      <c r="AF571" t="n">
        <v>20.2</v>
      </c>
      <c r="AG571" t="n">
        <v>6.4</v>
      </c>
      <c r="AH571" t="n">
        <v>18.9</v>
      </c>
      <c r="AI571" t="n">
        <v>6.1</v>
      </c>
      <c r="AJ571" t="n">
        <v>5.6</v>
      </c>
      <c r="AL571" t="n">
        <v>5.8</v>
      </c>
    </row>
    <row r="572">
      <c r="A572" s="78" t="n">
        <v>37438</v>
      </c>
      <c r="B572" t="n">
        <v>6.178874</v>
      </c>
      <c r="C572" t="n">
        <v>4.3</v>
      </c>
      <c r="D572" t="n">
        <v>7.5</v>
      </c>
      <c r="E572" t="n">
        <v>7.6</v>
      </c>
      <c r="G572" t="n">
        <v>9.681331</v>
      </c>
      <c r="H572" t="n">
        <v>7</v>
      </c>
      <c r="I572" t="n">
        <v>8.6</v>
      </c>
      <c r="J572" t="n">
        <v>4.8</v>
      </c>
      <c r="K572" t="n">
        <v>8.699999999999999</v>
      </c>
      <c r="L572" t="n">
        <v>11.7</v>
      </c>
      <c r="M572" t="n">
        <v>11.4</v>
      </c>
      <c r="N572" t="n">
        <v>9.1</v>
      </c>
      <c r="O572" t="n">
        <v>8.6</v>
      </c>
      <c r="P572" t="n">
        <v>6.481116</v>
      </c>
      <c r="Q572" t="n">
        <v>5.2</v>
      </c>
      <c r="R572" t="n">
        <v>10.3</v>
      </c>
      <c r="S572" t="n">
        <v>5.6</v>
      </c>
      <c r="T572" t="n">
        <v>4.4</v>
      </c>
      <c r="W572" t="n">
        <v>8.6</v>
      </c>
      <c r="X572" t="n">
        <v>5.4</v>
      </c>
      <c r="Y572" t="n">
        <v>3.1</v>
      </c>
      <c r="Z572" t="n">
        <v>2.6</v>
      </c>
      <c r="AA572" t="n">
        <v>11.8</v>
      </c>
      <c r="AB572" t="n">
        <v>2.907495</v>
      </c>
      <c r="AC572" t="n">
        <v>3.7</v>
      </c>
      <c r="AD572" t="n">
        <v>3.4</v>
      </c>
      <c r="AE572" t="n">
        <v>7.233822</v>
      </c>
      <c r="AF572" t="n">
        <v>20.4</v>
      </c>
      <c r="AG572" t="n">
        <v>6.6</v>
      </c>
      <c r="AH572" t="n">
        <v>18.8</v>
      </c>
      <c r="AI572" t="n">
        <v>6.1</v>
      </c>
      <c r="AJ572" t="n">
        <v>6.1</v>
      </c>
      <c r="AL572" t="n">
        <v>5.8</v>
      </c>
    </row>
    <row r="573">
      <c r="A573" s="78" t="n">
        <v>37469</v>
      </c>
      <c r="B573" t="n">
        <v>6.348559</v>
      </c>
      <c r="C573" t="n">
        <v>4.4</v>
      </c>
      <c r="D573" t="n">
        <v>7.4</v>
      </c>
      <c r="E573" t="n">
        <v>7.4</v>
      </c>
      <c r="G573" t="n">
        <v>9.885949</v>
      </c>
      <c r="H573" t="n">
        <v>7.2</v>
      </c>
      <c r="I573" t="n">
        <v>8.699999999999999</v>
      </c>
      <c r="J573" t="n">
        <v>5</v>
      </c>
      <c r="K573" t="n">
        <v>8.699999999999999</v>
      </c>
      <c r="L573" t="n">
        <v>11.8</v>
      </c>
      <c r="M573" t="n">
        <v>11.2</v>
      </c>
      <c r="N573" t="n">
        <v>9.199999999999999</v>
      </c>
      <c r="O573" t="n">
        <v>8.6</v>
      </c>
      <c r="P573" t="n">
        <v>6.485902</v>
      </c>
      <c r="Q573" t="n">
        <v>5.3</v>
      </c>
      <c r="R573" t="n">
        <v>10.2</v>
      </c>
      <c r="S573" t="n">
        <v>5.6</v>
      </c>
      <c r="T573" t="n">
        <v>4.4</v>
      </c>
      <c r="W573" t="n">
        <v>8.6</v>
      </c>
      <c r="X573" t="n">
        <v>5.5</v>
      </c>
      <c r="Y573" t="n">
        <v>3.3</v>
      </c>
      <c r="Z573" t="n">
        <v>2.7</v>
      </c>
      <c r="AA573" t="n">
        <v>11.3</v>
      </c>
      <c r="AB573" t="n">
        <v>2.777408</v>
      </c>
      <c r="AC573" t="n">
        <v>3.8</v>
      </c>
      <c r="AD573" t="n">
        <v>3.6</v>
      </c>
      <c r="AE573" t="n">
        <v>7.254689</v>
      </c>
      <c r="AF573" t="n">
        <v>20.5</v>
      </c>
      <c r="AG573" t="n">
        <v>6.5</v>
      </c>
      <c r="AH573" t="n">
        <v>18.8</v>
      </c>
      <c r="AI573" t="n">
        <v>6.3</v>
      </c>
      <c r="AJ573" t="n">
        <v>5.9</v>
      </c>
      <c r="AL573" t="n">
        <v>5.7</v>
      </c>
    </row>
    <row r="574">
      <c r="A574" s="78" t="n">
        <v>37500</v>
      </c>
      <c r="B574" t="n">
        <v>6.311424</v>
      </c>
      <c r="C574" t="n">
        <v>4.5</v>
      </c>
      <c r="D574" t="n">
        <v>7.6</v>
      </c>
      <c r="E574" t="n">
        <v>7.5</v>
      </c>
      <c r="G574" t="n">
        <v>10.09507</v>
      </c>
      <c r="H574" t="n">
        <v>7.3</v>
      </c>
      <c r="I574" t="n">
        <v>8.9</v>
      </c>
      <c r="J574" t="n">
        <v>5</v>
      </c>
      <c r="K574" t="n">
        <v>8.800000000000001</v>
      </c>
      <c r="L574" t="n">
        <v>11.7</v>
      </c>
      <c r="M574" t="n">
        <v>11.3</v>
      </c>
      <c r="N574" t="n">
        <v>9</v>
      </c>
      <c r="O574" t="n">
        <v>8.6</v>
      </c>
      <c r="P574" t="n">
        <v>6.464139</v>
      </c>
      <c r="Q574" t="n">
        <v>5.2</v>
      </c>
      <c r="R574" t="n">
        <v>10.2</v>
      </c>
      <c r="S574" t="n">
        <v>5.7</v>
      </c>
      <c r="T574" t="n">
        <v>4.7</v>
      </c>
      <c r="W574" t="n">
        <v>8.6</v>
      </c>
      <c r="X574" t="n">
        <v>5.4</v>
      </c>
      <c r="Y574" t="n">
        <v>3</v>
      </c>
      <c r="Z574" t="n">
        <v>2.7</v>
      </c>
      <c r="AA574" t="n">
        <v>11.4</v>
      </c>
      <c r="AB574" t="n">
        <v>2.886344</v>
      </c>
      <c r="AC574" t="n">
        <v>3.9</v>
      </c>
      <c r="AD574" t="n">
        <v>3.7</v>
      </c>
      <c r="AE574" t="n">
        <v>7.240983</v>
      </c>
      <c r="AF574" t="n">
        <v>20.5</v>
      </c>
      <c r="AG574" t="n">
        <v>6.8</v>
      </c>
      <c r="AH574" t="n">
        <v>18.7</v>
      </c>
      <c r="AI574" t="n">
        <v>6.3</v>
      </c>
      <c r="AJ574" t="n">
        <v>6.2</v>
      </c>
      <c r="AL574" t="n">
        <v>5.7</v>
      </c>
    </row>
    <row r="575">
      <c r="A575" s="78" t="n">
        <v>37530</v>
      </c>
      <c r="B575" t="n">
        <v>6.127577</v>
      </c>
      <c r="C575" t="n">
        <v>4.4</v>
      </c>
      <c r="D575" t="n">
        <v>7.8</v>
      </c>
      <c r="E575" t="n">
        <v>7.6</v>
      </c>
      <c r="G575" t="n">
        <v>9.945686</v>
      </c>
      <c r="H575" t="n">
        <v>7.1</v>
      </c>
      <c r="I575" t="n">
        <v>9</v>
      </c>
      <c r="J575" t="n">
        <v>4.9</v>
      </c>
      <c r="K575" t="n">
        <v>8.800000000000001</v>
      </c>
      <c r="L575" t="n">
        <v>11.6</v>
      </c>
      <c r="M575" t="n">
        <v>11.8</v>
      </c>
      <c r="N575" t="n">
        <v>9.199999999999999</v>
      </c>
      <c r="O575" t="n">
        <v>8.6</v>
      </c>
      <c r="P575" t="n">
        <v>6.481762</v>
      </c>
      <c r="Q575" t="n">
        <v>5.2</v>
      </c>
      <c r="R575" t="n">
        <v>10</v>
      </c>
      <c r="S575" t="n">
        <v>5.7</v>
      </c>
      <c r="T575" t="n">
        <v>5.1</v>
      </c>
      <c r="W575" t="n">
        <v>8.5</v>
      </c>
      <c r="X575" t="n">
        <v>5.4</v>
      </c>
      <c r="Y575" t="n">
        <v>3.1</v>
      </c>
      <c r="Z575" t="n">
        <v>2.9</v>
      </c>
      <c r="AA575" t="n">
        <v>12.2</v>
      </c>
      <c r="AB575" t="n">
        <v>2.794946</v>
      </c>
      <c r="AC575" t="n">
        <v>4</v>
      </c>
      <c r="AD575" t="n">
        <v>3.8</v>
      </c>
      <c r="AE575" t="n">
        <v>7.255222</v>
      </c>
      <c r="AF575" t="n">
        <v>20.4</v>
      </c>
      <c r="AG575" t="n">
        <v>7.2</v>
      </c>
      <c r="AH575" t="n">
        <v>18.7</v>
      </c>
      <c r="AI575" t="n">
        <v>6.2</v>
      </c>
      <c r="AJ575" t="n">
        <v>6</v>
      </c>
      <c r="AL575" t="n">
        <v>5.7</v>
      </c>
    </row>
    <row r="576">
      <c r="A576" s="78" t="n">
        <v>37561</v>
      </c>
      <c r="B576" t="n">
        <v>6.161427</v>
      </c>
      <c r="C576" t="n">
        <v>4.4</v>
      </c>
      <c r="D576" t="n">
        <v>8</v>
      </c>
      <c r="E576" t="n">
        <v>7.4</v>
      </c>
      <c r="G576" t="n">
        <v>9.518924999999999</v>
      </c>
      <c r="H576" t="n">
        <v>7.5</v>
      </c>
      <c r="I576" t="n">
        <v>9.1</v>
      </c>
      <c r="J576" t="n">
        <v>4.8</v>
      </c>
      <c r="K576" t="n">
        <v>8.9</v>
      </c>
      <c r="L576" t="n">
        <v>11.6</v>
      </c>
      <c r="M576" t="n">
        <v>11.5</v>
      </c>
      <c r="N576" t="n">
        <v>8.800000000000001</v>
      </c>
      <c r="O576" t="n">
        <v>8.6</v>
      </c>
      <c r="P576" t="n">
        <v>6.518966</v>
      </c>
      <c r="Q576" t="n">
        <v>5.1</v>
      </c>
      <c r="R576" t="n">
        <v>10</v>
      </c>
      <c r="S576" t="n">
        <v>5.7</v>
      </c>
      <c r="T576" t="n">
        <v>5.3</v>
      </c>
      <c r="W576" t="n">
        <v>8.5</v>
      </c>
      <c r="X576" t="n">
        <v>5.2</v>
      </c>
      <c r="Y576" t="n">
        <v>3.1</v>
      </c>
      <c r="Z576" t="n">
        <v>3</v>
      </c>
      <c r="AA576" t="n">
        <v>12.5</v>
      </c>
      <c r="AB576" t="n">
        <v>3.00077</v>
      </c>
      <c r="AC576" t="n">
        <v>4.1</v>
      </c>
      <c r="AD576" t="n">
        <v>3.8</v>
      </c>
      <c r="AE576" t="n">
        <v>7.279594</v>
      </c>
      <c r="AF576" t="n">
        <v>20.3</v>
      </c>
      <c r="AG576" t="n">
        <v>7.5</v>
      </c>
      <c r="AH576" t="n">
        <v>18.6</v>
      </c>
      <c r="AI576" t="n">
        <v>6.4</v>
      </c>
      <c r="AJ576" t="n">
        <v>6.2</v>
      </c>
      <c r="AL576" t="n">
        <v>5.9</v>
      </c>
    </row>
    <row r="577">
      <c r="A577" s="78" t="n">
        <v>37591</v>
      </c>
      <c r="B577" t="n">
        <v>6.181481</v>
      </c>
      <c r="C577" t="n">
        <v>4.5</v>
      </c>
      <c r="D577" t="n">
        <v>8.1</v>
      </c>
      <c r="E577" t="n">
        <v>7.5</v>
      </c>
      <c r="G577" t="n">
        <v>9.352181</v>
      </c>
      <c r="H577" t="n">
        <v>7.4</v>
      </c>
      <c r="I577" t="n">
        <v>9.199999999999999</v>
      </c>
      <c r="J577" t="n">
        <v>4.7</v>
      </c>
      <c r="K577" t="n">
        <v>8.9</v>
      </c>
      <c r="L577" t="n">
        <v>11.6</v>
      </c>
      <c r="M577" t="n">
        <v>11.9</v>
      </c>
      <c r="N577" t="n">
        <v>9</v>
      </c>
      <c r="O577" t="n">
        <v>8.5</v>
      </c>
      <c r="P577" t="n">
        <v>6.580261</v>
      </c>
      <c r="Q577" t="n">
        <v>5</v>
      </c>
      <c r="R577" t="n">
        <v>10</v>
      </c>
      <c r="S577" t="n">
        <v>5.7</v>
      </c>
      <c r="T577" t="n">
        <v>5.3</v>
      </c>
      <c r="W577" t="n">
        <v>8.4</v>
      </c>
      <c r="X577" t="n">
        <v>5.4</v>
      </c>
      <c r="Y577" t="n">
        <v>3.1</v>
      </c>
      <c r="Z577" t="n">
        <v>3.1</v>
      </c>
      <c r="AA577" t="n">
        <v>12.3</v>
      </c>
      <c r="AB577" t="n">
        <v>2.729125</v>
      </c>
      <c r="AC577" t="n">
        <v>4.2</v>
      </c>
      <c r="AD577" t="n">
        <v>3.8</v>
      </c>
      <c r="AE577" t="n">
        <v>7.31003</v>
      </c>
      <c r="AF577" t="n">
        <v>20.1</v>
      </c>
      <c r="AG577" t="n">
        <v>7.6</v>
      </c>
      <c r="AH577" t="n">
        <v>18.5</v>
      </c>
      <c r="AI577" t="n">
        <v>6.4</v>
      </c>
      <c r="AJ577" t="n">
        <v>6.3</v>
      </c>
      <c r="AL577" t="n">
        <v>6</v>
      </c>
    </row>
    <row r="578">
      <c r="A578" s="78" t="n">
        <v>37622</v>
      </c>
      <c r="B578" t="n">
        <v>6.080065</v>
      </c>
      <c r="C578" t="n">
        <v>4.5</v>
      </c>
      <c r="D578" t="n">
        <v>8.1</v>
      </c>
      <c r="E578" t="n">
        <v>7.5</v>
      </c>
      <c r="G578" t="n">
        <v>9.542569</v>
      </c>
      <c r="H578" t="n">
        <v>7.2</v>
      </c>
      <c r="I578" t="n">
        <v>9.4</v>
      </c>
      <c r="J578" t="n">
        <v>4.8</v>
      </c>
      <c r="K578" t="n">
        <v>9</v>
      </c>
      <c r="L578" t="n">
        <v>11.7</v>
      </c>
      <c r="M578" t="n">
        <v>11.4</v>
      </c>
      <c r="N578" t="n">
        <v>9.1</v>
      </c>
      <c r="O578" t="n">
        <v>8.199999999999999</v>
      </c>
      <c r="P578" t="n">
        <v>6.569594</v>
      </c>
      <c r="Q578" t="n">
        <v>5.1</v>
      </c>
      <c r="R578" t="n">
        <v>9.800000000000001</v>
      </c>
      <c r="S578" t="n">
        <v>5.7</v>
      </c>
      <c r="T578" t="n">
        <v>5</v>
      </c>
      <c r="U578" t="n">
        <v>3.8</v>
      </c>
      <c r="W578" t="n">
        <v>8.800000000000001</v>
      </c>
      <c r="X578" t="n">
        <v>5.4</v>
      </c>
      <c r="Y578" t="n">
        <v>3.3</v>
      </c>
      <c r="Z578" t="n">
        <v>3.2</v>
      </c>
      <c r="AA578" t="n">
        <v>11.6</v>
      </c>
      <c r="AB578" t="n">
        <v>2.890019</v>
      </c>
      <c r="AC578" t="n">
        <v>5.3</v>
      </c>
      <c r="AD578" t="n">
        <v>3.9</v>
      </c>
      <c r="AE578" t="n">
        <v>7.289467</v>
      </c>
      <c r="AF578" t="n">
        <v>19.9</v>
      </c>
      <c r="AG578" t="n">
        <v>7.6</v>
      </c>
      <c r="AH578" t="n">
        <v>18.2</v>
      </c>
      <c r="AI578" t="n">
        <v>6.5</v>
      </c>
      <c r="AJ578" t="n">
        <v>6.4</v>
      </c>
      <c r="AL578" t="n">
        <v>5.8</v>
      </c>
    </row>
    <row r="579">
      <c r="A579" s="78" t="n">
        <v>37653</v>
      </c>
      <c r="B579" t="n">
        <v>5.95437</v>
      </c>
      <c r="C579" t="n">
        <v>4.5</v>
      </c>
      <c r="D579" t="n">
        <v>8.1</v>
      </c>
      <c r="E579" t="n">
        <v>7.5</v>
      </c>
      <c r="G579" t="n">
        <v>9.573577999999999</v>
      </c>
      <c r="H579" t="n">
        <v>7.3</v>
      </c>
      <c r="I579" t="n">
        <v>9.5</v>
      </c>
      <c r="J579" t="n">
        <v>5</v>
      </c>
      <c r="K579" t="n">
        <v>9.1</v>
      </c>
      <c r="L579" t="n">
        <v>11.7</v>
      </c>
      <c r="M579" t="n">
        <v>11.2</v>
      </c>
      <c r="N579" t="n">
        <v>8.6</v>
      </c>
      <c r="O579" t="n">
        <v>8.300000000000001</v>
      </c>
      <c r="P579" t="n">
        <v>6.578058</v>
      </c>
      <c r="Q579" t="n">
        <v>5.2</v>
      </c>
      <c r="R579" t="n">
        <v>9.699999999999999</v>
      </c>
      <c r="S579" t="n">
        <v>5.7</v>
      </c>
      <c r="T579" t="n">
        <v>4.8</v>
      </c>
      <c r="U579" t="n">
        <v>3.7</v>
      </c>
      <c r="W579" t="n">
        <v>8.699999999999999</v>
      </c>
      <c r="X579" t="n">
        <v>5.2</v>
      </c>
      <c r="Y579" t="n">
        <v>3.3</v>
      </c>
      <c r="Z579" t="n">
        <v>3.3</v>
      </c>
      <c r="AA579" t="n">
        <v>11.3</v>
      </c>
      <c r="AB579" t="n">
        <v>2.98038</v>
      </c>
      <c r="AC579" t="n">
        <v>5.4</v>
      </c>
      <c r="AD579" t="n">
        <v>4</v>
      </c>
      <c r="AE579" t="n">
        <v>7.281928</v>
      </c>
      <c r="AF579" t="n">
        <v>19.8</v>
      </c>
      <c r="AG579" t="n">
        <v>7.7</v>
      </c>
      <c r="AH579" t="n">
        <v>18</v>
      </c>
      <c r="AI579" t="n">
        <v>6.7</v>
      </c>
      <c r="AJ579" t="n">
        <v>6</v>
      </c>
      <c r="AL579" t="n">
        <v>5.9</v>
      </c>
    </row>
    <row r="580">
      <c r="A580" s="78" t="n">
        <v>37681</v>
      </c>
      <c r="B580" t="n">
        <v>6.130666</v>
      </c>
      <c r="C580" t="n">
        <v>4.6</v>
      </c>
      <c r="D580" t="n">
        <v>8.1</v>
      </c>
      <c r="E580" t="n">
        <v>7.4</v>
      </c>
      <c r="G580" t="n">
        <v>9.783970999999999</v>
      </c>
      <c r="H580" t="n">
        <v>7.7</v>
      </c>
      <c r="I580" t="n">
        <v>9.6</v>
      </c>
      <c r="J580" t="n">
        <v>5.2</v>
      </c>
      <c r="K580" t="n">
        <v>9.1</v>
      </c>
      <c r="L580" t="n">
        <v>11.6</v>
      </c>
      <c r="M580" t="n">
        <v>11.1</v>
      </c>
      <c r="N580" t="n">
        <v>9.199999999999999</v>
      </c>
      <c r="O580" t="n">
        <v>8.4</v>
      </c>
      <c r="P580" t="n">
        <v>6.617414</v>
      </c>
      <c r="Q580" t="n">
        <v>5.1</v>
      </c>
      <c r="R580" t="n">
        <v>9.699999999999999</v>
      </c>
      <c r="S580" t="n">
        <v>5.7</v>
      </c>
      <c r="T580" t="n">
        <v>4.7</v>
      </c>
      <c r="U580" t="n">
        <v>3.6</v>
      </c>
      <c r="W580" t="n">
        <v>8.699999999999999</v>
      </c>
      <c r="X580" t="n">
        <v>5.4</v>
      </c>
      <c r="Y580" t="n">
        <v>3.3</v>
      </c>
      <c r="Z580" t="n">
        <v>3.4</v>
      </c>
      <c r="AA580" t="n">
        <v>11.2</v>
      </c>
      <c r="AB580" t="n">
        <v>3.123908</v>
      </c>
      <c r="AC580" t="n">
        <v>5.6</v>
      </c>
      <c r="AD580" t="n">
        <v>4</v>
      </c>
      <c r="AE580" t="n">
        <v>7.318687</v>
      </c>
      <c r="AF580" t="n">
        <v>19.6</v>
      </c>
      <c r="AG580" t="n">
        <v>7.7</v>
      </c>
      <c r="AH580" t="n">
        <v>17.8</v>
      </c>
      <c r="AI580" t="n">
        <v>6.8</v>
      </c>
      <c r="AJ580" t="n">
        <v>6.3</v>
      </c>
      <c r="AL580" t="n">
        <v>5.9</v>
      </c>
    </row>
    <row r="581">
      <c r="A581" s="78" t="n">
        <v>37712</v>
      </c>
      <c r="B581" t="n">
        <v>6.029006</v>
      </c>
      <c r="C581" t="n">
        <v>4.7</v>
      </c>
      <c r="D581" t="n">
        <v>8.1</v>
      </c>
      <c r="E581" t="n">
        <v>7.6</v>
      </c>
      <c r="G581" t="n">
        <v>9.604336999999999</v>
      </c>
      <c r="H581" t="n">
        <v>7.5</v>
      </c>
      <c r="I581" t="n">
        <v>9.699999999999999</v>
      </c>
      <c r="J581" t="n">
        <v>5.4</v>
      </c>
      <c r="K581" t="n">
        <v>9.1</v>
      </c>
      <c r="L581" t="n">
        <v>11.4</v>
      </c>
      <c r="M581" t="n">
        <v>10.8</v>
      </c>
      <c r="N581" t="n">
        <v>9.4</v>
      </c>
      <c r="O581" t="n">
        <v>8.5</v>
      </c>
      <c r="P581" t="n">
        <v>6.687397</v>
      </c>
      <c r="Q581" t="n">
        <v>5</v>
      </c>
      <c r="R581" t="n">
        <v>9.699999999999999</v>
      </c>
      <c r="S581" t="n">
        <v>5.8</v>
      </c>
      <c r="T581" t="n">
        <v>4.8</v>
      </c>
      <c r="U581" t="n">
        <v>3.5</v>
      </c>
      <c r="W581" t="n">
        <v>8.4</v>
      </c>
      <c r="X581" t="n">
        <v>5.5</v>
      </c>
      <c r="Y581" t="n">
        <v>3.4</v>
      </c>
      <c r="Z581" t="n">
        <v>3.5</v>
      </c>
      <c r="AA581" t="n">
        <v>11.4</v>
      </c>
      <c r="AB581" t="n">
        <v>3.0915</v>
      </c>
      <c r="AC581" t="n">
        <v>5.7</v>
      </c>
      <c r="AD581" t="n">
        <v>4.2</v>
      </c>
      <c r="AE581" t="n">
        <v>7.359404</v>
      </c>
      <c r="AF581" t="n">
        <v>19.5</v>
      </c>
      <c r="AG581" t="n">
        <v>7.8</v>
      </c>
      <c r="AH581" t="n">
        <v>17.4</v>
      </c>
      <c r="AI581" t="n">
        <v>6.8</v>
      </c>
      <c r="AJ581" t="n">
        <v>6.3</v>
      </c>
      <c r="AL581" t="n">
        <v>6</v>
      </c>
    </row>
    <row r="582">
      <c r="A582" s="78" t="n">
        <v>37742</v>
      </c>
      <c r="B582" t="n">
        <v>6.068295</v>
      </c>
      <c r="C582" t="n">
        <v>4.8</v>
      </c>
      <c r="D582" t="n">
        <v>8.1</v>
      </c>
      <c r="E582" t="n">
        <v>7.8</v>
      </c>
      <c r="G582" t="n">
        <v>9.59075</v>
      </c>
      <c r="H582" t="n">
        <v>7.8</v>
      </c>
      <c r="I582" t="n">
        <v>9.699999999999999</v>
      </c>
      <c r="J582" t="n">
        <v>5.6</v>
      </c>
      <c r="K582" t="n">
        <v>9.1</v>
      </c>
      <c r="L582" t="n">
        <v>11.3</v>
      </c>
      <c r="M582" t="n">
        <v>11.1</v>
      </c>
      <c r="N582" t="n">
        <v>9.1</v>
      </c>
      <c r="O582" t="n">
        <v>8.5</v>
      </c>
      <c r="P582" t="n">
        <v>6.72673</v>
      </c>
      <c r="Q582" t="n">
        <v>4.9</v>
      </c>
      <c r="R582" t="n">
        <v>9.699999999999999</v>
      </c>
      <c r="S582" t="n">
        <v>5.8</v>
      </c>
      <c r="T582" t="n">
        <v>4.7</v>
      </c>
      <c r="U582" t="n">
        <v>3.5</v>
      </c>
      <c r="W582" t="n">
        <v>8.5</v>
      </c>
      <c r="X582" t="n">
        <v>5.4</v>
      </c>
      <c r="Y582" t="n">
        <v>3.6</v>
      </c>
      <c r="Z582" t="n">
        <v>3.6</v>
      </c>
      <c r="AA582" t="n">
        <v>11.7</v>
      </c>
      <c r="AB582" t="n">
        <v>3.191952</v>
      </c>
      <c r="AC582" t="n">
        <v>5.8</v>
      </c>
      <c r="AD582" t="n">
        <v>4.2</v>
      </c>
      <c r="AE582" t="n">
        <v>7.394135</v>
      </c>
      <c r="AF582" t="n">
        <v>19.5</v>
      </c>
      <c r="AG582" t="n">
        <v>8</v>
      </c>
      <c r="AH582" t="n">
        <v>17.3</v>
      </c>
      <c r="AI582" t="n">
        <v>6.8</v>
      </c>
      <c r="AJ582" t="n">
        <v>6.3</v>
      </c>
      <c r="AL582" t="n">
        <v>6.1</v>
      </c>
    </row>
    <row r="583">
      <c r="A583" s="78" t="n">
        <v>37773</v>
      </c>
      <c r="B583" t="n">
        <v>6.054267</v>
      </c>
      <c r="C583" t="n">
        <v>4.9</v>
      </c>
      <c r="D583" t="n">
        <v>8.1</v>
      </c>
      <c r="E583" t="n">
        <v>7.6</v>
      </c>
      <c r="G583" t="n">
        <v>9.464155999999999</v>
      </c>
      <c r="H583" t="n">
        <v>7.7</v>
      </c>
      <c r="I583" t="n">
        <v>9.800000000000001</v>
      </c>
      <c r="J583" t="n">
        <v>5.6</v>
      </c>
      <c r="K583" t="n">
        <v>9.199999999999999</v>
      </c>
      <c r="L583" t="n">
        <v>11.5</v>
      </c>
      <c r="M583" t="n">
        <v>11</v>
      </c>
      <c r="N583" t="n">
        <v>9.4</v>
      </c>
      <c r="O583" t="n">
        <v>8.5</v>
      </c>
      <c r="P583" t="n">
        <v>6.79761</v>
      </c>
      <c r="Q583" t="n">
        <v>5.1</v>
      </c>
      <c r="R583" t="n">
        <v>9.699999999999999</v>
      </c>
      <c r="S583" t="n">
        <v>5.8</v>
      </c>
      <c r="T583" t="n">
        <v>4.9</v>
      </c>
      <c r="U583" t="n">
        <v>3.5</v>
      </c>
      <c r="W583" t="n">
        <v>8.5</v>
      </c>
      <c r="X583" t="n">
        <v>5.4</v>
      </c>
      <c r="Y583" t="n">
        <v>3.6</v>
      </c>
      <c r="Z583" t="n">
        <v>3.7</v>
      </c>
      <c r="AA583" t="n">
        <v>12.1</v>
      </c>
      <c r="AB583" t="n">
        <v>3.267429</v>
      </c>
      <c r="AC583" t="n">
        <v>5.9</v>
      </c>
      <c r="AD583" t="n">
        <v>4.3</v>
      </c>
      <c r="AE583" t="n">
        <v>7.452666</v>
      </c>
      <c r="AF583" t="n">
        <v>19.7</v>
      </c>
      <c r="AG583" t="n">
        <v>7.9</v>
      </c>
      <c r="AH583" t="n">
        <v>17.3</v>
      </c>
      <c r="AI583" t="n">
        <v>6.8</v>
      </c>
      <c r="AJ583" t="n">
        <v>6.4</v>
      </c>
      <c r="AL583" t="n">
        <v>6.3</v>
      </c>
    </row>
    <row r="584">
      <c r="A584" s="78" t="n">
        <v>37803</v>
      </c>
      <c r="B584" t="n">
        <v>6.127002</v>
      </c>
      <c r="C584" t="n">
        <v>4.8</v>
      </c>
      <c r="D584" t="n">
        <v>8.1</v>
      </c>
      <c r="E584" t="n">
        <v>7.7</v>
      </c>
      <c r="G584" t="n">
        <v>9.655252000000001</v>
      </c>
      <c r="H584" t="n">
        <v>7.8</v>
      </c>
      <c r="I584" t="n">
        <v>9.800000000000001</v>
      </c>
      <c r="J584" t="n">
        <v>5.4</v>
      </c>
      <c r="K584" t="n">
        <v>9.1</v>
      </c>
      <c r="L584" t="n">
        <v>11.6</v>
      </c>
      <c r="M584" t="n">
        <v>10.5</v>
      </c>
      <c r="N584" t="n">
        <v>9</v>
      </c>
      <c r="O584" t="n">
        <v>8.5</v>
      </c>
      <c r="P584" t="n">
        <v>6.701008</v>
      </c>
      <c r="Q584" t="n">
        <v>5.1</v>
      </c>
      <c r="R584" t="n">
        <v>9.699999999999999</v>
      </c>
      <c r="S584" t="n">
        <v>5.7</v>
      </c>
      <c r="T584" t="n">
        <v>5</v>
      </c>
      <c r="U584" t="n">
        <v>3.4</v>
      </c>
      <c r="W584" t="n">
        <v>8.4</v>
      </c>
      <c r="X584" t="n">
        <v>5.2</v>
      </c>
      <c r="Y584" t="n">
        <v>3.6</v>
      </c>
      <c r="Z584" t="n">
        <v>3.8</v>
      </c>
      <c r="AA584" t="n">
        <v>12.4</v>
      </c>
      <c r="AB584" t="n">
        <v>3.576365</v>
      </c>
      <c r="AC584" t="n">
        <v>6</v>
      </c>
      <c r="AD584" t="n">
        <v>4.3</v>
      </c>
      <c r="AE584" t="n">
        <v>7.381469</v>
      </c>
      <c r="AF584" t="n">
        <v>19.9</v>
      </c>
      <c r="AG584" t="n">
        <v>7.8</v>
      </c>
      <c r="AH584" t="n">
        <v>17.4</v>
      </c>
      <c r="AI584" t="n">
        <v>6.8</v>
      </c>
      <c r="AJ584" t="n">
        <v>6.5</v>
      </c>
      <c r="AL584" t="n">
        <v>6.2</v>
      </c>
    </row>
    <row r="585">
      <c r="A585" s="78" t="n">
        <v>37834</v>
      </c>
      <c r="B585" t="n">
        <v>5.817424</v>
      </c>
      <c r="C585" t="n">
        <v>4.8</v>
      </c>
      <c r="D585" t="n">
        <v>8.1</v>
      </c>
      <c r="E585" t="n">
        <v>7.8</v>
      </c>
      <c r="G585" t="n">
        <v>9.729753000000001</v>
      </c>
      <c r="H585" t="n">
        <v>7.9</v>
      </c>
      <c r="I585" t="n">
        <v>9.800000000000001</v>
      </c>
      <c r="J585" t="n">
        <v>5.4</v>
      </c>
      <c r="K585" t="n">
        <v>9.1</v>
      </c>
      <c r="L585" t="n">
        <v>11.5</v>
      </c>
      <c r="M585" t="n">
        <v>10.1</v>
      </c>
      <c r="N585" t="n">
        <v>8.699999999999999</v>
      </c>
      <c r="O585" t="n">
        <v>8.300000000000001</v>
      </c>
      <c r="P585" t="n">
        <v>6.637976</v>
      </c>
      <c r="Q585" t="n">
        <v>5</v>
      </c>
      <c r="R585" t="n">
        <v>9.699999999999999</v>
      </c>
      <c r="S585" t="n">
        <v>5.7</v>
      </c>
      <c r="T585" t="n">
        <v>5</v>
      </c>
      <c r="U585" t="n">
        <v>3.4</v>
      </c>
      <c r="W585" t="n">
        <v>8.4</v>
      </c>
      <c r="X585" t="n">
        <v>5.1</v>
      </c>
      <c r="Y585" t="n">
        <v>3.6</v>
      </c>
      <c r="Z585" t="n">
        <v>3.9</v>
      </c>
      <c r="AA585" t="n">
        <v>12.5</v>
      </c>
      <c r="AB585" t="n">
        <v>3.664692</v>
      </c>
      <c r="AC585" t="n">
        <v>6.1</v>
      </c>
      <c r="AD585" t="n">
        <v>4.4</v>
      </c>
      <c r="AE585" t="n">
        <v>7.342478</v>
      </c>
      <c r="AF585" t="n">
        <v>20</v>
      </c>
      <c r="AG585" t="n">
        <v>7.8</v>
      </c>
      <c r="AH585" t="n">
        <v>17.6</v>
      </c>
      <c r="AI585" t="n">
        <v>6.8</v>
      </c>
      <c r="AJ585" t="n">
        <v>6.9</v>
      </c>
      <c r="AL585" t="n">
        <v>6.1</v>
      </c>
    </row>
    <row r="586">
      <c r="A586" s="78" t="n">
        <v>37865</v>
      </c>
      <c r="B586" t="n">
        <v>5.774696</v>
      </c>
      <c r="C586" t="n">
        <v>4.8</v>
      </c>
      <c r="D586" t="n">
        <v>8.199999999999999</v>
      </c>
      <c r="E586" t="n">
        <v>7.8</v>
      </c>
      <c r="G586" t="n">
        <v>9.526354</v>
      </c>
      <c r="H586" t="n">
        <v>8.1</v>
      </c>
      <c r="I586" t="n">
        <v>9.800000000000001</v>
      </c>
      <c r="J586" t="n">
        <v>5.5</v>
      </c>
      <c r="K586" t="n">
        <v>9.1</v>
      </c>
      <c r="L586" t="n">
        <v>11.5</v>
      </c>
      <c r="M586" t="n">
        <v>9.1</v>
      </c>
      <c r="N586" t="n">
        <v>9</v>
      </c>
      <c r="O586" t="n">
        <v>8.5</v>
      </c>
      <c r="P586" t="n">
        <v>6.666901</v>
      </c>
      <c r="Q586" t="n">
        <v>5</v>
      </c>
      <c r="R586" t="n">
        <v>9.699999999999999</v>
      </c>
      <c r="S586" t="n">
        <v>5.7</v>
      </c>
      <c r="T586" t="n">
        <v>5</v>
      </c>
      <c r="U586" t="n">
        <v>3.3</v>
      </c>
      <c r="W586" t="n">
        <v>8.4</v>
      </c>
      <c r="X586" t="n">
        <v>5.2</v>
      </c>
      <c r="Y586" t="n">
        <v>3.7</v>
      </c>
      <c r="Z586" t="n">
        <v>4.1</v>
      </c>
      <c r="AA586" t="n">
        <v>12.2</v>
      </c>
      <c r="AB586" t="n">
        <v>3.816401</v>
      </c>
      <c r="AC586" t="n">
        <v>6.2</v>
      </c>
      <c r="AD586" t="n">
        <v>4.4</v>
      </c>
      <c r="AE586" t="n">
        <v>7.354607</v>
      </c>
      <c r="AF586" t="n">
        <v>19.9</v>
      </c>
      <c r="AG586" t="n">
        <v>7.8</v>
      </c>
      <c r="AH586" t="n">
        <v>17.5</v>
      </c>
      <c r="AI586" t="n">
        <v>6.8</v>
      </c>
      <c r="AJ586" t="n">
        <v>6.5</v>
      </c>
      <c r="AL586" t="n">
        <v>6.1</v>
      </c>
    </row>
    <row r="587">
      <c r="A587" s="78" t="n">
        <v>37895</v>
      </c>
      <c r="B587" t="n">
        <v>5.78281</v>
      </c>
      <c r="C587" t="n">
        <v>4.9</v>
      </c>
      <c r="D587" t="n">
        <v>8.300000000000001</v>
      </c>
      <c r="E587" t="n">
        <v>7.6</v>
      </c>
      <c r="G587" t="n">
        <v>9.337389</v>
      </c>
      <c r="H587" t="n">
        <v>8</v>
      </c>
      <c r="I587" t="n">
        <v>9.800000000000001</v>
      </c>
      <c r="J587" t="n">
        <v>5.7</v>
      </c>
      <c r="K587" t="n">
        <v>9.1</v>
      </c>
      <c r="L587" t="n">
        <v>11.4</v>
      </c>
      <c r="M587" t="n">
        <v>9.300000000000001</v>
      </c>
      <c r="N587" t="n">
        <v>9</v>
      </c>
      <c r="O587" t="n">
        <v>8.699999999999999</v>
      </c>
      <c r="P587" t="n">
        <v>6.57955</v>
      </c>
      <c r="Q587" t="n">
        <v>4.9</v>
      </c>
      <c r="R587" t="n">
        <v>9.9</v>
      </c>
      <c r="S587" t="n">
        <v>5.7</v>
      </c>
      <c r="T587" t="n">
        <v>4.8</v>
      </c>
      <c r="U587" t="n">
        <v>3.4</v>
      </c>
      <c r="W587" t="n">
        <v>8.199999999999999</v>
      </c>
      <c r="X587" t="n">
        <v>5.1</v>
      </c>
      <c r="Y587" t="n">
        <v>3.7</v>
      </c>
      <c r="Z587" t="n">
        <v>4.2</v>
      </c>
      <c r="AA587" t="n">
        <v>11.3</v>
      </c>
      <c r="AB587" t="n">
        <v>3.769731</v>
      </c>
      <c r="AC587" t="n">
        <v>6.2</v>
      </c>
      <c r="AD587" t="n">
        <v>4.3</v>
      </c>
      <c r="AE587" t="n">
        <v>7.290549</v>
      </c>
      <c r="AF587" t="n">
        <v>19.8</v>
      </c>
      <c r="AG587" t="n">
        <v>7.9</v>
      </c>
      <c r="AH587" t="n">
        <v>17.6</v>
      </c>
      <c r="AI587" t="n">
        <v>6.6</v>
      </c>
      <c r="AJ587" t="n">
        <v>6.9</v>
      </c>
      <c r="AL587" t="n">
        <v>6</v>
      </c>
    </row>
    <row r="588">
      <c r="A588" s="78" t="n">
        <v>37926</v>
      </c>
      <c r="B588" t="n">
        <v>5.660547</v>
      </c>
      <c r="C588" t="n">
        <v>5</v>
      </c>
      <c r="D588" t="n">
        <v>8.300000000000001</v>
      </c>
      <c r="E588" t="n">
        <v>7.4</v>
      </c>
      <c r="G588" t="n">
        <v>9.266892</v>
      </c>
      <c r="H588" t="n">
        <v>8.199999999999999</v>
      </c>
      <c r="I588" t="n">
        <v>9.800000000000001</v>
      </c>
      <c r="J588" t="n">
        <v>5.8</v>
      </c>
      <c r="K588" t="n">
        <v>9.199999999999999</v>
      </c>
      <c r="L588" t="n">
        <v>11.3</v>
      </c>
      <c r="M588" t="n">
        <v>9.4</v>
      </c>
      <c r="N588" t="n">
        <v>8.9</v>
      </c>
      <c r="O588" t="n">
        <v>8.800000000000001</v>
      </c>
      <c r="P588" t="n">
        <v>6.532805</v>
      </c>
      <c r="Q588" t="n">
        <v>4.9</v>
      </c>
      <c r="R588" t="n">
        <v>9.9</v>
      </c>
      <c r="S588" t="n">
        <v>5.7</v>
      </c>
      <c r="T588" t="n">
        <v>4.7</v>
      </c>
      <c r="U588" t="n">
        <v>3.5</v>
      </c>
      <c r="W588" t="n">
        <v>8.199999999999999</v>
      </c>
      <c r="X588" t="n">
        <v>5.1</v>
      </c>
      <c r="Y588" t="n">
        <v>3.9</v>
      </c>
      <c r="Z588" t="n">
        <v>4.3</v>
      </c>
      <c r="AA588" t="n">
        <v>11</v>
      </c>
      <c r="AB588" t="n">
        <v>4.035325</v>
      </c>
      <c r="AC588" t="n">
        <v>6.4</v>
      </c>
      <c r="AD588" t="n">
        <v>4.3</v>
      </c>
      <c r="AE588" t="n">
        <v>7.267726</v>
      </c>
      <c r="AF588" t="n">
        <v>19.7</v>
      </c>
      <c r="AG588" t="n">
        <v>7.9</v>
      </c>
      <c r="AH588" t="n">
        <v>17.9</v>
      </c>
      <c r="AI588" t="n">
        <v>6.5</v>
      </c>
      <c r="AJ588" t="n">
        <v>7.3</v>
      </c>
      <c r="AL588" t="n">
        <v>5.8</v>
      </c>
    </row>
    <row r="589">
      <c r="A589" s="78" t="n">
        <v>37956</v>
      </c>
      <c r="B589" t="n">
        <v>5.680694</v>
      </c>
      <c r="C589" t="n">
        <v>5.2</v>
      </c>
      <c r="D589" t="n">
        <v>8.5</v>
      </c>
      <c r="E589" t="n">
        <v>7.3</v>
      </c>
      <c r="G589" t="n">
        <v>9.224816000000001</v>
      </c>
      <c r="H589" t="n">
        <v>8.300000000000001</v>
      </c>
      <c r="I589" t="n">
        <v>9.800000000000001</v>
      </c>
      <c r="J589" t="n">
        <v>5.8</v>
      </c>
      <c r="K589" t="n">
        <v>9.199999999999999</v>
      </c>
      <c r="L589" t="n">
        <v>11.4</v>
      </c>
      <c r="M589" t="n">
        <v>10.4</v>
      </c>
      <c r="N589" t="n">
        <v>9</v>
      </c>
      <c r="O589" t="n">
        <v>9</v>
      </c>
      <c r="P589" t="n">
        <v>6.433539</v>
      </c>
      <c r="Q589" t="n">
        <v>4.8</v>
      </c>
      <c r="R589" t="n">
        <v>9.9</v>
      </c>
      <c r="S589" t="n">
        <v>5.7</v>
      </c>
      <c r="T589" t="n">
        <v>4.8</v>
      </c>
      <c r="U589" t="n">
        <v>3.5</v>
      </c>
      <c r="W589" t="n">
        <v>8.199999999999999</v>
      </c>
      <c r="X589" t="n">
        <v>4.9</v>
      </c>
      <c r="Y589" t="n">
        <v>3.7</v>
      </c>
      <c r="Z589" t="n">
        <v>4.4</v>
      </c>
      <c r="AA589" t="n">
        <v>11.1</v>
      </c>
      <c r="AB589" t="n">
        <v>3.402546</v>
      </c>
      <c r="AC589" t="n">
        <v>6.5</v>
      </c>
      <c r="AD589" t="n">
        <v>4.4</v>
      </c>
      <c r="AE589" t="n">
        <v>7.214257</v>
      </c>
      <c r="AF589" t="n">
        <v>19.8</v>
      </c>
      <c r="AG589" t="n">
        <v>7.7</v>
      </c>
      <c r="AH589" t="n">
        <v>18.4</v>
      </c>
      <c r="AI589" t="n">
        <v>6.5</v>
      </c>
      <c r="AJ589" t="n">
        <v>7</v>
      </c>
      <c r="AL589" t="n">
        <v>5.7</v>
      </c>
    </row>
    <row r="590">
      <c r="A590" s="78" t="n">
        <v>37987</v>
      </c>
      <c r="B590" t="n">
        <v>5.530052</v>
      </c>
      <c r="C590" t="n">
        <v>6.1</v>
      </c>
      <c r="D590" t="n">
        <v>8.699999999999999</v>
      </c>
      <c r="E590" t="n">
        <v>7.3</v>
      </c>
      <c r="G590" t="n">
        <v>9.155436999999999</v>
      </c>
      <c r="H590" t="n">
        <v>8.300000000000001</v>
      </c>
      <c r="I590" t="n">
        <v>9.800000000000001</v>
      </c>
      <c r="J590" t="n">
        <v>5.8</v>
      </c>
      <c r="K590" t="n">
        <v>9.300000000000001</v>
      </c>
      <c r="L590" t="n">
        <v>11.3</v>
      </c>
      <c r="M590" t="n">
        <v>10.6</v>
      </c>
      <c r="N590" t="n">
        <v>9</v>
      </c>
      <c r="O590" t="n">
        <v>9</v>
      </c>
      <c r="P590" t="n">
        <v>6.457651</v>
      </c>
      <c r="Q590" t="n">
        <v>4.8</v>
      </c>
      <c r="R590" t="n">
        <v>11.1</v>
      </c>
      <c r="S590" t="n">
        <v>5.7</v>
      </c>
      <c r="T590" t="n">
        <v>5.1</v>
      </c>
      <c r="U590" t="n">
        <v>3.5</v>
      </c>
      <c r="W590" t="n">
        <v>8.4</v>
      </c>
      <c r="X590" t="n">
        <v>4.9</v>
      </c>
      <c r="Y590" t="n">
        <v>3.5</v>
      </c>
      <c r="Z590" t="n">
        <v>4.6</v>
      </c>
      <c r="AA590" t="n">
        <v>11.7</v>
      </c>
      <c r="AB590" t="n">
        <v>3.777796</v>
      </c>
      <c r="AC590" t="n">
        <v>6.5</v>
      </c>
      <c r="AD590" t="n">
        <v>4.2</v>
      </c>
      <c r="AE590" t="n">
        <v>7.296114</v>
      </c>
      <c r="AF590" t="n">
        <v>20</v>
      </c>
      <c r="AG590" t="n">
        <v>7.5</v>
      </c>
      <c r="AH590" t="n">
        <v>18.7</v>
      </c>
      <c r="AI590" t="n">
        <v>6.5</v>
      </c>
      <c r="AJ590" t="n">
        <v>7</v>
      </c>
      <c r="AL590" t="n">
        <v>5.7</v>
      </c>
    </row>
    <row r="591">
      <c r="A591" s="78" t="n">
        <v>38018</v>
      </c>
      <c r="B591" t="n">
        <v>5.642515</v>
      </c>
      <c r="C591" t="n">
        <v>5.8</v>
      </c>
      <c r="D591" t="n">
        <v>8.6</v>
      </c>
      <c r="E591" t="n">
        <v>7.3</v>
      </c>
      <c r="G591" t="n">
        <v>9.525501</v>
      </c>
      <c r="H591" t="n">
        <v>8.699999999999999</v>
      </c>
      <c r="I591" t="n">
        <v>10.1</v>
      </c>
      <c r="J591" t="n">
        <v>5.7</v>
      </c>
      <c r="K591" t="n">
        <v>9.300000000000001</v>
      </c>
      <c r="L591" t="n">
        <v>11.2</v>
      </c>
      <c r="M591" t="n">
        <v>10</v>
      </c>
      <c r="N591" t="n">
        <v>8.699999999999999</v>
      </c>
      <c r="O591" t="n">
        <v>8.9</v>
      </c>
      <c r="P591" t="n">
        <v>6.41587</v>
      </c>
      <c r="Q591" t="n">
        <v>4.8</v>
      </c>
      <c r="R591" t="n">
        <v>10.7</v>
      </c>
      <c r="S591" t="n">
        <v>5.8</v>
      </c>
      <c r="T591" t="n">
        <v>5.2</v>
      </c>
      <c r="U591" t="n">
        <v>3.5</v>
      </c>
      <c r="W591" t="n">
        <v>8.1</v>
      </c>
      <c r="X591" t="n">
        <v>5</v>
      </c>
      <c r="Y591" t="n">
        <v>3.6</v>
      </c>
      <c r="Z591" t="n">
        <v>4.7</v>
      </c>
      <c r="AA591" t="n">
        <v>11.9</v>
      </c>
      <c r="AB591" t="n">
        <v>4.043839</v>
      </c>
      <c r="AC591" t="n">
        <v>6.6</v>
      </c>
      <c r="AD591" t="n">
        <v>4.2</v>
      </c>
      <c r="AE591" t="n">
        <v>7.273697</v>
      </c>
      <c r="AF591" t="n">
        <v>19.9</v>
      </c>
      <c r="AG591" t="n">
        <v>7.6</v>
      </c>
      <c r="AH591" t="n">
        <v>19</v>
      </c>
      <c r="AI591" t="n">
        <v>6.5</v>
      </c>
      <c r="AJ591" t="n">
        <v>7.6</v>
      </c>
      <c r="AL591" t="n">
        <v>5.6</v>
      </c>
    </row>
    <row r="592">
      <c r="A592" s="78" t="n">
        <v>38047</v>
      </c>
      <c r="B592" t="n">
        <v>5.437026</v>
      </c>
      <c r="C592" t="n">
        <v>6</v>
      </c>
      <c r="D592" t="n">
        <v>8.300000000000001</v>
      </c>
      <c r="E592" t="n">
        <v>7.3</v>
      </c>
      <c r="G592" t="n">
        <v>10.09231</v>
      </c>
      <c r="H592" t="n">
        <v>8.300000000000001</v>
      </c>
      <c r="I592" t="n">
        <v>10.3</v>
      </c>
      <c r="J592" t="n">
        <v>5.5</v>
      </c>
      <c r="K592" t="n">
        <v>9.4</v>
      </c>
      <c r="L592" t="n">
        <v>11.1</v>
      </c>
      <c r="M592" t="n">
        <v>9.699999999999999</v>
      </c>
      <c r="N592" t="n">
        <v>8.9</v>
      </c>
      <c r="O592" t="n">
        <v>8.9</v>
      </c>
      <c r="P592" t="n">
        <v>6.499892</v>
      </c>
      <c r="Q592" t="n">
        <v>4.8</v>
      </c>
      <c r="R592" t="n">
        <v>10.9</v>
      </c>
      <c r="S592" t="n">
        <v>5.8</v>
      </c>
      <c r="T592" t="n">
        <v>5.1</v>
      </c>
      <c r="U592" t="n">
        <v>3.4</v>
      </c>
      <c r="W592" t="n">
        <v>8.300000000000001</v>
      </c>
      <c r="X592" t="n">
        <v>4.8</v>
      </c>
      <c r="Y592" t="n">
        <v>3.6</v>
      </c>
      <c r="Z592" t="n">
        <v>4.9</v>
      </c>
      <c r="AA592" t="n">
        <v>11.8</v>
      </c>
      <c r="AB592" t="n">
        <v>3.921735</v>
      </c>
      <c r="AC592" t="n">
        <v>6.7</v>
      </c>
      <c r="AD592" t="n">
        <v>4.1</v>
      </c>
      <c r="AE592" t="n">
        <v>7.316745</v>
      </c>
      <c r="AF592" t="n">
        <v>19.8</v>
      </c>
      <c r="AG592" t="n">
        <v>7.7</v>
      </c>
      <c r="AH592" t="n">
        <v>19</v>
      </c>
      <c r="AI592" t="n">
        <v>6.5</v>
      </c>
      <c r="AJ592" t="n">
        <v>7.4</v>
      </c>
      <c r="AL592" t="n">
        <v>5.8</v>
      </c>
    </row>
    <row r="593">
      <c r="A593" s="78" t="n">
        <v>38078</v>
      </c>
      <c r="B593" t="n">
        <v>5.506741</v>
      </c>
      <c r="C593" t="n">
        <v>6.1</v>
      </c>
      <c r="D593" t="n">
        <v>7.7</v>
      </c>
      <c r="E593" t="n">
        <v>7.2</v>
      </c>
      <c r="G593" t="n">
        <v>10.48911</v>
      </c>
      <c r="H593" t="n">
        <v>8.300000000000001</v>
      </c>
      <c r="I593" t="n">
        <v>10.3</v>
      </c>
      <c r="J593" t="n">
        <v>5.5</v>
      </c>
      <c r="K593" t="n">
        <v>9.4</v>
      </c>
      <c r="L593" t="n">
        <v>11.2</v>
      </c>
      <c r="M593" t="n">
        <v>9.6</v>
      </c>
      <c r="N593" t="n">
        <v>9.5</v>
      </c>
      <c r="O593" t="n">
        <v>8.800000000000001</v>
      </c>
      <c r="P593" t="n">
        <v>6.389106</v>
      </c>
      <c r="Q593" t="n">
        <v>4.8</v>
      </c>
      <c r="R593" t="n">
        <v>10.5</v>
      </c>
      <c r="S593" t="n">
        <v>5.8</v>
      </c>
      <c r="T593" t="n">
        <v>4.8</v>
      </c>
      <c r="U593" t="n">
        <v>3.3</v>
      </c>
      <c r="W593" t="n">
        <v>8.1</v>
      </c>
      <c r="X593" t="n">
        <v>4.8</v>
      </c>
      <c r="Y593" t="n">
        <v>3.6</v>
      </c>
      <c r="Z593" t="n">
        <v>5</v>
      </c>
      <c r="AA593" t="n">
        <v>11.5</v>
      </c>
      <c r="AB593" t="n">
        <v>3.987647</v>
      </c>
      <c r="AC593" t="n">
        <v>6.9</v>
      </c>
      <c r="AD593" t="n">
        <v>4.2</v>
      </c>
      <c r="AE593" t="n">
        <v>7.218129</v>
      </c>
      <c r="AF593" t="n">
        <v>19.5</v>
      </c>
      <c r="AG593" t="n">
        <v>7.8</v>
      </c>
      <c r="AH593" t="n">
        <v>19.1</v>
      </c>
      <c r="AI593" t="n">
        <v>6.4</v>
      </c>
      <c r="AJ593" t="n">
        <v>7.1</v>
      </c>
      <c r="AL593" t="n">
        <v>5.6</v>
      </c>
    </row>
    <row r="594">
      <c r="A594" s="78" t="n">
        <v>38108</v>
      </c>
      <c r="B594" t="n">
        <v>5.336047</v>
      </c>
      <c r="C594" t="n">
        <v>5.6</v>
      </c>
      <c r="D594" t="n">
        <v>7.6</v>
      </c>
      <c r="E594" t="n">
        <v>7.1</v>
      </c>
      <c r="G594" t="n">
        <v>10.39335</v>
      </c>
      <c r="H594" t="n">
        <v>8.6</v>
      </c>
      <c r="I594" t="n">
        <v>10.3</v>
      </c>
      <c r="J594" t="n">
        <v>5.4</v>
      </c>
      <c r="K594" t="n">
        <v>9.300000000000001</v>
      </c>
      <c r="L594" t="n">
        <v>11.2</v>
      </c>
      <c r="M594" t="n">
        <v>9.9</v>
      </c>
      <c r="N594" t="n">
        <v>9.5</v>
      </c>
      <c r="O594" t="n">
        <v>8.800000000000001</v>
      </c>
      <c r="P594" t="n">
        <v>6.372845</v>
      </c>
      <c r="Q594" t="n">
        <v>4.8</v>
      </c>
      <c r="R594" t="n">
        <v>10.6</v>
      </c>
      <c r="S594" t="n">
        <v>5.9</v>
      </c>
      <c r="T594" t="n">
        <v>4.7</v>
      </c>
      <c r="U594" t="n">
        <v>3.3</v>
      </c>
      <c r="W594" t="n">
        <v>8.1</v>
      </c>
      <c r="X594" t="n">
        <v>4.7</v>
      </c>
      <c r="Y594" t="n">
        <v>3.7</v>
      </c>
      <c r="Z594" t="n">
        <v>5</v>
      </c>
      <c r="AA594" t="n">
        <v>11.3</v>
      </c>
      <c r="AB594" t="n">
        <v>3.884007</v>
      </c>
      <c r="AC594" t="n">
        <v>7</v>
      </c>
      <c r="AD594" t="n">
        <v>4.2</v>
      </c>
      <c r="AE594" t="n">
        <v>7.208378</v>
      </c>
      <c r="AF594" t="n">
        <v>19.3</v>
      </c>
      <c r="AG594" t="n">
        <v>8.1</v>
      </c>
      <c r="AH594" t="n">
        <v>18.8</v>
      </c>
      <c r="AI594" t="n">
        <v>6.4</v>
      </c>
      <c r="AJ594" t="n">
        <v>7.6</v>
      </c>
      <c r="AL594" t="n">
        <v>5.6</v>
      </c>
    </row>
    <row r="595">
      <c r="A595" s="78" t="n">
        <v>38139</v>
      </c>
      <c r="B595" t="n">
        <v>5.462861</v>
      </c>
      <c r="C595" t="n">
        <v>5.7</v>
      </c>
      <c r="D595" t="n">
        <v>8</v>
      </c>
      <c r="E595" t="n">
        <v>7.2</v>
      </c>
      <c r="G595" t="n">
        <v>10.30509</v>
      </c>
      <c r="H595" t="n">
        <v>8.199999999999999</v>
      </c>
      <c r="I595" t="n">
        <v>10.3</v>
      </c>
      <c r="J595" t="n">
        <v>5.5</v>
      </c>
      <c r="K595" t="n">
        <v>9.300000000000001</v>
      </c>
      <c r="L595" t="n">
        <v>11.2</v>
      </c>
      <c r="M595" t="n">
        <v>9.699999999999999</v>
      </c>
      <c r="N595" t="n">
        <v>8.6</v>
      </c>
      <c r="O595" t="n">
        <v>8.800000000000001</v>
      </c>
      <c r="P595" t="n">
        <v>6.38615</v>
      </c>
      <c r="Q595" t="n">
        <v>4.8</v>
      </c>
      <c r="R595" t="n">
        <v>10.6</v>
      </c>
      <c r="S595" t="n">
        <v>6</v>
      </c>
      <c r="T595" t="n">
        <v>4.5</v>
      </c>
      <c r="U595" t="n">
        <v>3.3</v>
      </c>
      <c r="W595" t="n">
        <v>7.9</v>
      </c>
      <c r="X595" t="n">
        <v>4.7</v>
      </c>
      <c r="Y595" t="n">
        <v>3.5</v>
      </c>
      <c r="Z595" t="n">
        <v>5</v>
      </c>
      <c r="AA595" t="n">
        <v>11.2</v>
      </c>
      <c r="AB595" t="n">
        <v>3.958375</v>
      </c>
      <c r="AC595" t="n">
        <v>6.9</v>
      </c>
      <c r="AD595" t="n">
        <v>4.3</v>
      </c>
      <c r="AE595" t="n">
        <v>7.201122</v>
      </c>
      <c r="AF595" t="n">
        <v>19.2</v>
      </c>
      <c r="AG595" t="n">
        <v>8.300000000000001</v>
      </c>
      <c r="AH595" t="n">
        <v>18.5</v>
      </c>
      <c r="AI595" t="n">
        <v>6.2</v>
      </c>
      <c r="AJ595" t="n">
        <v>7.4</v>
      </c>
      <c r="AL595" t="n">
        <v>5.6</v>
      </c>
    </row>
    <row r="596">
      <c r="A596" s="78" t="n">
        <v>38169</v>
      </c>
      <c r="B596" t="n">
        <v>5.549529</v>
      </c>
      <c r="C596" t="n">
        <v>5.4</v>
      </c>
      <c r="D596" t="n">
        <v>8.6</v>
      </c>
      <c r="E596" t="n">
        <v>7.1</v>
      </c>
      <c r="G596" t="n">
        <v>10.42436</v>
      </c>
      <c r="H596" t="n">
        <v>8</v>
      </c>
      <c r="I596" t="n">
        <v>10.3</v>
      </c>
      <c r="J596" t="n">
        <v>5.6</v>
      </c>
      <c r="K596" t="n">
        <v>9.300000000000001</v>
      </c>
      <c r="L596" t="n">
        <v>11</v>
      </c>
      <c r="M596" t="n">
        <v>10</v>
      </c>
      <c r="N596" t="n">
        <v>8.9</v>
      </c>
      <c r="O596" t="n">
        <v>8.800000000000001</v>
      </c>
      <c r="P596" t="n">
        <v>6.353175</v>
      </c>
      <c r="Q596" t="n">
        <v>4.7</v>
      </c>
      <c r="R596" t="n">
        <v>10.6</v>
      </c>
      <c r="S596" t="n">
        <v>6.1</v>
      </c>
      <c r="T596" t="n">
        <v>4.5</v>
      </c>
      <c r="U596" t="n">
        <v>3.4</v>
      </c>
      <c r="W596" t="n">
        <v>7.8</v>
      </c>
      <c r="X596" t="n">
        <v>4.9</v>
      </c>
      <c r="Y596" t="n">
        <v>3.7</v>
      </c>
      <c r="Z596" t="n">
        <v>5.1</v>
      </c>
      <c r="AA596" t="n">
        <v>11.5</v>
      </c>
      <c r="AB596" t="n">
        <v>3.795059</v>
      </c>
      <c r="AC596" t="n">
        <v>6.8</v>
      </c>
      <c r="AD596" t="n">
        <v>4.3</v>
      </c>
      <c r="AE596" t="n">
        <v>7.17986</v>
      </c>
      <c r="AF596" t="n">
        <v>19</v>
      </c>
      <c r="AG596" t="n">
        <v>8.199999999999999</v>
      </c>
      <c r="AH596" t="n">
        <v>18.2</v>
      </c>
      <c r="AI596" t="n">
        <v>6.1</v>
      </c>
      <c r="AJ596" t="n">
        <v>7.2</v>
      </c>
      <c r="AL596" t="n">
        <v>5.5</v>
      </c>
    </row>
    <row r="597">
      <c r="A597" s="78" t="n">
        <v>38200</v>
      </c>
      <c r="B597" t="n">
        <v>5.51699</v>
      </c>
      <c r="C597" t="n">
        <v>5.7</v>
      </c>
      <c r="D597" t="n">
        <v>9</v>
      </c>
      <c r="E597" t="n">
        <v>7</v>
      </c>
      <c r="G597" t="n">
        <v>10.40775</v>
      </c>
      <c r="H597" t="n">
        <v>8.199999999999999</v>
      </c>
      <c r="I597" t="n">
        <v>10.4</v>
      </c>
      <c r="J597" t="n">
        <v>5.6</v>
      </c>
      <c r="K597" t="n">
        <v>9.300000000000001</v>
      </c>
      <c r="L597" t="n">
        <v>11</v>
      </c>
      <c r="M597" t="n">
        <v>10.4</v>
      </c>
      <c r="N597" t="n">
        <v>9</v>
      </c>
      <c r="O597" t="n">
        <v>8.800000000000001</v>
      </c>
      <c r="P597" t="n">
        <v>6.295222</v>
      </c>
      <c r="Q597" t="n">
        <v>4.7</v>
      </c>
      <c r="R597" t="n">
        <v>10.5</v>
      </c>
      <c r="S597" t="n">
        <v>6.2</v>
      </c>
      <c r="T597" t="n">
        <v>4.4</v>
      </c>
      <c r="U597" t="n">
        <v>3.4</v>
      </c>
      <c r="W597" t="n">
        <v>7.7</v>
      </c>
      <c r="X597" t="n">
        <v>4.8</v>
      </c>
      <c r="Y597" t="n">
        <v>3.7</v>
      </c>
      <c r="Z597" t="n">
        <v>5.1</v>
      </c>
      <c r="AA597" t="n">
        <v>11.7</v>
      </c>
      <c r="AB597" t="n">
        <v>3.997989</v>
      </c>
      <c r="AC597" t="n">
        <v>6.7</v>
      </c>
      <c r="AD597" t="n">
        <v>4.4</v>
      </c>
      <c r="AE597" t="n">
        <v>7.150295</v>
      </c>
      <c r="AF597" t="n">
        <v>18.9</v>
      </c>
      <c r="AG597" t="n">
        <v>8.5</v>
      </c>
      <c r="AH597" t="n">
        <v>18</v>
      </c>
      <c r="AI597" t="n">
        <v>6.2</v>
      </c>
      <c r="AJ597" t="n">
        <v>7.3</v>
      </c>
      <c r="AL597" t="n">
        <v>5.4</v>
      </c>
    </row>
    <row r="598">
      <c r="A598" s="78" t="n">
        <v>38231</v>
      </c>
      <c r="B598" t="n">
        <v>5.369965</v>
      </c>
      <c r="C598" t="n">
        <v>6.3</v>
      </c>
      <c r="D598" t="n">
        <v>9</v>
      </c>
      <c r="E598" t="n">
        <v>6.9</v>
      </c>
      <c r="G598" t="n">
        <v>10.42478</v>
      </c>
      <c r="H598" t="n">
        <v>8.300000000000001</v>
      </c>
      <c r="I598" t="n">
        <v>10.4</v>
      </c>
      <c r="J598" t="n">
        <v>5.6</v>
      </c>
      <c r="K598" t="n">
        <v>9.4</v>
      </c>
      <c r="L598" t="n">
        <v>10.9</v>
      </c>
      <c r="M598" t="n">
        <v>10.2</v>
      </c>
      <c r="N598" t="n">
        <v>8</v>
      </c>
      <c r="O598" t="n">
        <v>8.9</v>
      </c>
      <c r="P598" t="n">
        <v>6.276297</v>
      </c>
      <c r="Q598" t="n">
        <v>4.7</v>
      </c>
      <c r="R598" t="n">
        <v>10.5</v>
      </c>
      <c r="S598" t="n">
        <v>6.2</v>
      </c>
      <c r="T598" t="n">
        <v>4.6</v>
      </c>
      <c r="U598" t="n">
        <v>3.4</v>
      </c>
      <c r="W598" t="n">
        <v>8</v>
      </c>
      <c r="X598" t="n">
        <v>4.6</v>
      </c>
      <c r="Y598" t="n">
        <v>3.7</v>
      </c>
      <c r="Z598" t="n">
        <v>5.1</v>
      </c>
      <c r="AA598" t="n">
        <v>12</v>
      </c>
      <c r="AB598" t="n">
        <v>3.84378</v>
      </c>
      <c r="AC598" t="n">
        <v>6.7</v>
      </c>
      <c r="AD598" t="n">
        <v>4.4</v>
      </c>
      <c r="AE598" t="n">
        <v>7.129497</v>
      </c>
      <c r="AF598" t="n">
        <v>18.7</v>
      </c>
      <c r="AG598" t="n">
        <v>8.5</v>
      </c>
      <c r="AH598" t="n">
        <v>17.9</v>
      </c>
      <c r="AI598" t="n">
        <v>6.2</v>
      </c>
      <c r="AJ598" t="n">
        <v>7.8</v>
      </c>
      <c r="AL598" t="n">
        <v>5.4</v>
      </c>
    </row>
    <row r="599">
      <c r="A599" s="78" t="n">
        <v>38261</v>
      </c>
      <c r="B599" t="n">
        <v>5.122178</v>
      </c>
      <c r="C599" t="n">
        <v>6.1</v>
      </c>
      <c r="D599" t="n">
        <v>8.6</v>
      </c>
      <c r="E599" t="n">
        <v>7.1</v>
      </c>
      <c r="G599" t="n">
        <v>10.00918</v>
      </c>
      <c r="H599" t="n">
        <v>8.6</v>
      </c>
      <c r="I599" t="n">
        <v>10.5</v>
      </c>
      <c r="J599" t="n">
        <v>5.4</v>
      </c>
      <c r="K599" t="n">
        <v>9.4</v>
      </c>
      <c r="L599" t="n">
        <v>10.7</v>
      </c>
      <c r="M599" t="n">
        <v>10.3</v>
      </c>
      <c r="N599" t="n">
        <v>8.6</v>
      </c>
      <c r="O599" t="n">
        <v>8.9</v>
      </c>
      <c r="P599" t="n">
        <v>6.321755</v>
      </c>
      <c r="Q599" t="n">
        <v>4.7</v>
      </c>
      <c r="R599" t="n">
        <v>10.4</v>
      </c>
      <c r="S599" t="n">
        <v>6.4</v>
      </c>
      <c r="T599" t="n">
        <v>4.7</v>
      </c>
      <c r="U599" t="n">
        <v>3.4</v>
      </c>
      <c r="W599" t="n">
        <v>8</v>
      </c>
      <c r="X599" t="n">
        <v>4.6</v>
      </c>
      <c r="Y599" t="n">
        <v>3.7</v>
      </c>
      <c r="Z599" t="n">
        <v>4.9</v>
      </c>
      <c r="AA599" t="n">
        <v>12.2</v>
      </c>
      <c r="AB599" t="n">
        <v>3.900006</v>
      </c>
      <c r="AC599" t="n">
        <v>6.8</v>
      </c>
      <c r="AD599" t="n">
        <v>4.4</v>
      </c>
      <c r="AE599" t="n">
        <v>7.117345</v>
      </c>
      <c r="AF599" t="n">
        <v>18.6</v>
      </c>
      <c r="AG599" t="n">
        <v>8.5</v>
      </c>
      <c r="AH599" t="n">
        <v>17.8</v>
      </c>
      <c r="AI599" t="n">
        <v>6.3</v>
      </c>
      <c r="AJ599" t="n">
        <v>7.1</v>
      </c>
      <c r="AL599" t="n">
        <v>5.5</v>
      </c>
    </row>
    <row r="600">
      <c r="A600" s="78" t="n">
        <v>38292</v>
      </c>
      <c r="B600" t="n">
        <v>5.160771</v>
      </c>
      <c r="C600" t="n">
        <v>5.7</v>
      </c>
      <c r="D600" t="n">
        <v>8.300000000000001</v>
      </c>
      <c r="E600" t="n">
        <v>7.2</v>
      </c>
      <c r="G600" t="n">
        <v>9.727460000000001</v>
      </c>
      <c r="H600" t="n">
        <v>8.4</v>
      </c>
      <c r="I600" t="n">
        <v>10.6</v>
      </c>
      <c r="J600" t="n">
        <v>5.3</v>
      </c>
      <c r="K600" t="n">
        <v>9.4</v>
      </c>
      <c r="L600" t="n">
        <v>10.6</v>
      </c>
      <c r="M600" t="n">
        <v>9.5</v>
      </c>
      <c r="N600" t="n">
        <v>8.699999999999999</v>
      </c>
      <c r="O600" t="n">
        <v>9</v>
      </c>
      <c r="P600" t="n">
        <v>6.298946</v>
      </c>
      <c r="Q600" t="n">
        <v>4.7</v>
      </c>
      <c r="R600" t="n">
        <v>10.3</v>
      </c>
      <c r="S600" t="n">
        <v>6.4</v>
      </c>
      <c r="T600" t="n">
        <v>4.7</v>
      </c>
      <c r="U600" t="n">
        <v>3.3</v>
      </c>
      <c r="W600" t="n">
        <v>8.1</v>
      </c>
      <c r="X600" t="n">
        <v>4.5</v>
      </c>
      <c r="Y600" t="n">
        <v>3.8</v>
      </c>
      <c r="Z600" t="n">
        <v>5</v>
      </c>
      <c r="AA600" t="n">
        <v>12.1</v>
      </c>
      <c r="AB600" t="n">
        <v>3.868527</v>
      </c>
      <c r="AC600" t="n">
        <v>6.8</v>
      </c>
      <c r="AD600" t="n">
        <v>4.4</v>
      </c>
      <c r="AE600" t="n">
        <v>7.089322</v>
      </c>
      <c r="AF600" t="n">
        <v>18.4</v>
      </c>
      <c r="AG600" t="n">
        <v>8.5</v>
      </c>
      <c r="AH600" t="n">
        <v>17.7</v>
      </c>
      <c r="AI600" t="n">
        <v>6.2</v>
      </c>
      <c r="AJ600" t="n">
        <v>7.5</v>
      </c>
      <c r="AL600" t="n">
        <v>5.4</v>
      </c>
    </row>
    <row r="601">
      <c r="A601" s="78" t="n">
        <v>38322</v>
      </c>
      <c r="B601" t="n">
        <v>5.067938</v>
      </c>
      <c r="C601" t="n">
        <v>6</v>
      </c>
      <c r="D601" t="n">
        <v>8.199999999999999</v>
      </c>
      <c r="E601" t="n">
        <v>7.1</v>
      </c>
      <c r="G601" t="n">
        <v>9.444837</v>
      </c>
      <c r="H601" t="n">
        <v>7.8</v>
      </c>
      <c r="I601" t="n">
        <v>10.7</v>
      </c>
      <c r="J601" t="n">
        <v>5.3</v>
      </c>
      <c r="K601" t="n">
        <v>9.300000000000001</v>
      </c>
      <c r="L601" t="n">
        <v>10.3</v>
      </c>
      <c r="M601" t="n">
        <v>9.5</v>
      </c>
      <c r="N601" t="n">
        <v>8.4</v>
      </c>
      <c r="O601" t="n">
        <v>8.9</v>
      </c>
      <c r="P601" t="n">
        <v>6.270778</v>
      </c>
      <c r="Q601" t="n">
        <v>4.7</v>
      </c>
      <c r="R601" t="n">
        <v>10.3</v>
      </c>
      <c r="S601" t="n">
        <v>6.5</v>
      </c>
      <c r="T601" t="n">
        <v>4.7</v>
      </c>
      <c r="U601" t="n">
        <v>3.2</v>
      </c>
      <c r="W601" t="n">
        <v>7.8</v>
      </c>
      <c r="X601" t="n">
        <v>4.5</v>
      </c>
      <c r="Y601" t="n">
        <v>3.8</v>
      </c>
      <c r="Z601" t="n">
        <v>4.9</v>
      </c>
      <c r="AA601" t="n">
        <v>11.8</v>
      </c>
      <c r="AB601" t="n">
        <v>4.034563</v>
      </c>
      <c r="AC601" t="n">
        <v>7</v>
      </c>
      <c r="AD601" t="n">
        <v>4.4</v>
      </c>
      <c r="AE601" t="n">
        <v>7.054297</v>
      </c>
      <c r="AF601" t="n">
        <v>18.3</v>
      </c>
      <c r="AG601" t="n">
        <v>8.699999999999999</v>
      </c>
      <c r="AH601" t="n">
        <v>17.6</v>
      </c>
      <c r="AI601" t="n">
        <v>6.4</v>
      </c>
      <c r="AJ601" t="n">
        <v>7.5</v>
      </c>
      <c r="AL601" t="n">
        <v>5.4</v>
      </c>
    </row>
    <row r="602">
      <c r="A602" s="78" t="n">
        <v>38353</v>
      </c>
      <c r="B602" t="n">
        <v>5.073338</v>
      </c>
      <c r="C602" t="n">
        <v>5.7</v>
      </c>
      <c r="D602" t="n">
        <v>8.300000000000001</v>
      </c>
      <c r="E602" t="n">
        <v>7</v>
      </c>
      <c r="G602" t="n">
        <v>9.498745</v>
      </c>
      <c r="H602" t="n">
        <v>8.199999999999999</v>
      </c>
      <c r="I602" t="n">
        <v>10.7</v>
      </c>
      <c r="J602" t="n">
        <v>5.3</v>
      </c>
      <c r="K602" t="n">
        <v>9.300000000000001</v>
      </c>
      <c r="L602" t="n">
        <v>10.1</v>
      </c>
      <c r="M602" t="n">
        <v>9.199999999999999</v>
      </c>
      <c r="N602" t="n">
        <v>9.300000000000001</v>
      </c>
      <c r="O602" t="n">
        <v>8.699999999999999</v>
      </c>
      <c r="P602" t="n">
        <v>6.212567</v>
      </c>
      <c r="Q602" t="n">
        <v>4.8</v>
      </c>
      <c r="R602" t="n">
        <v>10.2</v>
      </c>
      <c r="S602" t="n">
        <v>6.6</v>
      </c>
      <c r="T602" t="n">
        <v>4.4</v>
      </c>
      <c r="U602" t="n">
        <v>3.1</v>
      </c>
      <c r="W602" t="n">
        <v>7.8</v>
      </c>
      <c r="X602" t="n">
        <v>4.5</v>
      </c>
      <c r="Y602" t="n">
        <v>3.8</v>
      </c>
      <c r="Z602" t="n">
        <v>4.7</v>
      </c>
      <c r="AA602" t="n">
        <v>11.5</v>
      </c>
      <c r="AB602" t="n">
        <v>3.979401</v>
      </c>
      <c r="AC602" t="n">
        <v>7</v>
      </c>
      <c r="AD602" t="n">
        <v>4.5</v>
      </c>
      <c r="AE602" t="n">
        <v>6.930716</v>
      </c>
      <c r="AF602" t="n">
        <v>18.1</v>
      </c>
      <c r="AG602" t="n">
        <v>8.800000000000001</v>
      </c>
      <c r="AH602" t="n">
        <v>17.3</v>
      </c>
      <c r="AI602" t="n">
        <v>6.4</v>
      </c>
      <c r="AJ602" t="n">
        <v>7</v>
      </c>
      <c r="AK602" t="n">
        <v>9.300000000000001</v>
      </c>
      <c r="AL602" t="n">
        <v>5.3</v>
      </c>
    </row>
    <row r="603">
      <c r="A603" s="78" t="n">
        <v>38384</v>
      </c>
      <c r="B603" t="n">
        <v>5.083849</v>
      </c>
      <c r="C603" t="n">
        <v>5.5</v>
      </c>
      <c r="D603" t="n">
        <v>8.5</v>
      </c>
      <c r="E603" t="n">
        <v>7</v>
      </c>
      <c r="G603" t="n">
        <v>9.364882</v>
      </c>
      <c r="H603" t="n">
        <v>8.300000000000001</v>
      </c>
      <c r="I603" t="n">
        <v>10.9</v>
      </c>
      <c r="J603" t="n">
        <v>5.2</v>
      </c>
      <c r="K603" t="n">
        <v>9.199999999999999</v>
      </c>
      <c r="L603" t="n">
        <v>9.9</v>
      </c>
      <c r="M603" t="n">
        <v>9.300000000000001</v>
      </c>
      <c r="N603" t="n">
        <v>8.9</v>
      </c>
      <c r="O603" t="n">
        <v>8.6</v>
      </c>
      <c r="P603" t="n">
        <v>6.309732</v>
      </c>
      <c r="Q603" t="n">
        <v>4.7</v>
      </c>
      <c r="R603" t="n">
        <v>9.800000000000001</v>
      </c>
      <c r="S603" t="n">
        <v>6.8</v>
      </c>
      <c r="T603" t="n">
        <v>4.3</v>
      </c>
      <c r="U603" t="n">
        <v>3</v>
      </c>
      <c r="W603" t="n">
        <v>8</v>
      </c>
      <c r="X603" t="n">
        <v>4.6</v>
      </c>
      <c r="Y603" t="n">
        <v>3.7</v>
      </c>
      <c r="Z603" t="n">
        <v>4.8</v>
      </c>
      <c r="AA603" t="n">
        <v>11.1</v>
      </c>
      <c r="AB603" t="n">
        <v>3.65932</v>
      </c>
      <c r="AC603" t="n">
        <v>7.2</v>
      </c>
      <c r="AD603" t="n">
        <v>4.4</v>
      </c>
      <c r="AE603" t="n">
        <v>6.951692</v>
      </c>
      <c r="AF603" t="n">
        <v>18.2</v>
      </c>
      <c r="AG603" t="n">
        <v>8.9</v>
      </c>
      <c r="AH603" t="n">
        <v>17.1</v>
      </c>
      <c r="AI603" t="n">
        <v>6.5</v>
      </c>
      <c r="AJ603" t="n">
        <v>7.8</v>
      </c>
      <c r="AK603" t="n">
        <v>9.1</v>
      </c>
      <c r="AL603" t="n">
        <v>5.4</v>
      </c>
    </row>
    <row r="604">
      <c r="A604" s="78" t="n">
        <v>38412</v>
      </c>
      <c r="B604" t="n">
        <v>5.162368</v>
      </c>
      <c r="C604" t="n">
        <v>6</v>
      </c>
      <c r="D604" t="n">
        <v>8.6</v>
      </c>
      <c r="E604" t="n">
        <v>6.9</v>
      </c>
      <c r="G604" t="n">
        <v>9.511492000000001</v>
      </c>
      <c r="H604" t="n">
        <v>7.8</v>
      </c>
      <c r="I604" t="n">
        <v>10.9</v>
      </c>
      <c r="J604" t="n">
        <v>5.2</v>
      </c>
      <c r="K604" t="n">
        <v>9.199999999999999</v>
      </c>
      <c r="L604" t="n">
        <v>9.699999999999999</v>
      </c>
      <c r="M604" t="n">
        <v>8.6</v>
      </c>
      <c r="N604" t="n">
        <v>7.9</v>
      </c>
      <c r="O604" t="n">
        <v>8.6</v>
      </c>
      <c r="P604" t="n">
        <v>6.215227</v>
      </c>
      <c r="Q604" t="n">
        <v>4.7</v>
      </c>
      <c r="R604" t="n">
        <v>10.2</v>
      </c>
      <c r="S604" t="n">
        <v>6.9</v>
      </c>
      <c r="T604" t="n">
        <v>4.6</v>
      </c>
      <c r="U604" t="n">
        <v>2.9</v>
      </c>
      <c r="W604" t="n">
        <v>7.9</v>
      </c>
      <c r="X604" t="n">
        <v>4.5</v>
      </c>
      <c r="Y604" t="n">
        <v>3.7</v>
      </c>
      <c r="Z604" t="n">
        <v>4.7</v>
      </c>
      <c r="AA604" t="n">
        <v>10.7</v>
      </c>
      <c r="AB604" t="n">
        <v>3.772234</v>
      </c>
      <c r="AC604" t="n">
        <v>7.1</v>
      </c>
      <c r="AD604" t="n">
        <v>4.6</v>
      </c>
      <c r="AE604" t="n">
        <v>6.902899</v>
      </c>
      <c r="AF604" t="n">
        <v>18.3</v>
      </c>
      <c r="AG604" t="n">
        <v>9</v>
      </c>
      <c r="AH604" t="n">
        <v>17</v>
      </c>
      <c r="AI604" t="n">
        <v>6.4</v>
      </c>
      <c r="AJ604" t="n">
        <v>7.3</v>
      </c>
      <c r="AK604" t="n">
        <v>9.300000000000001</v>
      </c>
      <c r="AL604" t="n">
        <v>5.2</v>
      </c>
    </row>
    <row r="605">
      <c r="A605" s="78" t="n">
        <v>38443</v>
      </c>
      <c r="B605" t="n">
        <v>5.121658</v>
      </c>
      <c r="C605" t="n">
        <v>6</v>
      </c>
      <c r="D605" t="n">
        <v>8.4</v>
      </c>
      <c r="E605" t="n">
        <v>6.7</v>
      </c>
      <c r="G605" t="n">
        <v>9.396826000000001</v>
      </c>
      <c r="H605" t="n">
        <v>8</v>
      </c>
      <c r="I605" t="n">
        <v>11.2</v>
      </c>
      <c r="J605" t="n">
        <v>5.2</v>
      </c>
      <c r="K605" t="n">
        <v>9.300000000000001</v>
      </c>
      <c r="L605" t="n">
        <v>9.699999999999999</v>
      </c>
      <c r="M605" t="n">
        <v>8.300000000000001</v>
      </c>
      <c r="N605" t="n">
        <v>8.9</v>
      </c>
      <c r="O605" t="n">
        <v>8.699999999999999</v>
      </c>
      <c r="P605" t="n">
        <v>6.218715</v>
      </c>
      <c r="Q605" t="n">
        <v>4.8</v>
      </c>
      <c r="R605" t="n">
        <v>9.9</v>
      </c>
      <c r="S605" t="n">
        <v>7.1</v>
      </c>
      <c r="T605" t="n">
        <v>4.8</v>
      </c>
      <c r="U605" t="n">
        <v>2.8</v>
      </c>
      <c r="W605" t="n">
        <v>7.9</v>
      </c>
      <c r="X605" t="n">
        <v>4.5</v>
      </c>
      <c r="Y605" t="n">
        <v>3.7</v>
      </c>
      <c r="Z605" t="n">
        <v>4.7</v>
      </c>
      <c r="AA605" t="n">
        <v>10.2</v>
      </c>
      <c r="AB605" t="n">
        <v>3.809041</v>
      </c>
      <c r="AC605" t="n">
        <v>7.1</v>
      </c>
      <c r="AD605" t="n">
        <v>4.6</v>
      </c>
      <c r="AE605" t="n">
        <v>6.923895</v>
      </c>
      <c r="AF605" t="n">
        <v>18.4</v>
      </c>
      <c r="AG605" t="n">
        <v>9.1</v>
      </c>
      <c r="AH605" t="n">
        <v>16.7</v>
      </c>
      <c r="AI605" t="n">
        <v>6.1</v>
      </c>
      <c r="AJ605" t="n">
        <v>7.7</v>
      </c>
      <c r="AK605" t="n">
        <v>9.5</v>
      </c>
      <c r="AL605" t="n">
        <v>5.2</v>
      </c>
    </row>
    <row r="606">
      <c r="A606" s="78" t="n">
        <v>38473</v>
      </c>
      <c r="B606" t="n">
        <v>5.098672</v>
      </c>
      <c r="C606" t="n">
        <v>6.2</v>
      </c>
      <c r="D606" t="n">
        <v>8.6</v>
      </c>
      <c r="E606" t="n">
        <v>7</v>
      </c>
      <c r="G606" t="n">
        <v>9.611625999999999</v>
      </c>
      <c r="H606" t="n">
        <v>8.1</v>
      </c>
      <c r="I606" t="n">
        <v>11.2</v>
      </c>
      <c r="J606" t="n">
        <v>5</v>
      </c>
      <c r="K606" t="n">
        <v>9.300000000000001</v>
      </c>
      <c r="L606" t="n">
        <v>9.4</v>
      </c>
      <c r="M606" t="n">
        <v>8</v>
      </c>
      <c r="N606" t="n">
        <v>8.1</v>
      </c>
      <c r="O606" t="n">
        <v>8.800000000000001</v>
      </c>
      <c r="P606" t="n">
        <v>6.212314</v>
      </c>
      <c r="Q606" t="n">
        <v>4.8</v>
      </c>
      <c r="R606" t="n">
        <v>9.9</v>
      </c>
      <c r="S606" t="n">
        <v>7.2</v>
      </c>
      <c r="T606" t="n">
        <v>4.9</v>
      </c>
      <c r="U606" t="n">
        <v>2.8</v>
      </c>
      <c r="W606" t="n">
        <v>7.6</v>
      </c>
      <c r="X606" t="n">
        <v>4.5</v>
      </c>
      <c r="Y606" t="n">
        <v>3.7</v>
      </c>
      <c r="Z606" t="n">
        <v>4.7</v>
      </c>
      <c r="AA606" t="n">
        <v>10</v>
      </c>
      <c r="AB606" t="n">
        <v>3.650006</v>
      </c>
      <c r="AC606" t="n">
        <v>7.2</v>
      </c>
      <c r="AD606" t="n">
        <v>4.6</v>
      </c>
      <c r="AE606" t="n">
        <v>6.909527</v>
      </c>
      <c r="AF606" t="n">
        <v>18.4</v>
      </c>
      <c r="AG606" t="n">
        <v>9.1</v>
      </c>
      <c r="AH606" t="n">
        <v>16.6</v>
      </c>
      <c r="AI606" t="n">
        <v>6</v>
      </c>
      <c r="AJ606" t="n">
        <v>8.300000000000001</v>
      </c>
      <c r="AK606" t="n">
        <v>9.699999999999999</v>
      </c>
      <c r="AL606" t="n">
        <v>5.1</v>
      </c>
    </row>
    <row r="607">
      <c r="A607" s="78" t="n">
        <v>38504</v>
      </c>
      <c r="B607" t="n">
        <v>4.949647</v>
      </c>
      <c r="C607" t="n">
        <v>6.2</v>
      </c>
      <c r="D607" t="n">
        <v>8.5</v>
      </c>
      <c r="E607" t="n">
        <v>6.8</v>
      </c>
      <c r="G607" t="n">
        <v>9.427626</v>
      </c>
      <c r="H607" t="n">
        <v>7.8</v>
      </c>
      <c r="I607" t="n">
        <v>11.2</v>
      </c>
      <c r="J607" t="n">
        <v>5</v>
      </c>
      <c r="K607" t="n">
        <v>9.300000000000001</v>
      </c>
      <c r="L607" t="n">
        <v>9.1</v>
      </c>
      <c r="M607" t="n">
        <v>7.9</v>
      </c>
      <c r="N607" t="n">
        <v>8.300000000000001</v>
      </c>
      <c r="O607" t="n">
        <v>8.9</v>
      </c>
      <c r="P607" t="n">
        <v>6.151674</v>
      </c>
      <c r="Q607" t="n">
        <v>4.7</v>
      </c>
      <c r="R607" t="n">
        <v>10.2</v>
      </c>
      <c r="S607" t="n">
        <v>7.2</v>
      </c>
      <c r="T607" t="n">
        <v>4.9</v>
      </c>
      <c r="U607" t="n">
        <v>2.9</v>
      </c>
      <c r="W607" t="n">
        <v>7.9</v>
      </c>
      <c r="X607" t="n">
        <v>4.3</v>
      </c>
      <c r="Y607" t="n">
        <v>3.8</v>
      </c>
      <c r="Z607" t="n">
        <v>4.6</v>
      </c>
      <c r="AA607" t="n">
        <v>9.9</v>
      </c>
      <c r="AB607" t="n">
        <v>3.825832</v>
      </c>
      <c r="AC607" t="n">
        <v>7</v>
      </c>
      <c r="AD607" t="n">
        <v>4.6</v>
      </c>
      <c r="AE607" t="n">
        <v>6.86357</v>
      </c>
      <c r="AF607" t="n">
        <v>18.4</v>
      </c>
      <c r="AG607" t="n">
        <v>9.199999999999999</v>
      </c>
      <c r="AH607" t="n">
        <v>16.3</v>
      </c>
      <c r="AI607" t="n">
        <v>6</v>
      </c>
      <c r="AJ607" t="n">
        <v>8.199999999999999</v>
      </c>
      <c r="AK607" t="n">
        <v>9.6</v>
      </c>
      <c r="AL607" t="n">
        <v>5</v>
      </c>
    </row>
    <row r="608">
      <c r="A608" s="78" t="n">
        <v>38534</v>
      </c>
      <c r="B608" t="n">
        <v>4.97114</v>
      </c>
      <c r="C608" t="n">
        <v>6.2</v>
      </c>
      <c r="D608" t="n">
        <v>8.5</v>
      </c>
      <c r="E608" t="n">
        <v>6.7</v>
      </c>
      <c r="G608" t="n">
        <v>9.374878000000001</v>
      </c>
      <c r="H608" t="n">
        <v>7.7</v>
      </c>
      <c r="I608" t="n">
        <v>11.2</v>
      </c>
      <c r="J608" t="n">
        <v>5</v>
      </c>
      <c r="K608" t="n">
        <v>9.199999999999999</v>
      </c>
      <c r="L608" t="n">
        <v>8.800000000000001</v>
      </c>
      <c r="M608" t="n">
        <v>7.7</v>
      </c>
      <c r="N608" t="n">
        <v>8.4</v>
      </c>
      <c r="O608" t="n">
        <v>8.9</v>
      </c>
      <c r="P608" t="n">
        <v>6.115686</v>
      </c>
      <c r="Q608" t="n">
        <v>4.7</v>
      </c>
      <c r="R608" t="n">
        <v>10.2</v>
      </c>
      <c r="S608" t="n">
        <v>7.3</v>
      </c>
      <c r="T608" t="n">
        <v>4.8</v>
      </c>
      <c r="U608" t="n">
        <v>3</v>
      </c>
      <c r="W608" t="n">
        <v>7.6</v>
      </c>
      <c r="X608" t="n">
        <v>4.4</v>
      </c>
      <c r="Y608" t="n">
        <v>3.8</v>
      </c>
      <c r="Z608" t="n">
        <v>4.5</v>
      </c>
      <c r="AA608" t="n">
        <v>10.1</v>
      </c>
      <c r="AB608" t="n">
        <v>3.765699</v>
      </c>
      <c r="AC608" t="n">
        <v>7</v>
      </c>
      <c r="AD608" t="n">
        <v>4.7</v>
      </c>
      <c r="AE608" t="n">
        <v>6.816956</v>
      </c>
      <c r="AF608" t="n">
        <v>18.2</v>
      </c>
      <c r="AG608" t="n">
        <v>9.5</v>
      </c>
      <c r="AH608" t="n">
        <v>16.1</v>
      </c>
      <c r="AI608" t="n">
        <v>6.3</v>
      </c>
      <c r="AJ608" t="n">
        <v>8.300000000000001</v>
      </c>
      <c r="AK608" t="n">
        <v>9.5</v>
      </c>
      <c r="AL608" t="n">
        <v>5</v>
      </c>
    </row>
    <row r="609">
      <c r="A609" s="78" t="n">
        <v>38565</v>
      </c>
      <c r="B609" t="n">
        <v>4.901302</v>
      </c>
      <c r="C609" t="n">
        <v>6</v>
      </c>
      <c r="D609" t="n">
        <v>8.5</v>
      </c>
      <c r="E609" t="n">
        <v>6.7</v>
      </c>
      <c r="G609" t="n">
        <v>9.261202000000001</v>
      </c>
      <c r="H609" t="n">
        <v>7.8</v>
      </c>
      <c r="I609" t="n">
        <v>11.2</v>
      </c>
      <c r="J609" t="n">
        <v>4.7</v>
      </c>
      <c r="K609" t="n">
        <v>9.1</v>
      </c>
      <c r="L609" t="n">
        <v>8.6</v>
      </c>
      <c r="M609" t="n">
        <v>7.6</v>
      </c>
      <c r="N609" t="n">
        <v>8.1</v>
      </c>
      <c r="O609" t="n">
        <v>9</v>
      </c>
      <c r="P609" t="n">
        <v>6.075284</v>
      </c>
      <c r="Q609" t="n">
        <v>4.7</v>
      </c>
      <c r="R609" t="n">
        <v>10.2</v>
      </c>
      <c r="S609" t="n">
        <v>7.4</v>
      </c>
      <c r="T609" t="n">
        <v>4.7</v>
      </c>
      <c r="U609" t="n">
        <v>3</v>
      </c>
      <c r="W609" t="n">
        <v>7.5</v>
      </c>
      <c r="X609" t="n">
        <v>4.3</v>
      </c>
      <c r="Y609" t="n">
        <v>3.7</v>
      </c>
      <c r="Z609" t="n">
        <v>4.5</v>
      </c>
      <c r="AA609" t="n">
        <v>10</v>
      </c>
      <c r="AB609" t="n">
        <v>3.42385</v>
      </c>
      <c r="AC609" t="n">
        <v>6.9</v>
      </c>
      <c r="AD609" t="n">
        <v>4.6</v>
      </c>
      <c r="AE609" t="n">
        <v>6.737139</v>
      </c>
      <c r="AF609" t="n">
        <v>18</v>
      </c>
      <c r="AG609" t="n">
        <v>9.4</v>
      </c>
      <c r="AH609" t="n">
        <v>16</v>
      </c>
      <c r="AI609" t="n">
        <v>6.5</v>
      </c>
      <c r="AJ609" t="n">
        <v>8.1</v>
      </c>
      <c r="AK609" t="n">
        <v>9.4</v>
      </c>
      <c r="AL609" t="n">
        <v>4.9</v>
      </c>
    </row>
    <row r="610">
      <c r="A610" s="78" t="n">
        <v>38596</v>
      </c>
      <c r="B610" t="n">
        <v>5.001504</v>
      </c>
      <c r="C610" t="n">
        <v>6</v>
      </c>
      <c r="D610" t="n">
        <v>8.5</v>
      </c>
      <c r="E610" t="n">
        <v>6.7</v>
      </c>
      <c r="G610" t="n">
        <v>9.129841000000001</v>
      </c>
      <c r="H610" t="n">
        <v>7.8</v>
      </c>
      <c r="I610" t="n">
        <v>11.1</v>
      </c>
      <c r="J610" t="n">
        <v>4.5</v>
      </c>
      <c r="K610" t="n">
        <v>9.1</v>
      </c>
      <c r="L610" t="n">
        <v>8.5</v>
      </c>
      <c r="M610" t="n">
        <v>7.8</v>
      </c>
      <c r="N610" t="n">
        <v>7.9</v>
      </c>
      <c r="O610" t="n">
        <v>9</v>
      </c>
      <c r="P610" t="n">
        <v>6.138968</v>
      </c>
      <c r="Q610" t="n">
        <v>4.9</v>
      </c>
      <c r="R610" t="n">
        <v>10.3</v>
      </c>
      <c r="S610" t="n">
        <v>7.4</v>
      </c>
      <c r="T610" t="n">
        <v>4.6</v>
      </c>
      <c r="U610" t="n">
        <v>2.9</v>
      </c>
      <c r="W610" t="n">
        <v>7.8</v>
      </c>
      <c r="X610" t="n">
        <v>4.2</v>
      </c>
      <c r="Y610" t="n">
        <v>4</v>
      </c>
      <c r="Z610" t="n">
        <v>4.6</v>
      </c>
      <c r="AA610" t="n">
        <v>9.800000000000001</v>
      </c>
      <c r="AB610" t="n">
        <v>3.463479</v>
      </c>
      <c r="AC610" t="n">
        <v>6.9</v>
      </c>
      <c r="AD610" t="n">
        <v>4.5</v>
      </c>
      <c r="AE610" t="n">
        <v>6.78096</v>
      </c>
      <c r="AF610" t="n">
        <v>17.8</v>
      </c>
      <c r="AG610" t="n">
        <v>9.5</v>
      </c>
      <c r="AH610" t="n">
        <v>16.1</v>
      </c>
      <c r="AI610" t="n">
        <v>6.9</v>
      </c>
      <c r="AJ610" t="n">
        <v>7.7</v>
      </c>
      <c r="AK610" t="n">
        <v>9.6</v>
      </c>
      <c r="AL610" t="n">
        <v>5</v>
      </c>
    </row>
    <row r="611">
      <c r="A611" s="78" t="n">
        <v>38626</v>
      </c>
      <c r="B611" t="n">
        <v>5.01519</v>
      </c>
      <c r="C611" t="n">
        <v>6.4</v>
      </c>
      <c r="D611" t="n">
        <v>8.4</v>
      </c>
      <c r="E611" t="n">
        <v>6.7</v>
      </c>
      <c r="G611" t="n">
        <v>9.01338</v>
      </c>
      <c r="H611" t="n">
        <v>8</v>
      </c>
      <c r="I611" t="n">
        <v>11</v>
      </c>
      <c r="J611" t="n">
        <v>4.3</v>
      </c>
      <c r="K611" t="n">
        <v>9.1</v>
      </c>
      <c r="L611" t="n">
        <v>8.6</v>
      </c>
      <c r="M611" t="n">
        <v>7.6</v>
      </c>
      <c r="N611" t="n">
        <v>7.8</v>
      </c>
      <c r="O611" t="n">
        <v>9.1</v>
      </c>
      <c r="P611" t="n">
        <v>6.155263</v>
      </c>
      <c r="Q611" t="n">
        <v>5.1</v>
      </c>
      <c r="R611" t="n">
        <v>10.1</v>
      </c>
      <c r="S611" t="n">
        <v>7.4</v>
      </c>
      <c r="T611" t="n">
        <v>4.5</v>
      </c>
      <c r="U611" t="n">
        <v>3</v>
      </c>
      <c r="W611" t="n">
        <v>7.8</v>
      </c>
      <c r="X611" t="n">
        <v>4.4</v>
      </c>
      <c r="Y611" t="n">
        <v>3.9</v>
      </c>
      <c r="Z611" t="n">
        <v>4.6</v>
      </c>
      <c r="AA611" t="n">
        <v>9.300000000000001</v>
      </c>
      <c r="AB611" t="n">
        <v>3.423106</v>
      </c>
      <c r="AC611" t="n">
        <v>6.9</v>
      </c>
      <c r="AD611" t="n">
        <v>4.5</v>
      </c>
      <c r="AE611" t="n">
        <v>6.786877</v>
      </c>
      <c r="AF611" t="n">
        <v>17.5</v>
      </c>
      <c r="AG611" t="n">
        <v>9.5</v>
      </c>
      <c r="AH611" t="n">
        <v>16</v>
      </c>
      <c r="AI611" t="n">
        <v>7.1</v>
      </c>
      <c r="AJ611" t="n">
        <v>8.1</v>
      </c>
      <c r="AK611" t="n">
        <v>9.699999999999999</v>
      </c>
      <c r="AL611" t="n">
        <v>5</v>
      </c>
    </row>
    <row r="612">
      <c r="A612" s="78" t="n">
        <v>38657</v>
      </c>
      <c r="B612" t="n">
        <v>4.936948</v>
      </c>
      <c r="C612" t="n">
        <v>6.1</v>
      </c>
      <c r="D612" t="n">
        <v>8.4</v>
      </c>
      <c r="E612" t="n">
        <v>6.4</v>
      </c>
      <c r="G612" t="n">
        <v>8.707646</v>
      </c>
      <c r="H612" t="n">
        <v>7.8</v>
      </c>
      <c r="I612" t="n">
        <v>10.9</v>
      </c>
      <c r="J612" t="n">
        <v>4.1</v>
      </c>
      <c r="K612" t="n">
        <v>9.1</v>
      </c>
      <c r="L612" t="n">
        <v>8.699999999999999</v>
      </c>
      <c r="M612" t="n">
        <v>7.2</v>
      </c>
      <c r="N612" t="n">
        <v>8.5</v>
      </c>
      <c r="O612" t="n">
        <v>9.1</v>
      </c>
      <c r="P612" t="n">
        <v>6.173905</v>
      </c>
      <c r="Q612" t="n">
        <v>5.1</v>
      </c>
      <c r="R612" t="n">
        <v>9.6</v>
      </c>
      <c r="S612" t="n">
        <v>7.4</v>
      </c>
      <c r="T612" t="n">
        <v>4.5</v>
      </c>
      <c r="U612" t="n">
        <v>2.9</v>
      </c>
      <c r="W612" t="n">
        <v>7.6</v>
      </c>
      <c r="X612" t="n">
        <v>4.5</v>
      </c>
      <c r="Y612" t="n">
        <v>3.6</v>
      </c>
      <c r="Z612" t="n">
        <v>4.6</v>
      </c>
      <c r="AA612" t="n">
        <v>8.800000000000001</v>
      </c>
      <c r="AB612" t="n">
        <v>3.17874</v>
      </c>
      <c r="AC612" t="n">
        <v>6.8</v>
      </c>
      <c r="AD612" t="n">
        <v>4.4</v>
      </c>
      <c r="AE612" t="n">
        <v>6.742382</v>
      </c>
      <c r="AF612" t="n">
        <v>17.1</v>
      </c>
      <c r="AG612" t="n">
        <v>9.5</v>
      </c>
      <c r="AH612" t="n">
        <v>15.7</v>
      </c>
      <c r="AI612" t="n">
        <v>7.2</v>
      </c>
      <c r="AJ612" t="n">
        <v>7.5</v>
      </c>
      <c r="AK612" t="n">
        <v>9.699999999999999</v>
      </c>
      <c r="AL612" t="n">
        <v>5</v>
      </c>
    </row>
    <row r="613">
      <c r="A613" s="78" t="n">
        <v>38687</v>
      </c>
      <c r="B613" t="n">
        <v>5.069243</v>
      </c>
      <c r="C613" t="n">
        <v>5.9</v>
      </c>
      <c r="D613" t="n">
        <v>8.5</v>
      </c>
      <c r="E613" t="n">
        <v>6.6</v>
      </c>
      <c r="G613" t="n">
        <v>8.446704</v>
      </c>
      <c r="H613" t="n">
        <v>7.9</v>
      </c>
      <c r="I613" t="n">
        <v>10.7</v>
      </c>
      <c r="J613" t="n">
        <v>4.1</v>
      </c>
      <c r="K613" t="n">
        <v>9</v>
      </c>
      <c r="L613" t="n">
        <v>8.800000000000001</v>
      </c>
      <c r="M613" t="n">
        <v>6.8</v>
      </c>
      <c r="N613" t="n">
        <v>8.4</v>
      </c>
      <c r="O613" t="n">
        <v>9.1</v>
      </c>
      <c r="P613" t="n">
        <v>6.054746</v>
      </c>
      <c r="Q613" t="n">
        <v>5.1</v>
      </c>
      <c r="R613" t="n">
        <v>9.699999999999999</v>
      </c>
      <c r="S613" t="n">
        <v>7.4</v>
      </c>
      <c r="T613" t="n">
        <v>4.6</v>
      </c>
      <c r="U613" t="n">
        <v>2.9</v>
      </c>
      <c r="W613" t="n">
        <v>7.6</v>
      </c>
      <c r="X613" t="n">
        <v>4.4</v>
      </c>
      <c r="Y613" t="n">
        <v>3.5</v>
      </c>
      <c r="Z613" t="n">
        <v>4.7</v>
      </c>
      <c r="AA613" t="n">
        <v>8.6</v>
      </c>
      <c r="AB613" t="n">
        <v>3.188736</v>
      </c>
      <c r="AC613" t="n">
        <v>6.8</v>
      </c>
      <c r="AD613" t="n">
        <v>4.3</v>
      </c>
      <c r="AE613" t="n">
        <v>6.65132</v>
      </c>
      <c r="AF613" t="n">
        <v>16.6</v>
      </c>
      <c r="AG613" t="n">
        <v>9.300000000000001</v>
      </c>
      <c r="AH613" t="n">
        <v>15.4</v>
      </c>
      <c r="AI613" t="n">
        <v>7</v>
      </c>
      <c r="AJ613" t="n">
        <v>7.9</v>
      </c>
      <c r="AK613" t="n">
        <v>9.699999999999999</v>
      </c>
      <c r="AL613" t="n">
        <v>4.9</v>
      </c>
    </row>
    <row r="614">
      <c r="A614" s="78" t="n">
        <v>38718</v>
      </c>
      <c r="B614" t="n">
        <v>5.162707</v>
      </c>
      <c r="C614" t="n">
        <v>6.2</v>
      </c>
      <c r="D614" t="n">
        <v>8.5</v>
      </c>
      <c r="E614" t="n">
        <v>6.6</v>
      </c>
      <c r="G614" t="n">
        <v>8.414427</v>
      </c>
      <c r="H614" t="n">
        <v>7.9</v>
      </c>
      <c r="I614" t="n">
        <v>10.6</v>
      </c>
      <c r="J614" t="n">
        <v>4.1</v>
      </c>
      <c r="K614" t="n">
        <v>8.9</v>
      </c>
      <c r="L614" t="n">
        <v>8.800000000000001</v>
      </c>
      <c r="M614" t="n">
        <v>6.6</v>
      </c>
      <c r="N614" t="n">
        <v>8.300000000000001</v>
      </c>
      <c r="O614" t="n">
        <v>9.199999999999999</v>
      </c>
      <c r="P614" t="n">
        <v>5.987831</v>
      </c>
      <c r="Q614" t="n">
        <v>5.2</v>
      </c>
      <c r="R614" t="n">
        <v>9.300000000000001</v>
      </c>
      <c r="S614" t="n">
        <v>7.5</v>
      </c>
      <c r="T614" t="n">
        <v>4.7</v>
      </c>
      <c r="U614" t="n">
        <v>2.9</v>
      </c>
      <c r="W614" t="n">
        <v>7.4</v>
      </c>
      <c r="X614" t="n">
        <v>4.4</v>
      </c>
      <c r="Y614" t="n">
        <v>3.4</v>
      </c>
      <c r="Z614" t="n">
        <v>4.5</v>
      </c>
      <c r="AA614" t="n">
        <v>8.5</v>
      </c>
      <c r="AB614" t="n">
        <v>3.336922</v>
      </c>
      <c r="AC614" t="n">
        <v>6.5</v>
      </c>
      <c r="AD614" t="n">
        <v>4.3</v>
      </c>
      <c r="AE614" t="n">
        <v>6.58466</v>
      </c>
      <c r="AF614" t="n">
        <v>16</v>
      </c>
      <c r="AG614" t="n">
        <v>9.199999999999999</v>
      </c>
      <c r="AH614" t="n">
        <v>15</v>
      </c>
      <c r="AI614" t="n">
        <v>6.7</v>
      </c>
      <c r="AJ614" t="n">
        <v>8</v>
      </c>
      <c r="AK614" t="n">
        <v>9.6</v>
      </c>
      <c r="AL614" t="n">
        <v>4.7</v>
      </c>
    </row>
    <row r="615">
      <c r="A615" s="78" t="n">
        <v>38749</v>
      </c>
      <c r="B615" t="n">
        <v>5.103428</v>
      </c>
      <c r="C615" t="n">
        <v>6</v>
      </c>
      <c r="D615" t="n">
        <v>8.6</v>
      </c>
      <c r="E615" t="n">
        <v>6.4</v>
      </c>
      <c r="G615" t="n">
        <v>8.590861</v>
      </c>
      <c r="H615" t="n">
        <v>7.3</v>
      </c>
      <c r="I615" t="n">
        <v>10.5</v>
      </c>
      <c r="J615" t="n">
        <v>4.2</v>
      </c>
      <c r="K615" t="n">
        <v>8.9</v>
      </c>
      <c r="L615" t="n">
        <v>8.699999999999999</v>
      </c>
      <c r="M615" t="n">
        <v>6.2</v>
      </c>
      <c r="N615" t="n">
        <v>8</v>
      </c>
      <c r="O615" t="n">
        <v>9.199999999999999</v>
      </c>
      <c r="P615" t="n">
        <v>5.944684</v>
      </c>
      <c r="Q615" t="n">
        <v>5.2</v>
      </c>
      <c r="R615" t="n">
        <v>9.5</v>
      </c>
      <c r="S615" t="n">
        <v>7.3</v>
      </c>
      <c r="T615" t="n">
        <v>4.7</v>
      </c>
      <c r="U615" t="n">
        <v>3</v>
      </c>
      <c r="W615" t="n">
        <v>7.4</v>
      </c>
      <c r="X615" t="n">
        <v>4.1</v>
      </c>
      <c r="Y615" t="n">
        <v>3.5</v>
      </c>
      <c r="Z615" t="n">
        <v>4.5</v>
      </c>
      <c r="AA615" t="n">
        <v>8.300000000000001</v>
      </c>
      <c r="AB615" t="n">
        <v>3.618695</v>
      </c>
      <c r="AC615" t="n">
        <v>6.5</v>
      </c>
      <c r="AD615" t="n">
        <v>4.3</v>
      </c>
      <c r="AE615" t="n">
        <v>6.548172</v>
      </c>
      <c r="AF615" t="n">
        <v>15.4</v>
      </c>
      <c r="AG615" t="n">
        <v>9.1</v>
      </c>
      <c r="AH615" t="n">
        <v>14.6</v>
      </c>
      <c r="AI615" t="n">
        <v>6.5</v>
      </c>
      <c r="AJ615" t="n">
        <v>7.4</v>
      </c>
      <c r="AK615" t="n">
        <v>9.6</v>
      </c>
      <c r="AL615" t="n">
        <v>4.8</v>
      </c>
    </row>
    <row r="616">
      <c r="A616" s="78" t="n">
        <v>38777</v>
      </c>
      <c r="B616" t="n">
        <v>4.866737</v>
      </c>
      <c r="C616" t="n">
        <v>6.1</v>
      </c>
      <c r="D616" t="n">
        <v>8.6</v>
      </c>
      <c r="E616" t="n">
        <v>6.4</v>
      </c>
      <c r="G616" t="n">
        <v>8.667743</v>
      </c>
      <c r="H616" t="n">
        <v>7.9</v>
      </c>
      <c r="I616" t="n">
        <v>10.5</v>
      </c>
      <c r="J616" t="n">
        <v>4.2</v>
      </c>
      <c r="K616" t="n">
        <v>8.800000000000001</v>
      </c>
      <c r="L616" t="n">
        <v>8.699999999999999</v>
      </c>
      <c r="M616" t="n">
        <v>6.3</v>
      </c>
      <c r="N616" t="n">
        <v>7.7</v>
      </c>
      <c r="O616" t="n">
        <v>9.1</v>
      </c>
      <c r="P616" t="n">
        <v>5.8951</v>
      </c>
      <c r="Q616" t="n">
        <v>5.3</v>
      </c>
      <c r="R616" t="n">
        <v>9.199999999999999</v>
      </c>
      <c r="S616" t="n">
        <v>7.3</v>
      </c>
      <c r="T616" t="n">
        <v>4.7</v>
      </c>
      <c r="U616" t="n">
        <v>3.1</v>
      </c>
      <c r="W616" t="n">
        <v>7.2</v>
      </c>
      <c r="X616" t="n">
        <v>4.1</v>
      </c>
      <c r="Y616" t="n">
        <v>3.5</v>
      </c>
      <c r="Z616" t="n">
        <v>4.7</v>
      </c>
      <c r="AA616" t="n">
        <v>7.9</v>
      </c>
      <c r="AB616" t="n">
        <v>3.593289</v>
      </c>
      <c r="AC616" t="n">
        <v>6.3</v>
      </c>
      <c r="AD616" t="n">
        <v>3.9</v>
      </c>
      <c r="AE616" t="n">
        <v>6.486882</v>
      </c>
      <c r="AF616" t="n">
        <v>15.1</v>
      </c>
      <c r="AG616" t="n">
        <v>9.1</v>
      </c>
      <c r="AH616" t="n">
        <v>14.3</v>
      </c>
      <c r="AI616" t="n">
        <v>6.4</v>
      </c>
      <c r="AJ616" t="n">
        <v>7.5</v>
      </c>
      <c r="AK616" t="n">
        <v>9.300000000000001</v>
      </c>
      <c r="AL616" t="n">
        <v>4.7</v>
      </c>
    </row>
    <row r="617">
      <c r="A617" s="78" t="n">
        <v>38808</v>
      </c>
      <c r="B617" t="n">
        <v>4.965365</v>
      </c>
      <c r="C617" t="n">
        <v>5.7</v>
      </c>
      <c r="D617" t="n">
        <v>8.699999999999999</v>
      </c>
      <c r="E617" t="n">
        <v>6.3</v>
      </c>
      <c r="G617" t="n">
        <v>8.546644000000001</v>
      </c>
      <c r="H617" t="n">
        <v>7.3</v>
      </c>
      <c r="I617" t="n">
        <v>10.3</v>
      </c>
      <c r="J617" t="n">
        <v>4.2</v>
      </c>
      <c r="K617" t="n">
        <v>8.699999999999999</v>
      </c>
      <c r="L617" t="n">
        <v>8.6</v>
      </c>
      <c r="M617" t="n">
        <v>6</v>
      </c>
      <c r="N617" t="n">
        <v>7.7</v>
      </c>
      <c r="O617" t="n">
        <v>9</v>
      </c>
      <c r="P617" t="n">
        <v>5.87575</v>
      </c>
      <c r="Q617" t="n">
        <v>5.4</v>
      </c>
      <c r="R617" t="n">
        <v>9.1</v>
      </c>
      <c r="S617" t="n">
        <v>7.2</v>
      </c>
      <c r="T617" t="n">
        <v>4.7</v>
      </c>
      <c r="U617" t="n">
        <v>3.2</v>
      </c>
      <c r="W617" t="n">
        <v>7.1</v>
      </c>
      <c r="X617" t="n">
        <v>4.1</v>
      </c>
      <c r="Y617" t="n">
        <v>3.5</v>
      </c>
      <c r="Z617" t="n">
        <v>4.6</v>
      </c>
      <c r="AA617" t="n">
        <v>7.3</v>
      </c>
      <c r="AB617" t="n">
        <v>3.406598</v>
      </c>
      <c r="AC617" t="n">
        <v>6.2</v>
      </c>
      <c r="AD617" t="n">
        <v>4</v>
      </c>
      <c r="AE617" t="n">
        <v>6.434054</v>
      </c>
      <c r="AF617" t="n">
        <v>14.7</v>
      </c>
      <c r="AG617" t="n">
        <v>9.1</v>
      </c>
      <c r="AH617" t="n">
        <v>14</v>
      </c>
      <c r="AI617" t="n">
        <v>6.3</v>
      </c>
      <c r="AJ617" t="n">
        <v>8</v>
      </c>
      <c r="AK617" t="n">
        <v>9.300000000000001</v>
      </c>
      <c r="AL617" t="n">
        <v>4.7</v>
      </c>
    </row>
    <row r="618">
      <c r="A618" s="78" t="n">
        <v>38838</v>
      </c>
      <c r="B618" t="n">
        <v>4.797423</v>
      </c>
      <c r="C618" t="n">
        <v>5.3</v>
      </c>
      <c r="D618" t="n">
        <v>8.800000000000001</v>
      </c>
      <c r="E618" t="n">
        <v>6.1</v>
      </c>
      <c r="G618" t="n">
        <v>8.520057</v>
      </c>
      <c r="H618" t="n">
        <v>6.9</v>
      </c>
      <c r="I618" t="n">
        <v>10.2</v>
      </c>
      <c r="J618" t="n">
        <v>4.1</v>
      </c>
      <c r="K618" t="n">
        <v>8.6</v>
      </c>
      <c r="L618" t="n">
        <v>8.5</v>
      </c>
      <c r="M618" t="n">
        <v>6.4</v>
      </c>
      <c r="N618" t="n">
        <v>7.9</v>
      </c>
      <c r="O618" t="n">
        <v>8.9</v>
      </c>
      <c r="P618" t="n">
        <v>5.800424</v>
      </c>
      <c r="Q618" t="n">
        <v>5.5</v>
      </c>
      <c r="R618" t="n">
        <v>9.1</v>
      </c>
      <c r="S618" t="n">
        <v>7.3</v>
      </c>
      <c r="T618" t="n">
        <v>4.7</v>
      </c>
      <c r="U618" t="n">
        <v>3.3</v>
      </c>
      <c r="W618" t="n">
        <v>7.1</v>
      </c>
      <c r="X618" t="n">
        <v>4.1</v>
      </c>
      <c r="Y618" t="n">
        <v>3.4</v>
      </c>
      <c r="Z618" t="n">
        <v>4.5</v>
      </c>
      <c r="AA618" t="n">
        <v>6.9</v>
      </c>
      <c r="AB618" t="n">
        <v>3.188409</v>
      </c>
      <c r="AC618" t="n">
        <v>6.2</v>
      </c>
      <c r="AD618" t="n">
        <v>3.9</v>
      </c>
      <c r="AE618" t="n">
        <v>6.327316</v>
      </c>
      <c r="AF618" t="n">
        <v>14.4</v>
      </c>
      <c r="AG618" t="n">
        <v>9.1</v>
      </c>
      <c r="AH618" t="n">
        <v>13.7</v>
      </c>
      <c r="AI618" t="n">
        <v>6.2</v>
      </c>
      <c r="AJ618" t="n">
        <v>7.5</v>
      </c>
      <c r="AK618" t="n">
        <v>8.800000000000001</v>
      </c>
      <c r="AL618" t="n">
        <v>4.6</v>
      </c>
    </row>
    <row r="619">
      <c r="A619" s="78" t="n">
        <v>38869</v>
      </c>
      <c r="B619" t="n">
        <v>4.807753</v>
      </c>
      <c r="C619" t="n">
        <v>6.1</v>
      </c>
      <c r="D619" t="n">
        <v>8.5</v>
      </c>
      <c r="E619" t="n">
        <v>6.1</v>
      </c>
      <c r="G619" t="n">
        <v>8.290976000000001</v>
      </c>
      <c r="H619" t="n">
        <v>7.4</v>
      </c>
      <c r="I619" t="n">
        <v>10.1</v>
      </c>
      <c r="J619" t="n">
        <v>4</v>
      </c>
      <c r="K619" t="n">
        <v>8.5</v>
      </c>
      <c r="L619" t="n">
        <v>8.4</v>
      </c>
      <c r="M619" t="n">
        <v>6.2</v>
      </c>
      <c r="N619" t="n">
        <v>7.7</v>
      </c>
      <c r="O619" t="n">
        <v>8.9</v>
      </c>
      <c r="P619" t="n">
        <v>5.796921</v>
      </c>
      <c r="Q619" t="n">
        <v>5.5</v>
      </c>
      <c r="R619" t="n">
        <v>9.1</v>
      </c>
      <c r="S619" t="n">
        <v>7.5</v>
      </c>
      <c r="T619" t="n">
        <v>4.8</v>
      </c>
      <c r="U619" t="n">
        <v>3.4</v>
      </c>
      <c r="W619" t="n">
        <v>6.7</v>
      </c>
      <c r="X619" t="n">
        <v>4.2</v>
      </c>
      <c r="Y619" t="n">
        <v>3.5</v>
      </c>
      <c r="Z619" t="n">
        <v>4.5</v>
      </c>
      <c r="AA619" t="n">
        <v>6.5</v>
      </c>
      <c r="AB619" t="n">
        <v>3.492851</v>
      </c>
      <c r="AC619" t="n">
        <v>6</v>
      </c>
      <c r="AD619" t="n">
        <v>3.9</v>
      </c>
      <c r="AE619" t="n">
        <v>6.340503</v>
      </c>
      <c r="AF619" t="n">
        <v>14</v>
      </c>
      <c r="AG619" t="n">
        <v>9.1</v>
      </c>
      <c r="AH619" t="n">
        <v>13.4</v>
      </c>
      <c r="AI619" t="n">
        <v>6</v>
      </c>
      <c r="AJ619" t="n">
        <v>7.1</v>
      </c>
      <c r="AK619" t="n">
        <v>9</v>
      </c>
      <c r="AL619" t="n">
        <v>4.6</v>
      </c>
    </row>
    <row r="620">
      <c r="A620" s="78" t="n">
        <v>38899</v>
      </c>
      <c r="B620" t="n">
        <v>4.655913</v>
      </c>
      <c r="C620" t="n">
        <v>5.8</v>
      </c>
      <c r="D620" t="n">
        <v>8</v>
      </c>
      <c r="E620" t="n">
        <v>6.4</v>
      </c>
      <c r="G620" t="n">
        <v>7.975974</v>
      </c>
      <c r="H620" t="n">
        <v>7.1</v>
      </c>
      <c r="I620" t="n">
        <v>10</v>
      </c>
      <c r="J620" t="n">
        <v>3.8</v>
      </c>
      <c r="K620" t="n">
        <v>8.4</v>
      </c>
      <c r="L620" t="n">
        <v>8.300000000000001</v>
      </c>
      <c r="M620" t="n">
        <v>6</v>
      </c>
      <c r="N620" t="n">
        <v>7.6</v>
      </c>
      <c r="O620" t="n">
        <v>9</v>
      </c>
      <c r="P620" t="n">
        <v>5.820899</v>
      </c>
      <c r="Q620" t="n">
        <v>5.5</v>
      </c>
      <c r="R620" t="n">
        <v>8.800000000000001</v>
      </c>
      <c r="S620" t="n">
        <v>7.5</v>
      </c>
      <c r="T620" t="n">
        <v>5</v>
      </c>
      <c r="U620" t="n">
        <v>3.3</v>
      </c>
      <c r="W620" t="n">
        <v>6.6</v>
      </c>
      <c r="X620" t="n">
        <v>4.1</v>
      </c>
      <c r="Y620" t="n">
        <v>3.5</v>
      </c>
      <c r="Z620" t="n">
        <v>4.5</v>
      </c>
      <c r="AA620" t="n">
        <v>6.4</v>
      </c>
      <c r="AB620" t="n">
        <v>3.629132</v>
      </c>
      <c r="AC620" t="n">
        <v>6</v>
      </c>
      <c r="AD620" t="n">
        <v>3.4</v>
      </c>
      <c r="AE620" t="n">
        <v>6.330696</v>
      </c>
      <c r="AF620" t="n">
        <v>13.8</v>
      </c>
      <c r="AG620" t="n">
        <v>9.199999999999999</v>
      </c>
      <c r="AH620" t="n">
        <v>13.3</v>
      </c>
      <c r="AI620" t="n">
        <v>5.9</v>
      </c>
      <c r="AJ620" t="n">
        <v>7.2</v>
      </c>
      <c r="AK620" t="n">
        <v>9</v>
      </c>
      <c r="AL620" t="n">
        <v>4.7</v>
      </c>
    </row>
    <row r="621">
      <c r="A621" s="78" t="n">
        <v>38930</v>
      </c>
      <c r="B621" t="n">
        <v>4.712104</v>
      </c>
      <c r="C621" t="n">
        <v>5</v>
      </c>
      <c r="D621" t="n">
        <v>7.8</v>
      </c>
      <c r="E621" t="n">
        <v>6.4</v>
      </c>
      <c r="G621" t="n">
        <v>7.496366</v>
      </c>
      <c r="H621" t="n">
        <v>6.7</v>
      </c>
      <c r="I621" t="n">
        <v>9.9</v>
      </c>
      <c r="J621" t="n">
        <v>3.7</v>
      </c>
      <c r="K621" t="n">
        <v>8.300000000000001</v>
      </c>
      <c r="L621" t="n">
        <v>8.300000000000001</v>
      </c>
      <c r="M621" t="n">
        <v>5.8</v>
      </c>
      <c r="N621" t="n">
        <v>7.7</v>
      </c>
      <c r="O621" t="n">
        <v>9</v>
      </c>
      <c r="P621" t="n">
        <v>5.786346</v>
      </c>
      <c r="Q621" t="n">
        <v>5.5</v>
      </c>
      <c r="R621" t="n">
        <v>8.800000000000001</v>
      </c>
      <c r="S621" t="n">
        <v>7.6</v>
      </c>
      <c r="T621" t="n">
        <v>5.1</v>
      </c>
      <c r="U621" t="n">
        <v>3.2</v>
      </c>
      <c r="W621" t="n">
        <v>6.7</v>
      </c>
      <c r="X621" t="n">
        <v>4.1</v>
      </c>
      <c r="Y621" t="n">
        <v>3.5</v>
      </c>
      <c r="Z621" t="n">
        <v>4.6</v>
      </c>
      <c r="AA621" t="n">
        <v>6.3</v>
      </c>
      <c r="AB621" t="n">
        <v>3.787124</v>
      </c>
      <c r="AC621" t="n">
        <v>5.9</v>
      </c>
      <c r="AD621" t="n">
        <v>3.7</v>
      </c>
      <c r="AE621" t="n">
        <v>6.302621</v>
      </c>
      <c r="AF621" t="n">
        <v>13.5</v>
      </c>
      <c r="AG621" t="n">
        <v>9.199999999999999</v>
      </c>
      <c r="AH621" t="n">
        <v>13.1</v>
      </c>
      <c r="AI621" t="n">
        <v>5.7</v>
      </c>
      <c r="AJ621" t="n">
        <v>7.3</v>
      </c>
      <c r="AK621" t="n">
        <v>9</v>
      </c>
      <c r="AL621" t="n">
        <v>4.7</v>
      </c>
    </row>
    <row r="622">
      <c r="A622" s="78" t="n">
        <v>38961</v>
      </c>
      <c r="B622" t="n">
        <v>4.665325</v>
      </c>
      <c r="C622" t="n">
        <v>5.1</v>
      </c>
      <c r="D622" t="n">
        <v>7.9</v>
      </c>
      <c r="E622" t="n">
        <v>6.4</v>
      </c>
      <c r="G622" t="n">
        <v>7.163921</v>
      </c>
      <c r="H622" t="n">
        <v>7.2</v>
      </c>
      <c r="I622" t="n">
        <v>9.800000000000001</v>
      </c>
      <c r="J622" t="n">
        <v>3.6</v>
      </c>
      <c r="K622" t="n">
        <v>8.300000000000001</v>
      </c>
      <c r="L622" t="n">
        <v>8.199999999999999</v>
      </c>
      <c r="M622" t="n">
        <v>5.6</v>
      </c>
      <c r="N622" t="n">
        <v>7.6</v>
      </c>
      <c r="O622" t="n">
        <v>8.800000000000001</v>
      </c>
      <c r="P622" t="n">
        <v>5.693696</v>
      </c>
      <c r="Q622" t="n">
        <v>5.5</v>
      </c>
      <c r="R622" t="n">
        <v>8.800000000000001</v>
      </c>
      <c r="S622" t="n">
        <v>7.6</v>
      </c>
      <c r="T622" t="n">
        <v>4.9</v>
      </c>
      <c r="U622" t="n">
        <v>3.2</v>
      </c>
      <c r="W622" t="n">
        <v>6.7</v>
      </c>
      <c r="X622" t="n">
        <v>4.1</v>
      </c>
      <c r="Y622" t="n">
        <v>3.5</v>
      </c>
      <c r="Z622" t="n">
        <v>4.7</v>
      </c>
      <c r="AA622" t="n">
        <v>6.3</v>
      </c>
      <c r="AB622" t="n">
        <v>3.697488</v>
      </c>
      <c r="AC622" t="n">
        <v>5.9</v>
      </c>
      <c r="AD622" t="n">
        <v>3.3</v>
      </c>
      <c r="AE622" t="n">
        <v>6.215916</v>
      </c>
      <c r="AF622" t="n">
        <v>13.2</v>
      </c>
      <c r="AG622" t="n">
        <v>9.5</v>
      </c>
      <c r="AH622" t="n">
        <v>12.8</v>
      </c>
      <c r="AI622" t="n">
        <v>5.6</v>
      </c>
      <c r="AJ622" t="n">
        <v>6.9</v>
      </c>
      <c r="AK622" t="n">
        <v>8.800000000000001</v>
      </c>
      <c r="AL622" t="n">
        <v>4.5</v>
      </c>
    </row>
    <row r="623">
      <c r="A623" s="78" t="n">
        <v>38991</v>
      </c>
      <c r="B623" t="n">
        <v>4.462746</v>
      </c>
      <c r="C623" t="n">
        <v>5.4</v>
      </c>
      <c r="D623" t="n">
        <v>7.9</v>
      </c>
      <c r="E623" t="n">
        <v>6.2</v>
      </c>
      <c r="G623" t="n">
        <v>6.855666</v>
      </c>
      <c r="H623" t="n">
        <v>6.7</v>
      </c>
      <c r="I623" t="n">
        <v>9.699999999999999</v>
      </c>
      <c r="J623" t="n">
        <v>3.5</v>
      </c>
      <c r="K623" t="n">
        <v>8.199999999999999</v>
      </c>
      <c r="L623" t="n">
        <v>8.199999999999999</v>
      </c>
      <c r="M623" t="n">
        <v>5.8</v>
      </c>
      <c r="N623" t="n">
        <v>7.7</v>
      </c>
      <c r="O623" t="n">
        <v>8.5</v>
      </c>
      <c r="P623" t="n">
        <v>5.600342</v>
      </c>
      <c r="Q623" t="n">
        <v>5.4</v>
      </c>
      <c r="R623" t="n">
        <v>8.5</v>
      </c>
      <c r="S623" t="n">
        <v>7.7</v>
      </c>
      <c r="T623" t="n">
        <v>4.7</v>
      </c>
      <c r="U623" t="n">
        <v>3.1</v>
      </c>
      <c r="W623" t="n">
        <v>6.7</v>
      </c>
      <c r="X623" t="n">
        <v>4.1</v>
      </c>
      <c r="Y623" t="n">
        <v>3.6</v>
      </c>
      <c r="Z623" t="n">
        <v>4.6</v>
      </c>
      <c r="AA623" t="n">
        <v>6.4</v>
      </c>
      <c r="AB623" t="n">
        <v>3.742528</v>
      </c>
      <c r="AC623" t="n">
        <v>5.9</v>
      </c>
      <c r="AD623" t="n">
        <v>2.9</v>
      </c>
      <c r="AE623" t="n">
        <v>6.131169</v>
      </c>
      <c r="AF623" t="n">
        <v>12.9</v>
      </c>
      <c r="AG623" t="n">
        <v>9.699999999999999</v>
      </c>
      <c r="AH623" t="n">
        <v>12.6</v>
      </c>
      <c r="AI623" t="n">
        <v>5.5</v>
      </c>
      <c r="AJ623" t="n">
        <v>6.7</v>
      </c>
      <c r="AK623" t="n">
        <v>8.699999999999999</v>
      </c>
      <c r="AL623" t="n">
        <v>4.4</v>
      </c>
    </row>
    <row r="624">
      <c r="A624" s="78" t="n">
        <v>39022</v>
      </c>
      <c r="B624" t="n">
        <v>4.514588</v>
      </c>
      <c r="C624" t="n">
        <v>5.2</v>
      </c>
      <c r="D624" t="n">
        <v>8</v>
      </c>
      <c r="E624" t="n">
        <v>6.4</v>
      </c>
      <c r="G624" t="n">
        <v>6.589913</v>
      </c>
      <c r="H624" t="n">
        <v>6.6</v>
      </c>
      <c r="I624" t="n">
        <v>9.6</v>
      </c>
      <c r="J624" t="n">
        <v>3.6</v>
      </c>
      <c r="K624" t="n">
        <v>8.1</v>
      </c>
      <c r="L624" t="n">
        <v>8.300000000000001</v>
      </c>
      <c r="M624" t="n">
        <v>5.4</v>
      </c>
      <c r="N624" t="n">
        <v>7.3</v>
      </c>
      <c r="O624" t="n">
        <v>8.300000000000001</v>
      </c>
      <c r="P624" t="n">
        <v>5.600409</v>
      </c>
      <c r="Q624" t="n">
        <v>5.5</v>
      </c>
      <c r="R624" t="n">
        <v>8.9</v>
      </c>
      <c r="S624" t="n">
        <v>7.6</v>
      </c>
      <c r="T624" t="n">
        <v>4.6</v>
      </c>
      <c r="U624" t="n">
        <v>3</v>
      </c>
      <c r="W624" t="n">
        <v>6.6</v>
      </c>
      <c r="X624" t="n">
        <v>4</v>
      </c>
      <c r="Y624" t="n">
        <v>3.5</v>
      </c>
      <c r="Z624" t="n">
        <v>4.6</v>
      </c>
      <c r="AA624" t="n">
        <v>6.5</v>
      </c>
      <c r="AB624" t="n">
        <v>3.8003</v>
      </c>
      <c r="AC624" t="n">
        <v>5.9</v>
      </c>
      <c r="AD624" t="n">
        <v>2.8</v>
      </c>
      <c r="AE624" t="n">
        <v>6.118938</v>
      </c>
      <c r="AF624" t="n">
        <v>12.4</v>
      </c>
      <c r="AG624" t="n">
        <v>9.699999999999999</v>
      </c>
      <c r="AH624" t="n">
        <v>12.4</v>
      </c>
      <c r="AI624" t="n">
        <v>5.5</v>
      </c>
      <c r="AJ624" t="n">
        <v>6.9</v>
      </c>
      <c r="AK624" t="n">
        <v>8.699999999999999</v>
      </c>
      <c r="AL624" t="n">
        <v>4.5</v>
      </c>
    </row>
    <row r="625">
      <c r="A625" s="78" t="n">
        <v>39052</v>
      </c>
      <c r="B625" t="n">
        <v>4.567478</v>
      </c>
      <c r="C625" t="n">
        <v>5.3</v>
      </c>
      <c r="D625" t="n">
        <v>7.9</v>
      </c>
      <c r="E625" t="n">
        <v>6.2</v>
      </c>
      <c r="G625" t="n">
        <v>6.621291</v>
      </c>
      <c r="H625" t="n">
        <v>6.6</v>
      </c>
      <c r="I625" t="n">
        <v>9.4</v>
      </c>
      <c r="J625" t="n">
        <v>3.8</v>
      </c>
      <c r="K625" t="n">
        <v>8</v>
      </c>
      <c r="L625" t="n">
        <v>8.300000000000001</v>
      </c>
      <c r="M625" t="n">
        <v>5.1</v>
      </c>
      <c r="N625" t="n">
        <v>7.1</v>
      </c>
      <c r="O625" t="n">
        <v>8.300000000000001</v>
      </c>
      <c r="P625" t="n">
        <v>5.510212</v>
      </c>
      <c r="Q625" t="n">
        <v>5.5</v>
      </c>
      <c r="R625" t="n">
        <v>9</v>
      </c>
      <c r="S625" t="n">
        <v>7.4</v>
      </c>
      <c r="T625" t="n">
        <v>4.7</v>
      </c>
      <c r="U625" t="n">
        <v>3</v>
      </c>
      <c r="W625" t="n">
        <v>6.2</v>
      </c>
      <c r="X625" t="n">
        <v>4</v>
      </c>
      <c r="Y625" t="n">
        <v>3.4</v>
      </c>
      <c r="Z625" t="n">
        <v>4.6</v>
      </c>
      <c r="AA625" t="n">
        <v>6.7</v>
      </c>
      <c r="AB625" t="n">
        <v>3.879209</v>
      </c>
      <c r="AC625" t="n">
        <v>5.8</v>
      </c>
      <c r="AD625" t="n">
        <v>2.8</v>
      </c>
      <c r="AE625" t="n">
        <v>6.056864</v>
      </c>
      <c r="AF625" t="n">
        <v>11.9</v>
      </c>
      <c r="AG625" t="n">
        <v>9.699999999999999</v>
      </c>
      <c r="AH625" t="n">
        <v>12.1</v>
      </c>
      <c r="AI625" t="n">
        <v>5.4</v>
      </c>
      <c r="AJ625" t="n">
        <v>6.6</v>
      </c>
      <c r="AK625" t="n">
        <v>8.9</v>
      </c>
      <c r="AL625" t="n">
        <v>4.4</v>
      </c>
    </row>
    <row r="626">
      <c r="A626" s="78" t="n">
        <v>39083</v>
      </c>
      <c r="B626" t="n">
        <v>4.554632</v>
      </c>
      <c r="C626" t="n">
        <v>5.3</v>
      </c>
      <c r="D626" t="n">
        <v>7.8</v>
      </c>
      <c r="E626" t="n">
        <v>6.3</v>
      </c>
      <c r="G626" t="n">
        <v>6.828193</v>
      </c>
      <c r="H626" t="n">
        <v>6.1</v>
      </c>
      <c r="I626" t="n">
        <v>9.199999999999999</v>
      </c>
      <c r="J626" t="n">
        <v>4.1</v>
      </c>
      <c r="K626" t="n">
        <v>8</v>
      </c>
      <c r="L626" t="n">
        <v>8.300000000000001</v>
      </c>
      <c r="M626" t="n">
        <v>5</v>
      </c>
      <c r="N626" t="n">
        <v>7.2</v>
      </c>
      <c r="O626" t="n">
        <v>8.5</v>
      </c>
      <c r="P626" t="n">
        <v>5.614803</v>
      </c>
      <c r="Q626" t="n">
        <v>5.5</v>
      </c>
      <c r="R626" t="n">
        <v>8.6</v>
      </c>
      <c r="S626" t="n">
        <v>7.1</v>
      </c>
      <c r="T626" t="n">
        <v>4.8</v>
      </c>
      <c r="U626" t="n">
        <v>2.9</v>
      </c>
      <c r="W626" t="n">
        <v>6.3</v>
      </c>
      <c r="X626" t="n">
        <v>4</v>
      </c>
      <c r="Y626" t="n">
        <v>3.4</v>
      </c>
      <c r="Z626" t="n">
        <v>4.4</v>
      </c>
      <c r="AA626" t="n">
        <v>6.8</v>
      </c>
      <c r="AB626" t="n">
        <v>3.743094</v>
      </c>
      <c r="AC626" t="n">
        <v>5.7</v>
      </c>
      <c r="AD626" t="n">
        <v>3.1</v>
      </c>
      <c r="AE626" t="n">
        <v>6.056247</v>
      </c>
      <c r="AF626" t="n">
        <v>11.3</v>
      </c>
      <c r="AG626" t="n">
        <v>9.699999999999999</v>
      </c>
      <c r="AH626" t="n">
        <v>11.7</v>
      </c>
      <c r="AI626" t="n">
        <v>5.4</v>
      </c>
      <c r="AJ626" t="n">
        <v>6.6</v>
      </c>
      <c r="AK626" t="n">
        <v>8.800000000000001</v>
      </c>
      <c r="AL626" t="n">
        <v>4.6</v>
      </c>
    </row>
    <row r="627">
      <c r="A627" s="78" t="n">
        <v>39114</v>
      </c>
      <c r="B627" t="n">
        <v>4.634628</v>
      </c>
      <c r="C627" t="n">
        <v>5.4</v>
      </c>
      <c r="D627" t="n">
        <v>7.8</v>
      </c>
      <c r="E627" t="n">
        <v>6.2</v>
      </c>
      <c r="G627" t="n">
        <v>6.884484</v>
      </c>
      <c r="H627" t="n">
        <v>5.8</v>
      </c>
      <c r="I627" t="n">
        <v>9.1</v>
      </c>
      <c r="J627" t="n">
        <v>3.9</v>
      </c>
      <c r="K627" t="n">
        <v>7.9</v>
      </c>
      <c r="L627" t="n">
        <v>8.199999999999999</v>
      </c>
      <c r="M627" t="n">
        <v>4.9</v>
      </c>
      <c r="N627" t="n">
        <v>7.2</v>
      </c>
      <c r="O627" t="n">
        <v>8.5</v>
      </c>
      <c r="P627" t="n">
        <v>5.534985</v>
      </c>
      <c r="Q627" t="n">
        <v>5.5</v>
      </c>
      <c r="R627" t="n">
        <v>8.800000000000001</v>
      </c>
      <c r="S627" t="n">
        <v>7.1</v>
      </c>
      <c r="T627" t="n">
        <v>4.9</v>
      </c>
      <c r="U627" t="n">
        <v>2.8</v>
      </c>
      <c r="W627" t="n">
        <v>6.2</v>
      </c>
      <c r="X627" t="n">
        <v>4</v>
      </c>
      <c r="Y627" t="n">
        <v>3.1</v>
      </c>
      <c r="Z627" t="n">
        <v>4.4</v>
      </c>
      <c r="AA627" t="n">
        <v>6.8</v>
      </c>
      <c r="AB627" t="n">
        <v>3.935399</v>
      </c>
      <c r="AC627" t="n">
        <v>5.7</v>
      </c>
      <c r="AD627" t="n">
        <v>2.9</v>
      </c>
      <c r="AE627" t="n">
        <v>6.001545</v>
      </c>
      <c r="AF627" t="n">
        <v>10.7</v>
      </c>
      <c r="AG627" t="n">
        <v>9.800000000000001</v>
      </c>
      <c r="AH627" t="n">
        <v>11.4</v>
      </c>
      <c r="AI627" t="n">
        <v>5.3</v>
      </c>
      <c r="AJ627" t="n">
        <v>6.4</v>
      </c>
      <c r="AK627" t="n">
        <v>9</v>
      </c>
      <c r="AL627" t="n">
        <v>4.5</v>
      </c>
    </row>
    <row r="628">
      <c r="A628" s="78" t="n">
        <v>39142</v>
      </c>
      <c r="B628" t="n">
        <v>4.459378</v>
      </c>
      <c r="C628" t="n">
        <v>5</v>
      </c>
      <c r="D628" t="n">
        <v>7.9</v>
      </c>
      <c r="E628" t="n">
        <v>6.2</v>
      </c>
      <c r="G628" t="n">
        <v>6.870551</v>
      </c>
      <c r="H628" t="n">
        <v>5.7</v>
      </c>
      <c r="I628" t="n">
        <v>8.9</v>
      </c>
      <c r="J628" t="n">
        <v>3.7</v>
      </c>
      <c r="K628" t="n">
        <v>7.8</v>
      </c>
      <c r="L628" t="n">
        <v>8.1</v>
      </c>
      <c r="M628" t="n">
        <v>5.1</v>
      </c>
      <c r="N628" t="n">
        <v>7.1</v>
      </c>
      <c r="O628" t="n">
        <v>8.4</v>
      </c>
      <c r="P628" t="n">
        <v>5.437878</v>
      </c>
      <c r="Q628" t="n">
        <v>5.5</v>
      </c>
      <c r="R628" t="n">
        <v>8.800000000000001</v>
      </c>
      <c r="S628" t="n">
        <v>7.2</v>
      </c>
      <c r="T628" t="n">
        <v>5</v>
      </c>
      <c r="U628" t="n">
        <v>2.7</v>
      </c>
      <c r="W628" t="n">
        <v>6.1</v>
      </c>
      <c r="X628" t="n">
        <v>4</v>
      </c>
      <c r="Y628" t="n">
        <v>3.2</v>
      </c>
      <c r="Z628" t="n">
        <v>4.3</v>
      </c>
      <c r="AA628" t="n">
        <v>6.6</v>
      </c>
      <c r="AB628" t="n">
        <v>4.15944</v>
      </c>
      <c r="AC628" t="n">
        <v>5.5</v>
      </c>
      <c r="AD628" t="n">
        <v>2.8</v>
      </c>
      <c r="AE628" t="n">
        <v>5.935097</v>
      </c>
      <c r="AF628" t="n">
        <v>10.3</v>
      </c>
      <c r="AG628" t="n">
        <v>9.800000000000001</v>
      </c>
      <c r="AH628" t="n">
        <v>11.2</v>
      </c>
      <c r="AI628" t="n">
        <v>5.1</v>
      </c>
      <c r="AJ628" t="n">
        <v>6.6</v>
      </c>
      <c r="AK628" t="n">
        <v>8.9</v>
      </c>
      <c r="AL628" t="n">
        <v>4.4</v>
      </c>
    </row>
    <row r="629">
      <c r="A629" s="78" t="n">
        <v>39173</v>
      </c>
      <c r="B629" t="n">
        <v>4.385796</v>
      </c>
      <c r="C629" t="n">
        <v>5.6</v>
      </c>
      <c r="D629" t="n">
        <v>8.199999999999999</v>
      </c>
      <c r="E629" t="n">
        <v>6.2</v>
      </c>
      <c r="G629" t="n">
        <v>6.546444</v>
      </c>
      <c r="H629" t="n">
        <v>5.4</v>
      </c>
      <c r="I629" t="n">
        <v>8.800000000000001</v>
      </c>
      <c r="J629" t="n">
        <v>3.5</v>
      </c>
      <c r="K629" t="n">
        <v>7.7</v>
      </c>
      <c r="L629" t="n">
        <v>8</v>
      </c>
      <c r="M629" t="n">
        <v>4.9</v>
      </c>
      <c r="N629" t="n">
        <v>6.5</v>
      </c>
      <c r="O629" t="n">
        <v>8.199999999999999</v>
      </c>
      <c r="P629" t="n">
        <v>5.404325</v>
      </c>
      <c r="Q629" t="n">
        <v>5.4</v>
      </c>
      <c r="R629" t="n">
        <v>8.4</v>
      </c>
      <c r="S629" t="n">
        <v>7.2</v>
      </c>
      <c r="T629" t="n">
        <v>5</v>
      </c>
      <c r="U629" t="n">
        <v>2.6</v>
      </c>
      <c r="W629" t="n">
        <v>5.9</v>
      </c>
      <c r="X629" t="n">
        <v>3.8</v>
      </c>
      <c r="Y629" t="n">
        <v>3.3</v>
      </c>
      <c r="Z629" t="n">
        <v>4.2</v>
      </c>
      <c r="AA629" t="n">
        <v>6.3</v>
      </c>
      <c r="AB629" t="n">
        <v>3.698164</v>
      </c>
      <c r="AC629" t="n">
        <v>5.3</v>
      </c>
      <c r="AD629" t="n">
        <v>2.9</v>
      </c>
      <c r="AE629" t="n">
        <v>5.840576</v>
      </c>
      <c r="AF629" t="n">
        <v>10</v>
      </c>
      <c r="AG629" t="n">
        <v>9.9</v>
      </c>
      <c r="AH629" t="n">
        <v>11.3</v>
      </c>
      <c r="AI629" t="n">
        <v>4.9</v>
      </c>
      <c r="AJ629" t="n">
        <v>6.3</v>
      </c>
      <c r="AK629" t="n">
        <v>9.199999999999999</v>
      </c>
      <c r="AL629" t="n">
        <v>4.5</v>
      </c>
    </row>
    <row r="630">
      <c r="A630" s="78" t="n">
        <v>39203</v>
      </c>
      <c r="B630" t="n">
        <v>4.263595</v>
      </c>
      <c r="C630" t="n">
        <v>5.6</v>
      </c>
      <c r="D630" t="n">
        <v>8.1</v>
      </c>
      <c r="E630" t="n">
        <v>6</v>
      </c>
      <c r="G630" t="n">
        <v>6.527269</v>
      </c>
      <c r="H630" t="n">
        <v>5.5</v>
      </c>
      <c r="I630" t="n">
        <v>8.6</v>
      </c>
      <c r="J630" t="n">
        <v>3.6</v>
      </c>
      <c r="K630" t="n">
        <v>7.6</v>
      </c>
      <c r="L630" t="n">
        <v>7.9</v>
      </c>
      <c r="M630" t="n">
        <v>4.9</v>
      </c>
      <c r="N630" t="n">
        <v>6.6</v>
      </c>
      <c r="O630" t="n">
        <v>8.1</v>
      </c>
      <c r="P630" t="n">
        <v>5.342803</v>
      </c>
      <c r="Q630" t="n">
        <v>5.4</v>
      </c>
      <c r="R630" t="n">
        <v>8.5</v>
      </c>
      <c r="S630" t="n">
        <v>7.1</v>
      </c>
      <c r="T630" t="n">
        <v>5</v>
      </c>
      <c r="U630" t="n">
        <v>2.5</v>
      </c>
      <c r="W630" t="n">
        <v>6.1</v>
      </c>
      <c r="X630" t="n">
        <v>3.8</v>
      </c>
      <c r="Y630" t="n">
        <v>3.3</v>
      </c>
      <c r="Z630" t="n">
        <v>4.1</v>
      </c>
      <c r="AA630" t="n">
        <v>6.1</v>
      </c>
      <c r="AB630" t="n">
        <v>3.568481</v>
      </c>
      <c r="AC630" t="n">
        <v>5.3</v>
      </c>
      <c r="AD630" t="n">
        <v>2.7</v>
      </c>
      <c r="AE630" t="n">
        <v>5.799422</v>
      </c>
      <c r="AF630" t="n">
        <v>9.699999999999999</v>
      </c>
      <c r="AG630" t="n">
        <v>9.699999999999999</v>
      </c>
      <c r="AH630" t="n">
        <v>11.3</v>
      </c>
      <c r="AI630" t="n">
        <v>4.8</v>
      </c>
      <c r="AJ630" t="n">
        <v>6.1</v>
      </c>
      <c r="AK630" t="n">
        <v>9.199999999999999</v>
      </c>
      <c r="AL630" t="n">
        <v>4.4</v>
      </c>
    </row>
    <row r="631">
      <c r="A631" s="78" t="n">
        <v>39234</v>
      </c>
      <c r="B631" t="n">
        <v>4.323965</v>
      </c>
      <c r="C631" t="n">
        <v>5.3</v>
      </c>
      <c r="D631" t="n">
        <v>7.7</v>
      </c>
      <c r="E631" t="n">
        <v>6.1</v>
      </c>
      <c r="G631" t="n">
        <v>6.606759</v>
      </c>
      <c r="H631" t="n">
        <v>5.4</v>
      </c>
      <c r="I631" t="n">
        <v>8.6</v>
      </c>
      <c r="J631" t="n">
        <v>3.7</v>
      </c>
      <c r="K631" t="n">
        <v>7.6</v>
      </c>
      <c r="L631" t="n">
        <v>8</v>
      </c>
      <c r="M631" t="n">
        <v>4.7</v>
      </c>
      <c r="N631" t="n">
        <v>6.9</v>
      </c>
      <c r="O631" t="n">
        <v>8.1</v>
      </c>
      <c r="P631" t="n">
        <v>5.358528</v>
      </c>
      <c r="Q631" t="n">
        <v>5.3</v>
      </c>
      <c r="R631" t="n">
        <v>8.4</v>
      </c>
      <c r="S631" t="n">
        <v>7.1</v>
      </c>
      <c r="T631" t="n">
        <v>5</v>
      </c>
      <c r="U631" t="n">
        <v>2.6</v>
      </c>
      <c r="W631" t="n">
        <v>6</v>
      </c>
      <c r="X631" t="n">
        <v>3.7</v>
      </c>
      <c r="Y631" t="n">
        <v>3.3</v>
      </c>
      <c r="Z631" t="n">
        <v>4.1</v>
      </c>
      <c r="AA631" t="n">
        <v>5.9</v>
      </c>
      <c r="AB631" t="n">
        <v>3.427428</v>
      </c>
      <c r="AC631" t="n">
        <v>5.2</v>
      </c>
      <c r="AD631" t="n">
        <v>2.5</v>
      </c>
      <c r="AE631" t="n">
        <v>5.78247</v>
      </c>
      <c r="AF631" t="n">
        <v>9.5</v>
      </c>
      <c r="AG631" t="n">
        <v>9.6</v>
      </c>
      <c r="AH631" t="n">
        <v>11.4</v>
      </c>
      <c r="AI631" t="n">
        <v>4.8</v>
      </c>
      <c r="AJ631" t="n">
        <v>6.4</v>
      </c>
      <c r="AK631" t="n">
        <v>9.199999999999999</v>
      </c>
      <c r="AL631" t="n">
        <v>4.6</v>
      </c>
    </row>
    <row r="632">
      <c r="A632" s="78" t="n">
        <v>39264</v>
      </c>
      <c r="B632" t="n">
        <v>4.252494</v>
      </c>
      <c r="C632" t="n">
        <v>5.4</v>
      </c>
      <c r="D632" t="n">
        <v>7.3</v>
      </c>
      <c r="E632" t="n">
        <v>6</v>
      </c>
      <c r="G632" t="n">
        <v>7.115582</v>
      </c>
      <c r="H632" t="n">
        <v>5.1</v>
      </c>
      <c r="I632" t="n">
        <v>8.5</v>
      </c>
      <c r="J632" t="n">
        <v>4</v>
      </c>
      <c r="K632" t="n">
        <v>7.6</v>
      </c>
      <c r="L632" t="n">
        <v>8.1</v>
      </c>
      <c r="M632" t="n">
        <v>4.2</v>
      </c>
      <c r="N632" t="n">
        <v>6.8</v>
      </c>
      <c r="O632" t="n">
        <v>8.1</v>
      </c>
      <c r="P632" t="n">
        <v>5.401298</v>
      </c>
      <c r="Q632" t="n">
        <v>5.3</v>
      </c>
      <c r="R632" t="n">
        <v>8.300000000000001</v>
      </c>
      <c r="S632" t="n">
        <v>7.3</v>
      </c>
      <c r="T632" t="n">
        <v>4.9</v>
      </c>
      <c r="U632" t="n">
        <v>2.7</v>
      </c>
      <c r="W632" t="n">
        <v>6.3</v>
      </c>
      <c r="X632" t="n">
        <v>3.6</v>
      </c>
      <c r="Y632" t="n">
        <v>3.3</v>
      </c>
      <c r="Z632" t="n">
        <v>4</v>
      </c>
      <c r="AA632" t="n">
        <v>6</v>
      </c>
      <c r="AB632" t="n">
        <v>3.643231</v>
      </c>
      <c r="AC632" t="n">
        <v>5.3</v>
      </c>
      <c r="AD632" t="n">
        <v>2.9</v>
      </c>
      <c r="AE632" t="n">
        <v>5.805637</v>
      </c>
      <c r="AF632" t="n">
        <v>9.4</v>
      </c>
      <c r="AG632" t="n">
        <v>9.6</v>
      </c>
      <c r="AH632" t="n">
        <v>11.5</v>
      </c>
      <c r="AI632" t="n">
        <v>4.7</v>
      </c>
      <c r="AJ632" t="n">
        <v>6</v>
      </c>
      <c r="AK632" t="n">
        <v>9.1</v>
      </c>
      <c r="AL632" t="n">
        <v>4.7</v>
      </c>
    </row>
    <row r="633">
      <c r="A633" s="78" t="n">
        <v>39295</v>
      </c>
      <c r="B633" t="n">
        <v>4.299045</v>
      </c>
      <c r="C633" t="n">
        <v>5.4</v>
      </c>
      <c r="D633" t="n">
        <v>7</v>
      </c>
      <c r="E633" t="n">
        <v>5.9</v>
      </c>
      <c r="G633" t="n">
        <v>7.29297</v>
      </c>
      <c r="H633" t="n">
        <v>5</v>
      </c>
      <c r="I633" t="n">
        <v>8.4</v>
      </c>
      <c r="J633" t="n">
        <v>4</v>
      </c>
      <c r="K633" t="n">
        <v>7.5</v>
      </c>
      <c r="L633" t="n">
        <v>8.300000000000001</v>
      </c>
      <c r="M633" t="n">
        <v>4.1</v>
      </c>
      <c r="N633" t="n">
        <v>6.8</v>
      </c>
      <c r="O633" t="n">
        <v>8</v>
      </c>
      <c r="P633" t="n">
        <v>5.371841</v>
      </c>
      <c r="Q633" t="n">
        <v>5.3</v>
      </c>
      <c r="R633" t="n">
        <v>8.5</v>
      </c>
      <c r="S633" t="n">
        <v>7.3</v>
      </c>
      <c r="T633" t="n">
        <v>4.9</v>
      </c>
      <c r="U633" t="n">
        <v>2.7</v>
      </c>
      <c r="W633" t="n">
        <v>6.1</v>
      </c>
      <c r="X633" t="n">
        <v>3.7</v>
      </c>
      <c r="Y633" t="n">
        <v>3.3</v>
      </c>
      <c r="Z633" t="n">
        <v>4.1</v>
      </c>
      <c r="AA633" t="n">
        <v>5.9</v>
      </c>
      <c r="AB633" t="n">
        <v>3.657613</v>
      </c>
      <c r="AC633" t="n">
        <v>5.2</v>
      </c>
      <c r="AD633" t="n">
        <v>2.8</v>
      </c>
      <c r="AE633" t="n">
        <v>5.806765</v>
      </c>
      <c r="AF633" t="n">
        <v>9.300000000000001</v>
      </c>
      <c r="AG633" t="n">
        <v>9.6</v>
      </c>
      <c r="AH633" t="n">
        <v>11.5</v>
      </c>
      <c r="AI633" t="n">
        <v>4.6</v>
      </c>
      <c r="AJ633" t="n">
        <v>6.2</v>
      </c>
      <c r="AK633" t="n">
        <v>9.199999999999999</v>
      </c>
      <c r="AL633" t="n">
        <v>4.6</v>
      </c>
    </row>
    <row r="634">
      <c r="A634" s="78" t="n">
        <v>39326</v>
      </c>
      <c r="B634" t="n">
        <v>4.212632</v>
      </c>
      <c r="C634" t="n">
        <v>5</v>
      </c>
      <c r="D634" t="n">
        <v>6.9</v>
      </c>
      <c r="E634" t="n">
        <v>5.9</v>
      </c>
      <c r="G634" t="n">
        <v>7.526913</v>
      </c>
      <c r="H634" t="n">
        <v>5.2</v>
      </c>
      <c r="I634" t="n">
        <v>8.4</v>
      </c>
      <c r="J634" t="n">
        <v>4.1</v>
      </c>
      <c r="K634" t="n">
        <v>7.5</v>
      </c>
      <c r="L634" t="n">
        <v>8.300000000000001</v>
      </c>
      <c r="M634" t="n">
        <v>4</v>
      </c>
      <c r="N634" t="n">
        <v>7.1</v>
      </c>
      <c r="O634" t="n">
        <v>7.9</v>
      </c>
      <c r="P634" t="n">
        <v>5.416716</v>
      </c>
      <c r="Q634" t="n">
        <v>5.2</v>
      </c>
      <c r="R634" t="n">
        <v>8.5</v>
      </c>
      <c r="S634" t="n">
        <v>7.5</v>
      </c>
      <c r="T634" t="n">
        <v>4.9</v>
      </c>
      <c r="U634" t="n">
        <v>2.7</v>
      </c>
      <c r="W634" t="n">
        <v>6.2</v>
      </c>
      <c r="X634" t="n">
        <v>3.9</v>
      </c>
      <c r="Y634" t="n">
        <v>3.2</v>
      </c>
      <c r="Z634" t="n">
        <v>4</v>
      </c>
      <c r="AA634" t="n">
        <v>5.7</v>
      </c>
      <c r="AB634" t="n">
        <v>3.602317</v>
      </c>
      <c r="AC634" t="n">
        <v>5.2</v>
      </c>
      <c r="AD634" t="n">
        <v>2.4</v>
      </c>
      <c r="AE634" t="n">
        <v>5.835605</v>
      </c>
      <c r="AF634" t="n">
        <v>9.199999999999999</v>
      </c>
      <c r="AG634" t="n">
        <v>9.300000000000001</v>
      </c>
      <c r="AH634" t="n">
        <v>11.3</v>
      </c>
      <c r="AI634" t="n">
        <v>4.5</v>
      </c>
      <c r="AJ634" t="n">
        <v>6.3</v>
      </c>
      <c r="AK634" t="n">
        <v>9.300000000000001</v>
      </c>
      <c r="AL634" t="n">
        <v>4.7</v>
      </c>
    </row>
    <row r="635">
      <c r="A635" s="78" t="n">
        <v>39356</v>
      </c>
      <c r="B635" t="n">
        <v>4.32585</v>
      </c>
      <c r="C635" t="n">
        <v>4.9</v>
      </c>
      <c r="D635" t="n">
        <v>7</v>
      </c>
      <c r="E635" t="n">
        <v>5.9</v>
      </c>
      <c r="G635" t="n">
        <v>7.551408</v>
      </c>
      <c r="H635" t="n">
        <v>5</v>
      </c>
      <c r="I635" t="n">
        <v>8.300000000000001</v>
      </c>
      <c r="J635" t="n">
        <v>3.7</v>
      </c>
      <c r="K635" t="n">
        <v>7.4</v>
      </c>
      <c r="L635" t="n">
        <v>8.4</v>
      </c>
      <c r="M635" t="n">
        <v>4</v>
      </c>
      <c r="N635" t="n">
        <v>6.6</v>
      </c>
      <c r="O635" t="n">
        <v>7.7</v>
      </c>
      <c r="P635" t="n">
        <v>5.42595</v>
      </c>
      <c r="Q635" t="n">
        <v>5.2</v>
      </c>
      <c r="R635" t="n">
        <v>8.199999999999999</v>
      </c>
      <c r="S635" t="n">
        <v>7.6</v>
      </c>
      <c r="T635" t="n">
        <v>5.1</v>
      </c>
      <c r="U635" t="n">
        <v>2.6</v>
      </c>
      <c r="W635" t="n">
        <v>6.3</v>
      </c>
      <c r="X635" t="n">
        <v>4</v>
      </c>
      <c r="Y635" t="n">
        <v>3.3</v>
      </c>
      <c r="Z635" t="n">
        <v>4.1</v>
      </c>
      <c r="AA635" t="n">
        <v>5.3</v>
      </c>
      <c r="AB635" t="n">
        <v>3.766761</v>
      </c>
      <c r="AC635" t="n">
        <v>5.1</v>
      </c>
      <c r="AD635" t="n">
        <v>2.8</v>
      </c>
      <c r="AE635" t="n">
        <v>5.849103</v>
      </c>
      <c r="AF635" t="n">
        <v>8.9</v>
      </c>
      <c r="AG635" t="n">
        <v>9.4</v>
      </c>
      <c r="AH635" t="n">
        <v>10.9</v>
      </c>
      <c r="AI635" t="n">
        <v>4.6</v>
      </c>
      <c r="AJ635" t="n">
        <v>6.4</v>
      </c>
      <c r="AK635" t="n">
        <v>9.5</v>
      </c>
      <c r="AL635" t="n">
        <v>4.7</v>
      </c>
    </row>
    <row r="636">
      <c r="A636" s="78" t="n">
        <v>39387</v>
      </c>
      <c r="B636" t="n">
        <v>4.426392</v>
      </c>
      <c r="C636" t="n">
        <v>5.1</v>
      </c>
      <c r="D636" t="n">
        <v>7.1</v>
      </c>
      <c r="E636" t="n">
        <v>6.1</v>
      </c>
      <c r="G636" t="n">
        <v>7.854217</v>
      </c>
      <c r="H636" t="n">
        <v>4.8</v>
      </c>
      <c r="I636" t="n">
        <v>8.199999999999999</v>
      </c>
      <c r="J636" t="n">
        <v>3.7</v>
      </c>
      <c r="K636" t="n">
        <v>7.4</v>
      </c>
      <c r="L636" t="n">
        <v>8.6</v>
      </c>
      <c r="M636" t="n">
        <v>4</v>
      </c>
      <c r="N636" t="n">
        <v>6.7</v>
      </c>
      <c r="O636" t="n">
        <v>7.5</v>
      </c>
      <c r="P636" t="n">
        <v>5.364112</v>
      </c>
      <c r="Q636" t="n">
        <v>5.2</v>
      </c>
      <c r="R636" t="n">
        <v>7.9</v>
      </c>
      <c r="S636" t="n">
        <v>7.9</v>
      </c>
      <c r="T636" t="n">
        <v>5.2</v>
      </c>
      <c r="U636" t="n">
        <v>2.6</v>
      </c>
      <c r="W636" t="n">
        <v>6.3</v>
      </c>
      <c r="X636" t="n">
        <v>3.8</v>
      </c>
      <c r="Y636" t="n">
        <v>3.3</v>
      </c>
      <c r="Z636" t="n">
        <v>4.2</v>
      </c>
      <c r="AA636" t="n">
        <v>5.3</v>
      </c>
      <c r="AB636" t="n">
        <v>3.653102</v>
      </c>
      <c r="AC636" t="n">
        <v>5.1</v>
      </c>
      <c r="AD636" t="n">
        <v>2.4</v>
      </c>
      <c r="AE636" t="n">
        <v>5.780468</v>
      </c>
      <c r="AF636" t="n">
        <v>8.699999999999999</v>
      </c>
      <c r="AG636" t="n">
        <v>9.300000000000001</v>
      </c>
      <c r="AH636" t="n">
        <v>10.6</v>
      </c>
      <c r="AI636" t="n">
        <v>4.7</v>
      </c>
      <c r="AJ636" t="n">
        <v>6.2</v>
      </c>
      <c r="AK636" t="n">
        <v>9.4</v>
      </c>
      <c r="AL636" t="n">
        <v>4.7</v>
      </c>
    </row>
    <row r="637">
      <c r="A637" s="78" t="n">
        <v>39417</v>
      </c>
      <c r="B637" t="n">
        <v>4.307861</v>
      </c>
      <c r="C637" t="n">
        <v>4.5</v>
      </c>
      <c r="D637" t="n">
        <v>7.1</v>
      </c>
      <c r="E637" t="n">
        <v>6.1</v>
      </c>
      <c r="G637" t="n">
        <v>7.777217</v>
      </c>
      <c r="H637" t="n">
        <v>4.9</v>
      </c>
      <c r="I637" t="n">
        <v>8.1</v>
      </c>
      <c r="J637" t="n">
        <v>3.3</v>
      </c>
      <c r="K637" t="n">
        <v>7.4</v>
      </c>
      <c r="L637" t="n">
        <v>8.800000000000001</v>
      </c>
      <c r="M637" t="n">
        <v>4.1</v>
      </c>
      <c r="N637" t="n">
        <v>6.6</v>
      </c>
      <c r="O637" t="n">
        <v>7.3</v>
      </c>
      <c r="P637" t="n">
        <v>5.457874</v>
      </c>
      <c r="Q637" t="n">
        <v>5.2</v>
      </c>
      <c r="R637" t="n">
        <v>8.1</v>
      </c>
      <c r="S637" t="n">
        <v>8</v>
      </c>
      <c r="T637" t="n">
        <v>5.3</v>
      </c>
      <c r="U637" t="n">
        <v>2.7</v>
      </c>
      <c r="W637" t="n">
        <v>6.6</v>
      </c>
      <c r="X637" t="n">
        <v>3.7</v>
      </c>
      <c r="Y637" t="n">
        <v>3.1</v>
      </c>
      <c r="Z637" t="n">
        <v>4.2</v>
      </c>
      <c r="AA637" t="n">
        <v>5.6</v>
      </c>
      <c r="AB637" t="n">
        <v>3.791555</v>
      </c>
      <c r="AC637" t="n">
        <v>5</v>
      </c>
      <c r="AD637" t="n">
        <v>2.4</v>
      </c>
      <c r="AE637" t="n">
        <v>5.824801</v>
      </c>
      <c r="AF637" t="n">
        <v>8.300000000000001</v>
      </c>
      <c r="AG637" t="n">
        <v>9.199999999999999</v>
      </c>
      <c r="AH637" t="n">
        <v>10.5</v>
      </c>
      <c r="AI637" t="n">
        <v>4.7</v>
      </c>
      <c r="AJ637" t="n">
        <v>6.2</v>
      </c>
      <c r="AK637" t="n">
        <v>9.300000000000001</v>
      </c>
      <c r="AL637" t="n">
        <v>5</v>
      </c>
    </row>
    <row r="638">
      <c r="A638" s="78" t="n">
        <v>39448</v>
      </c>
      <c r="B638" t="n">
        <v>4.220045</v>
      </c>
      <c r="C638" t="n">
        <v>4.6</v>
      </c>
      <c r="D638" t="n">
        <v>7.1</v>
      </c>
      <c r="E638" t="n">
        <v>5.9</v>
      </c>
      <c r="G638" t="n">
        <v>7.809154</v>
      </c>
      <c r="H638" t="n">
        <v>4.7</v>
      </c>
      <c r="I638" t="n">
        <v>8</v>
      </c>
      <c r="J638" t="n">
        <v>3.2</v>
      </c>
      <c r="K638" t="n">
        <v>7.4</v>
      </c>
      <c r="L638" t="n">
        <v>9.1</v>
      </c>
      <c r="M638" t="n">
        <v>4.3</v>
      </c>
      <c r="N638" t="n">
        <v>6.5</v>
      </c>
      <c r="O638" t="n">
        <v>7.2</v>
      </c>
      <c r="P638" t="n">
        <v>5.476762</v>
      </c>
      <c r="Q638" t="n">
        <v>5.2</v>
      </c>
      <c r="R638" t="n">
        <v>7.7</v>
      </c>
      <c r="S638" t="n">
        <v>7.8</v>
      </c>
      <c r="T638" t="n">
        <v>5.3</v>
      </c>
      <c r="U638" t="n">
        <v>2.8</v>
      </c>
      <c r="W638" t="n">
        <v>6.7</v>
      </c>
      <c r="X638" t="n">
        <v>3.9</v>
      </c>
      <c r="Y638" t="n">
        <v>3</v>
      </c>
      <c r="Z638" t="n">
        <v>4.3</v>
      </c>
      <c r="AA638" t="n">
        <v>6.2</v>
      </c>
      <c r="AB638" t="n">
        <v>3.787849</v>
      </c>
      <c r="AC638" t="n">
        <v>5</v>
      </c>
      <c r="AD638" t="n">
        <v>2.9</v>
      </c>
      <c r="AE638" t="n">
        <v>5.827393</v>
      </c>
      <c r="AF638" t="n">
        <v>7.8</v>
      </c>
      <c r="AG638" t="n">
        <v>9</v>
      </c>
      <c r="AH638" t="n">
        <v>10.4</v>
      </c>
      <c r="AI638" t="n">
        <v>4.8</v>
      </c>
      <c r="AJ638" t="n">
        <v>6.1</v>
      </c>
      <c r="AK638" t="n">
        <v>9.300000000000001</v>
      </c>
      <c r="AL638" t="n">
        <v>5</v>
      </c>
    </row>
    <row r="639">
      <c r="A639" s="78" t="n">
        <v>39479</v>
      </c>
      <c r="B639" t="n">
        <v>3.979702</v>
      </c>
      <c r="C639" t="n">
        <v>4.6</v>
      </c>
      <c r="D639" t="n">
        <v>6.9</v>
      </c>
      <c r="E639" t="n">
        <v>6</v>
      </c>
      <c r="G639" t="n">
        <v>7.675821</v>
      </c>
      <c r="H639" t="n">
        <v>4.6</v>
      </c>
      <c r="I639" t="n">
        <v>7.9</v>
      </c>
      <c r="J639" t="n">
        <v>3.5</v>
      </c>
      <c r="K639" t="n">
        <v>7.4</v>
      </c>
      <c r="L639" t="n">
        <v>9.300000000000001</v>
      </c>
      <c r="M639" t="n">
        <v>4.4</v>
      </c>
      <c r="N639" t="n">
        <v>6.1</v>
      </c>
      <c r="O639" t="n">
        <v>7.1</v>
      </c>
      <c r="P639" t="n">
        <v>5.433355</v>
      </c>
      <c r="Q639" t="n">
        <v>5.2</v>
      </c>
      <c r="R639" t="n">
        <v>7.8</v>
      </c>
      <c r="S639" t="n">
        <v>7.6</v>
      </c>
      <c r="T639" t="n">
        <v>5.3</v>
      </c>
      <c r="U639" t="n">
        <v>2.8</v>
      </c>
      <c r="W639" t="n">
        <v>6.7</v>
      </c>
      <c r="X639" t="n">
        <v>4</v>
      </c>
      <c r="Y639" t="n">
        <v>2.9</v>
      </c>
      <c r="Z639" t="n">
        <v>4.4</v>
      </c>
      <c r="AA639" t="n">
        <v>6.5</v>
      </c>
      <c r="AB639" t="n">
        <v>3.816474</v>
      </c>
      <c r="AC639" t="n">
        <v>4.7</v>
      </c>
      <c r="AD639" t="n">
        <v>2.6</v>
      </c>
      <c r="AE639" t="n">
        <v>5.799014</v>
      </c>
      <c r="AF639" t="n">
        <v>7.5</v>
      </c>
      <c r="AG639" t="n">
        <v>8.9</v>
      </c>
      <c r="AH639" t="n">
        <v>10.3</v>
      </c>
      <c r="AI639" t="n">
        <v>4.7</v>
      </c>
      <c r="AJ639" t="n">
        <v>6</v>
      </c>
      <c r="AK639" t="n">
        <v>9.5</v>
      </c>
      <c r="AL639" t="n">
        <v>4.9</v>
      </c>
    </row>
    <row r="640">
      <c r="A640" s="78" t="n">
        <v>39508</v>
      </c>
      <c r="B640" t="n">
        <v>4.056742</v>
      </c>
      <c r="C640" t="n">
        <v>4.3</v>
      </c>
      <c r="D640" t="n">
        <v>6.7</v>
      </c>
      <c r="E640" t="n">
        <v>6.2</v>
      </c>
      <c r="G640" t="n">
        <v>7.659289</v>
      </c>
      <c r="H640" t="n">
        <v>4.4</v>
      </c>
      <c r="I640" t="n">
        <v>7.8</v>
      </c>
      <c r="J640" t="n">
        <v>3.6</v>
      </c>
      <c r="K640" t="n">
        <v>7.3</v>
      </c>
      <c r="L640" t="n">
        <v>9.5</v>
      </c>
      <c r="M640" t="n">
        <v>4.3</v>
      </c>
      <c r="N640" t="n">
        <v>6.4</v>
      </c>
      <c r="O640" t="n">
        <v>7.1</v>
      </c>
      <c r="P640" t="n">
        <v>5.478523</v>
      </c>
      <c r="Q640" t="n">
        <v>5.3</v>
      </c>
      <c r="R640" t="n">
        <v>8.1</v>
      </c>
      <c r="S640" t="n">
        <v>7.5</v>
      </c>
      <c r="T640" t="n">
        <v>5.5</v>
      </c>
      <c r="U640" t="n">
        <v>2.8</v>
      </c>
      <c r="W640" t="n">
        <v>6.4</v>
      </c>
      <c r="X640" t="n">
        <v>3.8</v>
      </c>
      <c r="Y640" t="n">
        <v>3</v>
      </c>
      <c r="Z640" t="n">
        <v>4.4</v>
      </c>
      <c r="AA640" t="n">
        <v>6.6</v>
      </c>
      <c r="AB640" t="n">
        <v>4.011764</v>
      </c>
      <c r="AC640" t="n">
        <v>4.7</v>
      </c>
      <c r="AD640" t="n">
        <v>2.6</v>
      </c>
      <c r="AE640" t="n">
        <v>5.846822</v>
      </c>
      <c r="AF640" t="n">
        <v>7.3</v>
      </c>
      <c r="AG640" t="n">
        <v>9</v>
      </c>
      <c r="AH640" t="n">
        <v>10.2</v>
      </c>
      <c r="AI640" t="n">
        <v>4.6</v>
      </c>
      <c r="AJ640" t="n">
        <v>5.9</v>
      </c>
      <c r="AK640" t="n">
        <v>9.4</v>
      </c>
      <c r="AL640" t="n">
        <v>5.1</v>
      </c>
    </row>
    <row r="641">
      <c r="A641" s="78" t="n">
        <v>39539</v>
      </c>
      <c r="B641" t="n">
        <v>4.265234</v>
      </c>
      <c r="C641" t="n">
        <v>4.1</v>
      </c>
      <c r="D641" t="n">
        <v>6.5</v>
      </c>
      <c r="E641" t="n">
        <v>6.1</v>
      </c>
      <c r="G641" t="n">
        <v>7.711412</v>
      </c>
      <c r="H641" t="n">
        <v>4.3</v>
      </c>
      <c r="I641" t="n">
        <v>7.7</v>
      </c>
      <c r="J641" t="n">
        <v>3.2</v>
      </c>
      <c r="K641" t="n">
        <v>7.4</v>
      </c>
      <c r="L641" t="n">
        <v>10</v>
      </c>
      <c r="M641" t="n">
        <v>4.5</v>
      </c>
      <c r="N641" t="n">
        <v>5.7</v>
      </c>
      <c r="O641" t="n">
        <v>7.3</v>
      </c>
      <c r="P641" t="n">
        <v>5.468639</v>
      </c>
      <c r="Q641" t="n">
        <v>5.2</v>
      </c>
      <c r="R641" t="n">
        <v>7.7</v>
      </c>
      <c r="S641" t="n">
        <v>7.6</v>
      </c>
      <c r="T641" t="n">
        <v>5.6</v>
      </c>
      <c r="U641" t="n">
        <v>2.8</v>
      </c>
      <c r="W641" t="n">
        <v>6.9</v>
      </c>
      <c r="X641" t="n">
        <v>3.9</v>
      </c>
      <c r="Y641" t="n">
        <v>3.1</v>
      </c>
      <c r="Z641" t="n">
        <v>4.7</v>
      </c>
      <c r="AA641" t="n">
        <v>6.3</v>
      </c>
      <c r="AB641" t="n">
        <v>3.701992</v>
      </c>
      <c r="AC641" t="n">
        <v>4.8</v>
      </c>
      <c r="AD641" t="n">
        <v>2.7</v>
      </c>
      <c r="AE641" t="n">
        <v>5.818587</v>
      </c>
      <c r="AF641" t="n">
        <v>7.2</v>
      </c>
      <c r="AG641" t="n">
        <v>9</v>
      </c>
      <c r="AH641" t="n">
        <v>10.2</v>
      </c>
      <c r="AI641" t="n">
        <v>4.4</v>
      </c>
      <c r="AJ641" t="n">
        <v>5.8</v>
      </c>
      <c r="AK641" t="n">
        <v>9.199999999999999</v>
      </c>
      <c r="AL641" t="n">
        <v>5</v>
      </c>
    </row>
    <row r="642">
      <c r="A642" s="78" t="n">
        <v>39569</v>
      </c>
      <c r="B642" t="n">
        <v>4.265207</v>
      </c>
      <c r="C642" t="n">
        <v>4.3</v>
      </c>
      <c r="D642" t="n">
        <v>6.5</v>
      </c>
      <c r="E642" t="n">
        <v>6.1</v>
      </c>
      <c r="G642" t="n">
        <v>7.986405</v>
      </c>
      <c r="H642" t="n">
        <v>4.2</v>
      </c>
      <c r="I642" t="n">
        <v>7.6</v>
      </c>
      <c r="J642" t="n">
        <v>3.5</v>
      </c>
      <c r="K642" t="n">
        <v>7.5</v>
      </c>
      <c r="L642" t="n">
        <v>10.4</v>
      </c>
      <c r="M642" t="n">
        <v>3.9</v>
      </c>
      <c r="N642" t="n">
        <v>6.4</v>
      </c>
      <c r="O642" t="n">
        <v>7.3</v>
      </c>
      <c r="P642" t="n">
        <v>5.668877</v>
      </c>
      <c r="Q642" t="n">
        <v>5.4</v>
      </c>
      <c r="R642" t="n">
        <v>7.4</v>
      </c>
      <c r="S642" t="n">
        <v>7.7</v>
      </c>
      <c r="T642" t="n">
        <v>5.9</v>
      </c>
      <c r="U642" t="n">
        <v>2.9</v>
      </c>
      <c r="W642" t="n">
        <v>6.8</v>
      </c>
      <c r="X642" t="n">
        <v>4</v>
      </c>
      <c r="Y642" t="n">
        <v>3.2</v>
      </c>
      <c r="Z642" t="n">
        <v>4.8</v>
      </c>
      <c r="AA642" t="n">
        <v>6.4</v>
      </c>
      <c r="AB642" t="n">
        <v>3.539195</v>
      </c>
      <c r="AC642" t="n">
        <v>4.8</v>
      </c>
      <c r="AD642" t="n">
        <v>2.8</v>
      </c>
      <c r="AE642" t="n">
        <v>5.946291</v>
      </c>
      <c r="AF642" t="n">
        <v>7.2</v>
      </c>
      <c r="AG642" t="n">
        <v>9.1</v>
      </c>
      <c r="AH642" t="n">
        <v>10.2</v>
      </c>
      <c r="AI642" t="n">
        <v>4.4</v>
      </c>
      <c r="AJ642" t="n">
        <v>6</v>
      </c>
      <c r="AK642" t="n">
        <v>9.199999999999999</v>
      </c>
      <c r="AL642" t="n">
        <v>5.4</v>
      </c>
    </row>
    <row r="643">
      <c r="A643" s="78" t="n">
        <v>39600</v>
      </c>
      <c r="B643" t="n">
        <v>4.243487</v>
      </c>
      <c r="C643" t="n">
        <v>3.9</v>
      </c>
      <c r="D643" t="n">
        <v>6.9</v>
      </c>
      <c r="E643" t="n">
        <v>6.1</v>
      </c>
      <c r="G643" t="n">
        <v>7.884205</v>
      </c>
      <c r="H643" t="n">
        <v>4.5</v>
      </c>
      <c r="I643" t="n">
        <v>7.4</v>
      </c>
      <c r="J643" t="n">
        <v>3.7</v>
      </c>
      <c r="K643" t="n">
        <v>7.6</v>
      </c>
      <c r="L643" t="n">
        <v>10.8</v>
      </c>
      <c r="M643" t="n">
        <v>4.2</v>
      </c>
      <c r="N643" t="n">
        <v>6.4</v>
      </c>
      <c r="O643" t="n">
        <v>7.5</v>
      </c>
      <c r="P643" t="n">
        <v>5.73462</v>
      </c>
      <c r="Q643" t="n">
        <v>5.5</v>
      </c>
      <c r="R643" t="n">
        <v>7.6</v>
      </c>
      <c r="S643" t="n">
        <v>7.6</v>
      </c>
      <c r="T643" t="n">
        <v>6.4</v>
      </c>
      <c r="U643" t="n">
        <v>3.1</v>
      </c>
      <c r="W643" t="n">
        <v>6.9</v>
      </c>
      <c r="X643" t="n">
        <v>4</v>
      </c>
      <c r="Y643" t="n">
        <v>3.1</v>
      </c>
      <c r="Z643" t="n">
        <v>4.9</v>
      </c>
      <c r="AA643" t="n">
        <v>6.6</v>
      </c>
      <c r="AB643" t="n">
        <v>3.698716</v>
      </c>
      <c r="AC643" t="n">
        <v>4.8</v>
      </c>
      <c r="AD643" t="n">
        <v>3</v>
      </c>
      <c r="AE643" t="n">
        <v>6.05698</v>
      </c>
      <c r="AF643" t="n">
        <v>7</v>
      </c>
      <c r="AG643" t="n">
        <v>9.300000000000001</v>
      </c>
      <c r="AH643" t="n">
        <v>9.9</v>
      </c>
      <c r="AI643" t="n">
        <v>4.3</v>
      </c>
      <c r="AJ643" t="n">
        <v>6.8</v>
      </c>
      <c r="AK643" t="n">
        <v>9.6</v>
      </c>
      <c r="AL643" t="n">
        <v>5.6</v>
      </c>
    </row>
    <row r="644">
      <c r="A644" s="78" t="n">
        <v>39630</v>
      </c>
      <c r="B644" t="n">
        <v>4.249429</v>
      </c>
      <c r="C644" t="n">
        <v>4.3</v>
      </c>
      <c r="D644" t="n">
        <v>7.5</v>
      </c>
      <c r="E644" t="n">
        <v>6.1</v>
      </c>
      <c r="G644" t="n">
        <v>7.687682</v>
      </c>
      <c r="H644" t="n">
        <v>4.2</v>
      </c>
      <c r="I644" t="n">
        <v>7.3</v>
      </c>
      <c r="J644" t="n">
        <v>3.7</v>
      </c>
      <c r="K644" t="n">
        <v>7.6</v>
      </c>
      <c r="L644" t="n">
        <v>11.1</v>
      </c>
      <c r="M644" t="n">
        <v>5.2</v>
      </c>
      <c r="N644" t="n">
        <v>6.1</v>
      </c>
      <c r="O644" t="n">
        <v>7.5</v>
      </c>
      <c r="P644" t="n">
        <v>5.814914</v>
      </c>
      <c r="Q644" t="n">
        <v>5.7</v>
      </c>
      <c r="R644" t="n">
        <v>7.6</v>
      </c>
      <c r="S644" t="n">
        <v>7.6</v>
      </c>
      <c r="T644" t="n">
        <v>6.9</v>
      </c>
      <c r="U644" t="n">
        <v>3.4</v>
      </c>
      <c r="W644" t="n">
        <v>6.6</v>
      </c>
      <c r="X644" t="n">
        <v>3.9</v>
      </c>
      <c r="Y644" t="n">
        <v>3.1</v>
      </c>
      <c r="Z644" t="n">
        <v>4.9</v>
      </c>
      <c r="AA644" t="n">
        <v>7</v>
      </c>
      <c r="AB644" t="n">
        <v>3.822708</v>
      </c>
      <c r="AC644" t="n">
        <v>4.7</v>
      </c>
      <c r="AD644" t="n">
        <v>3</v>
      </c>
      <c r="AE644" t="n">
        <v>6.144137</v>
      </c>
      <c r="AF644" t="n">
        <v>6.9</v>
      </c>
      <c r="AG644" t="n">
        <v>9.199999999999999</v>
      </c>
      <c r="AH644" t="n">
        <v>9.4</v>
      </c>
      <c r="AI644" t="n">
        <v>4.3</v>
      </c>
      <c r="AJ644" t="n">
        <v>6.4</v>
      </c>
      <c r="AK644" t="n">
        <v>9.9</v>
      </c>
      <c r="AL644" t="n">
        <v>5.8</v>
      </c>
    </row>
    <row r="645">
      <c r="A645" s="78" t="n">
        <v>39661</v>
      </c>
      <c r="B645" t="n">
        <v>4.015332</v>
      </c>
      <c r="C645" t="n">
        <v>4.7</v>
      </c>
      <c r="D645" t="n">
        <v>7.6</v>
      </c>
      <c r="E645" t="n">
        <v>6.1</v>
      </c>
      <c r="G645" t="n">
        <v>7.391329</v>
      </c>
      <c r="H645" t="n">
        <v>4.1</v>
      </c>
      <c r="I645" t="n">
        <v>7.1</v>
      </c>
      <c r="J645" t="n">
        <v>3.8</v>
      </c>
      <c r="K645" t="n">
        <v>7.7</v>
      </c>
      <c r="L645" t="n">
        <v>11.5</v>
      </c>
      <c r="M645" t="n">
        <v>6.3</v>
      </c>
      <c r="N645" t="n">
        <v>6.4</v>
      </c>
      <c r="O645" t="n">
        <v>7.5</v>
      </c>
      <c r="P645" t="n">
        <v>5.966627</v>
      </c>
      <c r="Q645" t="n">
        <v>5.9</v>
      </c>
      <c r="R645" t="n">
        <v>7.8</v>
      </c>
      <c r="S645" t="n">
        <v>7.8</v>
      </c>
      <c r="T645" t="n">
        <v>7.4</v>
      </c>
      <c r="U645" t="n">
        <v>3.7</v>
      </c>
      <c r="W645" t="n">
        <v>6.7</v>
      </c>
      <c r="X645" t="n">
        <v>4.1</v>
      </c>
      <c r="Y645" t="n">
        <v>3.3</v>
      </c>
      <c r="Z645" t="n">
        <v>5.1</v>
      </c>
      <c r="AA645" t="n">
        <v>7.6</v>
      </c>
      <c r="AB645" t="n">
        <v>3.88711</v>
      </c>
      <c r="AC645" t="n">
        <v>4.7</v>
      </c>
      <c r="AD645" t="n">
        <v>2.8</v>
      </c>
      <c r="AE645" t="n">
        <v>6.255931</v>
      </c>
      <c r="AF645" t="n">
        <v>6.8</v>
      </c>
      <c r="AG645" t="n">
        <v>9.4</v>
      </c>
      <c r="AH645" t="n">
        <v>9</v>
      </c>
      <c r="AI645" t="n">
        <v>4.3</v>
      </c>
      <c r="AJ645" t="n">
        <v>6.1</v>
      </c>
      <c r="AK645" t="n">
        <v>9.800000000000001</v>
      </c>
      <c r="AL645" t="n">
        <v>6.1</v>
      </c>
    </row>
    <row r="646">
      <c r="A646" s="78" t="n">
        <v>39692</v>
      </c>
      <c r="B646" t="n">
        <v>4.288414</v>
      </c>
      <c r="C646" t="n">
        <v>4.2</v>
      </c>
      <c r="D646" t="n">
        <v>7.4</v>
      </c>
      <c r="E646" t="n">
        <v>6.1</v>
      </c>
      <c r="G646" t="n">
        <v>7.385931</v>
      </c>
      <c r="H646" t="n">
        <v>4.4</v>
      </c>
      <c r="I646" t="n">
        <v>7</v>
      </c>
      <c r="J646" t="n">
        <v>3.8</v>
      </c>
      <c r="K646" t="n">
        <v>7.7</v>
      </c>
      <c r="L646" t="n">
        <v>12</v>
      </c>
      <c r="M646" t="n">
        <v>6.8</v>
      </c>
      <c r="N646" t="n">
        <v>6.7</v>
      </c>
      <c r="O646" t="n">
        <v>7.5</v>
      </c>
      <c r="P646" t="n">
        <v>5.985651</v>
      </c>
      <c r="Q646" t="n">
        <v>6</v>
      </c>
      <c r="R646" t="n">
        <v>7.8</v>
      </c>
      <c r="S646" t="n">
        <v>7.9</v>
      </c>
      <c r="T646" t="n">
        <v>7.8</v>
      </c>
      <c r="U646" t="n">
        <v>4</v>
      </c>
      <c r="W646" t="n">
        <v>6.9</v>
      </c>
      <c r="X646" t="n">
        <v>4</v>
      </c>
      <c r="Y646" t="n">
        <v>3.2</v>
      </c>
      <c r="Z646" t="n">
        <v>5.2</v>
      </c>
      <c r="AA646" t="n">
        <v>8.5</v>
      </c>
      <c r="AB646" t="n">
        <v>3.961743</v>
      </c>
      <c r="AC646" t="n">
        <v>4.8</v>
      </c>
      <c r="AD646" t="n">
        <v>3.2</v>
      </c>
      <c r="AE646" t="n">
        <v>6.315442</v>
      </c>
      <c r="AF646" t="n">
        <v>6.7</v>
      </c>
      <c r="AG646" t="n">
        <v>9.4</v>
      </c>
      <c r="AH646" t="n">
        <v>8.800000000000001</v>
      </c>
      <c r="AI646" t="n">
        <v>4.2</v>
      </c>
      <c r="AJ646" t="n">
        <v>6.6</v>
      </c>
      <c r="AK646" t="n">
        <v>10.2</v>
      </c>
      <c r="AL646" t="n">
        <v>6.1</v>
      </c>
    </row>
    <row r="647">
      <c r="A647" s="78" t="n">
        <v>39722</v>
      </c>
      <c r="B647" t="n">
        <v>4.289742</v>
      </c>
      <c r="C647" t="n">
        <v>4.3</v>
      </c>
      <c r="D647" t="n">
        <v>6.9</v>
      </c>
      <c r="E647" t="n">
        <v>6.2</v>
      </c>
      <c r="G647" t="n">
        <v>7.760669</v>
      </c>
      <c r="H647" t="n">
        <v>4.2</v>
      </c>
      <c r="I647" t="n">
        <v>7</v>
      </c>
      <c r="J647" t="n">
        <v>3.6</v>
      </c>
      <c r="K647" t="n">
        <v>7.9</v>
      </c>
      <c r="L647" t="n">
        <v>12.9</v>
      </c>
      <c r="M647" t="n">
        <v>6.9</v>
      </c>
      <c r="N647" t="n">
        <v>6.3</v>
      </c>
      <c r="O647" t="n">
        <v>7.6</v>
      </c>
      <c r="P647" t="n">
        <v>6.14056</v>
      </c>
      <c r="Q647" t="n">
        <v>6.2</v>
      </c>
      <c r="R647" t="n">
        <v>7.6</v>
      </c>
      <c r="S647" t="n">
        <v>8</v>
      </c>
      <c r="T647" t="n">
        <v>8.1</v>
      </c>
      <c r="U647" t="n">
        <v>4.4</v>
      </c>
      <c r="W647" t="n">
        <v>7</v>
      </c>
      <c r="X647" t="n">
        <v>3.8</v>
      </c>
      <c r="Y647" t="n">
        <v>3.3</v>
      </c>
      <c r="Z647" t="n">
        <v>5.2</v>
      </c>
      <c r="AA647" t="n">
        <v>9.6</v>
      </c>
      <c r="AB647" t="n">
        <v>3.989297</v>
      </c>
      <c r="AC647" t="n">
        <v>4.7</v>
      </c>
      <c r="AD647" t="n">
        <v>3.2</v>
      </c>
      <c r="AE647" t="n">
        <v>6.455752</v>
      </c>
      <c r="AF647" t="n">
        <v>6.6</v>
      </c>
      <c r="AG647" t="n">
        <v>9.300000000000001</v>
      </c>
      <c r="AH647" t="n">
        <v>8.699999999999999</v>
      </c>
      <c r="AI647" t="n">
        <v>4.2</v>
      </c>
      <c r="AJ647" t="n">
        <v>6.5</v>
      </c>
      <c r="AK647" t="n">
        <v>10.6</v>
      </c>
      <c r="AL647" t="n">
        <v>6.5</v>
      </c>
    </row>
    <row r="648">
      <c r="A648" s="78" t="n">
        <v>39753</v>
      </c>
      <c r="B648" t="n">
        <v>4.462502</v>
      </c>
      <c r="C648" t="n">
        <v>4.8</v>
      </c>
      <c r="D648" t="n">
        <v>6.7</v>
      </c>
      <c r="E648" t="n">
        <v>6.6</v>
      </c>
      <c r="G648" t="n">
        <v>8.140371</v>
      </c>
      <c r="H648" t="n">
        <v>4.4</v>
      </c>
      <c r="I648" t="n">
        <v>7</v>
      </c>
      <c r="J648" t="n">
        <v>4.6</v>
      </c>
      <c r="K648" t="n">
        <v>8.1</v>
      </c>
      <c r="L648" t="n">
        <v>13.8</v>
      </c>
      <c r="M648" t="n">
        <v>7.6</v>
      </c>
      <c r="N648" t="n">
        <v>6.7</v>
      </c>
      <c r="O648" t="n">
        <v>7.7</v>
      </c>
      <c r="P648" t="n">
        <v>6.355524</v>
      </c>
      <c r="Q648" t="n">
        <v>6.4</v>
      </c>
      <c r="R648" t="n">
        <v>8</v>
      </c>
      <c r="S648" t="n">
        <v>8.199999999999999</v>
      </c>
      <c r="T648" t="n">
        <v>8.5</v>
      </c>
      <c r="U648" t="n">
        <v>4.9</v>
      </c>
      <c r="W648" t="n">
        <v>7.1</v>
      </c>
      <c r="X648" t="n">
        <v>4</v>
      </c>
      <c r="Y648" t="n">
        <v>3.4</v>
      </c>
      <c r="Z648" t="n">
        <v>5.2</v>
      </c>
      <c r="AA648" t="n">
        <v>10.6</v>
      </c>
      <c r="AB648" t="n">
        <v>4.656655</v>
      </c>
      <c r="AC648" t="n">
        <v>4.7</v>
      </c>
      <c r="AD648" t="n">
        <v>2.9</v>
      </c>
      <c r="AE648" t="n">
        <v>6.771174</v>
      </c>
      <c r="AF648" t="n">
        <v>6.8</v>
      </c>
      <c r="AG648" t="n">
        <v>9.4</v>
      </c>
      <c r="AH648" t="n">
        <v>8.9</v>
      </c>
      <c r="AI648" t="n">
        <v>4.3</v>
      </c>
      <c r="AJ648" t="n">
        <v>7.2</v>
      </c>
      <c r="AK648" t="n">
        <v>11.5</v>
      </c>
      <c r="AL648" t="n">
        <v>6.8</v>
      </c>
    </row>
    <row r="649">
      <c r="A649" s="78" t="n">
        <v>39783</v>
      </c>
      <c r="B649" t="n">
        <v>4.569549</v>
      </c>
      <c r="C649" t="n">
        <v>5.1</v>
      </c>
      <c r="D649" t="n">
        <v>6.9</v>
      </c>
      <c r="E649" t="n">
        <v>6.9</v>
      </c>
      <c r="G649" t="n">
        <v>8.618010999999999</v>
      </c>
      <c r="H649" t="n">
        <v>4.8</v>
      </c>
      <c r="I649" t="n">
        <v>7</v>
      </c>
      <c r="J649" t="n">
        <v>4.2</v>
      </c>
      <c r="K649" t="n">
        <v>8.4</v>
      </c>
      <c r="L649" t="n">
        <v>14.8</v>
      </c>
      <c r="M649" t="n">
        <v>9.300000000000001</v>
      </c>
      <c r="N649" t="n">
        <v>6.7</v>
      </c>
      <c r="O649" t="n">
        <v>8</v>
      </c>
      <c r="P649" t="n">
        <v>6.668959</v>
      </c>
      <c r="Q649" t="n">
        <v>6.5</v>
      </c>
      <c r="R649" t="n">
        <v>8.5</v>
      </c>
      <c r="S649" t="n">
        <v>8.4</v>
      </c>
      <c r="T649" t="n">
        <v>9</v>
      </c>
      <c r="U649" t="n">
        <v>5.4</v>
      </c>
      <c r="W649" t="n">
        <v>6.9</v>
      </c>
      <c r="X649" t="n">
        <v>4.4</v>
      </c>
      <c r="Y649" t="n">
        <v>3.4</v>
      </c>
      <c r="Z649" t="n">
        <v>5.2</v>
      </c>
      <c r="AA649" t="n">
        <v>11.6</v>
      </c>
      <c r="AB649" t="n">
        <v>4.821136</v>
      </c>
      <c r="AC649" t="n">
        <v>4.8</v>
      </c>
      <c r="AD649" t="n">
        <v>3.2</v>
      </c>
      <c r="AE649" t="n">
        <v>7.051919</v>
      </c>
      <c r="AF649" t="n">
        <v>7</v>
      </c>
      <c r="AG649" t="n">
        <v>9.800000000000001</v>
      </c>
      <c r="AH649" t="n">
        <v>9.1</v>
      </c>
      <c r="AI649" t="n">
        <v>4.3</v>
      </c>
      <c r="AJ649" t="n">
        <v>7</v>
      </c>
      <c r="AK649" t="n">
        <v>12</v>
      </c>
      <c r="AL649" t="n">
        <v>7.3</v>
      </c>
    </row>
    <row r="650">
      <c r="A650" s="78" t="n">
        <v>39814</v>
      </c>
      <c r="B650" t="n">
        <v>4.907159</v>
      </c>
      <c r="C650" t="n">
        <v>5</v>
      </c>
      <c r="D650" t="n">
        <v>7.8</v>
      </c>
      <c r="E650" t="n">
        <v>7.4</v>
      </c>
      <c r="G650" t="n">
        <v>9.069544</v>
      </c>
      <c r="H650" t="n">
        <v>5.3</v>
      </c>
      <c r="I650" t="n">
        <v>7.1</v>
      </c>
      <c r="J650" t="n">
        <v>5.4</v>
      </c>
      <c r="K650" t="n">
        <v>8.800000000000001</v>
      </c>
      <c r="L650" t="n">
        <v>15.9</v>
      </c>
      <c r="M650" t="n">
        <v>10.4</v>
      </c>
      <c r="N650" t="n">
        <v>7</v>
      </c>
      <c r="O650" t="n">
        <v>8.199999999999999</v>
      </c>
      <c r="P650" t="n">
        <v>6.972097</v>
      </c>
      <c r="Q650" t="n">
        <v>6.7</v>
      </c>
      <c r="R650" t="n">
        <v>9</v>
      </c>
      <c r="S650" t="n">
        <v>8.800000000000001</v>
      </c>
      <c r="T650" t="n">
        <v>10.1</v>
      </c>
      <c r="U650" t="n">
        <v>6.1</v>
      </c>
      <c r="W650" t="n">
        <v>7.3</v>
      </c>
      <c r="X650" t="n">
        <v>4.3</v>
      </c>
      <c r="Y650" t="n">
        <v>3.3</v>
      </c>
      <c r="Z650" t="n">
        <v>5.4</v>
      </c>
      <c r="AA650" t="n">
        <v>12.6</v>
      </c>
      <c r="AB650" t="n">
        <v>4.779132</v>
      </c>
      <c r="AC650" t="n">
        <v>4.8</v>
      </c>
      <c r="AD650" t="n">
        <v>3.2</v>
      </c>
      <c r="AE650" t="n">
        <v>7.379952</v>
      </c>
      <c r="AF650" t="n">
        <v>7.4</v>
      </c>
      <c r="AG650" t="n">
        <v>10.1</v>
      </c>
      <c r="AH650" t="n">
        <v>9.9</v>
      </c>
      <c r="AI650" t="n">
        <v>4.8</v>
      </c>
      <c r="AJ650" t="n">
        <v>7</v>
      </c>
      <c r="AK650" t="n">
        <v>12.6</v>
      </c>
      <c r="AL650" t="n">
        <v>7.8</v>
      </c>
    </row>
    <row r="651">
      <c r="A651" s="78" t="n">
        <v>39845</v>
      </c>
      <c r="B651" t="n">
        <v>5.304103</v>
      </c>
      <c r="C651" t="n">
        <v>4.9</v>
      </c>
      <c r="D651" t="n">
        <v>7.9</v>
      </c>
      <c r="E651" t="n">
        <v>8</v>
      </c>
      <c r="G651" t="n">
        <v>9.369638999999999</v>
      </c>
      <c r="H651" t="n">
        <v>5.7</v>
      </c>
      <c r="I651" t="n">
        <v>7.1</v>
      </c>
      <c r="J651" t="n">
        <v>5</v>
      </c>
      <c r="K651" t="n">
        <v>9.1</v>
      </c>
      <c r="L651" t="n">
        <v>16.8</v>
      </c>
      <c r="M651" t="n">
        <v>11.1</v>
      </c>
      <c r="N651" t="n">
        <v>7.4</v>
      </c>
      <c r="O651" t="n">
        <v>8.6</v>
      </c>
      <c r="P651" t="n">
        <v>7.340121</v>
      </c>
      <c r="Q651" t="n">
        <v>7.1</v>
      </c>
      <c r="R651" t="n">
        <v>9.4</v>
      </c>
      <c r="S651" t="n">
        <v>9.1</v>
      </c>
      <c r="T651" t="n">
        <v>10.9</v>
      </c>
      <c r="U651" t="n">
        <v>6.7</v>
      </c>
      <c r="W651" t="n">
        <v>7.4</v>
      </c>
      <c r="X651" t="n">
        <v>4.6</v>
      </c>
      <c r="Y651" t="n">
        <v>3.3</v>
      </c>
      <c r="Z651" t="n">
        <v>5.4</v>
      </c>
      <c r="AA651" t="n">
        <v>13.8</v>
      </c>
      <c r="AB651" t="n">
        <v>5.200319</v>
      </c>
      <c r="AC651" t="n">
        <v>4.9</v>
      </c>
      <c r="AD651" t="n">
        <v>3.4</v>
      </c>
      <c r="AE651" t="n">
        <v>7.716618</v>
      </c>
      <c r="AF651" t="n">
        <v>7.5</v>
      </c>
      <c r="AG651" t="n">
        <v>10.3</v>
      </c>
      <c r="AH651" t="n">
        <v>10.3</v>
      </c>
      <c r="AI651" t="n">
        <v>5</v>
      </c>
      <c r="AJ651" t="n">
        <v>7.9</v>
      </c>
      <c r="AK651" t="n">
        <v>13</v>
      </c>
      <c r="AL651" t="n">
        <v>8.300000000000001</v>
      </c>
    </row>
    <row r="652">
      <c r="A652" s="78" t="n">
        <v>39873</v>
      </c>
      <c r="B652" t="n">
        <v>5.710648</v>
      </c>
      <c r="C652" t="n">
        <v>5.3</v>
      </c>
      <c r="D652" t="n">
        <v>7.9</v>
      </c>
      <c r="E652" t="n">
        <v>8.199999999999999</v>
      </c>
      <c r="G652" t="n">
        <v>9.867736000000001</v>
      </c>
      <c r="H652" t="n">
        <v>5.9</v>
      </c>
      <c r="I652" t="n">
        <v>7.2</v>
      </c>
      <c r="J652" t="n">
        <v>5.4</v>
      </c>
      <c r="K652" t="n">
        <v>9.4</v>
      </c>
      <c r="L652" t="n">
        <v>17.5</v>
      </c>
      <c r="M652" t="n">
        <v>11.8</v>
      </c>
      <c r="N652" t="n">
        <v>7.7</v>
      </c>
      <c r="O652" t="n">
        <v>8.9</v>
      </c>
      <c r="P652" t="n">
        <v>7.631329</v>
      </c>
      <c r="Q652" t="n">
        <v>7.3</v>
      </c>
      <c r="R652" t="n">
        <v>9.300000000000001</v>
      </c>
      <c r="S652" t="n">
        <v>9.4</v>
      </c>
      <c r="T652" t="n">
        <v>11.6</v>
      </c>
      <c r="U652" t="n">
        <v>7.1</v>
      </c>
      <c r="W652" t="n">
        <v>7.7</v>
      </c>
      <c r="X652" t="n">
        <v>4.8</v>
      </c>
      <c r="Y652" t="n">
        <v>3.5</v>
      </c>
      <c r="Z652" t="n">
        <v>5.4</v>
      </c>
      <c r="AA652" t="n">
        <v>14.8</v>
      </c>
      <c r="AB652" t="n">
        <v>5.082455</v>
      </c>
      <c r="AC652" t="n">
        <v>5</v>
      </c>
      <c r="AD652" t="n">
        <v>3.3</v>
      </c>
      <c r="AE652" t="n">
        <v>8.009907</v>
      </c>
      <c r="AF652" t="n">
        <v>7.7</v>
      </c>
      <c r="AG652" t="n">
        <v>10.6</v>
      </c>
      <c r="AH652" t="n">
        <v>10.8</v>
      </c>
      <c r="AI652" t="n">
        <v>5.2</v>
      </c>
      <c r="AJ652" t="n">
        <v>8</v>
      </c>
      <c r="AK652" t="n">
        <v>13.7</v>
      </c>
      <c r="AL652" t="n">
        <v>8.699999999999999</v>
      </c>
    </row>
    <row r="653">
      <c r="A653" s="78" t="n">
        <v>39904</v>
      </c>
      <c r="B653" t="n">
        <v>5.512384</v>
      </c>
      <c r="C653" t="n">
        <v>5.8</v>
      </c>
      <c r="D653" t="n">
        <v>7.9</v>
      </c>
      <c r="E653" t="n">
        <v>8.300000000000001</v>
      </c>
      <c r="G653" t="n">
        <v>9.960906</v>
      </c>
      <c r="H653" t="n">
        <v>6.3</v>
      </c>
      <c r="I653" t="n">
        <v>7.3</v>
      </c>
      <c r="J653" t="n">
        <v>6.2</v>
      </c>
      <c r="K653" t="n">
        <v>9.5</v>
      </c>
      <c r="L653" t="n">
        <v>17.8</v>
      </c>
      <c r="M653" t="n">
        <v>12.3</v>
      </c>
      <c r="N653" t="n">
        <v>8.199999999999999</v>
      </c>
      <c r="O653" t="n">
        <v>9.1</v>
      </c>
      <c r="P653" t="n">
        <v>7.808527</v>
      </c>
      <c r="Q653" t="n">
        <v>7.6</v>
      </c>
      <c r="R653" t="n">
        <v>9.300000000000001</v>
      </c>
      <c r="S653" t="n">
        <v>9.5</v>
      </c>
      <c r="T653" t="n">
        <v>12.2</v>
      </c>
      <c r="U653" t="n">
        <v>7.5</v>
      </c>
      <c r="W653" t="n">
        <v>7.5</v>
      </c>
      <c r="X653" t="n">
        <v>5</v>
      </c>
      <c r="Y653" t="n">
        <v>3.7</v>
      </c>
      <c r="Z653" t="n">
        <v>5.3</v>
      </c>
      <c r="AA653" t="n">
        <v>16</v>
      </c>
      <c r="AB653" t="n">
        <v>5.425828</v>
      </c>
      <c r="AC653" t="n">
        <v>5.2</v>
      </c>
      <c r="AD653" t="n">
        <v>3.6</v>
      </c>
      <c r="AE653" t="n">
        <v>8.204741</v>
      </c>
      <c r="AF653" t="n">
        <v>7.8</v>
      </c>
      <c r="AG653" t="n">
        <v>10.8</v>
      </c>
      <c r="AH653" t="n">
        <v>11.2</v>
      </c>
      <c r="AI653" t="n">
        <v>5.4</v>
      </c>
      <c r="AJ653" t="n">
        <v>8</v>
      </c>
      <c r="AK653" t="n">
        <v>14</v>
      </c>
      <c r="AL653" t="n">
        <v>9</v>
      </c>
    </row>
    <row r="654">
      <c r="A654" s="78" t="n">
        <v>39934</v>
      </c>
      <c r="B654" t="n">
        <v>5.810431</v>
      </c>
      <c r="C654" t="n">
        <v>5.6</v>
      </c>
      <c r="D654" t="n">
        <v>7.9</v>
      </c>
      <c r="E654" t="n">
        <v>8.699999999999999</v>
      </c>
      <c r="G654" t="n">
        <v>10.25525</v>
      </c>
      <c r="H654" t="n">
        <v>6.6</v>
      </c>
      <c r="I654" t="n">
        <v>7.3</v>
      </c>
      <c r="J654" t="n">
        <v>6</v>
      </c>
      <c r="K654" t="n">
        <v>9.6</v>
      </c>
      <c r="L654" t="n">
        <v>17.9</v>
      </c>
      <c r="M654" t="n">
        <v>13</v>
      </c>
      <c r="N654" t="n">
        <v>8.699999999999999</v>
      </c>
      <c r="O654" t="n">
        <v>9.199999999999999</v>
      </c>
      <c r="P654" t="n">
        <v>8.043248999999999</v>
      </c>
      <c r="Q654" t="n">
        <v>7.8</v>
      </c>
      <c r="R654" t="n">
        <v>9.4</v>
      </c>
      <c r="S654" t="n">
        <v>9.300000000000001</v>
      </c>
      <c r="T654" t="n">
        <v>12.7</v>
      </c>
      <c r="U654" t="n">
        <v>7.7</v>
      </c>
      <c r="W654" t="n">
        <v>7.4</v>
      </c>
      <c r="X654" t="n">
        <v>5.1</v>
      </c>
      <c r="Y654" t="n">
        <v>3.9</v>
      </c>
      <c r="Z654" t="n">
        <v>5.3</v>
      </c>
      <c r="AA654" t="n">
        <v>17</v>
      </c>
      <c r="AB654" t="n">
        <v>5.695572</v>
      </c>
      <c r="AC654" t="n">
        <v>5.2</v>
      </c>
      <c r="AD654" t="n">
        <v>3.6</v>
      </c>
      <c r="AE654" t="n">
        <v>8.387931</v>
      </c>
      <c r="AF654" t="n">
        <v>7.9</v>
      </c>
      <c r="AG654" t="n">
        <v>11</v>
      </c>
      <c r="AH654" t="n">
        <v>11.6</v>
      </c>
      <c r="AI654" t="n">
        <v>5.6</v>
      </c>
      <c r="AJ654" t="n">
        <v>9.1</v>
      </c>
      <c r="AK654" t="n">
        <v>13.8</v>
      </c>
      <c r="AL654" t="n">
        <v>9.4</v>
      </c>
    </row>
    <row r="655">
      <c r="A655" s="78" t="n">
        <v>39965</v>
      </c>
      <c r="B655" t="n">
        <v>5.861475</v>
      </c>
      <c r="C655" t="n">
        <v>5.9</v>
      </c>
      <c r="D655" t="n">
        <v>8</v>
      </c>
      <c r="E655" t="n">
        <v>8.699999999999999</v>
      </c>
      <c r="G655" t="n">
        <v>10.18822</v>
      </c>
      <c r="H655" t="n">
        <v>6.5</v>
      </c>
      <c r="I655" t="n">
        <v>7.4</v>
      </c>
      <c r="J655" t="n">
        <v>7.4</v>
      </c>
      <c r="K655" t="n">
        <v>9.699999999999999</v>
      </c>
      <c r="L655" t="n">
        <v>17.9</v>
      </c>
      <c r="M655" t="n">
        <v>13.3</v>
      </c>
      <c r="N655" t="n">
        <v>8.699999999999999</v>
      </c>
      <c r="O655" t="n">
        <v>9.199999999999999</v>
      </c>
      <c r="P655" t="n">
        <v>8.173311</v>
      </c>
      <c r="Q655" t="n">
        <v>7.9</v>
      </c>
      <c r="R655" t="n">
        <v>9.5</v>
      </c>
      <c r="S655" t="n">
        <v>9.4</v>
      </c>
      <c r="T655" t="n">
        <v>12.9</v>
      </c>
      <c r="U655" t="n">
        <v>7.9</v>
      </c>
      <c r="W655" t="n">
        <v>7.8</v>
      </c>
      <c r="X655" t="n">
        <v>5.2</v>
      </c>
      <c r="Y655" t="n">
        <v>3.9</v>
      </c>
      <c r="Z655" t="n">
        <v>5.3</v>
      </c>
      <c r="AA655" t="n">
        <v>17.9</v>
      </c>
      <c r="AB655" t="n">
        <v>5.386871</v>
      </c>
      <c r="AC655" t="n">
        <v>5.3</v>
      </c>
      <c r="AD655" t="n">
        <v>3.6</v>
      </c>
      <c r="AE655" t="n">
        <v>8.452092</v>
      </c>
      <c r="AF655" t="n">
        <v>8.1</v>
      </c>
      <c r="AG655" t="n">
        <v>11.3</v>
      </c>
      <c r="AH655" t="n">
        <v>12</v>
      </c>
      <c r="AI655" t="n">
        <v>5.9</v>
      </c>
      <c r="AJ655" t="n">
        <v>8.6</v>
      </c>
      <c r="AK655" t="n">
        <v>13.4</v>
      </c>
      <c r="AL655" t="n">
        <v>9.5</v>
      </c>
    </row>
    <row r="656">
      <c r="A656" s="78" t="n">
        <v>39995</v>
      </c>
      <c r="B656" t="n">
        <v>5.670556</v>
      </c>
      <c r="C656" t="n">
        <v>6.3</v>
      </c>
      <c r="D656" t="n">
        <v>8</v>
      </c>
      <c r="E656" t="n">
        <v>8.699999999999999</v>
      </c>
      <c r="G656" t="n">
        <v>10.1494</v>
      </c>
      <c r="H656" t="n">
        <v>7.1</v>
      </c>
      <c r="I656" t="n">
        <v>7.4</v>
      </c>
      <c r="J656" t="n">
        <v>5.8</v>
      </c>
      <c r="K656" t="n">
        <v>9.800000000000001</v>
      </c>
      <c r="L656" t="n">
        <v>18</v>
      </c>
      <c r="M656" t="n">
        <v>14.2</v>
      </c>
      <c r="N656" t="n">
        <v>8.5</v>
      </c>
      <c r="O656" t="n">
        <v>9.1</v>
      </c>
      <c r="P656" t="n">
        <v>8.193073999999999</v>
      </c>
      <c r="Q656" t="n">
        <v>7.9</v>
      </c>
      <c r="R656" t="n">
        <v>9.800000000000001</v>
      </c>
      <c r="S656" t="n">
        <v>9.800000000000001</v>
      </c>
      <c r="T656" t="n">
        <v>13</v>
      </c>
      <c r="U656" t="n">
        <v>7.9</v>
      </c>
      <c r="W656" t="n">
        <v>7.9</v>
      </c>
      <c r="X656" t="n">
        <v>5.5</v>
      </c>
      <c r="Y656" t="n">
        <v>3.8</v>
      </c>
      <c r="Z656" t="n">
        <v>5.1</v>
      </c>
      <c r="AA656" t="n">
        <v>18.8</v>
      </c>
      <c r="AB656" t="n">
        <v>5.730112</v>
      </c>
      <c r="AC656" t="n">
        <v>5.5</v>
      </c>
      <c r="AD656" t="n">
        <v>3.3</v>
      </c>
      <c r="AE656" t="n">
        <v>8.511642999999999</v>
      </c>
      <c r="AF656" t="n">
        <v>8.300000000000001</v>
      </c>
      <c r="AG656" t="n">
        <v>11.5</v>
      </c>
      <c r="AH656" t="n">
        <v>12.3</v>
      </c>
      <c r="AI656" t="n">
        <v>6.2</v>
      </c>
      <c r="AJ656" t="n">
        <v>8.6</v>
      </c>
      <c r="AK656" t="n">
        <v>13.1</v>
      </c>
      <c r="AL656" t="n">
        <v>9.5</v>
      </c>
    </row>
    <row r="657">
      <c r="A657" s="78" t="n">
        <v>40026</v>
      </c>
      <c r="B657" t="n">
        <v>5.714688</v>
      </c>
      <c r="C657" t="n">
        <v>5.8</v>
      </c>
      <c r="D657" t="n">
        <v>8</v>
      </c>
      <c r="E657" t="n">
        <v>8.6</v>
      </c>
      <c r="G657" t="n">
        <v>9.775608</v>
      </c>
      <c r="H657" t="n">
        <v>7.4</v>
      </c>
      <c r="I657" t="n">
        <v>7.4</v>
      </c>
      <c r="J657" t="n">
        <v>7.1</v>
      </c>
      <c r="K657" t="n">
        <v>9.800000000000001</v>
      </c>
      <c r="L657" t="n">
        <v>18.2</v>
      </c>
      <c r="M657" t="n">
        <v>14.5</v>
      </c>
      <c r="N657" t="n">
        <v>8.800000000000001</v>
      </c>
      <c r="O657" t="n">
        <v>9.199999999999999</v>
      </c>
      <c r="P657" t="n">
        <v>8.238739000000001</v>
      </c>
      <c r="Q657" t="n">
        <v>7.8</v>
      </c>
      <c r="R657" t="n">
        <v>9.800000000000001</v>
      </c>
      <c r="S657" t="n">
        <v>10</v>
      </c>
      <c r="T657" t="n">
        <v>13.2</v>
      </c>
      <c r="U657" t="n">
        <v>7.9</v>
      </c>
      <c r="W657" t="n">
        <v>7.9</v>
      </c>
      <c r="X657" t="n">
        <v>5.4</v>
      </c>
      <c r="Y657" t="n">
        <v>3.8</v>
      </c>
      <c r="Z657" t="n">
        <v>5.1</v>
      </c>
      <c r="AA657" t="n">
        <v>19.5</v>
      </c>
      <c r="AB657" t="n">
        <v>5.866194</v>
      </c>
      <c r="AC657" t="n">
        <v>5.6</v>
      </c>
      <c r="AD657" t="n">
        <v>3.6</v>
      </c>
      <c r="AE657" t="n">
        <v>8.573596999999999</v>
      </c>
      <c r="AF657" t="n">
        <v>8.4</v>
      </c>
      <c r="AG657" t="n">
        <v>11.7</v>
      </c>
      <c r="AH657" t="n">
        <v>12.6</v>
      </c>
      <c r="AI657" t="n">
        <v>6.3</v>
      </c>
      <c r="AJ657" t="n">
        <v>9</v>
      </c>
      <c r="AK657" t="n">
        <v>13.2</v>
      </c>
      <c r="AL657" t="n">
        <v>9.6</v>
      </c>
    </row>
    <row r="658">
      <c r="A658" s="78" t="n">
        <v>40057</v>
      </c>
      <c r="B658" t="n">
        <v>5.6608</v>
      </c>
      <c r="C658" t="n">
        <v>6.4</v>
      </c>
      <c r="D658" t="n">
        <v>8</v>
      </c>
      <c r="E658" t="n">
        <v>8.4</v>
      </c>
      <c r="G658" t="n">
        <v>9.553513000000001</v>
      </c>
      <c r="H658" t="n">
        <v>7.4</v>
      </c>
      <c r="I658" t="n">
        <v>7.3</v>
      </c>
      <c r="J658" t="n">
        <v>7.2</v>
      </c>
      <c r="K658" t="n">
        <v>10</v>
      </c>
      <c r="L658" t="n">
        <v>18.4</v>
      </c>
      <c r="M658" t="n">
        <v>14.2</v>
      </c>
      <c r="N658" t="n">
        <v>8.4</v>
      </c>
      <c r="O658" t="n">
        <v>9.300000000000001</v>
      </c>
      <c r="P658" t="n">
        <v>8.314498</v>
      </c>
      <c r="Q658" t="n">
        <v>7.9</v>
      </c>
      <c r="R658" t="n">
        <v>10.1</v>
      </c>
      <c r="S658" t="n">
        <v>10.3</v>
      </c>
      <c r="T658" t="n">
        <v>13.7</v>
      </c>
      <c r="U658" t="n">
        <v>8.1</v>
      </c>
      <c r="W658" t="n">
        <v>8.300000000000001</v>
      </c>
      <c r="X658" t="n">
        <v>5.4</v>
      </c>
      <c r="Y658" t="n">
        <v>3.6</v>
      </c>
      <c r="Z658" t="n">
        <v>5</v>
      </c>
      <c r="AA658" t="n">
        <v>19.9</v>
      </c>
      <c r="AB658" t="n">
        <v>5.985963</v>
      </c>
      <c r="AC658" t="n">
        <v>5.7</v>
      </c>
      <c r="AD658" t="n">
        <v>3.4</v>
      </c>
      <c r="AE658" t="n">
        <v>8.657037000000001</v>
      </c>
      <c r="AF658" t="n">
        <v>8.4</v>
      </c>
      <c r="AG658" t="n">
        <v>11.8</v>
      </c>
      <c r="AH658" t="n">
        <v>13.1</v>
      </c>
      <c r="AI658" t="n">
        <v>6.4</v>
      </c>
      <c r="AJ658" t="n">
        <v>9</v>
      </c>
      <c r="AK658" t="n">
        <v>12.9</v>
      </c>
      <c r="AL658" t="n">
        <v>9.800000000000001</v>
      </c>
    </row>
    <row r="659">
      <c r="A659" s="78" t="n">
        <v>40087</v>
      </c>
      <c r="B659" t="n">
        <v>5.622961</v>
      </c>
      <c r="C659" t="n">
        <v>5.8</v>
      </c>
      <c r="D659" t="n">
        <v>8</v>
      </c>
      <c r="E659" t="n">
        <v>8.5</v>
      </c>
      <c r="G659" t="n">
        <v>9.431993</v>
      </c>
      <c r="H659" t="n">
        <v>7.3</v>
      </c>
      <c r="I659" t="n">
        <v>7.2</v>
      </c>
      <c r="J659" t="n">
        <v>7</v>
      </c>
      <c r="K659" t="n">
        <v>10.1</v>
      </c>
      <c r="L659" t="n">
        <v>18.6</v>
      </c>
      <c r="M659" t="n">
        <v>15.2</v>
      </c>
      <c r="N659" t="n">
        <v>9.199999999999999</v>
      </c>
      <c r="O659" t="n">
        <v>9.5</v>
      </c>
      <c r="P659" t="n">
        <v>8.382382</v>
      </c>
      <c r="Q659" t="n">
        <v>7.8</v>
      </c>
      <c r="R659" t="n">
        <v>10.1</v>
      </c>
      <c r="S659" t="n">
        <v>10.1</v>
      </c>
      <c r="T659" t="n">
        <v>13.8</v>
      </c>
      <c r="U659" t="n">
        <v>8.199999999999999</v>
      </c>
      <c r="W659" t="n">
        <v>8.300000000000001</v>
      </c>
      <c r="X659" t="n">
        <v>5.2</v>
      </c>
      <c r="Y659" t="n">
        <v>3.6</v>
      </c>
      <c r="Z659" t="n">
        <v>5</v>
      </c>
      <c r="AA659" t="n">
        <v>20.2</v>
      </c>
      <c r="AB659" t="n">
        <v>5.807802</v>
      </c>
      <c r="AC659" t="n">
        <v>5.8</v>
      </c>
      <c r="AD659" t="n">
        <v>3.4</v>
      </c>
      <c r="AE659" t="n">
        <v>8.679477</v>
      </c>
      <c r="AF659" t="n">
        <v>8.4</v>
      </c>
      <c r="AG659" t="n">
        <v>11.8</v>
      </c>
      <c r="AH659" t="n">
        <v>13.4</v>
      </c>
      <c r="AI659" t="n">
        <v>6.4</v>
      </c>
      <c r="AJ659" t="n">
        <v>8.9</v>
      </c>
      <c r="AK659" t="n">
        <v>12.5</v>
      </c>
      <c r="AL659" t="n">
        <v>10</v>
      </c>
    </row>
    <row r="660">
      <c r="A660" s="78" t="n">
        <v>40118</v>
      </c>
      <c r="B660" t="n">
        <v>5.558143</v>
      </c>
      <c r="C660" t="n">
        <v>6.2</v>
      </c>
      <c r="D660" t="n">
        <v>8.1</v>
      </c>
      <c r="E660" t="n">
        <v>8.5</v>
      </c>
      <c r="G660" t="n">
        <v>9.363025</v>
      </c>
      <c r="H660" t="n">
        <v>7.4</v>
      </c>
      <c r="I660" t="n">
        <v>7.1</v>
      </c>
      <c r="J660" t="n">
        <v>7.3</v>
      </c>
      <c r="K660" t="n">
        <v>10.1</v>
      </c>
      <c r="L660" t="n">
        <v>18.7</v>
      </c>
      <c r="M660" t="n">
        <v>15.6</v>
      </c>
      <c r="N660" t="n">
        <v>9.5</v>
      </c>
      <c r="O660" t="n">
        <v>9.6</v>
      </c>
      <c r="P660" t="n">
        <v>8.352482</v>
      </c>
      <c r="Q660" t="n">
        <v>7.8</v>
      </c>
      <c r="R660" t="n">
        <v>10.7</v>
      </c>
      <c r="S660" t="n">
        <v>10.4</v>
      </c>
      <c r="T660" t="n">
        <v>13.8</v>
      </c>
      <c r="U660" t="n">
        <v>8.4</v>
      </c>
      <c r="W660" t="n">
        <v>8.4</v>
      </c>
      <c r="X660" t="n">
        <v>5.2</v>
      </c>
      <c r="Y660" t="n">
        <v>3.7</v>
      </c>
      <c r="Z660" t="n">
        <v>4.9</v>
      </c>
      <c r="AA660" t="n">
        <v>20.5</v>
      </c>
      <c r="AB660" t="n">
        <v>5.487687</v>
      </c>
      <c r="AC660" t="n">
        <v>5.9</v>
      </c>
      <c r="AD660" t="n">
        <v>3.7</v>
      </c>
      <c r="AE660" t="n">
        <v>8.647544999999999</v>
      </c>
      <c r="AF660" t="n">
        <v>8.699999999999999</v>
      </c>
      <c r="AG660" t="n">
        <v>11.8</v>
      </c>
      <c r="AH660" t="n">
        <v>13.8</v>
      </c>
      <c r="AI660" t="n">
        <v>6.5</v>
      </c>
      <c r="AJ660" t="n">
        <v>8.9</v>
      </c>
      <c r="AK660" t="n">
        <v>12.2</v>
      </c>
      <c r="AL660" t="n">
        <v>9.9</v>
      </c>
    </row>
    <row r="661">
      <c r="A661" s="78" t="n">
        <v>40148</v>
      </c>
      <c r="B661" t="n">
        <v>5.49057</v>
      </c>
      <c r="C661" t="n">
        <v>5.4</v>
      </c>
      <c r="D661" t="n">
        <v>8.4</v>
      </c>
      <c r="E661" t="n">
        <v>8.5</v>
      </c>
      <c r="G661" t="n">
        <v>9.306483</v>
      </c>
      <c r="H661" t="n">
        <v>7.4</v>
      </c>
      <c r="I661" t="n">
        <v>7.1</v>
      </c>
      <c r="J661" t="n">
        <v>7.5</v>
      </c>
      <c r="K661" t="n">
        <v>10.2</v>
      </c>
      <c r="L661" t="n">
        <v>18.9</v>
      </c>
      <c r="M661" t="n">
        <v>16.8</v>
      </c>
      <c r="N661" t="n">
        <v>8.5</v>
      </c>
      <c r="O661" t="n">
        <v>9.5</v>
      </c>
      <c r="P661" t="n">
        <v>8.315580000000001</v>
      </c>
      <c r="Q661" t="n">
        <v>7.7</v>
      </c>
      <c r="R661" t="n">
        <v>10.8</v>
      </c>
      <c r="S661" t="n">
        <v>10.3</v>
      </c>
      <c r="T661" t="n">
        <v>13.8</v>
      </c>
      <c r="U661" t="n">
        <v>8.4</v>
      </c>
      <c r="W661" t="n">
        <v>8.5</v>
      </c>
      <c r="X661" t="n">
        <v>5.2</v>
      </c>
      <c r="Y661" t="n">
        <v>3.6</v>
      </c>
      <c r="Z661" t="n">
        <v>4.8</v>
      </c>
      <c r="AA661" t="n">
        <v>20.7</v>
      </c>
      <c r="AB661" t="n">
        <v>5.343157</v>
      </c>
      <c r="AC661" t="n">
        <v>6.1</v>
      </c>
      <c r="AD661" t="n">
        <v>3.4</v>
      </c>
      <c r="AE661" t="n">
        <v>8.605848</v>
      </c>
      <c r="AF661" t="n">
        <v>9.1</v>
      </c>
      <c r="AG661" t="n">
        <v>11.9</v>
      </c>
      <c r="AH661" t="n">
        <v>14.2</v>
      </c>
      <c r="AI661" t="n">
        <v>6.4</v>
      </c>
      <c r="AJ661" t="n">
        <v>9.199999999999999</v>
      </c>
      <c r="AK661" t="n">
        <v>12</v>
      </c>
      <c r="AL661" t="n">
        <v>9.9</v>
      </c>
    </row>
    <row r="662">
      <c r="A662" s="78" t="n">
        <v>40179</v>
      </c>
      <c r="B662" t="n">
        <v>5.265793</v>
      </c>
      <c r="C662" t="n">
        <v>5.2</v>
      </c>
      <c r="D662" t="n">
        <v>8.699999999999999</v>
      </c>
      <c r="E662" t="n">
        <v>8.300000000000001</v>
      </c>
      <c r="G662" t="n">
        <v>9.044739999999999</v>
      </c>
      <c r="H662" t="n">
        <v>7.8</v>
      </c>
      <c r="I662" t="n">
        <v>7</v>
      </c>
      <c r="J662" t="n">
        <v>7.5</v>
      </c>
      <c r="K662" t="n">
        <v>10.2</v>
      </c>
      <c r="L662" t="n">
        <v>19.1</v>
      </c>
      <c r="M662" t="n">
        <v>17.8</v>
      </c>
      <c r="N662" t="n">
        <v>9.5</v>
      </c>
      <c r="O662" t="n">
        <v>9.5</v>
      </c>
      <c r="P662" t="n">
        <v>8.273955000000001</v>
      </c>
      <c r="Q662" t="n">
        <v>7.9</v>
      </c>
      <c r="R662" t="n">
        <v>11.1</v>
      </c>
      <c r="S662" t="n">
        <v>10.8</v>
      </c>
      <c r="T662" t="n">
        <v>13.8</v>
      </c>
      <c r="U662" t="n">
        <v>8.300000000000001</v>
      </c>
      <c r="W662" t="n">
        <v>8.6</v>
      </c>
      <c r="X662" t="n">
        <v>5</v>
      </c>
      <c r="Y662" t="n">
        <v>4.7</v>
      </c>
      <c r="Z662" t="n">
        <v>4.6</v>
      </c>
      <c r="AA662" t="n">
        <v>20.8</v>
      </c>
      <c r="AB662" t="n">
        <v>5.607752</v>
      </c>
      <c r="AC662" t="n">
        <v>6.2</v>
      </c>
      <c r="AD662" t="n">
        <v>3.8</v>
      </c>
      <c r="AE662" t="n">
        <v>8.713418000000001</v>
      </c>
      <c r="AF662" t="n">
        <v>10.2</v>
      </c>
      <c r="AG662" t="n">
        <v>11.9</v>
      </c>
      <c r="AH662" t="n">
        <v>15</v>
      </c>
      <c r="AI662" t="n">
        <v>6.5</v>
      </c>
      <c r="AJ662" t="n">
        <v>9.300000000000001</v>
      </c>
      <c r="AK662" t="n">
        <v>12.2</v>
      </c>
      <c r="AL662" t="n">
        <v>9.800000000000001</v>
      </c>
    </row>
    <row r="663">
      <c r="A663" s="78" t="n">
        <v>40210</v>
      </c>
      <c r="B663" t="n">
        <v>5.300981</v>
      </c>
      <c r="C663" t="n">
        <v>5.3</v>
      </c>
      <c r="D663" t="n">
        <v>8.699999999999999</v>
      </c>
      <c r="E663" t="n">
        <v>8.300000000000001</v>
      </c>
      <c r="G663" t="n">
        <v>9.353661000000001</v>
      </c>
      <c r="H663" t="n">
        <v>7.9</v>
      </c>
      <c r="I663" t="n">
        <v>7</v>
      </c>
      <c r="J663" t="n">
        <v>7.7</v>
      </c>
      <c r="K663" t="n">
        <v>10.3</v>
      </c>
      <c r="L663" t="n">
        <v>19.2</v>
      </c>
      <c r="M663" t="n">
        <v>18.8</v>
      </c>
      <c r="N663" t="n">
        <v>8.9</v>
      </c>
      <c r="O663" t="n">
        <v>9.4</v>
      </c>
      <c r="P663" t="n">
        <v>8.291191</v>
      </c>
      <c r="Q663" t="n">
        <v>8</v>
      </c>
      <c r="R663" t="n">
        <v>11.7</v>
      </c>
      <c r="S663" t="n">
        <v>11</v>
      </c>
      <c r="T663" t="n">
        <v>13.7</v>
      </c>
      <c r="U663" t="n">
        <v>8.300000000000001</v>
      </c>
      <c r="W663" t="n">
        <v>8.699999999999999</v>
      </c>
      <c r="X663" t="n">
        <v>5</v>
      </c>
      <c r="Y663" t="n">
        <v>4</v>
      </c>
      <c r="Z663" t="n">
        <v>4.7</v>
      </c>
      <c r="AA663" t="n">
        <v>20.5</v>
      </c>
      <c r="AB663" t="n">
        <v>5.381856</v>
      </c>
      <c r="AC663" t="n">
        <v>6.2</v>
      </c>
      <c r="AD663" t="n">
        <v>4</v>
      </c>
      <c r="AE663" t="n">
        <v>8.670636999999999</v>
      </c>
      <c r="AF663" t="n">
        <v>10.3</v>
      </c>
      <c r="AG663" t="n">
        <v>12.1</v>
      </c>
      <c r="AH663" t="n">
        <v>15</v>
      </c>
      <c r="AI663" t="n">
        <v>6.7</v>
      </c>
      <c r="AJ663" t="n">
        <v>9.1</v>
      </c>
      <c r="AK663" t="n">
        <v>12</v>
      </c>
      <c r="AL663" t="n">
        <v>9.800000000000001</v>
      </c>
    </row>
    <row r="664">
      <c r="A664" s="78" t="n">
        <v>40238</v>
      </c>
      <c r="B664" t="n">
        <v>5.42176</v>
      </c>
      <c r="C664" t="n">
        <v>5.6</v>
      </c>
      <c r="D664" t="n">
        <v>8.6</v>
      </c>
      <c r="E664" t="n">
        <v>8.300000000000001</v>
      </c>
      <c r="G664" t="n">
        <v>8.862199</v>
      </c>
      <c r="H664" t="n">
        <v>7.7</v>
      </c>
      <c r="I664" t="n">
        <v>6.9</v>
      </c>
      <c r="J664" t="n">
        <v>7.8</v>
      </c>
      <c r="K664" t="n">
        <v>10.3</v>
      </c>
      <c r="L664" t="n">
        <v>19.4</v>
      </c>
      <c r="M664" t="n">
        <v>19.2</v>
      </c>
      <c r="N664" t="n">
        <v>8.5</v>
      </c>
      <c r="O664" t="n">
        <v>9.300000000000001</v>
      </c>
      <c r="P664" t="n">
        <v>8.283101</v>
      </c>
      <c r="Q664" t="n">
        <v>8</v>
      </c>
      <c r="R664" t="n">
        <v>11.8</v>
      </c>
      <c r="S664" t="n">
        <v>11.1</v>
      </c>
      <c r="T664" t="n">
        <v>13.9</v>
      </c>
      <c r="U664" t="n">
        <v>8.4</v>
      </c>
      <c r="W664" t="n">
        <v>8.5</v>
      </c>
      <c r="X664" t="n">
        <v>5.1</v>
      </c>
      <c r="Y664" t="n">
        <v>3.6</v>
      </c>
      <c r="Z664" t="n">
        <v>4.6</v>
      </c>
      <c r="AA664" t="n">
        <v>20.4</v>
      </c>
      <c r="AB664" t="n">
        <v>5.169802</v>
      </c>
      <c r="AC664" t="n">
        <v>6.2</v>
      </c>
      <c r="AD664" t="n">
        <v>4.6</v>
      </c>
      <c r="AE664" t="n">
        <v>8.649186</v>
      </c>
      <c r="AF664" t="n">
        <v>10.2</v>
      </c>
      <c r="AG664" t="n">
        <v>12.2</v>
      </c>
      <c r="AH664" t="n">
        <v>14.9</v>
      </c>
      <c r="AI664" t="n">
        <v>7</v>
      </c>
      <c r="AJ664" t="n">
        <v>9</v>
      </c>
      <c r="AK664" t="n">
        <v>12</v>
      </c>
      <c r="AL664" t="n">
        <v>9.9</v>
      </c>
    </row>
    <row r="665">
      <c r="A665" s="78" t="n">
        <v>40269</v>
      </c>
      <c r="B665" t="n">
        <v>5.49749</v>
      </c>
      <c r="C665" t="n">
        <v>5.5</v>
      </c>
      <c r="D665" t="n">
        <v>8.5</v>
      </c>
      <c r="E665" t="n">
        <v>8.199999999999999</v>
      </c>
      <c r="G665" t="n">
        <v>8.807034</v>
      </c>
      <c r="H665" t="n">
        <v>7.4</v>
      </c>
      <c r="I665" t="n">
        <v>6.8</v>
      </c>
      <c r="J665" t="n">
        <v>7.7</v>
      </c>
      <c r="K665" t="n">
        <v>10.3</v>
      </c>
      <c r="L665" t="n">
        <v>19.8</v>
      </c>
      <c r="M665" t="n">
        <v>18.9</v>
      </c>
      <c r="N665" t="n">
        <v>8.6</v>
      </c>
      <c r="O665" t="n">
        <v>9.300000000000001</v>
      </c>
      <c r="P665" t="n">
        <v>8.306842</v>
      </c>
      <c r="Q665" t="n">
        <v>7.9</v>
      </c>
      <c r="R665" t="n">
        <v>12.1</v>
      </c>
      <c r="S665" t="n">
        <v>11</v>
      </c>
      <c r="T665" t="n">
        <v>14.2</v>
      </c>
      <c r="U665" t="n">
        <v>8.5</v>
      </c>
      <c r="W665" t="n">
        <v>8.800000000000001</v>
      </c>
      <c r="X665" t="n">
        <v>5.1</v>
      </c>
      <c r="Y665" t="n">
        <v>3.6</v>
      </c>
      <c r="Z665" t="n">
        <v>4.5</v>
      </c>
      <c r="AA665" t="n">
        <v>20.4</v>
      </c>
      <c r="AB665" t="n">
        <v>5.530637</v>
      </c>
      <c r="AC665" t="n">
        <v>6.1</v>
      </c>
      <c r="AD665" t="n">
        <v>3.9</v>
      </c>
      <c r="AE665" t="n">
        <v>8.697314</v>
      </c>
      <c r="AF665" t="n">
        <v>10.1</v>
      </c>
      <c r="AG665" t="n">
        <v>12.5</v>
      </c>
      <c r="AH665" t="n">
        <v>14.7</v>
      </c>
      <c r="AI665" t="n">
        <v>7.2</v>
      </c>
      <c r="AJ665" t="n">
        <v>9.5</v>
      </c>
      <c r="AK665" t="n">
        <v>11.5</v>
      </c>
      <c r="AL665" t="n">
        <v>9.9</v>
      </c>
    </row>
    <row r="666">
      <c r="A666" s="78" t="n">
        <v>40299</v>
      </c>
      <c r="B666" t="n">
        <v>5.227776</v>
      </c>
      <c r="C666" t="n">
        <v>5.3</v>
      </c>
      <c r="D666" t="n">
        <v>8.5</v>
      </c>
      <c r="E666" t="n">
        <v>8.1</v>
      </c>
      <c r="G666" t="n">
        <v>8.28922</v>
      </c>
      <c r="H666" t="n">
        <v>7.3</v>
      </c>
      <c r="I666" t="n">
        <v>6.7</v>
      </c>
      <c r="J666" t="n">
        <v>7.6</v>
      </c>
      <c r="K666" t="n">
        <v>10.3</v>
      </c>
      <c r="L666" t="n">
        <v>20</v>
      </c>
      <c r="M666" t="n">
        <v>18.1</v>
      </c>
      <c r="N666" t="n">
        <v>8.300000000000001</v>
      </c>
      <c r="O666" t="n">
        <v>9.300000000000001</v>
      </c>
      <c r="P666" t="n">
        <v>8.160777</v>
      </c>
      <c r="Q666" t="n">
        <v>7.9</v>
      </c>
      <c r="R666" t="n">
        <v>12.5</v>
      </c>
      <c r="S666" t="n">
        <v>11.1</v>
      </c>
      <c r="T666" t="n">
        <v>14.5</v>
      </c>
      <c r="U666" t="n">
        <v>8.5</v>
      </c>
      <c r="W666" t="n">
        <v>8.6</v>
      </c>
      <c r="X666" t="n">
        <v>5.1</v>
      </c>
      <c r="Y666" t="n">
        <v>3.2</v>
      </c>
      <c r="Z666" t="n">
        <v>4.4</v>
      </c>
      <c r="AA666" t="n">
        <v>20.1</v>
      </c>
      <c r="AB666" t="n">
        <v>5.430004</v>
      </c>
      <c r="AC666" t="n">
        <v>6.1</v>
      </c>
      <c r="AD666" t="n">
        <v>4</v>
      </c>
      <c r="AE666" t="n">
        <v>8.555361</v>
      </c>
      <c r="AF666" t="n">
        <v>10</v>
      </c>
      <c r="AG666" t="n">
        <v>12.6</v>
      </c>
      <c r="AH666" t="n">
        <v>14.6</v>
      </c>
      <c r="AI666" t="n">
        <v>7.3</v>
      </c>
      <c r="AJ666" t="n">
        <v>9</v>
      </c>
      <c r="AK666" t="n">
        <v>11.2</v>
      </c>
      <c r="AL666" t="n">
        <v>9.6</v>
      </c>
    </row>
    <row r="667">
      <c r="A667" s="78" t="n">
        <v>40330</v>
      </c>
      <c r="B667" t="n">
        <v>5.14421</v>
      </c>
      <c r="C667" t="n">
        <v>5.3</v>
      </c>
      <c r="D667" t="n">
        <v>8.5</v>
      </c>
      <c r="E667" t="n">
        <v>8</v>
      </c>
      <c r="G667" t="n">
        <v>8.080935</v>
      </c>
      <c r="H667" t="n">
        <v>7.2</v>
      </c>
      <c r="I667" t="n">
        <v>6.5</v>
      </c>
      <c r="J667" t="n">
        <v>8</v>
      </c>
      <c r="K667" t="n">
        <v>10.3</v>
      </c>
      <c r="L667" t="n">
        <v>20</v>
      </c>
      <c r="M667" t="n">
        <v>17.2</v>
      </c>
      <c r="N667" t="n">
        <v>8.699999999999999</v>
      </c>
      <c r="O667" t="n">
        <v>9.199999999999999</v>
      </c>
      <c r="P667" t="n">
        <v>8.029399</v>
      </c>
      <c r="Q667" t="n">
        <v>7.8</v>
      </c>
      <c r="R667" t="n">
        <v>12.7</v>
      </c>
      <c r="S667" t="n">
        <v>10.6</v>
      </c>
      <c r="T667" t="n">
        <v>14.4</v>
      </c>
      <c r="U667" t="n">
        <v>8.5</v>
      </c>
      <c r="W667" t="n">
        <v>8.5</v>
      </c>
      <c r="X667" t="n">
        <v>5.2</v>
      </c>
      <c r="Y667" t="n">
        <v>3.5</v>
      </c>
      <c r="Z667" t="n">
        <v>4.5</v>
      </c>
      <c r="AA667" t="n">
        <v>19.7</v>
      </c>
      <c r="AB667" t="n">
        <v>5.218977</v>
      </c>
      <c r="AC667" t="n">
        <v>6.2</v>
      </c>
      <c r="AD667" t="n">
        <v>4.3</v>
      </c>
      <c r="AE667" t="n">
        <v>8.457533</v>
      </c>
      <c r="AF667" t="n">
        <v>9.9</v>
      </c>
      <c r="AG667" t="n">
        <v>12.9</v>
      </c>
      <c r="AH667" t="n">
        <v>14.4</v>
      </c>
      <c r="AI667" t="n">
        <v>7.3</v>
      </c>
      <c r="AJ667" t="n">
        <v>8.4</v>
      </c>
      <c r="AK667" t="n">
        <v>10.9</v>
      </c>
      <c r="AL667" t="n">
        <v>9.4</v>
      </c>
    </row>
    <row r="668">
      <c r="A668" s="78" t="n">
        <v>40360</v>
      </c>
      <c r="B668" t="n">
        <v>5.284995</v>
      </c>
      <c r="C668" t="n">
        <v>5.4</v>
      </c>
      <c r="D668" t="n">
        <v>8.6</v>
      </c>
      <c r="E668" t="n">
        <v>8</v>
      </c>
      <c r="G668" t="n">
        <v>7.986083</v>
      </c>
      <c r="H668" t="n">
        <v>7.3</v>
      </c>
      <c r="I668" t="n">
        <v>6.4</v>
      </c>
      <c r="J668" t="n">
        <v>7.7</v>
      </c>
      <c r="K668" t="n">
        <v>10.2</v>
      </c>
      <c r="L668" t="n">
        <v>19.9</v>
      </c>
      <c r="M668" t="n">
        <v>15.8</v>
      </c>
      <c r="N668" t="n">
        <v>8.6</v>
      </c>
      <c r="O668" t="n">
        <v>9.199999999999999</v>
      </c>
      <c r="P668" t="n">
        <v>7.992464</v>
      </c>
      <c r="Q668" t="n">
        <v>7.8</v>
      </c>
      <c r="R668" t="n">
        <v>13.1</v>
      </c>
      <c r="S668" t="n">
        <v>10.6</v>
      </c>
      <c r="T668" t="n">
        <v>14.3</v>
      </c>
      <c r="U668" t="n">
        <v>8.4</v>
      </c>
      <c r="W668" t="n">
        <v>8.4</v>
      </c>
      <c r="X668" t="n">
        <v>5</v>
      </c>
      <c r="Y668" t="n">
        <v>3.8</v>
      </c>
      <c r="Z668" t="n">
        <v>4.4</v>
      </c>
      <c r="AA668" t="n">
        <v>19.2</v>
      </c>
      <c r="AB668" t="n">
        <v>5.341397</v>
      </c>
      <c r="AC668" t="n">
        <v>6.2</v>
      </c>
      <c r="AD668" t="n">
        <v>3.6</v>
      </c>
      <c r="AE668" t="n">
        <v>8.442767</v>
      </c>
      <c r="AF668" t="n">
        <v>9.9</v>
      </c>
      <c r="AG668" t="n">
        <v>12.9</v>
      </c>
      <c r="AH668" t="n">
        <v>14.3</v>
      </c>
      <c r="AI668" t="n">
        <v>7.2</v>
      </c>
      <c r="AJ668" t="n">
        <v>8.9</v>
      </c>
      <c r="AK668" t="n">
        <v>10.7</v>
      </c>
      <c r="AL668" t="n">
        <v>9.4</v>
      </c>
    </row>
    <row r="669">
      <c r="A669" s="78" t="n">
        <v>40391</v>
      </c>
      <c r="B669" t="n">
        <v>5.032619</v>
      </c>
      <c r="C669" t="n">
        <v>5</v>
      </c>
      <c r="D669" t="n">
        <v>8.4</v>
      </c>
      <c r="E669" t="n">
        <v>8.1</v>
      </c>
      <c r="G669" t="n">
        <v>7.781086</v>
      </c>
      <c r="H669" t="n">
        <v>7.1</v>
      </c>
      <c r="I669" t="n">
        <v>6.4</v>
      </c>
      <c r="J669" t="n">
        <v>7.6</v>
      </c>
      <c r="K669" t="n">
        <v>10.2</v>
      </c>
      <c r="L669" t="n">
        <v>20</v>
      </c>
      <c r="M669" t="n">
        <v>15.4</v>
      </c>
      <c r="N669" t="n">
        <v>8.5</v>
      </c>
      <c r="O669" t="n">
        <v>9.199999999999999</v>
      </c>
      <c r="P669" t="n">
        <v>8.016876999999999</v>
      </c>
      <c r="Q669" t="n">
        <v>7.8</v>
      </c>
      <c r="R669" t="n">
        <v>13</v>
      </c>
      <c r="S669" t="n">
        <v>10.9</v>
      </c>
      <c r="T669" t="n">
        <v>14.4</v>
      </c>
      <c r="U669" t="n">
        <v>8.300000000000001</v>
      </c>
      <c r="W669" t="n">
        <v>8.199999999999999</v>
      </c>
      <c r="X669" t="n">
        <v>5.1</v>
      </c>
      <c r="Y669" t="n">
        <v>3.5</v>
      </c>
      <c r="Z669" t="n">
        <v>4.4</v>
      </c>
      <c r="AA669" t="n">
        <v>19.1</v>
      </c>
      <c r="AB669" t="n">
        <v>5.090004</v>
      </c>
      <c r="AC669" t="n">
        <v>6.1</v>
      </c>
      <c r="AD669" t="n">
        <v>3.8</v>
      </c>
      <c r="AE669" t="n">
        <v>8.401840999999999</v>
      </c>
      <c r="AF669" t="n">
        <v>9.800000000000001</v>
      </c>
      <c r="AG669" t="n">
        <v>12.9</v>
      </c>
      <c r="AH669" t="n">
        <v>14.2</v>
      </c>
      <c r="AI669" t="n">
        <v>7.3</v>
      </c>
      <c r="AJ669" t="n">
        <v>8.6</v>
      </c>
      <c r="AK669" t="n">
        <v>11</v>
      </c>
      <c r="AL669" t="n">
        <v>9.5</v>
      </c>
    </row>
    <row r="670">
      <c r="A670" s="78" t="n">
        <v>40422</v>
      </c>
      <c r="B670" t="n">
        <v>5.053939</v>
      </c>
      <c r="C670" t="n">
        <v>5.1</v>
      </c>
      <c r="D670" t="n">
        <v>8.300000000000001</v>
      </c>
      <c r="E670" t="n">
        <v>8.199999999999999</v>
      </c>
      <c r="G670" t="n">
        <v>7.682634</v>
      </c>
      <c r="H670" t="n">
        <v>6.9</v>
      </c>
      <c r="I670" t="n">
        <v>6.3</v>
      </c>
      <c r="J670" t="n">
        <v>7.6</v>
      </c>
      <c r="K670" t="n">
        <v>10.2</v>
      </c>
      <c r="L670" t="n">
        <v>20.1</v>
      </c>
      <c r="M670" t="n">
        <v>14.9</v>
      </c>
      <c r="N670" t="n">
        <v>8.1</v>
      </c>
      <c r="O670" t="n">
        <v>9.199999999999999</v>
      </c>
      <c r="P670" t="n">
        <v>8.023540000000001</v>
      </c>
      <c r="Q670" t="n">
        <v>7.9</v>
      </c>
      <c r="R670" t="n">
        <v>13.6</v>
      </c>
      <c r="S670" t="n">
        <v>10.5</v>
      </c>
      <c r="T670" t="n">
        <v>15</v>
      </c>
      <c r="U670" t="n">
        <v>8.4</v>
      </c>
      <c r="W670" t="n">
        <v>8.4</v>
      </c>
      <c r="X670" t="n">
        <v>5.1</v>
      </c>
      <c r="Y670" t="n">
        <v>3.8</v>
      </c>
      <c r="Z670" t="n">
        <v>4.5</v>
      </c>
      <c r="AA670" t="n">
        <v>18.9</v>
      </c>
      <c r="AB670" t="n">
        <v>5.301597</v>
      </c>
      <c r="AC670" t="n">
        <v>6</v>
      </c>
      <c r="AD670" t="n">
        <v>3.9</v>
      </c>
      <c r="AE670" t="n">
        <v>8.417011</v>
      </c>
      <c r="AF670" t="n">
        <v>9.800000000000001</v>
      </c>
      <c r="AG670" t="n">
        <v>12.8</v>
      </c>
      <c r="AH670" t="n">
        <v>14.2</v>
      </c>
      <c r="AI670" t="n">
        <v>7.3</v>
      </c>
      <c r="AJ670" t="n">
        <v>8.6</v>
      </c>
      <c r="AK670" t="n">
        <v>10.9</v>
      </c>
      <c r="AL670" t="n">
        <v>9.5</v>
      </c>
    </row>
    <row r="671">
      <c r="A671" s="78" t="n">
        <v>40452</v>
      </c>
      <c r="B671" t="n">
        <v>5.284306</v>
      </c>
      <c r="C671" t="n">
        <v>5.3</v>
      </c>
      <c r="D671" t="n">
        <v>8.1</v>
      </c>
      <c r="E671" t="n">
        <v>8</v>
      </c>
      <c r="G671" t="n">
        <v>7.477266</v>
      </c>
      <c r="H671" t="n">
        <v>7.1</v>
      </c>
      <c r="I671" t="n">
        <v>6.3</v>
      </c>
      <c r="J671" t="n">
        <v>8.1</v>
      </c>
      <c r="K671" t="n">
        <v>10.2</v>
      </c>
      <c r="L671" t="n">
        <v>20.1</v>
      </c>
      <c r="M671" t="n">
        <v>14.6</v>
      </c>
      <c r="N671" t="n">
        <v>8.300000000000001</v>
      </c>
      <c r="O671" t="n">
        <v>9.199999999999999</v>
      </c>
      <c r="P671" t="n">
        <v>8.010259</v>
      </c>
      <c r="Q671" t="n">
        <v>7.9</v>
      </c>
      <c r="R671" t="n">
        <v>14.3</v>
      </c>
      <c r="S671" t="n">
        <v>10.4</v>
      </c>
      <c r="T671" t="n">
        <v>15.6</v>
      </c>
      <c r="U671" t="n">
        <v>8.6</v>
      </c>
      <c r="W671" t="n">
        <v>8.6</v>
      </c>
      <c r="X671" t="n">
        <v>5.1</v>
      </c>
      <c r="Y671" t="n">
        <v>3.7</v>
      </c>
      <c r="Z671" t="n">
        <v>4.6</v>
      </c>
      <c r="AA671" t="n">
        <v>18.6</v>
      </c>
      <c r="AB671" t="n">
        <v>5.53197</v>
      </c>
      <c r="AC671" t="n">
        <v>6</v>
      </c>
      <c r="AD671" t="n">
        <v>3.8</v>
      </c>
      <c r="AE671" t="n">
        <v>8.436491999999999</v>
      </c>
      <c r="AF671" t="n">
        <v>9.800000000000001</v>
      </c>
      <c r="AG671" t="n">
        <v>12.6</v>
      </c>
      <c r="AH671" t="n">
        <v>14</v>
      </c>
      <c r="AI671" t="n">
        <v>7.6</v>
      </c>
      <c r="AJ671" t="n">
        <v>8.5</v>
      </c>
      <c r="AK671" t="n">
        <v>10.7</v>
      </c>
      <c r="AL671" t="n">
        <v>9.4</v>
      </c>
    </row>
    <row r="672">
      <c r="A672" s="78" t="n">
        <v>40483</v>
      </c>
      <c r="B672" t="n">
        <v>5.108926</v>
      </c>
      <c r="C672" t="n">
        <v>4.6</v>
      </c>
      <c r="D672" t="n">
        <v>7.9</v>
      </c>
      <c r="E672" t="n">
        <v>7.7</v>
      </c>
      <c r="G672" t="n">
        <v>7.804437</v>
      </c>
      <c r="H672" t="n">
        <v>7</v>
      </c>
      <c r="I672" t="n">
        <v>6.2</v>
      </c>
      <c r="J672" t="n">
        <v>7.5</v>
      </c>
      <c r="K672" t="n">
        <v>10.2</v>
      </c>
      <c r="L672" t="n">
        <v>20.2</v>
      </c>
      <c r="M672" t="n">
        <v>13.7</v>
      </c>
      <c r="N672" t="n">
        <v>8.1</v>
      </c>
      <c r="O672" t="n">
        <v>9.199999999999999</v>
      </c>
      <c r="P672" t="n">
        <v>8.102952999999999</v>
      </c>
      <c r="Q672" t="n">
        <v>7.9</v>
      </c>
      <c r="R672" t="n">
        <v>14.2</v>
      </c>
      <c r="S672" t="n">
        <v>10.9</v>
      </c>
      <c r="T672" t="n">
        <v>15.7</v>
      </c>
      <c r="U672" t="n">
        <v>8.699999999999999</v>
      </c>
      <c r="W672" t="n">
        <v>8.300000000000001</v>
      </c>
      <c r="X672" t="n">
        <v>5</v>
      </c>
      <c r="Y672" t="n">
        <v>3.3</v>
      </c>
      <c r="Z672" t="n">
        <v>4.8</v>
      </c>
      <c r="AA672" t="n">
        <v>18.2</v>
      </c>
      <c r="AB672" t="n">
        <v>5.487519</v>
      </c>
      <c r="AC672" t="n">
        <v>5.9</v>
      </c>
      <c r="AD672" t="n">
        <v>3.4</v>
      </c>
      <c r="AE672" t="n">
        <v>8.466198</v>
      </c>
      <c r="AF672" t="n">
        <v>9.800000000000001</v>
      </c>
      <c r="AG672" t="n">
        <v>12.8</v>
      </c>
      <c r="AH672" t="n">
        <v>13.9</v>
      </c>
      <c r="AI672" t="n">
        <v>7.7</v>
      </c>
      <c r="AJ672" t="n">
        <v>8.199999999999999</v>
      </c>
      <c r="AK672" t="n">
        <v>10.2</v>
      </c>
      <c r="AL672" t="n">
        <v>9.800000000000001</v>
      </c>
    </row>
    <row r="673">
      <c r="A673" s="78" t="n">
        <v>40513</v>
      </c>
      <c r="B673" t="n">
        <v>4.876497</v>
      </c>
      <c r="C673" t="n">
        <v>4.7</v>
      </c>
      <c r="D673" t="n">
        <v>7.7</v>
      </c>
      <c r="E673" t="n">
        <v>7.7</v>
      </c>
      <c r="G673" t="n">
        <v>7.946177</v>
      </c>
      <c r="H673" t="n">
        <v>6.9</v>
      </c>
      <c r="I673" t="n">
        <v>6.1</v>
      </c>
      <c r="J673" t="n">
        <v>8.199999999999999</v>
      </c>
      <c r="K673" t="n">
        <v>10.2</v>
      </c>
      <c r="L673" t="n">
        <v>20.4</v>
      </c>
      <c r="M673" t="n">
        <v>14.2</v>
      </c>
      <c r="N673" t="n">
        <v>8.6</v>
      </c>
      <c r="O673" t="n">
        <v>9.199999999999999</v>
      </c>
      <c r="P673" t="n">
        <v>7.868406</v>
      </c>
      <c r="Q673" t="n">
        <v>7.9</v>
      </c>
      <c r="R673" t="n">
        <v>14.9</v>
      </c>
      <c r="S673" t="n">
        <v>10.8</v>
      </c>
      <c r="T673" t="n">
        <v>15.6</v>
      </c>
      <c r="U673" t="n">
        <v>8.699999999999999</v>
      </c>
      <c r="W673" t="n">
        <v>8.199999999999999</v>
      </c>
      <c r="X673" t="n">
        <v>4.9</v>
      </c>
      <c r="Y673" t="n">
        <v>3.7</v>
      </c>
      <c r="Z673" t="n">
        <v>4.8</v>
      </c>
      <c r="AA673" t="n">
        <v>17.7</v>
      </c>
      <c r="AB673" t="n">
        <v>5.481957</v>
      </c>
      <c r="AC673" t="n">
        <v>5.9</v>
      </c>
      <c r="AD673" t="n">
        <v>4.1</v>
      </c>
      <c r="AE673" t="n">
        <v>8.345561</v>
      </c>
      <c r="AF673" t="n">
        <v>9.800000000000001</v>
      </c>
      <c r="AG673" t="n">
        <v>12.8</v>
      </c>
      <c r="AH673" t="n">
        <v>13.8</v>
      </c>
      <c r="AI673" t="n">
        <v>8</v>
      </c>
      <c r="AJ673" t="n">
        <v>8.199999999999999</v>
      </c>
      <c r="AK673" t="n">
        <v>10.1</v>
      </c>
      <c r="AL673" t="n">
        <v>9.300000000000001</v>
      </c>
    </row>
    <row r="674">
      <c r="A674" s="78" t="n">
        <v>40544</v>
      </c>
      <c r="B674" t="n">
        <v>5.003824</v>
      </c>
      <c r="C674" t="n">
        <v>5</v>
      </c>
      <c r="D674" t="n">
        <v>7.3</v>
      </c>
      <c r="E674" t="n">
        <v>7.8</v>
      </c>
      <c r="G674" t="n">
        <v>7.840781</v>
      </c>
      <c r="H674" t="n">
        <v>7</v>
      </c>
      <c r="I674" t="n">
        <v>6</v>
      </c>
      <c r="J674" t="n">
        <v>8</v>
      </c>
      <c r="K674" t="n">
        <v>10.1</v>
      </c>
      <c r="L674" t="n">
        <v>20.4</v>
      </c>
      <c r="M674" t="n">
        <v>14.5</v>
      </c>
      <c r="N674" t="n">
        <v>8.300000000000001</v>
      </c>
      <c r="O674" t="n">
        <v>9.199999999999999</v>
      </c>
      <c r="P674" t="n">
        <v>7.759912</v>
      </c>
      <c r="Q674" t="n">
        <v>7.8</v>
      </c>
      <c r="R674" t="n">
        <v>15.4</v>
      </c>
      <c r="S674" t="n">
        <v>10.8</v>
      </c>
      <c r="T674" t="n">
        <v>15.4</v>
      </c>
      <c r="U674" t="n">
        <v>8.5</v>
      </c>
      <c r="W674" t="n">
        <v>8.199999999999999</v>
      </c>
      <c r="X674" t="n">
        <v>4.8</v>
      </c>
      <c r="Y674" t="n">
        <v>3.5</v>
      </c>
      <c r="Z674" t="n">
        <v>4.7</v>
      </c>
      <c r="AA674" t="n">
        <v>17.2</v>
      </c>
      <c r="AB674" t="n">
        <v>5.204813</v>
      </c>
      <c r="AC674" t="n">
        <v>5.8</v>
      </c>
      <c r="AD674" t="n">
        <v>3.2</v>
      </c>
      <c r="AE674" t="n">
        <v>8.217979</v>
      </c>
      <c r="AF674" t="n">
        <v>9.699999999999999</v>
      </c>
      <c r="AG674" t="n">
        <v>12.8</v>
      </c>
      <c r="AH674" t="n">
        <v>13.8</v>
      </c>
      <c r="AI674" t="n">
        <v>8</v>
      </c>
      <c r="AJ674" t="n">
        <v>8.199999999999999</v>
      </c>
      <c r="AK674" t="n">
        <v>9.9</v>
      </c>
      <c r="AL674" t="n">
        <v>9.1</v>
      </c>
    </row>
    <row r="675">
      <c r="A675" s="78" t="n">
        <v>40575</v>
      </c>
      <c r="B675" t="n">
        <v>4.975478</v>
      </c>
      <c r="C675" t="n">
        <v>5.6</v>
      </c>
      <c r="D675" t="n">
        <v>7.1</v>
      </c>
      <c r="E675" t="n">
        <v>7.7</v>
      </c>
      <c r="G675" t="n">
        <v>7.613385</v>
      </c>
      <c r="H675" t="n">
        <v>7.1</v>
      </c>
      <c r="I675" t="n">
        <v>5.9</v>
      </c>
      <c r="J675" t="n">
        <v>7.8</v>
      </c>
      <c r="K675" t="n">
        <v>10.1</v>
      </c>
      <c r="L675" t="n">
        <v>20.5</v>
      </c>
      <c r="M675" t="n">
        <v>13.9</v>
      </c>
      <c r="N675" t="n">
        <v>8.1</v>
      </c>
      <c r="O675" t="n">
        <v>9.199999999999999</v>
      </c>
      <c r="P675" t="n">
        <v>7.667742</v>
      </c>
      <c r="Q675" t="n">
        <v>7.8</v>
      </c>
      <c r="R675" t="n">
        <v>15.6</v>
      </c>
      <c r="S675" t="n">
        <v>11.3</v>
      </c>
      <c r="T675" t="n">
        <v>15.1</v>
      </c>
      <c r="U675" t="n">
        <v>8.4</v>
      </c>
      <c r="W675" t="n">
        <v>8.199999999999999</v>
      </c>
      <c r="X675" t="n">
        <v>4.7</v>
      </c>
      <c r="Y675" t="n">
        <v>3.7</v>
      </c>
      <c r="Z675" t="n">
        <v>4.7</v>
      </c>
      <c r="AA675" t="n">
        <v>17</v>
      </c>
      <c r="AB675" t="n">
        <v>5.341319</v>
      </c>
      <c r="AC675" t="n">
        <v>5.9</v>
      </c>
      <c r="AD675" t="n">
        <v>3.4</v>
      </c>
      <c r="AE675" t="n">
        <v>8.177685</v>
      </c>
      <c r="AF675" t="n">
        <v>9.699999999999999</v>
      </c>
      <c r="AG675" t="n">
        <v>12.9</v>
      </c>
      <c r="AH675" t="n">
        <v>13.8</v>
      </c>
      <c r="AI675" t="n">
        <v>8</v>
      </c>
      <c r="AJ675" t="n">
        <v>7.9</v>
      </c>
      <c r="AK675" t="n">
        <v>9.6</v>
      </c>
      <c r="AL675" t="n">
        <v>9</v>
      </c>
    </row>
    <row r="676">
      <c r="A676" s="78" t="n">
        <v>40603</v>
      </c>
      <c r="B676" t="n">
        <v>4.925364</v>
      </c>
      <c r="C676" t="n">
        <v>4.8</v>
      </c>
      <c r="D676" t="n">
        <v>7</v>
      </c>
      <c r="E676" t="n">
        <v>7.7</v>
      </c>
      <c r="G676" t="n">
        <v>7.216424</v>
      </c>
      <c r="H676" t="n">
        <v>6.7</v>
      </c>
      <c r="I676" t="n">
        <v>5.7</v>
      </c>
      <c r="J676" t="n">
        <v>7.9</v>
      </c>
      <c r="K676" t="n">
        <v>10.1</v>
      </c>
      <c r="L676" t="n">
        <v>20.6</v>
      </c>
      <c r="M676" t="n">
        <v>13.7</v>
      </c>
      <c r="N676" t="n">
        <v>8.9</v>
      </c>
      <c r="O676" t="n">
        <v>9.1</v>
      </c>
      <c r="P676" t="n">
        <v>7.608794</v>
      </c>
      <c r="Q676" t="n">
        <v>7.7</v>
      </c>
      <c r="R676" t="n">
        <v>16.4</v>
      </c>
      <c r="S676" t="n">
        <v>10.8</v>
      </c>
      <c r="T676" t="n">
        <v>14.9</v>
      </c>
      <c r="U676" t="n">
        <v>8.199999999999999</v>
      </c>
      <c r="W676" t="n">
        <v>8.199999999999999</v>
      </c>
      <c r="X676" t="n">
        <v>4.7</v>
      </c>
      <c r="Y676" t="n">
        <v>3.8</v>
      </c>
      <c r="Z676" t="n">
        <v>4.7</v>
      </c>
      <c r="AA676" t="n">
        <v>16.9</v>
      </c>
      <c r="AB676" t="n">
        <v>4.971592</v>
      </c>
      <c r="AC676" t="n">
        <v>5.7</v>
      </c>
      <c r="AD676" t="n">
        <v>3.8</v>
      </c>
      <c r="AE676" t="n">
        <v>8.073719000000001</v>
      </c>
      <c r="AF676" t="n">
        <v>9.699999999999999</v>
      </c>
      <c r="AG676" t="n">
        <v>13.1</v>
      </c>
      <c r="AH676" t="n">
        <v>13.7</v>
      </c>
      <c r="AI676" t="n">
        <v>8.1</v>
      </c>
      <c r="AJ676" t="n">
        <v>8.1</v>
      </c>
      <c r="AK676" t="n">
        <v>9.5</v>
      </c>
      <c r="AL676" t="n">
        <v>9</v>
      </c>
    </row>
    <row r="677">
      <c r="A677" s="78" t="n">
        <v>40634</v>
      </c>
      <c r="B677" t="n">
        <v>4.957941</v>
      </c>
      <c r="C677" t="n">
        <v>4.9</v>
      </c>
      <c r="D677" t="n">
        <v>6.9</v>
      </c>
      <c r="E677" t="n">
        <v>7.7</v>
      </c>
      <c r="G677" t="n">
        <v>7.057406</v>
      </c>
      <c r="H677" t="n">
        <v>6.9</v>
      </c>
      <c r="I677" t="n">
        <v>5.6</v>
      </c>
      <c r="J677" t="n">
        <v>7.3</v>
      </c>
      <c r="K677" t="n">
        <v>10</v>
      </c>
      <c r="L677" t="n">
        <v>20.5</v>
      </c>
      <c r="M677" t="n">
        <v>12.9</v>
      </c>
      <c r="N677" t="n">
        <v>7.6</v>
      </c>
      <c r="O677" t="n">
        <v>9.1</v>
      </c>
      <c r="P677" t="n">
        <v>7.644709</v>
      </c>
      <c r="Q677" t="n">
        <v>7.8</v>
      </c>
      <c r="R677" t="n">
        <v>16.7</v>
      </c>
      <c r="S677" t="n">
        <v>10.5</v>
      </c>
      <c r="T677" t="n">
        <v>14.9</v>
      </c>
      <c r="U677" t="n">
        <v>8.1</v>
      </c>
      <c r="W677" t="n">
        <v>8</v>
      </c>
      <c r="X677" t="n">
        <v>4.7</v>
      </c>
      <c r="Y677" t="n">
        <v>3.5</v>
      </c>
      <c r="Z677" t="n">
        <v>4.7</v>
      </c>
      <c r="AA677" t="n">
        <v>17.1</v>
      </c>
      <c r="AB677" t="n">
        <v>5.243321</v>
      </c>
      <c r="AC677" t="n">
        <v>5.8</v>
      </c>
      <c r="AD677" t="n">
        <v>3.8</v>
      </c>
      <c r="AE677" t="n">
        <v>8.09573</v>
      </c>
      <c r="AF677" t="n">
        <v>9.9</v>
      </c>
      <c r="AG677" t="n">
        <v>13</v>
      </c>
      <c r="AH677" t="n">
        <v>13.7</v>
      </c>
      <c r="AI677" t="n">
        <v>8</v>
      </c>
      <c r="AJ677" t="n">
        <v>7.8</v>
      </c>
      <c r="AK677" t="n">
        <v>9.5</v>
      </c>
      <c r="AL677" t="n">
        <v>9.1</v>
      </c>
    </row>
    <row r="678">
      <c r="A678" s="78" t="n">
        <v>40664</v>
      </c>
      <c r="B678" t="n">
        <v>5.011341</v>
      </c>
      <c r="C678" t="n">
        <v>5.1</v>
      </c>
      <c r="D678" t="n">
        <v>7</v>
      </c>
      <c r="E678" t="n">
        <v>7.6</v>
      </c>
      <c r="G678" t="n">
        <v>6.916495</v>
      </c>
      <c r="H678" t="n">
        <v>6.9</v>
      </c>
      <c r="I678" t="n">
        <v>5.6</v>
      </c>
      <c r="J678" t="n">
        <v>7.8</v>
      </c>
      <c r="K678" t="n">
        <v>10.1</v>
      </c>
      <c r="L678" t="n">
        <v>20.6</v>
      </c>
      <c r="M678" t="n">
        <v>12.8</v>
      </c>
      <c r="N678" t="n">
        <v>7.7</v>
      </c>
      <c r="O678" t="n">
        <v>9.1</v>
      </c>
      <c r="P678" t="n">
        <v>7.639673</v>
      </c>
      <c r="Q678" t="n">
        <v>7.9</v>
      </c>
      <c r="R678" t="n">
        <v>16.9</v>
      </c>
      <c r="S678" t="n">
        <v>10.7</v>
      </c>
      <c r="T678" t="n">
        <v>15</v>
      </c>
      <c r="U678" t="n">
        <v>8</v>
      </c>
      <c r="W678" t="n">
        <v>8.300000000000001</v>
      </c>
      <c r="X678" t="n">
        <v>4.6</v>
      </c>
      <c r="Y678" t="n">
        <v>3.3</v>
      </c>
      <c r="Z678" t="n">
        <v>4.8</v>
      </c>
      <c r="AA678" t="n">
        <v>17</v>
      </c>
      <c r="AB678" t="n">
        <v>5.450353</v>
      </c>
      <c r="AC678" t="n">
        <v>5.8</v>
      </c>
      <c r="AD678" t="n">
        <v>3.5</v>
      </c>
      <c r="AE678" t="n">
        <v>8.122247</v>
      </c>
      <c r="AF678" t="n">
        <v>9.9</v>
      </c>
      <c r="AG678" t="n">
        <v>13.1</v>
      </c>
      <c r="AH678" t="n">
        <v>13.6</v>
      </c>
      <c r="AI678" t="n">
        <v>7.9</v>
      </c>
      <c r="AJ678" t="n">
        <v>8</v>
      </c>
      <c r="AK678" t="n">
        <v>9.6</v>
      </c>
      <c r="AL678" t="n">
        <v>9</v>
      </c>
    </row>
    <row r="679">
      <c r="A679" s="78" t="n">
        <v>40695</v>
      </c>
      <c r="B679" t="n">
        <v>4.916634</v>
      </c>
      <c r="C679" t="n">
        <v>4.6</v>
      </c>
      <c r="D679" t="n">
        <v>7.1</v>
      </c>
      <c r="E679" t="n">
        <v>7.6</v>
      </c>
      <c r="G679" t="n">
        <v>7.186711</v>
      </c>
      <c r="H679" t="n">
        <v>6.7</v>
      </c>
      <c r="I679" t="n">
        <v>5.5</v>
      </c>
      <c r="J679" t="n">
        <v>7.3</v>
      </c>
      <c r="K679" t="n">
        <v>10.1</v>
      </c>
      <c r="L679" t="n">
        <v>21</v>
      </c>
      <c r="M679" t="n">
        <v>12.7</v>
      </c>
      <c r="N679" t="n">
        <v>8.300000000000001</v>
      </c>
      <c r="O679" t="n">
        <v>9.1</v>
      </c>
      <c r="P679" t="n">
        <v>7.678424</v>
      </c>
      <c r="Q679" t="n">
        <v>8</v>
      </c>
      <c r="R679" t="n">
        <v>17.4</v>
      </c>
      <c r="S679" t="n">
        <v>10.8</v>
      </c>
      <c r="T679" t="n">
        <v>15.2</v>
      </c>
      <c r="U679" t="n">
        <v>7.8</v>
      </c>
      <c r="W679" t="n">
        <v>8.300000000000001</v>
      </c>
      <c r="X679" t="n">
        <v>4.7</v>
      </c>
      <c r="Y679" t="n">
        <v>3.3</v>
      </c>
      <c r="Z679" t="n">
        <v>4.8</v>
      </c>
      <c r="AA679" t="n">
        <v>16.5</v>
      </c>
      <c r="AB679" t="n">
        <v>5.560397</v>
      </c>
      <c r="AC679" t="n">
        <v>5.7</v>
      </c>
      <c r="AD679" t="n">
        <v>3.6</v>
      </c>
      <c r="AE679" t="n">
        <v>8.156898</v>
      </c>
      <c r="AF679" t="n">
        <v>9.9</v>
      </c>
      <c r="AG679" t="n">
        <v>12.9</v>
      </c>
      <c r="AH679" t="n">
        <v>13.5</v>
      </c>
      <c r="AI679" t="n">
        <v>7.9</v>
      </c>
      <c r="AJ679" t="n">
        <v>8.1</v>
      </c>
      <c r="AK679" t="n">
        <v>9.5</v>
      </c>
      <c r="AL679" t="n">
        <v>9.1</v>
      </c>
    </row>
    <row r="680">
      <c r="A680" s="78" t="n">
        <v>40725</v>
      </c>
      <c r="B680" t="n">
        <v>5.088415</v>
      </c>
      <c r="C680" t="n">
        <v>4.3</v>
      </c>
      <c r="D680" t="n">
        <v>7.5</v>
      </c>
      <c r="E680" t="n">
        <v>7.3</v>
      </c>
      <c r="G680" t="n">
        <v>7.137498</v>
      </c>
      <c r="H680" t="n">
        <v>6.6</v>
      </c>
      <c r="I680" t="n">
        <v>5.5</v>
      </c>
      <c r="J680" t="n">
        <v>8.199999999999999</v>
      </c>
      <c r="K680" t="n">
        <v>10.2</v>
      </c>
      <c r="L680" t="n">
        <v>21.4</v>
      </c>
      <c r="M680" t="n">
        <v>11.7</v>
      </c>
      <c r="N680" t="n">
        <v>8.1</v>
      </c>
      <c r="O680" t="n">
        <v>9.199999999999999</v>
      </c>
      <c r="P680" t="n">
        <v>7.643316</v>
      </c>
      <c r="Q680" t="n">
        <v>8.199999999999999</v>
      </c>
      <c r="R680" t="n">
        <v>18.1</v>
      </c>
      <c r="S680" t="n">
        <v>10.3</v>
      </c>
      <c r="T680" t="n">
        <v>15.5</v>
      </c>
      <c r="U680" t="n">
        <v>7.6</v>
      </c>
      <c r="W680" t="n">
        <v>8.4</v>
      </c>
      <c r="X680" t="n">
        <v>4.7</v>
      </c>
      <c r="Y680" t="n">
        <v>3.3</v>
      </c>
      <c r="Z680" t="n">
        <v>5</v>
      </c>
      <c r="AA680" t="n">
        <v>15.8</v>
      </c>
      <c r="AB680" t="n">
        <v>5.260522</v>
      </c>
      <c r="AC680" t="n">
        <v>6</v>
      </c>
      <c r="AD680" t="n">
        <v>3.4</v>
      </c>
      <c r="AE680" t="n">
        <v>8.132396</v>
      </c>
      <c r="AF680" t="n">
        <v>10</v>
      </c>
      <c r="AG680" t="n">
        <v>13</v>
      </c>
      <c r="AH680" t="n">
        <v>13.4</v>
      </c>
      <c r="AI680" t="n">
        <v>8</v>
      </c>
      <c r="AJ680" t="n">
        <v>7.9</v>
      </c>
      <c r="AK680" t="n">
        <v>9.199999999999999</v>
      </c>
      <c r="AL680" t="n">
        <v>9</v>
      </c>
    </row>
    <row r="681">
      <c r="A681" s="78" t="n">
        <v>40756</v>
      </c>
      <c r="B681" t="n">
        <v>5.270019</v>
      </c>
      <c r="C681" t="n">
        <v>4.4</v>
      </c>
      <c r="D681" t="n">
        <v>7.6</v>
      </c>
      <c r="E681" t="n">
        <v>7.3</v>
      </c>
      <c r="G681" t="n">
        <v>7.324341</v>
      </c>
      <c r="H681" t="n">
        <v>6.5</v>
      </c>
      <c r="I681" t="n">
        <v>5.4</v>
      </c>
      <c r="J681" t="n">
        <v>7.6</v>
      </c>
      <c r="K681" t="n">
        <v>10.3</v>
      </c>
      <c r="L681" t="n">
        <v>21.7</v>
      </c>
      <c r="M681" t="n">
        <v>11</v>
      </c>
      <c r="N681" t="n">
        <v>7.6</v>
      </c>
      <c r="O681" t="n">
        <v>9.199999999999999</v>
      </c>
      <c r="P681" t="n">
        <v>7.610959</v>
      </c>
      <c r="Q681" t="n">
        <v>8.300000000000001</v>
      </c>
      <c r="R681" t="n">
        <v>18.8</v>
      </c>
      <c r="S681" t="n">
        <v>10.5</v>
      </c>
      <c r="T681" t="n">
        <v>15.6</v>
      </c>
      <c r="U681" t="n">
        <v>7.4</v>
      </c>
      <c r="W681" t="n">
        <v>8.5</v>
      </c>
      <c r="X681" t="n">
        <v>4.5</v>
      </c>
      <c r="Y681" t="n">
        <v>3.2</v>
      </c>
      <c r="Z681" t="n">
        <v>5.1</v>
      </c>
      <c r="AA681" t="n">
        <v>15.4</v>
      </c>
      <c r="AB681" t="n">
        <v>5.413252</v>
      </c>
      <c r="AC681" t="n">
        <v>6</v>
      </c>
      <c r="AD681" t="n">
        <v>3.7</v>
      </c>
      <c r="AE681" t="n">
        <v>8.106299999999999</v>
      </c>
      <c r="AF681" t="n">
        <v>10</v>
      </c>
      <c r="AG681" t="n">
        <v>13.4</v>
      </c>
      <c r="AH681" t="n">
        <v>13.4</v>
      </c>
      <c r="AI681" t="n">
        <v>7.9</v>
      </c>
      <c r="AJ681" t="n">
        <v>7.9</v>
      </c>
      <c r="AK681" t="n">
        <v>8.800000000000001</v>
      </c>
      <c r="AL681" t="n">
        <v>9</v>
      </c>
    </row>
    <row r="682">
      <c r="A682" s="78" t="n">
        <v>40787</v>
      </c>
      <c r="B682" t="n">
        <v>5.22163</v>
      </c>
      <c r="C682" t="n">
        <v>4.5</v>
      </c>
      <c r="D682" t="n">
        <v>7.5</v>
      </c>
      <c r="E682" t="n">
        <v>7.4</v>
      </c>
      <c r="G682" t="n">
        <v>7.32112</v>
      </c>
      <c r="H682" t="n">
        <v>6.6</v>
      </c>
      <c r="I682" t="n">
        <v>5.4</v>
      </c>
      <c r="J682" t="n">
        <v>7</v>
      </c>
      <c r="K682" t="n">
        <v>10.4</v>
      </c>
      <c r="L682" t="n">
        <v>22.1</v>
      </c>
      <c r="M682" t="n">
        <v>11</v>
      </c>
      <c r="N682" t="n">
        <v>7.9</v>
      </c>
      <c r="O682" t="n">
        <v>9.199999999999999</v>
      </c>
      <c r="P682" t="n">
        <v>7.642916</v>
      </c>
      <c r="Q682" t="n">
        <v>8.4</v>
      </c>
      <c r="R682" t="n">
        <v>19.1</v>
      </c>
      <c r="S682" t="n">
        <v>10.8</v>
      </c>
      <c r="T682" t="n">
        <v>15.7</v>
      </c>
      <c r="U682" t="n">
        <v>7.3</v>
      </c>
      <c r="W682" t="n">
        <v>9</v>
      </c>
      <c r="X682" t="n">
        <v>4.2</v>
      </c>
      <c r="Y682" t="n">
        <v>3.3</v>
      </c>
      <c r="Z682" t="n">
        <v>5</v>
      </c>
      <c r="AA682" t="n">
        <v>15.3</v>
      </c>
      <c r="AB682" t="n">
        <v>5.30574</v>
      </c>
      <c r="AC682" t="n">
        <v>6.2</v>
      </c>
      <c r="AD682" t="n">
        <v>3.4</v>
      </c>
      <c r="AE682" t="n">
        <v>8.120381</v>
      </c>
      <c r="AF682" t="n">
        <v>10.1</v>
      </c>
      <c r="AG682" t="n">
        <v>13.8</v>
      </c>
      <c r="AH682" t="n">
        <v>13.5</v>
      </c>
      <c r="AI682" t="n">
        <v>8.300000000000001</v>
      </c>
      <c r="AJ682" t="n">
        <v>7.7</v>
      </c>
      <c r="AK682" t="n">
        <v>8.4</v>
      </c>
      <c r="AL682" t="n">
        <v>9</v>
      </c>
    </row>
    <row r="683">
      <c r="A683" s="78" t="n">
        <v>40817</v>
      </c>
      <c r="B683" t="n">
        <v>5.18773</v>
      </c>
      <c r="C683" t="n">
        <v>5</v>
      </c>
      <c r="D683" t="n">
        <v>7.3</v>
      </c>
      <c r="E683" t="n">
        <v>7.4</v>
      </c>
      <c r="G683" t="n">
        <v>7.583526</v>
      </c>
      <c r="H683" t="n">
        <v>6.5</v>
      </c>
      <c r="I683" t="n">
        <v>5.3</v>
      </c>
      <c r="J683" t="n">
        <v>8.199999999999999</v>
      </c>
      <c r="K683" t="n">
        <v>10.5</v>
      </c>
      <c r="L683" t="n">
        <v>22.4</v>
      </c>
      <c r="M683" t="n">
        <v>11.5</v>
      </c>
      <c r="N683" t="n">
        <v>7.9</v>
      </c>
      <c r="O683" t="n">
        <v>9.300000000000001</v>
      </c>
      <c r="P683" t="n">
        <v>7.580938</v>
      </c>
      <c r="Q683" t="n">
        <v>8.5</v>
      </c>
      <c r="R683" t="n">
        <v>20.5</v>
      </c>
      <c r="S683" t="n">
        <v>10.6</v>
      </c>
      <c r="T683" t="n">
        <v>15.6</v>
      </c>
      <c r="U683" t="n">
        <v>7.3</v>
      </c>
      <c r="W683" t="n">
        <v>8.9</v>
      </c>
      <c r="X683" t="n">
        <v>4.4</v>
      </c>
      <c r="Y683" t="n">
        <v>3.2</v>
      </c>
      <c r="Z683" t="n">
        <v>4.8</v>
      </c>
      <c r="AA683" t="n">
        <v>15.4</v>
      </c>
      <c r="AB683" t="n">
        <v>4.875625</v>
      </c>
      <c r="AC683" t="n">
        <v>6.4</v>
      </c>
      <c r="AD683" t="n">
        <v>3.8</v>
      </c>
      <c r="AE683" t="n">
        <v>8.090218999999999</v>
      </c>
      <c r="AF683" t="n">
        <v>10.2</v>
      </c>
      <c r="AG683" t="n">
        <v>14.1</v>
      </c>
      <c r="AH683" t="n">
        <v>13.6</v>
      </c>
      <c r="AI683" t="n">
        <v>8.6</v>
      </c>
      <c r="AJ683" t="n">
        <v>8</v>
      </c>
      <c r="AK683" t="n">
        <v>8.5</v>
      </c>
      <c r="AL683" t="n">
        <v>8.800000000000001</v>
      </c>
    </row>
    <row r="684">
      <c r="A684" s="78" t="n">
        <v>40848</v>
      </c>
      <c r="B684" t="n">
        <v>5.230915</v>
      </c>
      <c r="C684" t="n">
        <v>5.4</v>
      </c>
      <c r="D684" t="n">
        <v>7.2</v>
      </c>
      <c r="E684" t="n">
        <v>7.6</v>
      </c>
      <c r="G684" t="n">
        <v>7.357647</v>
      </c>
      <c r="H684" t="n">
        <v>6.6</v>
      </c>
      <c r="I684" t="n">
        <v>5.2</v>
      </c>
      <c r="J684" t="n">
        <v>8.1</v>
      </c>
      <c r="K684" t="n">
        <v>10.7</v>
      </c>
      <c r="L684" t="n">
        <v>22.7</v>
      </c>
      <c r="M684" t="n">
        <v>11.4</v>
      </c>
      <c r="N684" t="n">
        <v>7.2</v>
      </c>
      <c r="O684" t="n">
        <v>9.4</v>
      </c>
      <c r="P684" t="n">
        <v>7.539362</v>
      </c>
      <c r="Q684" t="n">
        <v>8.4</v>
      </c>
      <c r="R684" t="n">
        <v>20.7</v>
      </c>
      <c r="S684" t="n">
        <v>10.3</v>
      </c>
      <c r="T684" t="n">
        <v>15.8</v>
      </c>
      <c r="U684" t="n">
        <v>7.2</v>
      </c>
      <c r="W684" t="n">
        <v>9.5</v>
      </c>
      <c r="X684" t="n">
        <v>4.5</v>
      </c>
      <c r="Y684" t="n">
        <v>3.3</v>
      </c>
      <c r="Z684" t="n">
        <v>4.8</v>
      </c>
      <c r="AA684" t="n">
        <v>15.5</v>
      </c>
      <c r="AB684" t="n">
        <v>5.154373</v>
      </c>
      <c r="AC684" t="n">
        <v>6.6</v>
      </c>
      <c r="AD684" t="n">
        <v>3.4</v>
      </c>
      <c r="AE684" t="n">
        <v>8.103332999999999</v>
      </c>
      <c r="AF684" t="n">
        <v>10.2</v>
      </c>
      <c r="AG684" t="n">
        <v>14.6</v>
      </c>
      <c r="AH684" t="n">
        <v>13.7</v>
      </c>
      <c r="AI684" t="n">
        <v>8.800000000000001</v>
      </c>
      <c r="AJ684" t="n">
        <v>7.9</v>
      </c>
      <c r="AK684" t="n">
        <v>8.4</v>
      </c>
      <c r="AL684" t="n">
        <v>8.6</v>
      </c>
    </row>
    <row r="685">
      <c r="A685" s="78" t="n">
        <v>40878</v>
      </c>
      <c r="B685" t="n">
        <v>5.196963</v>
      </c>
      <c r="C685" t="n">
        <v>5.1</v>
      </c>
      <c r="D685" t="n">
        <v>7.1</v>
      </c>
      <c r="E685" t="n">
        <v>7.5</v>
      </c>
      <c r="G685" t="n">
        <v>7.296136</v>
      </c>
      <c r="H685" t="n">
        <v>6.4</v>
      </c>
      <c r="I685" t="n">
        <v>5.2</v>
      </c>
      <c r="J685" t="n">
        <v>7.9</v>
      </c>
      <c r="K685" t="n">
        <v>10.8</v>
      </c>
      <c r="L685" t="n">
        <v>23</v>
      </c>
      <c r="M685" t="n">
        <v>11</v>
      </c>
      <c r="N685" t="n">
        <v>8</v>
      </c>
      <c r="O685" t="n">
        <v>9.4</v>
      </c>
      <c r="P685" t="n">
        <v>7.502391</v>
      </c>
      <c r="Q685" t="n">
        <v>8.4</v>
      </c>
      <c r="R685" t="n">
        <v>21.5</v>
      </c>
      <c r="S685" t="n">
        <v>10.9</v>
      </c>
      <c r="T685" t="n">
        <v>16.1</v>
      </c>
      <c r="U685" t="n">
        <v>7.2</v>
      </c>
      <c r="W685" t="n">
        <v>9.699999999999999</v>
      </c>
      <c r="X685" t="n">
        <v>4.5</v>
      </c>
      <c r="Y685" t="n">
        <v>3.2</v>
      </c>
      <c r="Z685" t="n">
        <v>4.9</v>
      </c>
      <c r="AA685" t="n">
        <v>15.4</v>
      </c>
      <c r="AB685" t="n">
        <v>5.03031</v>
      </c>
      <c r="AC685" t="n">
        <v>6.5</v>
      </c>
      <c r="AD685" t="n">
        <v>3.5</v>
      </c>
      <c r="AE685" t="n">
        <v>8.100396999999999</v>
      </c>
      <c r="AF685" t="n">
        <v>10.2</v>
      </c>
      <c r="AG685" t="n">
        <v>15.1</v>
      </c>
      <c r="AH685" t="n">
        <v>13.8</v>
      </c>
      <c r="AI685" t="n">
        <v>8.6</v>
      </c>
      <c r="AJ685" t="n">
        <v>8</v>
      </c>
      <c r="AK685" t="n">
        <v>8.5</v>
      </c>
      <c r="AL685" t="n">
        <v>8.5</v>
      </c>
    </row>
    <row r="686">
      <c r="A686" s="78" t="n">
        <v>40909</v>
      </c>
      <c r="B686" t="n">
        <v>5.048069</v>
      </c>
      <c r="C686" t="n">
        <v>4.4</v>
      </c>
      <c r="D686" t="n">
        <v>7.2</v>
      </c>
      <c r="E686" t="n">
        <v>7.7</v>
      </c>
      <c r="G686" t="n">
        <v>6.857104</v>
      </c>
      <c r="H686" t="n">
        <v>6.6</v>
      </c>
      <c r="I686" t="n">
        <v>5.1</v>
      </c>
      <c r="J686" t="n">
        <v>7.5</v>
      </c>
      <c r="K686" t="n">
        <v>10.8</v>
      </c>
      <c r="L686" t="n">
        <v>23.3</v>
      </c>
      <c r="M686" t="n">
        <v>11</v>
      </c>
      <c r="N686" t="n">
        <v>7.9</v>
      </c>
      <c r="O686" t="n">
        <v>9.5</v>
      </c>
      <c r="P686" t="n">
        <v>7.423831</v>
      </c>
      <c r="Q686" t="n">
        <v>8.300000000000001</v>
      </c>
      <c r="R686" t="n">
        <v>21.6</v>
      </c>
      <c r="S686" t="n">
        <v>11.2</v>
      </c>
      <c r="T686" t="n">
        <v>15.6</v>
      </c>
      <c r="U686" t="n">
        <v>7.3</v>
      </c>
      <c r="V686" t="n">
        <v>6.998106</v>
      </c>
      <c r="W686" t="n">
        <v>9.800000000000001</v>
      </c>
      <c r="X686" t="n">
        <v>4.5</v>
      </c>
      <c r="Y686" t="n">
        <v>3.2</v>
      </c>
      <c r="Z686" t="n">
        <v>4.9</v>
      </c>
      <c r="AA686" t="n">
        <v>15.5</v>
      </c>
      <c r="AB686" t="n">
        <v>4.72933</v>
      </c>
      <c r="AC686" t="n">
        <v>6.6</v>
      </c>
      <c r="AD686" t="n">
        <v>3.8</v>
      </c>
      <c r="AE686" t="n">
        <v>8.031948999999999</v>
      </c>
      <c r="AF686" t="n">
        <v>10.2</v>
      </c>
      <c r="AG686" t="n">
        <v>15.1</v>
      </c>
      <c r="AH686" t="n">
        <v>13.8</v>
      </c>
      <c r="AI686" t="n">
        <v>8.199999999999999</v>
      </c>
      <c r="AJ686" t="n">
        <v>8.1</v>
      </c>
      <c r="AK686" t="n">
        <v>8.4</v>
      </c>
      <c r="AL686" t="n">
        <v>8.300000000000001</v>
      </c>
    </row>
    <row r="687">
      <c r="A687" s="78" t="n">
        <v>40940</v>
      </c>
      <c r="B687" t="n">
        <v>5.198277</v>
      </c>
      <c r="C687" t="n">
        <v>5.2</v>
      </c>
      <c r="D687" t="n">
        <v>7.3</v>
      </c>
      <c r="E687" t="n">
        <v>7.5</v>
      </c>
      <c r="G687" t="n">
        <v>6.822868</v>
      </c>
      <c r="H687" t="n">
        <v>7.2</v>
      </c>
      <c r="I687" t="n">
        <v>5.1</v>
      </c>
      <c r="J687" t="n">
        <v>8.1</v>
      </c>
      <c r="K687" t="n">
        <v>11</v>
      </c>
      <c r="L687" t="n">
        <v>23.6</v>
      </c>
      <c r="M687" t="n">
        <v>10.9</v>
      </c>
      <c r="N687" t="n">
        <v>7.4</v>
      </c>
      <c r="O687" t="n">
        <v>9.5</v>
      </c>
      <c r="P687" t="n">
        <v>7.42047</v>
      </c>
      <c r="Q687" t="n">
        <v>8.199999999999999</v>
      </c>
      <c r="R687" t="n">
        <v>22.4</v>
      </c>
      <c r="S687" t="n">
        <v>10.9</v>
      </c>
      <c r="T687" t="n">
        <v>16.1</v>
      </c>
      <c r="U687" t="n">
        <v>7.5</v>
      </c>
      <c r="V687" t="n">
        <v>6.950056</v>
      </c>
      <c r="W687" t="n">
        <v>10.1</v>
      </c>
      <c r="X687" t="n">
        <v>4.5</v>
      </c>
      <c r="Y687" t="n">
        <v>3.4</v>
      </c>
      <c r="Z687" t="n">
        <v>4.9</v>
      </c>
      <c r="AA687" t="n">
        <v>15.8</v>
      </c>
      <c r="AB687" t="n">
        <v>5.284827</v>
      </c>
      <c r="AC687" t="n">
        <v>6.5</v>
      </c>
      <c r="AD687" t="n">
        <v>3.7</v>
      </c>
      <c r="AE687" t="n">
        <v>8.124637999999999</v>
      </c>
      <c r="AF687" t="n">
        <v>10.1</v>
      </c>
      <c r="AG687" t="n">
        <v>15.5</v>
      </c>
      <c r="AH687" t="n">
        <v>13.7</v>
      </c>
      <c r="AI687" t="n">
        <v>8.1</v>
      </c>
      <c r="AJ687" t="n">
        <v>8</v>
      </c>
      <c r="AK687" t="n">
        <v>8.6</v>
      </c>
      <c r="AL687" t="n">
        <v>8.300000000000001</v>
      </c>
    </row>
    <row r="688">
      <c r="A688" s="78" t="n">
        <v>40969</v>
      </c>
      <c r="B688" t="n">
        <v>5.181371</v>
      </c>
      <c r="C688" t="n">
        <v>4.8</v>
      </c>
      <c r="D688" t="n">
        <v>7.3</v>
      </c>
      <c r="E688" t="n">
        <v>7.3</v>
      </c>
      <c r="G688" t="n">
        <v>6.755611</v>
      </c>
      <c r="H688" t="n">
        <v>6.9</v>
      </c>
      <c r="I688" t="n">
        <v>5.1</v>
      </c>
      <c r="J688" t="n">
        <v>7.6</v>
      </c>
      <c r="K688" t="n">
        <v>11.2</v>
      </c>
      <c r="L688" t="n">
        <v>23.9</v>
      </c>
      <c r="M688" t="n">
        <v>10.9</v>
      </c>
      <c r="N688" t="n">
        <v>7.9</v>
      </c>
      <c r="O688" t="n">
        <v>9.6</v>
      </c>
      <c r="P688" t="n">
        <v>7.432694</v>
      </c>
      <c r="Q688" t="n">
        <v>8.199999999999999</v>
      </c>
      <c r="R688" t="n">
        <v>23.1</v>
      </c>
      <c r="S688" t="n">
        <v>11.2</v>
      </c>
      <c r="T688" t="n">
        <v>16.1</v>
      </c>
      <c r="U688" t="n">
        <v>7.5</v>
      </c>
      <c r="V688" t="n">
        <v>7.312586</v>
      </c>
      <c r="W688" t="n">
        <v>10.7</v>
      </c>
      <c r="X688" t="n">
        <v>4.5</v>
      </c>
      <c r="Y688" t="n">
        <v>3.3</v>
      </c>
      <c r="Z688" t="n">
        <v>5</v>
      </c>
      <c r="AA688" t="n">
        <v>16.1</v>
      </c>
      <c r="AB688" t="n">
        <v>5.018076</v>
      </c>
      <c r="AC688" t="n">
        <v>6.5</v>
      </c>
      <c r="AD688" t="n">
        <v>3</v>
      </c>
      <c r="AE688" t="n">
        <v>8.099292</v>
      </c>
      <c r="AF688" t="n">
        <v>10.2</v>
      </c>
      <c r="AG688" t="n">
        <v>15.9</v>
      </c>
      <c r="AH688" t="n">
        <v>13.7</v>
      </c>
      <c r="AI688" t="n">
        <v>7.9</v>
      </c>
      <c r="AJ688" t="n">
        <v>7.7</v>
      </c>
      <c r="AK688" t="n">
        <v>8.6</v>
      </c>
      <c r="AL688" t="n">
        <v>8.199999999999999</v>
      </c>
    </row>
    <row r="689">
      <c r="A689" s="78" t="n">
        <v>41000</v>
      </c>
      <c r="B689" t="n">
        <v>4.992588</v>
      </c>
      <c r="C689" t="n">
        <v>5</v>
      </c>
      <c r="D689" t="n">
        <v>7.3</v>
      </c>
      <c r="E689" t="n">
        <v>7.3</v>
      </c>
      <c r="G689" t="n">
        <v>6.706156</v>
      </c>
      <c r="H689" t="n">
        <v>6.9</v>
      </c>
      <c r="I689" t="n">
        <v>5.1</v>
      </c>
      <c r="J689" t="n">
        <v>8.4</v>
      </c>
      <c r="K689" t="n">
        <v>11.3</v>
      </c>
      <c r="L689" t="n">
        <v>24.2</v>
      </c>
      <c r="M689" t="n">
        <v>10.1</v>
      </c>
      <c r="N689" t="n">
        <v>7.6</v>
      </c>
      <c r="O689" t="n">
        <v>9.699999999999999</v>
      </c>
      <c r="P689" t="n">
        <v>7.415504</v>
      </c>
      <c r="Q689" t="n">
        <v>8.1</v>
      </c>
      <c r="R689" t="n">
        <v>23.5</v>
      </c>
      <c r="S689" t="n">
        <v>11.2</v>
      </c>
      <c r="T689" t="n">
        <v>15.7</v>
      </c>
      <c r="U689" t="n">
        <v>7.3</v>
      </c>
      <c r="V689" t="n">
        <v>6.964684</v>
      </c>
      <c r="W689" t="n">
        <v>10.7</v>
      </c>
      <c r="X689" t="n">
        <v>4.5</v>
      </c>
      <c r="Y689" t="n">
        <v>3.3</v>
      </c>
      <c r="Z689" t="n">
        <v>5</v>
      </c>
      <c r="AA689" t="n">
        <v>16.4</v>
      </c>
      <c r="AB689" t="n">
        <v>4.955967</v>
      </c>
      <c r="AC689" t="n">
        <v>6.8</v>
      </c>
      <c r="AD689" t="n">
        <v>3.5</v>
      </c>
      <c r="AE689" t="n">
        <v>8.120647</v>
      </c>
      <c r="AF689" t="n">
        <v>10.2</v>
      </c>
      <c r="AG689" t="n">
        <v>16.2</v>
      </c>
      <c r="AH689" t="n">
        <v>13.9</v>
      </c>
      <c r="AI689" t="n">
        <v>8.1</v>
      </c>
      <c r="AJ689" t="n">
        <v>7.7</v>
      </c>
      <c r="AK689" t="n">
        <v>8.5</v>
      </c>
      <c r="AL689" t="n">
        <v>8.199999999999999</v>
      </c>
    </row>
    <row r="690">
      <c r="A690" s="78" t="n">
        <v>41030</v>
      </c>
      <c r="B690" t="n">
        <v>5.196845</v>
      </c>
      <c r="C690" t="n">
        <v>5.2</v>
      </c>
      <c r="D690" t="n">
        <v>7.4</v>
      </c>
      <c r="E690" t="n">
        <v>7.4</v>
      </c>
      <c r="G690" t="n">
        <v>6.511299</v>
      </c>
      <c r="H690" t="n">
        <v>7</v>
      </c>
      <c r="I690" t="n">
        <v>5.1</v>
      </c>
      <c r="J690" t="n">
        <v>8.5</v>
      </c>
      <c r="K690" t="n">
        <v>11.3</v>
      </c>
      <c r="L690" t="n">
        <v>24.6</v>
      </c>
      <c r="M690" t="n">
        <v>10.1</v>
      </c>
      <c r="N690" t="n">
        <v>7.7</v>
      </c>
      <c r="O690" t="n">
        <v>9.699999999999999</v>
      </c>
      <c r="P690" t="n">
        <v>7.394534</v>
      </c>
      <c r="Q690" t="n">
        <v>8</v>
      </c>
      <c r="R690" t="n">
        <v>24.2</v>
      </c>
      <c r="S690" t="n">
        <v>10.5</v>
      </c>
      <c r="T690" t="n">
        <v>15.5</v>
      </c>
      <c r="U690" t="n">
        <v>7.1</v>
      </c>
      <c r="V690" t="n">
        <v>6.99736</v>
      </c>
      <c r="W690" t="n">
        <v>10.6</v>
      </c>
      <c r="X690" t="n">
        <v>4.4</v>
      </c>
      <c r="Y690" t="n">
        <v>3.1</v>
      </c>
      <c r="Z690" t="n">
        <v>5.1</v>
      </c>
      <c r="AA690" t="n">
        <v>16.3</v>
      </c>
      <c r="AB690" t="n">
        <v>5.006903</v>
      </c>
      <c r="AC690" t="n">
        <v>6.7</v>
      </c>
      <c r="AD690" t="n">
        <v>3.5</v>
      </c>
      <c r="AE690" t="n">
        <v>8.114914000000001</v>
      </c>
      <c r="AF690" t="n">
        <v>10.3</v>
      </c>
      <c r="AG690" t="n">
        <v>16.2</v>
      </c>
      <c r="AH690" t="n">
        <v>13.8</v>
      </c>
      <c r="AI690" t="n">
        <v>8.4</v>
      </c>
      <c r="AJ690" t="n">
        <v>8.4</v>
      </c>
      <c r="AK690" t="n">
        <v>8.300000000000001</v>
      </c>
      <c r="AL690" t="n">
        <v>8.199999999999999</v>
      </c>
    </row>
    <row r="691">
      <c r="A691" s="78" t="n">
        <v>41061</v>
      </c>
      <c r="B691" t="n">
        <v>5.16291</v>
      </c>
      <c r="C691" t="n">
        <v>5.6</v>
      </c>
      <c r="D691" t="n">
        <v>7.4</v>
      </c>
      <c r="E691" t="n">
        <v>7.2</v>
      </c>
      <c r="G691" t="n">
        <v>6.356847</v>
      </c>
      <c r="H691" t="n">
        <v>6.8</v>
      </c>
      <c r="I691" t="n">
        <v>5.1</v>
      </c>
      <c r="J691" t="n">
        <v>7.8</v>
      </c>
      <c r="K691" t="n">
        <v>11.4</v>
      </c>
      <c r="L691" t="n">
        <v>24.7</v>
      </c>
      <c r="M691" t="n">
        <v>9.9</v>
      </c>
      <c r="N691" t="n">
        <v>7.7</v>
      </c>
      <c r="O691" t="n">
        <v>9.699999999999999</v>
      </c>
      <c r="P691" t="n">
        <v>7.398368</v>
      </c>
      <c r="Q691" t="n">
        <v>8</v>
      </c>
      <c r="R691" t="n">
        <v>25.2</v>
      </c>
      <c r="S691" t="n">
        <v>10.4</v>
      </c>
      <c r="T691" t="n">
        <v>15.4</v>
      </c>
      <c r="U691" t="n">
        <v>6.9</v>
      </c>
      <c r="V691" t="n">
        <v>6.592858</v>
      </c>
      <c r="W691" t="n">
        <v>10.9</v>
      </c>
      <c r="X691" t="n">
        <v>4.3</v>
      </c>
      <c r="Y691" t="n">
        <v>3.2</v>
      </c>
      <c r="Z691" t="n">
        <v>5.1</v>
      </c>
      <c r="AA691" t="n">
        <v>15.5</v>
      </c>
      <c r="AB691" t="n">
        <v>4.911807</v>
      </c>
      <c r="AC691" t="n">
        <v>6.7</v>
      </c>
      <c r="AD691" t="n">
        <v>3.2</v>
      </c>
      <c r="AE691" t="n">
        <v>8.086042000000001</v>
      </c>
      <c r="AF691" t="n">
        <v>10.4</v>
      </c>
      <c r="AG691" t="n">
        <v>16.2</v>
      </c>
      <c r="AH691" t="n">
        <v>13.6</v>
      </c>
      <c r="AI691" t="n">
        <v>8.699999999999999</v>
      </c>
      <c r="AJ691" t="n">
        <v>8</v>
      </c>
      <c r="AK691" t="n">
        <v>8</v>
      </c>
      <c r="AL691" t="n">
        <v>8.199999999999999</v>
      </c>
    </row>
    <row r="692">
      <c r="A692" s="78" t="n">
        <v>41091</v>
      </c>
      <c r="B692" t="n">
        <v>5.177158</v>
      </c>
      <c r="C692" t="n">
        <v>5.4</v>
      </c>
      <c r="D692" t="n">
        <v>7.4</v>
      </c>
      <c r="E692" t="n">
        <v>7.3</v>
      </c>
      <c r="G692" t="n">
        <v>6.241155</v>
      </c>
      <c r="H692" t="n">
        <v>6.9</v>
      </c>
      <c r="I692" t="n">
        <v>5.1</v>
      </c>
      <c r="J692" t="n">
        <v>7.5</v>
      </c>
      <c r="K692" t="n">
        <v>11.5</v>
      </c>
      <c r="L692" t="n">
        <v>25</v>
      </c>
      <c r="M692" t="n">
        <v>9.6</v>
      </c>
      <c r="N692" t="n">
        <v>7.8</v>
      </c>
      <c r="O692" t="n">
        <v>9.6</v>
      </c>
      <c r="P692" t="n">
        <v>7.382968</v>
      </c>
      <c r="Q692" t="n">
        <v>7.9</v>
      </c>
      <c r="R692" t="n">
        <v>25.4</v>
      </c>
      <c r="S692" t="n">
        <v>10.6</v>
      </c>
      <c r="T692" t="n">
        <v>15.6</v>
      </c>
      <c r="U692" t="n">
        <v>6.7</v>
      </c>
      <c r="V692" t="n">
        <v>6.453803</v>
      </c>
      <c r="W692" t="n">
        <v>11</v>
      </c>
      <c r="X692" t="n">
        <v>4.3</v>
      </c>
      <c r="Y692" t="n">
        <v>3.1</v>
      </c>
      <c r="Z692" t="n">
        <v>5</v>
      </c>
      <c r="AA692" t="n">
        <v>14.3</v>
      </c>
      <c r="AB692" t="n">
        <v>4.709369</v>
      </c>
      <c r="AC692" t="n">
        <v>6.8</v>
      </c>
      <c r="AD692" t="n">
        <v>3.4</v>
      </c>
      <c r="AE692" t="n">
        <v>8.094124000000001</v>
      </c>
      <c r="AF692" t="n">
        <v>10.5</v>
      </c>
      <c r="AG692" t="n">
        <v>16.4</v>
      </c>
      <c r="AH692" t="n">
        <v>13.8</v>
      </c>
      <c r="AI692" t="n">
        <v>9.300000000000001</v>
      </c>
      <c r="AJ692" t="n">
        <v>8.199999999999999</v>
      </c>
      <c r="AK692" t="n">
        <v>8.1</v>
      </c>
      <c r="AL692" t="n">
        <v>8.199999999999999</v>
      </c>
    </row>
    <row r="693">
      <c r="A693" s="78" t="n">
        <v>41122</v>
      </c>
      <c r="B693" t="n">
        <v>5.155595</v>
      </c>
      <c r="C693" t="n">
        <v>5.5</v>
      </c>
      <c r="D693" t="n">
        <v>7.6</v>
      </c>
      <c r="E693" t="n">
        <v>7.3</v>
      </c>
      <c r="G693" t="n">
        <v>6.341783</v>
      </c>
      <c r="H693" t="n">
        <v>7.2</v>
      </c>
      <c r="I693" t="n">
        <v>5</v>
      </c>
      <c r="J693" t="n">
        <v>8.1</v>
      </c>
      <c r="K693" t="n">
        <v>11.5</v>
      </c>
      <c r="L693" t="n">
        <v>25.2</v>
      </c>
      <c r="M693" t="n">
        <v>9.5</v>
      </c>
      <c r="N693" t="n">
        <v>8.4</v>
      </c>
      <c r="O693" t="n">
        <v>9.6</v>
      </c>
      <c r="P693" t="n">
        <v>7.285989</v>
      </c>
      <c r="Q693" t="n">
        <v>7.9</v>
      </c>
      <c r="R693" t="n">
        <v>26</v>
      </c>
      <c r="S693" t="n">
        <v>10.1</v>
      </c>
      <c r="T693" t="n">
        <v>15.5</v>
      </c>
      <c r="U693" t="n">
        <v>6.6</v>
      </c>
      <c r="V693" t="n">
        <v>6.766508</v>
      </c>
      <c r="W693" t="n">
        <v>10.9</v>
      </c>
      <c r="X693" t="n">
        <v>4.2</v>
      </c>
      <c r="Y693" t="n">
        <v>3.2</v>
      </c>
      <c r="Z693" t="n">
        <v>5</v>
      </c>
      <c r="AA693" t="n">
        <v>13.8</v>
      </c>
      <c r="AB693" t="n">
        <v>5.007577</v>
      </c>
      <c r="AC693" t="n">
        <v>6.8</v>
      </c>
      <c r="AD693" t="n">
        <v>3.3</v>
      </c>
      <c r="AE693" t="n">
        <v>8.072865</v>
      </c>
      <c r="AF693" t="n">
        <v>10.6</v>
      </c>
      <c r="AG693" t="n">
        <v>16.9</v>
      </c>
      <c r="AH693" t="n">
        <v>13.9</v>
      </c>
      <c r="AI693" t="n">
        <v>9.5</v>
      </c>
      <c r="AJ693" t="n">
        <v>8.300000000000001</v>
      </c>
      <c r="AK693" t="n">
        <v>8.199999999999999</v>
      </c>
      <c r="AL693" t="n">
        <v>8.1</v>
      </c>
    </row>
    <row r="694">
      <c r="A694" s="78" t="n">
        <v>41153</v>
      </c>
      <c r="B694" t="n">
        <v>5.487966</v>
      </c>
      <c r="C694" t="n">
        <v>5.6</v>
      </c>
      <c r="D694" t="n">
        <v>7.8</v>
      </c>
      <c r="E694" t="n">
        <v>7.3</v>
      </c>
      <c r="G694" t="n">
        <v>6.601994</v>
      </c>
      <c r="H694" t="n">
        <v>6.8</v>
      </c>
      <c r="I694" t="n">
        <v>5</v>
      </c>
      <c r="J694" t="n">
        <v>7.7</v>
      </c>
      <c r="K694" t="n">
        <v>11.7</v>
      </c>
      <c r="L694" t="n">
        <v>25.5</v>
      </c>
      <c r="M694" t="n">
        <v>8.9</v>
      </c>
      <c r="N694" t="n">
        <v>8</v>
      </c>
      <c r="O694" t="n">
        <v>9.800000000000001</v>
      </c>
      <c r="P694" t="n">
        <v>7.224337</v>
      </c>
      <c r="Q694" t="n">
        <v>7.9</v>
      </c>
      <c r="R694" t="n">
        <v>26.5</v>
      </c>
      <c r="S694" t="n">
        <v>10.2</v>
      </c>
      <c r="T694" t="n">
        <v>15.4</v>
      </c>
      <c r="U694" t="n">
        <v>6.5</v>
      </c>
      <c r="V694" t="n">
        <v>6.797949</v>
      </c>
      <c r="W694" t="n">
        <v>11.2</v>
      </c>
      <c r="X694" t="n">
        <v>4.2</v>
      </c>
      <c r="Y694" t="n">
        <v>3.2</v>
      </c>
      <c r="Z694" t="n">
        <v>5.1</v>
      </c>
      <c r="AA694" t="n">
        <v>13.9</v>
      </c>
      <c r="AB694" t="n">
        <v>4.669951</v>
      </c>
      <c r="AC694" t="n">
        <v>6.9</v>
      </c>
      <c r="AD694" t="n">
        <v>3.3</v>
      </c>
      <c r="AE694" t="n">
        <v>8.050884999999999</v>
      </c>
      <c r="AF694" t="n">
        <v>10.6</v>
      </c>
      <c r="AG694" t="n">
        <v>17</v>
      </c>
      <c r="AH694" t="n">
        <v>13.9</v>
      </c>
      <c r="AI694" t="n">
        <v>9.5</v>
      </c>
      <c r="AJ694" t="n">
        <v>8.300000000000001</v>
      </c>
      <c r="AK694" t="n">
        <v>8.4</v>
      </c>
      <c r="AL694" t="n">
        <v>7.8</v>
      </c>
    </row>
    <row r="695">
      <c r="A695" s="78" t="n">
        <v>41183</v>
      </c>
      <c r="B695" t="n">
        <v>5.411392</v>
      </c>
      <c r="C695" t="n">
        <v>5.3</v>
      </c>
      <c r="D695" t="n">
        <v>8.199999999999999</v>
      </c>
      <c r="E695" t="n">
        <v>7.5</v>
      </c>
      <c r="G695" t="n">
        <v>6.583824</v>
      </c>
      <c r="H695" t="n">
        <v>7.1</v>
      </c>
      <c r="I695" t="n">
        <v>5</v>
      </c>
      <c r="J695" t="n">
        <v>7.6</v>
      </c>
      <c r="K695" t="n">
        <v>11.8</v>
      </c>
      <c r="L695" t="n">
        <v>25.7</v>
      </c>
      <c r="M695" t="n">
        <v>9.1</v>
      </c>
      <c r="N695" t="n">
        <v>7.7</v>
      </c>
      <c r="O695" t="n">
        <v>10.1</v>
      </c>
      <c r="P695" t="n">
        <v>7.26819</v>
      </c>
      <c r="Q695" t="n">
        <v>7.8</v>
      </c>
      <c r="R695" t="n">
        <v>26.2</v>
      </c>
      <c r="S695" t="n">
        <v>10.7</v>
      </c>
      <c r="T695" t="n">
        <v>15.2</v>
      </c>
      <c r="U695" t="n">
        <v>6.3</v>
      </c>
      <c r="V695" t="n">
        <v>6.946128</v>
      </c>
      <c r="W695" t="n">
        <v>11.7</v>
      </c>
      <c r="X695" t="n">
        <v>4.1</v>
      </c>
      <c r="Y695" t="n">
        <v>3.1</v>
      </c>
      <c r="Z695" t="n">
        <v>5.2</v>
      </c>
      <c r="AA695" t="n">
        <v>14.4</v>
      </c>
      <c r="AB695" t="n">
        <v>4.910827</v>
      </c>
      <c r="AC695" t="n">
        <v>7</v>
      </c>
      <c r="AD695" t="n">
        <v>3.8</v>
      </c>
      <c r="AE695" t="n">
        <v>8.097918</v>
      </c>
      <c r="AF695" t="n">
        <v>10.5</v>
      </c>
      <c r="AG695" t="n">
        <v>17.5</v>
      </c>
      <c r="AH695" t="n">
        <v>14.1</v>
      </c>
      <c r="AI695" t="n">
        <v>9.5</v>
      </c>
      <c r="AJ695" t="n">
        <v>8.199999999999999</v>
      </c>
      <c r="AK695" t="n">
        <v>8.4</v>
      </c>
      <c r="AL695" t="n">
        <v>7.8</v>
      </c>
    </row>
    <row r="696">
      <c r="A696" s="78" t="n">
        <v>41214</v>
      </c>
      <c r="B696" t="n">
        <v>5.257422</v>
      </c>
      <c r="C696" t="n">
        <v>5.4</v>
      </c>
      <c r="D696" t="n">
        <v>8.4</v>
      </c>
      <c r="E696" t="n">
        <v>7.4</v>
      </c>
      <c r="G696" t="n">
        <v>6.713214</v>
      </c>
      <c r="H696" t="n">
        <v>7.6</v>
      </c>
      <c r="I696" t="n">
        <v>5</v>
      </c>
      <c r="J696" t="n">
        <v>7.3</v>
      </c>
      <c r="K696" t="n">
        <v>11.9</v>
      </c>
      <c r="L696" t="n">
        <v>25.9</v>
      </c>
      <c r="M696" t="n">
        <v>9.199999999999999</v>
      </c>
      <c r="N696" t="n">
        <v>8.199999999999999</v>
      </c>
      <c r="O696" t="n">
        <v>10.2</v>
      </c>
      <c r="P696" t="n">
        <v>7.2337</v>
      </c>
      <c r="Q696" t="n">
        <v>7.8</v>
      </c>
      <c r="R696" t="n">
        <v>27</v>
      </c>
      <c r="S696" t="n">
        <v>10.6</v>
      </c>
      <c r="T696" t="n">
        <v>15</v>
      </c>
      <c r="U696" t="n">
        <v>6.2</v>
      </c>
      <c r="V696" t="n">
        <v>6.847898</v>
      </c>
      <c r="W696" t="n">
        <v>11.6</v>
      </c>
      <c r="X696" t="n">
        <v>4.1</v>
      </c>
      <c r="Y696" t="n">
        <v>3.2</v>
      </c>
      <c r="Z696" t="n">
        <v>5.3</v>
      </c>
      <c r="AA696" t="n">
        <v>14.4</v>
      </c>
      <c r="AB696" t="n">
        <v>5.282637</v>
      </c>
      <c r="AC696" t="n">
        <v>7.2</v>
      </c>
      <c r="AD696" t="n">
        <v>3.5</v>
      </c>
      <c r="AE696" t="n">
        <v>8.162205999999999</v>
      </c>
      <c r="AF696" t="n">
        <v>10.6</v>
      </c>
      <c r="AG696" t="n">
        <v>17.8</v>
      </c>
      <c r="AH696" t="n">
        <v>14.3</v>
      </c>
      <c r="AI696" t="n">
        <v>9.4</v>
      </c>
      <c r="AJ696" t="n">
        <v>8.6</v>
      </c>
      <c r="AK696" t="n">
        <v>8.6</v>
      </c>
      <c r="AL696" t="n">
        <v>7.7</v>
      </c>
    </row>
    <row r="697">
      <c r="A697" s="78" t="n">
        <v>41244</v>
      </c>
      <c r="B697" t="n">
        <v>5.432942</v>
      </c>
      <c r="C697" t="n">
        <v>5.4</v>
      </c>
      <c r="D697" t="n">
        <v>8.5</v>
      </c>
      <c r="E697" t="n">
        <v>7.3</v>
      </c>
      <c r="G697" t="n">
        <v>6.494353</v>
      </c>
      <c r="H697" t="n">
        <v>7.1</v>
      </c>
      <c r="I697" t="n">
        <v>5</v>
      </c>
      <c r="J697" t="n">
        <v>7.4</v>
      </c>
      <c r="K697" t="n">
        <v>12</v>
      </c>
      <c r="L697" t="n">
        <v>26</v>
      </c>
      <c r="M697" t="n">
        <v>9.6</v>
      </c>
      <c r="N697" t="n">
        <v>7.7</v>
      </c>
      <c r="O697" t="n">
        <v>10.3</v>
      </c>
      <c r="P697" t="n">
        <v>7.335927</v>
      </c>
      <c r="Q697" t="n">
        <v>7.8</v>
      </c>
      <c r="R697" t="n">
        <v>26.9</v>
      </c>
      <c r="S697" t="n">
        <v>10.4</v>
      </c>
      <c r="T697" t="n">
        <v>14.8</v>
      </c>
      <c r="U697" t="n">
        <v>6.2</v>
      </c>
      <c r="V697" t="n">
        <v>6.806917</v>
      </c>
      <c r="W697" t="n">
        <v>11.6</v>
      </c>
      <c r="X697" t="n">
        <v>4.3</v>
      </c>
      <c r="Y697" t="n">
        <v>3.1</v>
      </c>
      <c r="Z697" t="n">
        <v>5.4</v>
      </c>
      <c r="AA697" t="n">
        <v>13.9</v>
      </c>
      <c r="AB697" t="n">
        <v>4.958482</v>
      </c>
      <c r="AC697" t="n">
        <v>7.4</v>
      </c>
      <c r="AD697" t="n">
        <v>3.7</v>
      </c>
      <c r="AE697" t="n">
        <v>8.206244</v>
      </c>
      <c r="AF697" t="n">
        <v>10.6</v>
      </c>
      <c r="AG697" t="n">
        <v>18.2</v>
      </c>
      <c r="AH697" t="n">
        <v>14.3</v>
      </c>
      <c r="AI697" t="n">
        <v>9.699999999999999</v>
      </c>
      <c r="AJ697" t="n">
        <v>8.300000000000001</v>
      </c>
      <c r="AK697" t="n">
        <v>8.800000000000001</v>
      </c>
      <c r="AL697" t="n">
        <v>7.9</v>
      </c>
    </row>
    <row r="698">
      <c r="A698" s="78" t="n">
        <v>41275</v>
      </c>
      <c r="B698" t="n">
        <v>5.38967</v>
      </c>
      <c r="C698" t="n">
        <v>5.9</v>
      </c>
      <c r="D698" t="n">
        <v>8.6</v>
      </c>
      <c r="E698" t="n">
        <v>7.1</v>
      </c>
      <c r="G698" t="n">
        <v>6.648757</v>
      </c>
      <c r="H698" t="n">
        <v>6.8</v>
      </c>
      <c r="I698" t="n">
        <v>5.1</v>
      </c>
      <c r="J698" t="n">
        <v>7.9</v>
      </c>
      <c r="K698" t="n">
        <v>12.2</v>
      </c>
      <c r="L698" t="n">
        <v>26.3</v>
      </c>
      <c r="M698" t="n">
        <v>10</v>
      </c>
      <c r="N698" t="n">
        <v>8.6</v>
      </c>
      <c r="O698" t="n">
        <v>10.4</v>
      </c>
      <c r="P698" t="n">
        <v>7.43191</v>
      </c>
      <c r="Q698" t="n">
        <v>8</v>
      </c>
      <c r="R698" t="n">
        <v>27.3</v>
      </c>
      <c r="S698" t="n">
        <v>11.2</v>
      </c>
      <c r="T698" t="n">
        <v>14.7</v>
      </c>
      <c r="U698" t="n">
        <v>6.1</v>
      </c>
      <c r="V698" t="n">
        <v>6.683896</v>
      </c>
      <c r="W698" t="n">
        <v>12.1</v>
      </c>
      <c r="X698" t="n">
        <v>4.2</v>
      </c>
      <c r="Y698" t="n">
        <v>3.2</v>
      </c>
      <c r="Z698" t="n">
        <v>5.5</v>
      </c>
      <c r="AA698" t="n">
        <v>13.1</v>
      </c>
      <c r="AB698" t="n">
        <v>5.20822</v>
      </c>
      <c r="AC698" t="n">
        <v>7.5</v>
      </c>
      <c r="AD698" t="n">
        <v>3.8</v>
      </c>
      <c r="AE698" t="n">
        <v>8.295864999999999</v>
      </c>
      <c r="AF698" t="n">
        <v>10.8</v>
      </c>
      <c r="AG698" t="n">
        <v>18.4</v>
      </c>
      <c r="AH698" t="n">
        <v>14.2</v>
      </c>
      <c r="AI698" t="n">
        <v>10.2</v>
      </c>
      <c r="AJ698" t="n">
        <v>8.1</v>
      </c>
      <c r="AK698" t="n">
        <v>8.800000000000001</v>
      </c>
      <c r="AL698" t="n">
        <v>8</v>
      </c>
    </row>
    <row r="699">
      <c r="A699" s="78" t="n">
        <v>41306</v>
      </c>
      <c r="B699" t="n">
        <v>5.404367</v>
      </c>
      <c r="C699" t="n">
        <v>5.5</v>
      </c>
      <c r="D699" t="n">
        <v>8.6</v>
      </c>
      <c r="E699" t="n">
        <v>7.1</v>
      </c>
      <c r="G699" t="n">
        <v>6.44718</v>
      </c>
      <c r="H699" t="n">
        <v>7.5</v>
      </c>
      <c r="I699" t="n">
        <v>5.1</v>
      </c>
      <c r="J699" t="n">
        <v>7.2</v>
      </c>
      <c r="K699" t="n">
        <v>12.2</v>
      </c>
      <c r="L699" t="n">
        <v>26.4</v>
      </c>
      <c r="M699" t="n">
        <v>9.5</v>
      </c>
      <c r="N699" t="n">
        <v>8.5</v>
      </c>
      <c r="O699" t="n">
        <v>10.4</v>
      </c>
      <c r="P699" t="n">
        <v>7.295127</v>
      </c>
      <c r="Q699" t="n">
        <v>7.8</v>
      </c>
      <c r="R699" t="n">
        <v>27.3</v>
      </c>
      <c r="S699" t="n">
        <v>10.8</v>
      </c>
      <c r="T699" t="n">
        <v>14.6</v>
      </c>
      <c r="U699" t="n">
        <v>6.1</v>
      </c>
      <c r="V699" t="n">
        <v>6.781888</v>
      </c>
      <c r="W699" t="n">
        <v>12.1</v>
      </c>
      <c r="X699" t="n">
        <v>4.3</v>
      </c>
      <c r="Y699" t="n">
        <v>3.2</v>
      </c>
      <c r="Z699" t="n">
        <v>5.6</v>
      </c>
      <c r="AA699" t="n">
        <v>12.6</v>
      </c>
      <c r="AB699" t="n">
        <v>4.849124</v>
      </c>
      <c r="AC699" t="n">
        <v>7.7</v>
      </c>
      <c r="AD699" t="n">
        <v>4</v>
      </c>
      <c r="AE699" t="n">
        <v>8.203899</v>
      </c>
      <c r="AF699" t="n">
        <v>10.9</v>
      </c>
      <c r="AG699" t="n">
        <v>18.3</v>
      </c>
      <c r="AH699" t="n">
        <v>14.2</v>
      </c>
      <c r="AI699" t="n">
        <v>10.5</v>
      </c>
      <c r="AJ699" t="n">
        <v>8.199999999999999</v>
      </c>
      <c r="AK699" t="n">
        <v>8.800000000000001</v>
      </c>
      <c r="AL699" t="n">
        <v>7.7</v>
      </c>
    </row>
    <row r="700">
      <c r="A700" s="78" t="n">
        <v>41334</v>
      </c>
      <c r="B700" t="n">
        <v>5.637906</v>
      </c>
      <c r="C700" t="n">
        <v>6</v>
      </c>
      <c r="D700" t="n">
        <v>8.6</v>
      </c>
      <c r="E700" t="n">
        <v>7.3</v>
      </c>
      <c r="G700" t="n">
        <v>6.534553</v>
      </c>
      <c r="H700" t="n">
        <v>7.4</v>
      </c>
      <c r="I700" t="n">
        <v>5</v>
      </c>
      <c r="J700" t="n">
        <v>7.5</v>
      </c>
      <c r="K700" t="n">
        <v>12.2</v>
      </c>
      <c r="L700" t="n">
        <v>26.4</v>
      </c>
      <c r="M700" t="n">
        <v>8.9</v>
      </c>
      <c r="N700" t="n">
        <v>8.199999999999999</v>
      </c>
      <c r="O700" t="n">
        <v>10.4</v>
      </c>
      <c r="P700" t="n">
        <v>7.194689</v>
      </c>
      <c r="Q700" t="n">
        <v>7.8</v>
      </c>
      <c r="R700" t="n">
        <v>27.6</v>
      </c>
      <c r="S700" t="n">
        <v>10.2</v>
      </c>
      <c r="T700" t="n">
        <v>14.3</v>
      </c>
      <c r="U700" t="n">
        <v>6.2</v>
      </c>
      <c r="V700" t="n">
        <v>6.71277</v>
      </c>
      <c r="W700" t="n">
        <v>12.1</v>
      </c>
      <c r="X700" t="n">
        <v>4.1</v>
      </c>
      <c r="Y700" t="n">
        <v>3</v>
      </c>
      <c r="Z700" t="n">
        <v>5.7</v>
      </c>
      <c r="AA700" t="n">
        <v>12</v>
      </c>
      <c r="AB700" t="n">
        <v>4.907835</v>
      </c>
      <c r="AC700" t="n">
        <v>7.9</v>
      </c>
      <c r="AD700" t="n">
        <v>4.1</v>
      </c>
      <c r="AE700" t="n">
        <v>8.14099</v>
      </c>
      <c r="AF700" t="n">
        <v>10.9</v>
      </c>
      <c r="AG700" t="n">
        <v>18.2</v>
      </c>
      <c r="AH700" t="n">
        <v>14.2</v>
      </c>
      <c r="AI700" t="n">
        <v>10.8</v>
      </c>
      <c r="AJ700" t="n">
        <v>8.5</v>
      </c>
      <c r="AK700" t="n">
        <v>9</v>
      </c>
      <c r="AL700" t="n">
        <v>7.5</v>
      </c>
    </row>
    <row r="701">
      <c r="A701" s="78" t="n">
        <v>41365</v>
      </c>
      <c r="B701" t="n">
        <v>5.585432</v>
      </c>
      <c r="C701" t="n">
        <v>5.5</v>
      </c>
      <c r="D701" t="n">
        <v>8.6</v>
      </c>
      <c r="E701" t="n">
        <v>7.2</v>
      </c>
      <c r="G701" t="n">
        <v>6.316784</v>
      </c>
      <c r="H701" t="n">
        <v>6.9</v>
      </c>
      <c r="I701" t="n">
        <v>5</v>
      </c>
      <c r="J701" t="n">
        <v>8.300000000000001</v>
      </c>
      <c r="K701" t="n">
        <v>12.2</v>
      </c>
      <c r="L701" t="n">
        <v>26.3</v>
      </c>
      <c r="M701" t="n">
        <v>8</v>
      </c>
      <c r="N701" t="n">
        <v>8.199999999999999</v>
      </c>
      <c r="O701" t="n">
        <v>10.5</v>
      </c>
      <c r="P701" t="n">
        <v>7.21913</v>
      </c>
      <c r="Q701" t="n">
        <v>7.8</v>
      </c>
      <c r="R701" t="n">
        <v>28</v>
      </c>
      <c r="S701" t="n">
        <v>10</v>
      </c>
      <c r="T701" t="n">
        <v>14.5</v>
      </c>
      <c r="U701" t="n">
        <v>6.1</v>
      </c>
      <c r="V701" t="n">
        <v>6.702244</v>
      </c>
      <c r="W701" t="n">
        <v>12.3</v>
      </c>
      <c r="X701" t="n">
        <v>4.1</v>
      </c>
      <c r="Y701" t="n">
        <v>3</v>
      </c>
      <c r="Z701" t="n">
        <v>5.7</v>
      </c>
      <c r="AA701" t="n">
        <v>11.5</v>
      </c>
      <c r="AB701" t="n">
        <v>5.144715</v>
      </c>
      <c r="AC701" t="n">
        <v>8</v>
      </c>
      <c r="AD701" t="n">
        <v>4.1</v>
      </c>
      <c r="AE701" t="n">
        <v>8.165145000000001</v>
      </c>
      <c r="AF701" t="n">
        <v>11</v>
      </c>
      <c r="AG701" t="n">
        <v>17.9</v>
      </c>
      <c r="AH701" t="n">
        <v>14.2</v>
      </c>
      <c r="AI701" t="n">
        <v>10.8</v>
      </c>
      <c r="AJ701" t="n">
        <v>8.4</v>
      </c>
      <c r="AK701" t="n">
        <v>9.1</v>
      </c>
      <c r="AL701" t="n">
        <v>7.6</v>
      </c>
    </row>
    <row r="702">
      <c r="A702" s="78" t="n">
        <v>41395</v>
      </c>
      <c r="B702" t="n">
        <v>5.605447</v>
      </c>
      <c r="C702" t="n">
        <v>5.4</v>
      </c>
      <c r="D702" t="n">
        <v>8.6</v>
      </c>
      <c r="E702" t="n">
        <v>7</v>
      </c>
      <c r="G702" t="n">
        <v>6.008677</v>
      </c>
      <c r="H702" t="n">
        <v>7.2</v>
      </c>
      <c r="I702" t="n">
        <v>5</v>
      </c>
      <c r="J702" t="n">
        <v>6.6</v>
      </c>
      <c r="K702" t="n">
        <v>12.2</v>
      </c>
      <c r="L702" t="n">
        <v>26.1</v>
      </c>
      <c r="M702" t="n">
        <v>7.9</v>
      </c>
      <c r="N702" t="n">
        <v>8.6</v>
      </c>
      <c r="O702" t="n">
        <v>10.4</v>
      </c>
      <c r="P702" t="n">
        <v>7.179556</v>
      </c>
      <c r="Q702" t="n">
        <v>7.7</v>
      </c>
      <c r="R702" t="n">
        <v>28</v>
      </c>
      <c r="S702" t="n">
        <v>10.1</v>
      </c>
      <c r="T702" t="n">
        <v>14.5</v>
      </c>
      <c r="U702" t="n">
        <v>6</v>
      </c>
      <c r="V702" t="n">
        <v>6.645461</v>
      </c>
      <c r="W702" t="n">
        <v>12.4</v>
      </c>
      <c r="X702" t="n">
        <v>4.1</v>
      </c>
      <c r="Y702" t="n">
        <v>3</v>
      </c>
      <c r="Z702" t="n">
        <v>5.8</v>
      </c>
      <c r="AA702" t="n">
        <v>11.3</v>
      </c>
      <c r="AB702" t="n">
        <v>5.085436</v>
      </c>
      <c r="AC702" t="n">
        <v>8.1</v>
      </c>
      <c r="AD702" t="n">
        <v>3.9</v>
      </c>
      <c r="AE702" t="n">
        <v>8.087804999999999</v>
      </c>
      <c r="AF702" t="n">
        <v>10.9</v>
      </c>
      <c r="AG702" t="n">
        <v>17.7</v>
      </c>
      <c r="AH702" t="n">
        <v>14.2</v>
      </c>
      <c r="AI702" t="n">
        <v>10.6</v>
      </c>
      <c r="AJ702" t="n">
        <v>8</v>
      </c>
      <c r="AK702" t="n">
        <v>9</v>
      </c>
      <c r="AL702" t="n">
        <v>7.5</v>
      </c>
    </row>
    <row r="703">
      <c r="A703" s="78" t="n">
        <v>41426</v>
      </c>
      <c r="B703" t="n">
        <v>5.695533</v>
      </c>
      <c r="C703" t="n">
        <v>5.4</v>
      </c>
      <c r="D703" t="n">
        <v>8.5</v>
      </c>
      <c r="E703" t="n">
        <v>7.2</v>
      </c>
      <c r="G703" t="n">
        <v>5.595776</v>
      </c>
      <c r="H703" t="n">
        <v>6.7</v>
      </c>
      <c r="I703" t="n">
        <v>4.9</v>
      </c>
      <c r="J703" t="n">
        <v>7.5</v>
      </c>
      <c r="K703" t="n">
        <v>12.1</v>
      </c>
      <c r="L703" t="n">
        <v>26.1</v>
      </c>
      <c r="M703" t="n">
        <v>7.7</v>
      </c>
      <c r="N703" t="n">
        <v>7.4</v>
      </c>
      <c r="O703" t="n">
        <v>10.4</v>
      </c>
      <c r="P703" t="n">
        <v>7.150648</v>
      </c>
      <c r="Q703" t="n">
        <v>7.7</v>
      </c>
      <c r="R703" t="n">
        <v>27.9</v>
      </c>
      <c r="S703" t="n">
        <v>9.699999999999999</v>
      </c>
      <c r="T703" t="n">
        <v>14.1</v>
      </c>
      <c r="U703" t="n">
        <v>6</v>
      </c>
      <c r="V703" t="n">
        <v>6.180736</v>
      </c>
      <c r="W703" t="n">
        <v>12.4</v>
      </c>
      <c r="X703" t="n">
        <v>3.9</v>
      </c>
      <c r="Y703" t="n">
        <v>3.1</v>
      </c>
      <c r="Z703" t="n">
        <v>5.9</v>
      </c>
      <c r="AA703" t="n">
        <v>11.3</v>
      </c>
      <c r="AB703" t="n">
        <v>5.080559</v>
      </c>
      <c r="AC703" t="n">
        <v>8.300000000000001</v>
      </c>
      <c r="AD703" t="n">
        <v>3.7</v>
      </c>
      <c r="AE703" t="n">
        <v>8.041179</v>
      </c>
      <c r="AF703" t="n">
        <v>10.7</v>
      </c>
      <c r="AG703" t="n">
        <v>17.3</v>
      </c>
      <c r="AH703" t="n">
        <v>14.3</v>
      </c>
      <c r="AI703" t="n">
        <v>10.2</v>
      </c>
      <c r="AJ703" t="n">
        <v>8.199999999999999</v>
      </c>
      <c r="AK703" t="n">
        <v>8.9</v>
      </c>
      <c r="AL703" t="n">
        <v>7.5</v>
      </c>
    </row>
    <row r="704">
      <c r="A704" s="78" t="n">
        <v>41456</v>
      </c>
      <c r="B704" t="n">
        <v>5.629824</v>
      </c>
      <c r="C704" t="n">
        <v>5.9</v>
      </c>
      <c r="D704" t="n">
        <v>8.5</v>
      </c>
      <c r="E704" t="n">
        <v>7.1</v>
      </c>
      <c r="G704" t="n">
        <v>5.580482</v>
      </c>
      <c r="H704" t="n">
        <v>6.7</v>
      </c>
      <c r="I704" t="n">
        <v>4.9</v>
      </c>
      <c r="J704" t="n">
        <v>7.5</v>
      </c>
      <c r="K704" t="n">
        <v>12</v>
      </c>
      <c r="L704" t="n">
        <v>26.1</v>
      </c>
      <c r="M704" t="n">
        <v>7.7</v>
      </c>
      <c r="N704" t="n">
        <v>7.8</v>
      </c>
      <c r="O704" t="n">
        <v>10.3</v>
      </c>
      <c r="P704" t="n">
        <v>6.998662</v>
      </c>
      <c r="Q704" t="n">
        <v>7.7</v>
      </c>
      <c r="R704" t="n">
        <v>28.1</v>
      </c>
      <c r="S704" t="n">
        <v>9.699999999999999</v>
      </c>
      <c r="T704" t="n">
        <v>13.6</v>
      </c>
      <c r="U704" t="n">
        <v>6</v>
      </c>
      <c r="V704" t="n">
        <v>6.112481</v>
      </c>
      <c r="W704" t="n">
        <v>12.1</v>
      </c>
      <c r="X704" t="n">
        <v>3.8</v>
      </c>
      <c r="Y704" t="n">
        <v>3.2</v>
      </c>
      <c r="Z704" t="n">
        <v>5.9</v>
      </c>
      <c r="AA704" t="n">
        <v>11.8</v>
      </c>
      <c r="AB704" t="n">
        <v>4.820903</v>
      </c>
      <c r="AC704" t="n">
        <v>8.5</v>
      </c>
      <c r="AD704" t="n">
        <v>3.7</v>
      </c>
      <c r="AE704" t="n">
        <v>7.944949</v>
      </c>
      <c r="AF704" t="n">
        <v>10.6</v>
      </c>
      <c r="AG704" t="n">
        <v>17.3</v>
      </c>
      <c r="AH704" t="n">
        <v>14.1</v>
      </c>
      <c r="AI704" t="n">
        <v>9.800000000000001</v>
      </c>
      <c r="AJ704" t="n">
        <v>8.1</v>
      </c>
      <c r="AK704" t="n">
        <v>9.1</v>
      </c>
      <c r="AL704" t="n">
        <v>7.3</v>
      </c>
    </row>
    <row r="705">
      <c r="A705" s="78" t="n">
        <v>41487</v>
      </c>
      <c r="B705" t="n">
        <v>5.841269</v>
      </c>
      <c r="C705" t="n">
        <v>5.6</v>
      </c>
      <c r="D705" t="n">
        <v>8.4</v>
      </c>
      <c r="E705" t="n">
        <v>7.1</v>
      </c>
      <c r="G705" t="n">
        <v>5.645909</v>
      </c>
      <c r="H705" t="n">
        <v>7.1</v>
      </c>
      <c r="I705" t="n">
        <v>4.9</v>
      </c>
      <c r="J705" t="n">
        <v>7.1</v>
      </c>
      <c r="K705" t="n">
        <v>12</v>
      </c>
      <c r="L705" t="n">
        <v>26.1</v>
      </c>
      <c r="M705" t="n">
        <v>8</v>
      </c>
      <c r="N705" t="n">
        <v>8.199999999999999</v>
      </c>
      <c r="O705" t="n">
        <v>10.1</v>
      </c>
      <c r="P705" t="n">
        <v>7.024318</v>
      </c>
      <c r="Q705" t="n">
        <v>7.6</v>
      </c>
      <c r="R705" t="n">
        <v>27.9</v>
      </c>
      <c r="S705" t="n">
        <v>10</v>
      </c>
      <c r="T705" t="n">
        <v>13.3</v>
      </c>
      <c r="U705" t="n">
        <v>6</v>
      </c>
      <c r="V705" t="n">
        <v>5.762271</v>
      </c>
      <c r="W705" t="n">
        <v>12.4</v>
      </c>
      <c r="X705" t="n">
        <v>4.1</v>
      </c>
      <c r="Y705" t="n">
        <v>3.2</v>
      </c>
      <c r="Z705" t="n">
        <v>5.9</v>
      </c>
      <c r="AA705" t="n">
        <v>12.1</v>
      </c>
      <c r="AB705" t="n">
        <v>4.831328</v>
      </c>
      <c r="AC705" t="n">
        <v>8.5</v>
      </c>
      <c r="AD705" t="n">
        <v>4.3</v>
      </c>
      <c r="AE705" t="n">
        <v>7.96677</v>
      </c>
      <c r="AF705" t="n">
        <v>10.5</v>
      </c>
      <c r="AG705" t="n">
        <v>16.6</v>
      </c>
      <c r="AH705" t="n">
        <v>14</v>
      </c>
      <c r="AI705" t="n">
        <v>9.699999999999999</v>
      </c>
      <c r="AJ705" t="n">
        <v>8.199999999999999</v>
      </c>
      <c r="AK705" t="n">
        <v>9.199999999999999</v>
      </c>
      <c r="AL705" t="n">
        <v>7.2</v>
      </c>
    </row>
    <row r="706">
      <c r="A706" s="78" t="n">
        <v>41518</v>
      </c>
      <c r="B706" t="n">
        <v>5.704427</v>
      </c>
      <c r="C706" t="n">
        <v>6</v>
      </c>
      <c r="D706" t="n">
        <v>8.5</v>
      </c>
      <c r="E706" t="n">
        <v>7.1</v>
      </c>
      <c r="G706" t="n">
        <v>5.871895</v>
      </c>
      <c r="H706" t="n">
        <v>7</v>
      </c>
      <c r="I706" t="n">
        <v>4.9</v>
      </c>
      <c r="J706" t="n">
        <v>7.5</v>
      </c>
      <c r="K706" t="n">
        <v>12.1</v>
      </c>
      <c r="L706" t="n">
        <v>26</v>
      </c>
      <c r="M706" t="n">
        <v>8.199999999999999</v>
      </c>
      <c r="N706" t="n">
        <v>8.4</v>
      </c>
      <c r="O706" t="n">
        <v>10.2</v>
      </c>
      <c r="P706" t="n">
        <v>6.992409</v>
      </c>
      <c r="Q706" t="n">
        <v>7.4</v>
      </c>
      <c r="R706" t="n">
        <v>28.1</v>
      </c>
      <c r="S706" t="n">
        <v>9.300000000000001</v>
      </c>
      <c r="T706" t="n">
        <v>13.1</v>
      </c>
      <c r="U706" t="n">
        <v>6</v>
      </c>
      <c r="V706" t="n">
        <v>5.813193</v>
      </c>
      <c r="W706" t="n">
        <v>12.6</v>
      </c>
      <c r="X706" t="n">
        <v>3.9</v>
      </c>
      <c r="Y706" t="n">
        <v>3</v>
      </c>
      <c r="Z706" t="n">
        <v>6</v>
      </c>
      <c r="AA706" t="n">
        <v>12.1</v>
      </c>
      <c r="AB706" t="n">
        <v>4.948984</v>
      </c>
      <c r="AC706" t="n">
        <v>8.5</v>
      </c>
      <c r="AD706" t="n">
        <v>3.9</v>
      </c>
      <c r="AE706" t="n">
        <v>7.936287</v>
      </c>
      <c r="AF706" t="n">
        <v>10.4</v>
      </c>
      <c r="AG706" t="n">
        <v>16.3</v>
      </c>
      <c r="AH706" t="n">
        <v>14</v>
      </c>
      <c r="AI706" t="n">
        <v>9.6</v>
      </c>
      <c r="AJ706" t="n">
        <v>8.300000000000001</v>
      </c>
      <c r="AK706" t="n">
        <v>9.300000000000001</v>
      </c>
      <c r="AL706" t="n">
        <v>7.2</v>
      </c>
    </row>
    <row r="707">
      <c r="A707" s="78" t="n">
        <v>41548</v>
      </c>
      <c r="B707" t="n">
        <v>5.825302</v>
      </c>
      <c r="C707" t="n">
        <v>5.7</v>
      </c>
      <c r="D707" t="n">
        <v>8.6</v>
      </c>
      <c r="E707" t="n">
        <v>7.1</v>
      </c>
      <c r="G707" t="n">
        <v>6.071088</v>
      </c>
      <c r="H707" t="n">
        <v>6.6</v>
      </c>
      <c r="I707" t="n">
        <v>4.8</v>
      </c>
      <c r="J707" t="n">
        <v>6.8</v>
      </c>
      <c r="K707" t="n">
        <v>12</v>
      </c>
      <c r="L707" t="n">
        <v>26</v>
      </c>
      <c r="M707" t="n">
        <v>8.6</v>
      </c>
      <c r="N707" t="n">
        <v>8.1</v>
      </c>
      <c r="O707" t="n">
        <v>10.1</v>
      </c>
      <c r="P707" t="n">
        <v>6.947586</v>
      </c>
      <c r="Q707" t="n">
        <v>7.2</v>
      </c>
      <c r="R707" t="n">
        <v>27.7</v>
      </c>
      <c r="S707" t="n">
        <v>9.199999999999999</v>
      </c>
      <c r="T707" t="n">
        <v>12.9</v>
      </c>
      <c r="U707" t="n">
        <v>6</v>
      </c>
      <c r="V707" t="n">
        <v>5.665851</v>
      </c>
      <c r="W707" t="n">
        <v>12.6</v>
      </c>
      <c r="X707" t="n">
        <v>4</v>
      </c>
      <c r="Y707" t="n">
        <v>3.1</v>
      </c>
      <c r="Z707" t="n">
        <v>6</v>
      </c>
      <c r="AA707" t="n">
        <v>11.7</v>
      </c>
      <c r="AB707" t="n">
        <v>4.88637</v>
      </c>
      <c r="AC707" t="n">
        <v>8.5</v>
      </c>
      <c r="AD707" t="n">
        <v>3.6</v>
      </c>
      <c r="AE707" t="n">
        <v>7.860816</v>
      </c>
      <c r="AF707" t="n">
        <v>10.2</v>
      </c>
      <c r="AG707" t="n">
        <v>16.2</v>
      </c>
      <c r="AH707" t="n">
        <v>14</v>
      </c>
      <c r="AI707" t="n">
        <v>9.6</v>
      </c>
      <c r="AJ707" t="n">
        <v>8</v>
      </c>
      <c r="AK707" t="n">
        <v>9.1</v>
      </c>
      <c r="AL707" t="n">
        <v>7.2</v>
      </c>
    </row>
    <row r="708">
      <c r="A708" s="78" t="n">
        <v>41579</v>
      </c>
      <c r="B708" t="n">
        <v>5.798737</v>
      </c>
      <c r="C708" t="n">
        <v>6.1</v>
      </c>
      <c r="D708" t="n">
        <v>8.699999999999999</v>
      </c>
      <c r="E708" t="n">
        <v>7</v>
      </c>
      <c r="G708" t="n">
        <v>6.22874</v>
      </c>
      <c r="H708" t="n">
        <v>7.1</v>
      </c>
      <c r="I708" t="n">
        <v>4.8</v>
      </c>
      <c r="J708" t="n">
        <v>7.6</v>
      </c>
      <c r="K708" t="n">
        <v>12</v>
      </c>
      <c r="L708" t="n">
        <v>25.9</v>
      </c>
      <c r="M708" t="n">
        <v>8.800000000000001</v>
      </c>
      <c r="N708" t="n">
        <v>8.9</v>
      </c>
      <c r="O708" t="n">
        <v>10.2</v>
      </c>
      <c r="P708" t="n">
        <v>6.820237</v>
      </c>
      <c r="Q708" t="n">
        <v>7.2</v>
      </c>
      <c r="R708" t="n">
        <v>27.9</v>
      </c>
      <c r="S708" t="n">
        <v>9</v>
      </c>
      <c r="T708" t="n">
        <v>12.8</v>
      </c>
      <c r="U708" t="n">
        <v>5.9</v>
      </c>
      <c r="V708" t="n">
        <v>5.691224</v>
      </c>
      <c r="W708" t="n">
        <v>12.5</v>
      </c>
      <c r="X708" t="n">
        <v>3.9</v>
      </c>
      <c r="Y708" t="n">
        <v>3.1</v>
      </c>
      <c r="Z708" t="n">
        <v>6</v>
      </c>
      <c r="AA708" t="n">
        <v>11.5</v>
      </c>
      <c r="AB708" t="n">
        <v>4.629583</v>
      </c>
      <c r="AC708" t="n">
        <v>8.4</v>
      </c>
      <c r="AD708" t="n">
        <v>3.8</v>
      </c>
      <c r="AE708" t="n">
        <v>7.795774</v>
      </c>
      <c r="AF708" t="n">
        <v>10.2</v>
      </c>
      <c r="AG708" t="n">
        <v>16.1</v>
      </c>
      <c r="AH708" t="n">
        <v>14</v>
      </c>
      <c r="AI708" t="n">
        <v>9.699999999999999</v>
      </c>
      <c r="AJ708" t="n">
        <v>8.199999999999999</v>
      </c>
      <c r="AK708" t="n">
        <v>9.199999999999999</v>
      </c>
      <c r="AL708" t="n">
        <v>6.9</v>
      </c>
    </row>
    <row r="709">
      <c r="A709" s="78" t="n">
        <v>41609</v>
      </c>
      <c r="B709" t="n">
        <v>5.901239</v>
      </c>
      <c r="C709" t="n">
        <v>5.8</v>
      </c>
      <c r="D709" t="n">
        <v>8.699999999999999</v>
      </c>
      <c r="E709" t="n">
        <v>7.3</v>
      </c>
      <c r="G709" t="n">
        <v>6.600401</v>
      </c>
      <c r="H709" t="n">
        <v>6.7</v>
      </c>
      <c r="I709" t="n">
        <v>4.9</v>
      </c>
      <c r="J709" t="n">
        <v>6.9</v>
      </c>
      <c r="K709" t="n">
        <v>11.9</v>
      </c>
      <c r="L709" t="n">
        <v>25.6</v>
      </c>
      <c r="M709" t="n">
        <v>8.5</v>
      </c>
      <c r="N709" t="n">
        <v>8.5</v>
      </c>
      <c r="O709" t="n">
        <v>10.2</v>
      </c>
      <c r="P709" t="n">
        <v>6.709567</v>
      </c>
      <c r="Q709" t="n">
        <v>7.2</v>
      </c>
      <c r="R709" t="n">
        <v>27.8</v>
      </c>
      <c r="S709" t="n">
        <v>8.6</v>
      </c>
      <c r="T709" t="n">
        <v>12.8</v>
      </c>
      <c r="U709" t="n">
        <v>5.9</v>
      </c>
      <c r="V709" t="n">
        <v>5.837482</v>
      </c>
      <c r="W709" t="n">
        <v>12.6</v>
      </c>
      <c r="X709" t="n">
        <v>3.7</v>
      </c>
      <c r="Y709" t="n">
        <v>3.2</v>
      </c>
      <c r="Z709" t="n">
        <v>6</v>
      </c>
      <c r="AA709" t="n">
        <v>11.4</v>
      </c>
      <c r="AB709" t="n">
        <v>4.757921</v>
      </c>
      <c r="AC709" t="n">
        <v>8.5</v>
      </c>
      <c r="AD709" t="n">
        <v>4.4</v>
      </c>
      <c r="AE709" t="n">
        <v>7.709555</v>
      </c>
      <c r="AF709" t="n">
        <v>10.2</v>
      </c>
      <c r="AG709" t="n">
        <v>15.8</v>
      </c>
      <c r="AH709" t="n">
        <v>14</v>
      </c>
      <c r="AI709" t="n">
        <v>9.9</v>
      </c>
      <c r="AJ709" t="n">
        <v>8.199999999999999</v>
      </c>
      <c r="AK709" t="n">
        <v>9.1</v>
      </c>
      <c r="AL709" t="n">
        <v>6.7</v>
      </c>
    </row>
    <row r="710">
      <c r="A710" s="78" t="n">
        <v>41640</v>
      </c>
      <c r="B710" t="n">
        <v>5.939913</v>
      </c>
      <c r="C710" t="n">
        <v>6.2</v>
      </c>
      <c r="D710" t="n">
        <v>8.800000000000001</v>
      </c>
      <c r="E710" t="n">
        <v>7.1</v>
      </c>
      <c r="G710" t="n">
        <v>6.459732</v>
      </c>
      <c r="H710" t="n">
        <v>6.5</v>
      </c>
      <c r="I710" t="n">
        <v>4.8</v>
      </c>
      <c r="J710" t="n">
        <v>7.5</v>
      </c>
      <c r="K710" t="n">
        <v>12</v>
      </c>
      <c r="L710" t="n">
        <v>25.5</v>
      </c>
      <c r="M710" t="n">
        <v>8.699999999999999</v>
      </c>
      <c r="N710" t="n">
        <v>8.4</v>
      </c>
      <c r="O710" t="n">
        <v>10.2</v>
      </c>
      <c r="P710" t="n">
        <v>6.631528</v>
      </c>
      <c r="Q710" t="n">
        <v>6.9</v>
      </c>
      <c r="R710" t="n">
        <v>27.2</v>
      </c>
      <c r="S710" t="n">
        <v>7.8</v>
      </c>
      <c r="T710" t="n">
        <v>12.9</v>
      </c>
      <c r="U710" t="n">
        <v>5.8</v>
      </c>
      <c r="V710" t="n">
        <v>5.724321</v>
      </c>
      <c r="W710" t="n">
        <v>13</v>
      </c>
      <c r="X710" t="n">
        <v>3.7</v>
      </c>
      <c r="Y710" t="n">
        <v>3.2</v>
      </c>
      <c r="Z710" t="n">
        <v>6</v>
      </c>
      <c r="AA710" t="n">
        <v>11.5</v>
      </c>
      <c r="AB710" t="n">
        <v>4.886096</v>
      </c>
      <c r="AC710" t="n">
        <v>8.6</v>
      </c>
      <c r="AD710" t="n">
        <v>4.1</v>
      </c>
      <c r="AE710" t="n">
        <v>7.685596</v>
      </c>
      <c r="AF710" t="n">
        <v>10.3</v>
      </c>
      <c r="AG710" t="n">
        <v>15.6</v>
      </c>
      <c r="AH710" t="n">
        <v>13.9</v>
      </c>
      <c r="AI710" t="n">
        <v>10.2</v>
      </c>
      <c r="AJ710" t="n">
        <v>8.300000000000001</v>
      </c>
      <c r="AK710" t="n">
        <v>9.199999999999999</v>
      </c>
      <c r="AL710" t="n">
        <v>6.6</v>
      </c>
    </row>
    <row r="711">
      <c r="A711" s="78" t="n">
        <v>41671</v>
      </c>
      <c r="B711" t="n">
        <v>5.892735</v>
      </c>
      <c r="C711" t="n">
        <v>5.7</v>
      </c>
      <c r="D711" t="n">
        <v>8.699999999999999</v>
      </c>
      <c r="E711" t="n">
        <v>7.1</v>
      </c>
      <c r="G711" t="n">
        <v>6.524838</v>
      </c>
      <c r="H711" t="n">
        <v>6.5</v>
      </c>
      <c r="I711" t="n">
        <v>4.8</v>
      </c>
      <c r="J711" t="n">
        <v>6.9</v>
      </c>
      <c r="K711" t="n">
        <v>12</v>
      </c>
      <c r="L711" t="n">
        <v>25.3</v>
      </c>
      <c r="M711" t="n">
        <v>8.199999999999999</v>
      </c>
      <c r="N711" t="n">
        <v>8.800000000000001</v>
      </c>
      <c r="O711" t="n">
        <v>10.2</v>
      </c>
      <c r="P711" t="n">
        <v>6.644864</v>
      </c>
      <c r="Q711" t="n">
        <v>6.8</v>
      </c>
      <c r="R711" t="n">
        <v>27.6</v>
      </c>
      <c r="S711" t="n">
        <v>7.6</v>
      </c>
      <c r="T711" t="n">
        <v>12.9</v>
      </c>
      <c r="U711" t="n">
        <v>5.8</v>
      </c>
      <c r="V711" t="n">
        <v>5.868916</v>
      </c>
      <c r="W711" t="n">
        <v>13</v>
      </c>
      <c r="X711" t="n">
        <v>3.6</v>
      </c>
      <c r="Y711" t="n">
        <v>3.6</v>
      </c>
      <c r="Z711" t="n">
        <v>5.9</v>
      </c>
      <c r="AA711" t="n">
        <v>11.5</v>
      </c>
      <c r="AB711" t="n">
        <v>4.678504</v>
      </c>
      <c r="AC711" t="n">
        <v>8.699999999999999</v>
      </c>
      <c r="AD711" t="n">
        <v>3.3</v>
      </c>
      <c r="AE711" t="n">
        <v>7.699181</v>
      </c>
      <c r="AF711" t="n">
        <v>10.3</v>
      </c>
      <c r="AG711" t="n">
        <v>15.6</v>
      </c>
      <c r="AH711" t="n">
        <v>13.8</v>
      </c>
      <c r="AI711" t="n">
        <v>10.3</v>
      </c>
      <c r="AJ711" t="n">
        <v>8.199999999999999</v>
      </c>
      <c r="AK711" t="n">
        <v>9.5</v>
      </c>
      <c r="AL711" t="n">
        <v>6.7</v>
      </c>
    </row>
    <row r="712">
      <c r="A712" s="78" t="n">
        <v>41699</v>
      </c>
      <c r="B712" t="n">
        <v>5.871811</v>
      </c>
      <c r="C712" t="n">
        <v>6.3</v>
      </c>
      <c r="D712" t="n">
        <v>8.699999999999999</v>
      </c>
      <c r="E712" t="n">
        <v>7</v>
      </c>
      <c r="G712" t="n">
        <v>6.167931</v>
      </c>
      <c r="H712" t="n">
        <v>6.7</v>
      </c>
      <c r="I712" t="n">
        <v>4.8</v>
      </c>
      <c r="J712" t="n">
        <v>6.7</v>
      </c>
      <c r="K712" t="n">
        <v>11.9</v>
      </c>
      <c r="L712" t="n">
        <v>25.1</v>
      </c>
      <c r="M712" t="n">
        <v>8</v>
      </c>
      <c r="N712" t="n">
        <v>8.9</v>
      </c>
      <c r="O712" t="n">
        <v>10.2</v>
      </c>
      <c r="P712" t="n">
        <v>6.618783</v>
      </c>
      <c r="Q712" t="n">
        <v>6.6</v>
      </c>
      <c r="R712" t="n">
        <v>27.2</v>
      </c>
      <c r="S712" t="n">
        <v>7.8</v>
      </c>
      <c r="T712" t="n">
        <v>12.7</v>
      </c>
      <c r="U712" t="n">
        <v>5.7</v>
      </c>
      <c r="V712" t="n">
        <v>5.797529</v>
      </c>
      <c r="W712" t="n">
        <v>12.7</v>
      </c>
      <c r="X712" t="n">
        <v>3.7</v>
      </c>
      <c r="Y712" t="n">
        <v>3.4</v>
      </c>
      <c r="Z712" t="n">
        <v>6</v>
      </c>
      <c r="AA712" t="n">
        <v>11.3</v>
      </c>
      <c r="AB712" t="n">
        <v>5.223175</v>
      </c>
      <c r="AC712" t="n">
        <v>8.699999999999999</v>
      </c>
      <c r="AD712" t="n">
        <v>4.1</v>
      </c>
      <c r="AE712" t="n">
        <v>7.695704</v>
      </c>
      <c r="AF712" t="n">
        <v>10.1</v>
      </c>
      <c r="AG712" t="n">
        <v>15.4</v>
      </c>
      <c r="AH712" t="n">
        <v>13.7</v>
      </c>
      <c r="AI712" t="n">
        <v>10.1</v>
      </c>
      <c r="AJ712" t="n">
        <v>8.300000000000001</v>
      </c>
      <c r="AK712" t="n">
        <v>9.5</v>
      </c>
      <c r="AL712" t="n">
        <v>6.7</v>
      </c>
    </row>
    <row r="713">
      <c r="A713" s="78" t="n">
        <v>41730</v>
      </c>
      <c r="B713" t="n">
        <v>5.800508</v>
      </c>
      <c r="C713" t="n">
        <v>5.5</v>
      </c>
      <c r="D713" t="n">
        <v>8.6</v>
      </c>
      <c r="E713" t="n">
        <v>7.1</v>
      </c>
      <c r="G713" t="n">
        <v>6.117912</v>
      </c>
      <c r="H713" t="n">
        <v>6.3</v>
      </c>
      <c r="I713" t="n">
        <v>4.8</v>
      </c>
      <c r="J713" t="n">
        <v>6.7</v>
      </c>
      <c r="K713" t="n">
        <v>11.8</v>
      </c>
      <c r="L713" t="n">
        <v>24.8</v>
      </c>
      <c r="M713" t="n">
        <v>7.7</v>
      </c>
      <c r="N713" t="n">
        <v>8.300000000000001</v>
      </c>
      <c r="O713" t="n">
        <v>10.1</v>
      </c>
      <c r="P713" t="n">
        <v>6.427954</v>
      </c>
      <c r="Q713" t="n">
        <v>6.4</v>
      </c>
      <c r="R713" t="n">
        <v>27.1</v>
      </c>
      <c r="S713" t="n">
        <v>7.7</v>
      </c>
      <c r="T713" t="n">
        <v>12.4</v>
      </c>
      <c r="U713" t="n">
        <v>5.6</v>
      </c>
      <c r="V713" t="n">
        <v>5.808729</v>
      </c>
      <c r="W713" t="n">
        <v>12.8</v>
      </c>
      <c r="X713" t="n">
        <v>3.6</v>
      </c>
      <c r="Y713" t="n">
        <v>3.5</v>
      </c>
      <c r="Z713" t="n">
        <v>5.9</v>
      </c>
      <c r="AA713" t="n">
        <v>10.9</v>
      </c>
      <c r="AB713" t="n">
        <v>4.94511</v>
      </c>
      <c r="AC713" t="n">
        <v>8.6</v>
      </c>
      <c r="AD713" t="n">
        <v>3.6</v>
      </c>
      <c r="AE713" t="n">
        <v>7.51448</v>
      </c>
      <c r="AF713" t="n">
        <v>9.800000000000001</v>
      </c>
      <c r="AG713" t="n">
        <v>15.2</v>
      </c>
      <c r="AH713" t="n">
        <v>13.5</v>
      </c>
      <c r="AI713" t="n">
        <v>9.6</v>
      </c>
      <c r="AJ713" t="n">
        <v>8.300000000000001</v>
      </c>
      <c r="AK713" t="n">
        <v>9.699999999999999</v>
      </c>
      <c r="AL713" t="n">
        <v>6.2</v>
      </c>
    </row>
    <row r="714">
      <c r="A714" s="78" t="n">
        <v>41760</v>
      </c>
      <c r="B714" t="n">
        <v>5.925014</v>
      </c>
      <c r="C714" t="n">
        <v>5.8</v>
      </c>
      <c r="D714" t="n">
        <v>8.6</v>
      </c>
      <c r="E714" t="n">
        <v>7.1</v>
      </c>
      <c r="G714" t="n">
        <v>6.253453</v>
      </c>
      <c r="H714" t="n">
        <v>6.1</v>
      </c>
      <c r="I714" t="n">
        <v>4.7</v>
      </c>
      <c r="J714" t="n">
        <v>6.8</v>
      </c>
      <c r="K714" t="n">
        <v>11.7</v>
      </c>
      <c r="L714" t="n">
        <v>24.6</v>
      </c>
      <c r="M714" t="n">
        <v>7.1</v>
      </c>
      <c r="N714" t="n">
        <v>8.699999999999999</v>
      </c>
      <c r="O714" t="n">
        <v>10.2</v>
      </c>
      <c r="P714" t="n">
        <v>6.43355</v>
      </c>
      <c r="Q714" t="n">
        <v>6.3</v>
      </c>
      <c r="R714" t="n">
        <v>27.2</v>
      </c>
      <c r="S714" t="n">
        <v>8</v>
      </c>
      <c r="T714" t="n">
        <v>12.1</v>
      </c>
      <c r="U714" t="n">
        <v>5.5</v>
      </c>
      <c r="V714" t="n">
        <v>5.968716</v>
      </c>
      <c r="W714" t="n">
        <v>12.8</v>
      </c>
      <c r="X714" t="n">
        <v>3.6</v>
      </c>
      <c r="Y714" t="n">
        <v>3.5</v>
      </c>
      <c r="Z714" t="n">
        <v>6</v>
      </c>
      <c r="AA714" t="n">
        <v>10.6</v>
      </c>
      <c r="AB714" t="n">
        <v>5.064546</v>
      </c>
      <c r="AC714" t="n">
        <v>8.5</v>
      </c>
      <c r="AD714" t="n">
        <v>3.3</v>
      </c>
      <c r="AE714" t="n">
        <v>7.503326</v>
      </c>
      <c r="AF714" t="n">
        <v>9.5</v>
      </c>
      <c r="AG714" t="n">
        <v>14.9</v>
      </c>
      <c r="AH714" t="n">
        <v>13.4</v>
      </c>
      <c r="AI714" t="n">
        <v>9.5</v>
      </c>
      <c r="AJ714" t="n">
        <v>7.8</v>
      </c>
      <c r="AK714" t="n">
        <v>9.699999999999999</v>
      </c>
      <c r="AL714" t="n">
        <v>6.3</v>
      </c>
    </row>
    <row r="715">
      <c r="A715" s="78" t="n">
        <v>41791</v>
      </c>
      <c r="B715" t="n">
        <v>6.048446</v>
      </c>
      <c r="C715" t="n">
        <v>6.5</v>
      </c>
      <c r="D715" t="n">
        <v>8.5</v>
      </c>
      <c r="E715" t="n">
        <v>7.1</v>
      </c>
      <c r="G715" t="n">
        <v>6.267846</v>
      </c>
      <c r="H715" t="n">
        <v>6</v>
      </c>
      <c r="I715" t="n">
        <v>4.7</v>
      </c>
      <c r="J715" t="n">
        <v>7</v>
      </c>
      <c r="K715" t="n">
        <v>11.6</v>
      </c>
      <c r="L715" t="n">
        <v>24.3</v>
      </c>
      <c r="M715" t="n">
        <v>6.9</v>
      </c>
      <c r="N715" t="n">
        <v>8.9</v>
      </c>
      <c r="O715" t="n">
        <v>10.2</v>
      </c>
      <c r="P715" t="n">
        <v>6.302294</v>
      </c>
      <c r="Q715" t="n">
        <v>6.1</v>
      </c>
      <c r="R715" t="n">
        <v>26.7</v>
      </c>
      <c r="S715" t="n">
        <v>8.1</v>
      </c>
      <c r="T715" t="n">
        <v>12</v>
      </c>
      <c r="U715" t="n">
        <v>5.5</v>
      </c>
      <c r="V715" t="n">
        <v>6.05841</v>
      </c>
      <c r="W715" t="n">
        <v>12.3</v>
      </c>
      <c r="X715" t="n">
        <v>3.7</v>
      </c>
      <c r="Y715" t="n">
        <v>3.5</v>
      </c>
      <c r="Z715" t="n">
        <v>6</v>
      </c>
      <c r="AA715" t="n">
        <v>10.4</v>
      </c>
      <c r="AB715" t="n">
        <v>4.878765</v>
      </c>
      <c r="AC715" t="n">
        <v>8.300000000000001</v>
      </c>
      <c r="AD715" t="n">
        <v>3.3</v>
      </c>
      <c r="AE715" t="n">
        <v>7.423927</v>
      </c>
      <c r="AF715" t="n">
        <v>9.199999999999999</v>
      </c>
      <c r="AG715" t="n">
        <v>14.8</v>
      </c>
      <c r="AH715" t="n">
        <v>13.2</v>
      </c>
      <c r="AI715" t="n">
        <v>9.4</v>
      </c>
      <c r="AJ715" t="n">
        <v>8.300000000000001</v>
      </c>
      <c r="AK715" t="n">
        <v>9.699999999999999</v>
      </c>
      <c r="AL715" t="n">
        <v>6.1</v>
      </c>
    </row>
    <row r="716">
      <c r="A716" s="78" t="n">
        <v>41821</v>
      </c>
      <c r="B716" t="n">
        <v>6.184347</v>
      </c>
      <c r="C716" t="n">
        <v>6</v>
      </c>
      <c r="D716" t="n">
        <v>8.6</v>
      </c>
      <c r="E716" t="n">
        <v>7.1</v>
      </c>
      <c r="G716" t="n">
        <v>6.514197</v>
      </c>
      <c r="H716" t="n">
        <v>5.8</v>
      </c>
      <c r="I716" t="n">
        <v>4.7</v>
      </c>
      <c r="J716" t="n">
        <v>6.5</v>
      </c>
      <c r="K716" t="n">
        <v>11.6</v>
      </c>
      <c r="L716" t="n">
        <v>24.3</v>
      </c>
      <c r="M716" t="n">
        <v>7</v>
      </c>
      <c r="N716" t="n">
        <v>8</v>
      </c>
      <c r="O716" t="n">
        <v>10.2</v>
      </c>
      <c r="P716" t="n">
        <v>6.373434</v>
      </c>
      <c r="Q716" t="n">
        <v>6</v>
      </c>
      <c r="R716" t="n">
        <v>26.3</v>
      </c>
      <c r="S716" t="n">
        <v>7.5</v>
      </c>
      <c r="T716" t="n">
        <v>11.9</v>
      </c>
      <c r="U716" t="n">
        <v>5.5</v>
      </c>
      <c r="V716" t="n">
        <v>6.086911</v>
      </c>
      <c r="W716" t="n">
        <v>12.9</v>
      </c>
      <c r="X716" t="n">
        <v>3.7</v>
      </c>
      <c r="Y716" t="n">
        <v>3.5</v>
      </c>
      <c r="Z716" t="n">
        <v>6</v>
      </c>
      <c r="AA716" t="n">
        <v>10.7</v>
      </c>
      <c r="AB716" t="n">
        <v>5.158671</v>
      </c>
      <c r="AC716" t="n">
        <v>8.199999999999999</v>
      </c>
      <c r="AD716" t="n">
        <v>4.2</v>
      </c>
      <c r="AE716" t="n">
        <v>7.454369</v>
      </c>
      <c r="AF716" t="n">
        <v>8.9</v>
      </c>
      <c r="AG716" t="n">
        <v>14.6</v>
      </c>
      <c r="AH716" t="n">
        <v>13.1</v>
      </c>
      <c r="AI716" t="n">
        <v>9.4</v>
      </c>
      <c r="AJ716" t="n">
        <v>8</v>
      </c>
      <c r="AK716" t="n">
        <v>9.9</v>
      </c>
      <c r="AL716" t="n">
        <v>6.2</v>
      </c>
    </row>
    <row r="717">
      <c r="A717" s="78" t="n">
        <v>41852</v>
      </c>
      <c r="B717" t="n">
        <v>6.10196</v>
      </c>
      <c r="C717" t="n">
        <v>6</v>
      </c>
      <c r="D717" t="n">
        <v>8.6</v>
      </c>
      <c r="E717" t="n">
        <v>7</v>
      </c>
      <c r="G717" t="n">
        <v>6.522263</v>
      </c>
      <c r="H717" t="n">
        <v>6.2</v>
      </c>
      <c r="I717" t="n">
        <v>4.7</v>
      </c>
      <c r="J717" t="n">
        <v>7.1</v>
      </c>
      <c r="K717" t="n">
        <v>11.5</v>
      </c>
      <c r="L717" t="n">
        <v>24.1</v>
      </c>
      <c r="M717" t="n">
        <v>7.4</v>
      </c>
      <c r="N717" t="n">
        <v>8.5</v>
      </c>
      <c r="O717" t="n">
        <v>10.2</v>
      </c>
      <c r="P717" t="n">
        <v>6.282411</v>
      </c>
      <c r="Q717" t="n">
        <v>6</v>
      </c>
      <c r="R717" t="n">
        <v>26.3</v>
      </c>
      <c r="S717" t="n">
        <v>7</v>
      </c>
      <c r="T717" t="n">
        <v>11.7</v>
      </c>
      <c r="U717" t="n">
        <v>5.5</v>
      </c>
      <c r="V717" t="n">
        <v>6.109519</v>
      </c>
      <c r="W717" t="n">
        <v>12.5</v>
      </c>
      <c r="X717" t="n">
        <v>3.5</v>
      </c>
      <c r="Y717" t="n">
        <v>3.5</v>
      </c>
      <c r="Z717" t="n">
        <v>6</v>
      </c>
      <c r="AA717" t="n">
        <v>10.9</v>
      </c>
      <c r="AB717" t="n">
        <v>4.836818</v>
      </c>
      <c r="AC717" t="n">
        <v>8.1</v>
      </c>
      <c r="AD717" t="n">
        <v>3.6</v>
      </c>
      <c r="AE717" t="n">
        <v>7.380007</v>
      </c>
      <c r="AF717" t="n">
        <v>8.699999999999999</v>
      </c>
      <c r="AG717" t="n">
        <v>14</v>
      </c>
      <c r="AH717" t="n">
        <v>12.9</v>
      </c>
      <c r="AI717" t="n">
        <v>9.5</v>
      </c>
      <c r="AJ717" t="n">
        <v>8.199999999999999</v>
      </c>
      <c r="AK717" t="n">
        <v>10.2</v>
      </c>
      <c r="AL717" t="n">
        <v>6.1</v>
      </c>
    </row>
    <row r="718">
      <c r="A718" s="78" t="n">
        <v>41883</v>
      </c>
      <c r="B718" t="n">
        <v>6.225103</v>
      </c>
      <c r="C718" t="n">
        <v>6.2</v>
      </c>
      <c r="D718" t="n">
        <v>8.699999999999999</v>
      </c>
      <c r="E718" t="n">
        <v>6.9</v>
      </c>
      <c r="G718" t="n">
        <v>6.483289</v>
      </c>
      <c r="H718" t="n">
        <v>5.7</v>
      </c>
      <c r="I718" t="n">
        <v>4.7</v>
      </c>
      <c r="J718" t="n">
        <v>7.2</v>
      </c>
      <c r="K718" t="n">
        <v>11.5</v>
      </c>
      <c r="L718" t="n">
        <v>24</v>
      </c>
      <c r="M718" t="n">
        <v>7.1</v>
      </c>
      <c r="N718" t="n">
        <v>9.1</v>
      </c>
      <c r="O718" t="n">
        <v>10.3</v>
      </c>
      <c r="P718" t="n">
        <v>6.231651</v>
      </c>
      <c r="Q718" t="n">
        <v>6</v>
      </c>
      <c r="R718" t="n">
        <v>26.2</v>
      </c>
      <c r="S718" t="n">
        <v>7.3</v>
      </c>
      <c r="T718" t="n">
        <v>11.4</v>
      </c>
      <c r="U718" t="n">
        <v>5.4</v>
      </c>
      <c r="V718" t="n">
        <v>5.990863</v>
      </c>
      <c r="W718" t="n">
        <v>12.8</v>
      </c>
      <c r="X718" t="n">
        <v>3.5</v>
      </c>
      <c r="Y718" t="n">
        <v>3.5</v>
      </c>
      <c r="Z718" t="n">
        <v>6.1</v>
      </c>
      <c r="AA718" t="n">
        <v>10.9</v>
      </c>
      <c r="AB718" t="n">
        <v>4.771803</v>
      </c>
      <c r="AC718" t="n">
        <v>8</v>
      </c>
      <c r="AD718" t="n">
        <v>4.2</v>
      </c>
      <c r="AE718" t="n">
        <v>7.312276</v>
      </c>
      <c r="AF718" t="n">
        <v>8.5</v>
      </c>
      <c r="AG718" t="n">
        <v>13.8</v>
      </c>
      <c r="AH718" t="n">
        <v>12.6</v>
      </c>
      <c r="AI718" t="n">
        <v>9.6</v>
      </c>
      <c r="AJ718" t="n">
        <v>7.9</v>
      </c>
      <c r="AK718" t="n">
        <v>10.1</v>
      </c>
      <c r="AL718" t="n">
        <v>5.9</v>
      </c>
    </row>
    <row r="719">
      <c r="A719" s="78" t="n">
        <v>41913</v>
      </c>
      <c r="B719" t="n">
        <v>6.361503</v>
      </c>
      <c r="C719" t="n">
        <v>6</v>
      </c>
      <c r="D719" t="n">
        <v>8.699999999999999</v>
      </c>
      <c r="E719" t="n">
        <v>6.7</v>
      </c>
      <c r="G719" t="n">
        <v>6.444524</v>
      </c>
      <c r="H719" t="n">
        <v>5.6</v>
      </c>
      <c r="I719" t="n">
        <v>4.7</v>
      </c>
      <c r="J719" t="n">
        <v>6.8</v>
      </c>
      <c r="K719" t="n">
        <v>11.6</v>
      </c>
      <c r="L719" t="n">
        <v>23.9</v>
      </c>
      <c r="M719" t="n">
        <v>6.6</v>
      </c>
      <c r="N719" t="n">
        <v>9.199999999999999</v>
      </c>
      <c r="O719" t="n">
        <v>10.4</v>
      </c>
      <c r="P719" t="n">
        <v>6.161271</v>
      </c>
      <c r="Q719" t="n">
        <v>5.9</v>
      </c>
      <c r="R719" t="n">
        <v>26</v>
      </c>
      <c r="S719" t="n">
        <v>6.9</v>
      </c>
      <c r="T719" t="n">
        <v>11</v>
      </c>
      <c r="U719" t="n">
        <v>5.2</v>
      </c>
      <c r="V719" t="n">
        <v>5.596663</v>
      </c>
      <c r="W719" t="n">
        <v>12.9</v>
      </c>
      <c r="X719" t="n">
        <v>3.6</v>
      </c>
      <c r="Y719" t="n">
        <v>3.6</v>
      </c>
      <c r="Z719" t="n">
        <v>6.1</v>
      </c>
      <c r="AA719" t="n">
        <v>10.7</v>
      </c>
      <c r="AB719" t="n">
        <v>4.633536</v>
      </c>
      <c r="AC719" t="n">
        <v>8.1</v>
      </c>
      <c r="AD719" t="n">
        <v>4</v>
      </c>
      <c r="AE719" t="n">
        <v>7.274197</v>
      </c>
      <c r="AF719" t="n">
        <v>8.5</v>
      </c>
      <c r="AG719" t="n">
        <v>14</v>
      </c>
      <c r="AH719" t="n">
        <v>12.5</v>
      </c>
      <c r="AI719" t="n">
        <v>9.6</v>
      </c>
      <c r="AJ719" t="n">
        <v>8.199999999999999</v>
      </c>
      <c r="AK719" t="n">
        <v>10.4</v>
      </c>
      <c r="AL719" t="n">
        <v>5.7</v>
      </c>
    </row>
    <row r="720">
      <c r="A720" s="78" t="n">
        <v>41944</v>
      </c>
      <c r="B720" t="n">
        <v>6.301635</v>
      </c>
      <c r="C720" t="n">
        <v>6.2</v>
      </c>
      <c r="D720" t="n">
        <v>8.699999999999999</v>
      </c>
      <c r="E720" t="n">
        <v>6.7</v>
      </c>
      <c r="G720" t="n">
        <v>6.689941</v>
      </c>
      <c r="H720" t="n">
        <v>6.2</v>
      </c>
      <c r="I720" t="n">
        <v>4.6</v>
      </c>
      <c r="J720" t="n">
        <v>6.7</v>
      </c>
      <c r="K720" t="n">
        <v>11.6</v>
      </c>
      <c r="L720" t="n">
        <v>23.8</v>
      </c>
      <c r="M720" t="n">
        <v>6.4</v>
      </c>
      <c r="N720" t="n">
        <v>9</v>
      </c>
      <c r="O720" t="n">
        <v>10.6</v>
      </c>
      <c r="P720" t="n">
        <v>6.172484</v>
      </c>
      <c r="Q720" t="n">
        <v>5.7</v>
      </c>
      <c r="R720" t="n">
        <v>25.8</v>
      </c>
      <c r="S720" t="n">
        <v>7.1</v>
      </c>
      <c r="T720" t="n">
        <v>10.9</v>
      </c>
      <c r="U720" t="n">
        <v>5.1</v>
      </c>
      <c r="V720" t="n">
        <v>5.679642</v>
      </c>
      <c r="W720" t="n">
        <v>13.3</v>
      </c>
      <c r="X720" t="n">
        <v>3.4</v>
      </c>
      <c r="Y720" t="n">
        <v>3.6</v>
      </c>
      <c r="Z720" t="n">
        <v>6.2</v>
      </c>
      <c r="AA720" t="n">
        <v>10.5</v>
      </c>
      <c r="AB720" t="n">
        <v>4.683857</v>
      </c>
      <c r="AC720" t="n">
        <v>8.1</v>
      </c>
      <c r="AD720" t="n">
        <v>3.8</v>
      </c>
      <c r="AE720" t="n">
        <v>7.287018</v>
      </c>
      <c r="AF720" t="n">
        <v>8.4</v>
      </c>
      <c r="AG720" t="n">
        <v>13.9</v>
      </c>
      <c r="AH720" t="n">
        <v>12.4</v>
      </c>
      <c r="AI720" t="n">
        <v>9.6</v>
      </c>
      <c r="AJ720" t="n">
        <v>8.1</v>
      </c>
      <c r="AK720" t="n">
        <v>10.5</v>
      </c>
      <c r="AL720" t="n">
        <v>5.8</v>
      </c>
    </row>
    <row r="721">
      <c r="A721" s="78" t="n">
        <v>41974</v>
      </c>
      <c r="B721" t="n">
        <v>6.106355</v>
      </c>
      <c r="C721" t="n">
        <v>6.1</v>
      </c>
      <c r="D721" t="n">
        <v>8.699999999999999</v>
      </c>
      <c r="E721" t="n">
        <v>6.7</v>
      </c>
      <c r="G721" t="n">
        <v>6.598559</v>
      </c>
      <c r="H721" t="n">
        <v>5.8</v>
      </c>
      <c r="I721" t="n">
        <v>4.6</v>
      </c>
      <c r="J721" t="n">
        <v>7.1</v>
      </c>
      <c r="K721" t="n">
        <v>11.4</v>
      </c>
      <c r="L721" t="n">
        <v>23.7</v>
      </c>
      <c r="M721" t="n">
        <v>6.6</v>
      </c>
      <c r="N721" t="n">
        <v>9.4</v>
      </c>
      <c r="O721" t="n">
        <v>10.5</v>
      </c>
      <c r="P721" t="n">
        <v>5.989343</v>
      </c>
      <c r="Q721" t="n">
        <v>5.7</v>
      </c>
      <c r="R721" t="n">
        <v>25.9</v>
      </c>
      <c r="S721" t="n">
        <v>7.3</v>
      </c>
      <c r="T721" t="n">
        <v>10.8</v>
      </c>
      <c r="U721" t="n">
        <v>5</v>
      </c>
      <c r="V721" t="n">
        <v>5.683622</v>
      </c>
      <c r="W721" t="n">
        <v>12.3</v>
      </c>
      <c r="X721" t="n">
        <v>3.4</v>
      </c>
      <c r="Y721" t="n">
        <v>3.6</v>
      </c>
      <c r="Z721" t="n">
        <v>6.2</v>
      </c>
      <c r="AA721" t="n">
        <v>10.1</v>
      </c>
      <c r="AB721" t="n">
        <v>4.186705</v>
      </c>
      <c r="AC721" t="n">
        <v>8.199999999999999</v>
      </c>
      <c r="AD721" t="n">
        <v>3.9</v>
      </c>
      <c r="AE721" t="n">
        <v>7.145514</v>
      </c>
      <c r="AF721" t="n">
        <v>8.4</v>
      </c>
      <c r="AG721" t="n">
        <v>14.1</v>
      </c>
      <c r="AH721" t="n">
        <v>12.3</v>
      </c>
      <c r="AI721" t="n">
        <v>9.6</v>
      </c>
      <c r="AJ721" t="n">
        <v>7.7</v>
      </c>
      <c r="AK721" t="n">
        <v>10.3</v>
      </c>
      <c r="AL721" t="n">
        <v>5.6</v>
      </c>
    </row>
    <row r="722">
      <c r="A722" s="78" t="n">
        <v>42005</v>
      </c>
      <c r="B722" t="n">
        <v>6.344151</v>
      </c>
      <c r="C722" t="n">
        <v>5.9</v>
      </c>
      <c r="D722" t="n">
        <v>8.800000000000001</v>
      </c>
      <c r="E722" t="n">
        <v>6.7</v>
      </c>
      <c r="G722" t="n">
        <v>6.487649</v>
      </c>
      <c r="H722" t="n">
        <v>5.8</v>
      </c>
      <c r="I722" t="n">
        <v>4.5</v>
      </c>
      <c r="J722" t="n">
        <v>6</v>
      </c>
      <c r="K722" t="n">
        <v>11.3</v>
      </c>
      <c r="L722" t="n">
        <v>23.5</v>
      </c>
      <c r="M722" t="n">
        <v>7</v>
      </c>
      <c r="N722" t="n">
        <v>8.699999999999999</v>
      </c>
      <c r="O722" t="n">
        <v>10.4</v>
      </c>
      <c r="P722" t="n">
        <v>6.034533</v>
      </c>
      <c r="Q722" t="n">
        <v>5.6</v>
      </c>
      <c r="R722" t="n">
        <v>25.8</v>
      </c>
      <c r="S722" t="n">
        <v>7.3</v>
      </c>
      <c r="T722" t="n">
        <v>10.7</v>
      </c>
      <c r="U722" t="n">
        <v>5.1</v>
      </c>
      <c r="V722" t="n">
        <v>5.619031</v>
      </c>
      <c r="W722" t="n">
        <v>12.5</v>
      </c>
      <c r="X722" t="n">
        <v>3.6</v>
      </c>
      <c r="Y722" t="n">
        <v>3.5</v>
      </c>
      <c r="Z722" t="n">
        <v>6.3</v>
      </c>
      <c r="AA722" t="n">
        <v>9.800000000000001</v>
      </c>
      <c r="AB722" t="n">
        <v>4.337348</v>
      </c>
      <c r="AC722" t="n">
        <v>8.300000000000001</v>
      </c>
      <c r="AD722" t="n">
        <v>4.3</v>
      </c>
      <c r="AE722" t="n">
        <v>7.153519</v>
      </c>
      <c r="AF722" t="n">
        <v>8.4</v>
      </c>
      <c r="AG722" t="n">
        <v>14.2</v>
      </c>
      <c r="AH722" t="n">
        <v>12.3</v>
      </c>
      <c r="AI722" t="n">
        <v>9.300000000000001</v>
      </c>
      <c r="AJ722" t="n">
        <v>8</v>
      </c>
      <c r="AK722" t="n">
        <v>10.5</v>
      </c>
      <c r="AL722" t="n">
        <v>5.7</v>
      </c>
    </row>
    <row r="723">
      <c r="A723" s="78" t="n">
        <v>42036</v>
      </c>
      <c r="B723" t="n">
        <v>6.149868</v>
      </c>
      <c r="C723" t="n">
        <v>5.9</v>
      </c>
      <c r="D723" t="n">
        <v>8.9</v>
      </c>
      <c r="E723" t="n">
        <v>6.8</v>
      </c>
      <c r="G723" t="n">
        <v>6.241902</v>
      </c>
      <c r="H723" t="n">
        <v>5.9</v>
      </c>
      <c r="I723" t="n">
        <v>4.5</v>
      </c>
      <c r="J723" t="n">
        <v>6.5</v>
      </c>
      <c r="K723" t="n">
        <v>11.3</v>
      </c>
      <c r="L723" t="n">
        <v>23.2</v>
      </c>
      <c r="M723" t="n">
        <v>6.8</v>
      </c>
      <c r="N723" t="n">
        <v>9.699999999999999</v>
      </c>
      <c r="O723" t="n">
        <v>10.3</v>
      </c>
      <c r="P723" t="n">
        <v>5.949519</v>
      </c>
      <c r="Q723" t="n">
        <v>5.5</v>
      </c>
      <c r="R723" t="n">
        <v>25.9</v>
      </c>
      <c r="S723" t="n">
        <v>7.4</v>
      </c>
      <c r="T723" t="n">
        <v>10.7</v>
      </c>
      <c r="U723" t="n">
        <v>5.1</v>
      </c>
      <c r="V723" t="n">
        <v>5.278871</v>
      </c>
      <c r="W723" t="n">
        <v>12.5</v>
      </c>
      <c r="X723" t="n">
        <v>3.5</v>
      </c>
      <c r="Y723" t="n">
        <v>3.6</v>
      </c>
      <c r="Z723" t="n">
        <v>6.4</v>
      </c>
      <c r="AA723" t="n">
        <v>9.800000000000001</v>
      </c>
      <c r="AB723" t="n">
        <v>4.35492</v>
      </c>
      <c r="AC723" t="n">
        <v>8.1</v>
      </c>
      <c r="AD723" t="n">
        <v>4.7</v>
      </c>
      <c r="AE723" t="n">
        <v>7.098801</v>
      </c>
      <c r="AF723" t="n">
        <v>8.300000000000001</v>
      </c>
      <c r="AG723" t="n">
        <v>14</v>
      </c>
      <c r="AH723" t="n">
        <v>12.1</v>
      </c>
      <c r="AI723" t="n">
        <v>9.199999999999999</v>
      </c>
      <c r="AJ723" t="n">
        <v>8.1</v>
      </c>
      <c r="AK723" t="n">
        <v>10.7</v>
      </c>
      <c r="AL723" t="n">
        <v>5.5</v>
      </c>
    </row>
    <row r="724">
      <c r="A724" s="78" t="n">
        <v>42064</v>
      </c>
      <c r="B724" t="n">
        <v>6.099321</v>
      </c>
      <c r="C724" t="n">
        <v>5.9</v>
      </c>
      <c r="D724" t="n">
        <v>8.9</v>
      </c>
      <c r="E724" t="n">
        <v>6.9</v>
      </c>
      <c r="G724" t="n">
        <v>6.36637</v>
      </c>
      <c r="H724" t="n">
        <v>5.8</v>
      </c>
      <c r="I724" t="n">
        <v>4.5</v>
      </c>
      <c r="J724" t="n">
        <v>6.6</v>
      </c>
      <c r="K724" t="n">
        <v>11.3</v>
      </c>
      <c r="L724" t="n">
        <v>22.9</v>
      </c>
      <c r="M724" t="n">
        <v>6.7</v>
      </c>
      <c r="N724" t="n">
        <v>9.5</v>
      </c>
      <c r="O724" t="n">
        <v>10.4</v>
      </c>
      <c r="P724" t="n">
        <v>5.931341</v>
      </c>
      <c r="Q724" t="n">
        <v>5.5</v>
      </c>
      <c r="R724" t="n">
        <v>26.1</v>
      </c>
      <c r="S724" t="n">
        <v>7.2</v>
      </c>
      <c r="T724" t="n">
        <v>10.5</v>
      </c>
      <c r="U724" t="n">
        <v>5.1</v>
      </c>
      <c r="V724" t="n">
        <v>5.436393</v>
      </c>
      <c r="W724" t="n">
        <v>12.6</v>
      </c>
      <c r="X724" t="n">
        <v>3.4</v>
      </c>
      <c r="Y724" t="n">
        <v>3.5</v>
      </c>
      <c r="Z724" t="n">
        <v>6.4</v>
      </c>
      <c r="AA724" t="n">
        <v>9.9</v>
      </c>
      <c r="AB724" t="n">
        <v>4.232645</v>
      </c>
      <c r="AC724" t="n">
        <v>8.1</v>
      </c>
      <c r="AD724" t="n">
        <v>4.7</v>
      </c>
      <c r="AE724" t="n">
        <v>7.035068</v>
      </c>
      <c r="AF724" t="n">
        <v>8.1</v>
      </c>
      <c r="AG724" t="n">
        <v>13.7</v>
      </c>
      <c r="AH724" t="n">
        <v>11.9</v>
      </c>
      <c r="AI724" t="n">
        <v>9.199999999999999</v>
      </c>
      <c r="AJ724" t="n">
        <v>7.7</v>
      </c>
      <c r="AK724" t="n">
        <v>10.5</v>
      </c>
      <c r="AL724" t="n">
        <v>5.4</v>
      </c>
    </row>
    <row r="725">
      <c r="A725" s="78" t="n">
        <v>42095</v>
      </c>
      <c r="B725" t="n">
        <v>6.108062</v>
      </c>
      <c r="C725" t="n">
        <v>6.3</v>
      </c>
      <c r="D725" t="n">
        <v>8.800000000000001</v>
      </c>
      <c r="E725" t="n">
        <v>6.9</v>
      </c>
      <c r="G725" t="n">
        <v>6.519371</v>
      </c>
      <c r="H725" t="n">
        <v>5.2</v>
      </c>
      <c r="I725" t="n">
        <v>4.4</v>
      </c>
      <c r="J725" t="n">
        <v>6.5</v>
      </c>
      <c r="K725" t="n">
        <v>11.1</v>
      </c>
      <c r="L725" t="n">
        <v>22.7</v>
      </c>
      <c r="M725" t="n">
        <v>6.7</v>
      </c>
      <c r="N725" t="n">
        <v>9.5</v>
      </c>
      <c r="O725" t="n">
        <v>10.4</v>
      </c>
      <c r="P725" t="n">
        <v>5.897941</v>
      </c>
      <c r="Q725" t="n">
        <v>5.6</v>
      </c>
      <c r="R725" t="n">
        <v>25.4</v>
      </c>
      <c r="S725" t="n">
        <v>6.7</v>
      </c>
      <c r="T725" t="n">
        <v>10.3</v>
      </c>
      <c r="U725" t="n">
        <v>4.9</v>
      </c>
      <c r="V725" t="n">
        <v>4.901885</v>
      </c>
      <c r="W725" t="n">
        <v>12.2</v>
      </c>
      <c r="X725" t="n">
        <v>3.4</v>
      </c>
      <c r="Y725" t="n">
        <v>3.6</v>
      </c>
      <c r="Z725" t="n">
        <v>6.4</v>
      </c>
      <c r="AA725" t="n">
        <v>9.6</v>
      </c>
      <c r="AB725" t="n">
        <v>4.416589</v>
      </c>
      <c r="AC725" t="n">
        <v>8.1</v>
      </c>
      <c r="AD725" t="n">
        <v>4.6</v>
      </c>
      <c r="AE725" t="n">
        <v>7.028994</v>
      </c>
      <c r="AF725" t="n">
        <v>7.9</v>
      </c>
      <c r="AG725" t="n">
        <v>13.2</v>
      </c>
      <c r="AH725" t="n">
        <v>11.7</v>
      </c>
      <c r="AI725" t="n">
        <v>9.4</v>
      </c>
      <c r="AJ725" t="n">
        <v>8</v>
      </c>
      <c r="AK725" t="n">
        <v>10.5</v>
      </c>
      <c r="AL725" t="n">
        <v>5.4</v>
      </c>
    </row>
    <row r="726">
      <c r="A726" s="78" t="n">
        <v>42125</v>
      </c>
      <c r="B726" t="n">
        <v>5.926718</v>
      </c>
      <c r="C726" t="n">
        <v>6.5</v>
      </c>
      <c r="D726" t="n">
        <v>8.699999999999999</v>
      </c>
      <c r="E726" t="n">
        <v>6.9</v>
      </c>
      <c r="G726" t="n">
        <v>6.412762</v>
      </c>
      <c r="H726" t="n">
        <v>4.9</v>
      </c>
      <c r="I726" t="n">
        <v>4.4</v>
      </c>
      <c r="J726" t="n">
        <v>6.1</v>
      </c>
      <c r="K726" t="n">
        <v>11.1</v>
      </c>
      <c r="L726" t="n">
        <v>22.4</v>
      </c>
      <c r="M726" t="n">
        <v>6.4</v>
      </c>
      <c r="N726" t="n">
        <v>9.300000000000001</v>
      </c>
      <c r="O726" t="n">
        <v>10.5</v>
      </c>
      <c r="P726" t="n">
        <v>5.967945</v>
      </c>
      <c r="Q726" t="n">
        <v>5.6</v>
      </c>
      <c r="R726" t="n">
        <v>24.7</v>
      </c>
      <c r="S726" t="n">
        <v>6.7</v>
      </c>
      <c r="T726" t="n">
        <v>10</v>
      </c>
      <c r="U726" t="n">
        <v>4.8</v>
      </c>
      <c r="V726" t="n">
        <v>5.021663</v>
      </c>
      <c r="W726" t="n">
        <v>12.3</v>
      </c>
      <c r="X726" t="n">
        <v>3.3</v>
      </c>
      <c r="Y726" t="n">
        <v>3.7</v>
      </c>
      <c r="Z726" t="n">
        <v>6.5</v>
      </c>
      <c r="AA726" t="n">
        <v>9.699999999999999</v>
      </c>
      <c r="AB726" t="n">
        <v>4.54039</v>
      </c>
      <c r="AC726" t="n">
        <v>8</v>
      </c>
      <c r="AD726" t="n">
        <v>4.3</v>
      </c>
      <c r="AE726" t="n">
        <v>7.01406</v>
      </c>
      <c r="AF726" t="n">
        <v>7.7</v>
      </c>
      <c r="AG726" t="n">
        <v>12.7</v>
      </c>
      <c r="AH726" t="n">
        <v>11.6</v>
      </c>
      <c r="AI726" t="n">
        <v>9.5</v>
      </c>
      <c r="AJ726" t="n">
        <v>7.8</v>
      </c>
      <c r="AK726" t="n">
        <v>10.2</v>
      </c>
      <c r="AL726" t="n">
        <v>5.6</v>
      </c>
    </row>
    <row r="727">
      <c r="A727" s="78" t="n">
        <v>42156</v>
      </c>
      <c r="B727" t="n">
        <v>6.005911</v>
      </c>
      <c r="C727" t="n">
        <v>6.2</v>
      </c>
      <c r="D727" t="n">
        <v>8.5</v>
      </c>
      <c r="E727" t="n">
        <v>6.9</v>
      </c>
      <c r="G727" t="n">
        <v>6.37204</v>
      </c>
      <c r="H727" t="n">
        <v>5</v>
      </c>
      <c r="I727" t="n">
        <v>4.4</v>
      </c>
      <c r="J727" t="n">
        <v>6.4</v>
      </c>
      <c r="K727" t="n">
        <v>11</v>
      </c>
      <c r="L727" t="n">
        <v>22.2</v>
      </c>
      <c r="M727" t="n">
        <v>6.1</v>
      </c>
      <c r="N727" t="n">
        <v>9.9</v>
      </c>
      <c r="O727" t="n">
        <v>10.4</v>
      </c>
      <c r="P727" t="n">
        <v>5.816597</v>
      </c>
      <c r="Q727" t="n">
        <v>5.5</v>
      </c>
      <c r="R727" t="n">
        <v>25</v>
      </c>
      <c r="S727" t="n">
        <v>6.9</v>
      </c>
      <c r="T727" t="n">
        <v>9.800000000000001</v>
      </c>
      <c r="U727" t="n">
        <v>4.6</v>
      </c>
      <c r="V727" t="n">
        <v>5.352564</v>
      </c>
      <c r="W727" t="n">
        <v>12.3</v>
      </c>
      <c r="X727" t="n">
        <v>3.4</v>
      </c>
      <c r="Y727" t="n">
        <v>3.7</v>
      </c>
      <c r="Z727" t="n">
        <v>6.5</v>
      </c>
      <c r="AA727" t="n">
        <v>9.800000000000001</v>
      </c>
      <c r="AB727" t="n">
        <v>4.442748</v>
      </c>
      <c r="AC727" t="n">
        <v>7.9</v>
      </c>
      <c r="AD727" t="n">
        <v>4.7</v>
      </c>
      <c r="AE727" t="n">
        <v>6.901572</v>
      </c>
      <c r="AF727" t="n">
        <v>7.6</v>
      </c>
      <c r="AG727" t="n">
        <v>12.6</v>
      </c>
      <c r="AH727" t="n">
        <v>11.5</v>
      </c>
      <c r="AI727" t="n">
        <v>9.300000000000001</v>
      </c>
      <c r="AJ727" t="n">
        <v>7.7</v>
      </c>
      <c r="AK727" t="n">
        <v>10.2</v>
      </c>
      <c r="AL727" t="n">
        <v>5.3</v>
      </c>
    </row>
    <row r="728">
      <c r="A728" s="78" t="n">
        <v>42186</v>
      </c>
      <c r="B728" t="n">
        <v>6.28592</v>
      </c>
      <c r="C728" t="n">
        <v>6.1</v>
      </c>
      <c r="D728" t="n">
        <v>8.199999999999999</v>
      </c>
      <c r="E728" t="n">
        <v>6.9</v>
      </c>
      <c r="G728" t="n">
        <v>6.273429</v>
      </c>
      <c r="H728" t="n">
        <v>5</v>
      </c>
      <c r="I728" t="n">
        <v>4.3</v>
      </c>
      <c r="J728" t="n">
        <v>6.6</v>
      </c>
      <c r="K728" t="n">
        <v>10.8</v>
      </c>
      <c r="L728" t="n">
        <v>21.9</v>
      </c>
      <c r="M728" t="n">
        <v>5.6</v>
      </c>
      <c r="N728" t="n">
        <v>9.5</v>
      </c>
      <c r="O728" t="n">
        <v>10.3</v>
      </c>
      <c r="P728" t="n">
        <v>5.71449</v>
      </c>
      <c r="Q728" t="n">
        <v>5.4</v>
      </c>
      <c r="R728" t="n">
        <v>25</v>
      </c>
      <c r="S728" t="n">
        <v>6.3</v>
      </c>
      <c r="T728" t="n">
        <v>9.6</v>
      </c>
      <c r="U728" t="n">
        <v>4.4</v>
      </c>
      <c r="V728" t="n">
        <v>5.482321</v>
      </c>
      <c r="W728" t="n">
        <v>11.7</v>
      </c>
      <c r="X728" t="n">
        <v>3.3</v>
      </c>
      <c r="Y728" t="n">
        <v>3.7</v>
      </c>
      <c r="Z728" t="n">
        <v>6.5</v>
      </c>
      <c r="AA728" t="n">
        <v>9.9</v>
      </c>
      <c r="AB728" t="n">
        <v>4.451814</v>
      </c>
      <c r="AC728" t="n">
        <v>7.7</v>
      </c>
      <c r="AD728" t="n">
        <v>5.3</v>
      </c>
      <c r="AE728" t="n">
        <v>6.816556</v>
      </c>
      <c r="AF728" t="n">
        <v>7.5</v>
      </c>
      <c r="AG728" t="n">
        <v>12.6</v>
      </c>
      <c r="AH728" t="n">
        <v>11.4</v>
      </c>
      <c r="AI728" t="n">
        <v>9</v>
      </c>
      <c r="AJ728" t="n">
        <v>7.3</v>
      </c>
      <c r="AK728" t="n">
        <v>10.1</v>
      </c>
      <c r="AL728" t="n">
        <v>5.2</v>
      </c>
    </row>
    <row r="729">
      <c r="A729" s="78" t="n">
        <v>42217</v>
      </c>
      <c r="B729" t="n">
        <v>6.092102</v>
      </c>
      <c r="C729" t="n">
        <v>6</v>
      </c>
      <c r="D729" t="n">
        <v>8.1</v>
      </c>
      <c r="E729" t="n">
        <v>7</v>
      </c>
      <c r="G729" t="n">
        <v>6.326917</v>
      </c>
      <c r="H729" t="n">
        <v>4.7</v>
      </c>
      <c r="I729" t="n">
        <v>4.3</v>
      </c>
      <c r="J729" t="n">
        <v>6.1</v>
      </c>
      <c r="K729" t="n">
        <v>10.7</v>
      </c>
      <c r="L729" t="n">
        <v>21.6</v>
      </c>
      <c r="M729" t="n">
        <v>5.6</v>
      </c>
      <c r="N729" t="n">
        <v>9.5</v>
      </c>
      <c r="O729" t="n">
        <v>10.3</v>
      </c>
      <c r="P729" t="n">
        <v>5.665639</v>
      </c>
      <c r="Q729" t="n">
        <v>5.3</v>
      </c>
      <c r="R729" t="n">
        <v>24.2</v>
      </c>
      <c r="S729" t="n">
        <v>6.3</v>
      </c>
      <c r="T729" t="n">
        <v>9.5</v>
      </c>
      <c r="U729" t="n">
        <v>4.3</v>
      </c>
      <c r="V729" t="n">
        <v>5.080133</v>
      </c>
      <c r="W729" t="n">
        <v>11.6</v>
      </c>
      <c r="X729" t="n">
        <v>3.4</v>
      </c>
      <c r="Y729" t="n">
        <v>3.7</v>
      </c>
      <c r="Z729" t="n">
        <v>6.5</v>
      </c>
      <c r="AA729" t="n">
        <v>10</v>
      </c>
      <c r="AB729" t="n">
        <v>4.37662</v>
      </c>
      <c r="AC729" t="n">
        <v>7.7</v>
      </c>
      <c r="AD729" t="n">
        <v>4.2</v>
      </c>
      <c r="AE729" t="n">
        <v>6.770261</v>
      </c>
      <c r="AF729" t="n">
        <v>7.5</v>
      </c>
      <c r="AG729" t="n">
        <v>12.6</v>
      </c>
      <c r="AH729" t="n">
        <v>11.3</v>
      </c>
      <c r="AI729" t="n">
        <v>8.800000000000001</v>
      </c>
      <c r="AJ729" t="n">
        <v>7.1</v>
      </c>
      <c r="AK729" t="n">
        <v>10.1</v>
      </c>
      <c r="AL729" t="n">
        <v>5.1</v>
      </c>
    </row>
    <row r="730">
      <c r="A730" s="78" t="n">
        <v>42248</v>
      </c>
      <c r="B730" t="n">
        <v>6.160571</v>
      </c>
      <c r="C730" t="n">
        <v>6.2</v>
      </c>
      <c r="D730" t="n">
        <v>8.300000000000001</v>
      </c>
      <c r="E730" t="n">
        <v>7.1</v>
      </c>
      <c r="G730" t="n">
        <v>6.37749</v>
      </c>
      <c r="H730" t="n">
        <v>4.8</v>
      </c>
      <c r="I730" t="n">
        <v>4.3</v>
      </c>
      <c r="J730" t="n">
        <v>6</v>
      </c>
      <c r="K730" t="n">
        <v>10.7</v>
      </c>
      <c r="L730" t="n">
        <v>21.4</v>
      </c>
      <c r="M730" t="n">
        <v>6</v>
      </c>
      <c r="N730" t="n">
        <v>9.300000000000001</v>
      </c>
      <c r="O730" t="n">
        <v>10.3</v>
      </c>
      <c r="P730" t="n">
        <v>5.643587</v>
      </c>
      <c r="Q730" t="n">
        <v>5.2</v>
      </c>
      <c r="R730" t="n">
        <v>24.9</v>
      </c>
      <c r="S730" t="n">
        <v>6.3</v>
      </c>
      <c r="T730" t="n">
        <v>9.6</v>
      </c>
      <c r="U730" t="n">
        <v>4.2</v>
      </c>
      <c r="V730" t="n">
        <v>5.078891</v>
      </c>
      <c r="W730" t="n">
        <v>11.6</v>
      </c>
      <c r="X730" t="n">
        <v>3.4</v>
      </c>
      <c r="Y730" t="n">
        <v>3.5</v>
      </c>
      <c r="Z730" t="n">
        <v>6.5</v>
      </c>
      <c r="AA730" t="n">
        <v>10</v>
      </c>
      <c r="AB730" t="n">
        <v>4.188613</v>
      </c>
      <c r="AC730" t="n">
        <v>7.8</v>
      </c>
      <c r="AD730" t="n">
        <v>4.8</v>
      </c>
      <c r="AE730" t="n">
        <v>6.749398</v>
      </c>
      <c r="AF730" t="n">
        <v>7.4</v>
      </c>
      <c r="AG730" t="n">
        <v>12.7</v>
      </c>
      <c r="AH730" t="n">
        <v>11.1</v>
      </c>
      <c r="AI730" t="n">
        <v>8.6</v>
      </c>
      <c r="AJ730" t="n">
        <v>7.5</v>
      </c>
      <c r="AK730" t="n">
        <v>10.2</v>
      </c>
      <c r="AL730" t="n">
        <v>5</v>
      </c>
    </row>
    <row r="731">
      <c r="A731" s="78" t="n">
        <v>42278</v>
      </c>
      <c r="B731" t="n">
        <v>5.917469</v>
      </c>
      <c r="C731" t="n">
        <v>5.9</v>
      </c>
      <c r="D731" t="n">
        <v>8.800000000000001</v>
      </c>
      <c r="E731" t="n">
        <v>6.9</v>
      </c>
      <c r="G731" t="n">
        <v>6.412911</v>
      </c>
      <c r="H731" t="n">
        <v>4.6</v>
      </c>
      <c r="I731" t="n">
        <v>4.3</v>
      </c>
      <c r="J731" t="n">
        <v>6.2</v>
      </c>
      <c r="K731" t="n">
        <v>10.7</v>
      </c>
      <c r="L731" t="n">
        <v>21.2</v>
      </c>
      <c r="M731" t="n">
        <v>6.3</v>
      </c>
      <c r="N731" t="n">
        <v>9.6</v>
      </c>
      <c r="O731" t="n">
        <v>10.3</v>
      </c>
      <c r="P731" t="n">
        <v>5.603938</v>
      </c>
      <c r="Q731" t="n">
        <v>5.1</v>
      </c>
      <c r="R731" t="n">
        <v>24.8</v>
      </c>
      <c r="S731" t="n">
        <v>6.1</v>
      </c>
      <c r="T731" t="n">
        <v>9.6</v>
      </c>
      <c r="U731" t="n">
        <v>4.1</v>
      </c>
      <c r="V731" t="n">
        <v>5.209072</v>
      </c>
      <c r="W731" t="n">
        <v>11.8</v>
      </c>
      <c r="X731" t="n">
        <v>3.2</v>
      </c>
      <c r="Y731" t="n">
        <v>3.5</v>
      </c>
      <c r="Z731" t="n">
        <v>6.6</v>
      </c>
      <c r="AA731" t="n">
        <v>10</v>
      </c>
      <c r="AB731" t="n">
        <v>4.44116</v>
      </c>
      <c r="AC731" t="n">
        <v>7.9</v>
      </c>
      <c r="AD731" t="n">
        <v>5</v>
      </c>
      <c r="AE731" t="n">
        <v>6.731986</v>
      </c>
      <c r="AF731" t="n">
        <v>7.3</v>
      </c>
      <c r="AG731" t="n">
        <v>12.7</v>
      </c>
      <c r="AH731" t="n">
        <v>11</v>
      </c>
      <c r="AI731" t="n">
        <v>8.5</v>
      </c>
      <c r="AJ731" t="n">
        <v>7.4</v>
      </c>
      <c r="AK731" t="n">
        <v>10.2</v>
      </c>
      <c r="AL731" t="n">
        <v>5</v>
      </c>
    </row>
    <row r="732">
      <c r="A732" s="78" t="n">
        <v>42309</v>
      </c>
      <c r="B732" t="n">
        <v>5.857737</v>
      </c>
      <c r="C732" t="n">
        <v>6.8</v>
      </c>
      <c r="D732" t="n">
        <v>8.9</v>
      </c>
      <c r="E732" t="n">
        <v>7.1</v>
      </c>
      <c r="G732" t="n">
        <v>6.338155</v>
      </c>
      <c r="H732" t="n">
        <v>4.5</v>
      </c>
      <c r="I732" t="n">
        <v>4.2</v>
      </c>
      <c r="J732" t="n">
        <v>5.9</v>
      </c>
      <c r="K732" t="n">
        <v>10.6</v>
      </c>
      <c r="L732" t="n">
        <v>20.9</v>
      </c>
      <c r="M732" t="n">
        <v>6.7</v>
      </c>
      <c r="N732" t="n">
        <v>9.199999999999999</v>
      </c>
      <c r="O732" t="n">
        <v>10.3</v>
      </c>
      <c r="P732" t="n">
        <v>5.610434</v>
      </c>
      <c r="Q732" t="n">
        <v>5.1</v>
      </c>
      <c r="R732" t="n">
        <v>24.2</v>
      </c>
      <c r="S732" t="n">
        <v>6.1</v>
      </c>
      <c r="T732" t="n">
        <v>9.6</v>
      </c>
      <c r="U732" t="n">
        <v>3.9</v>
      </c>
      <c r="V732" t="n">
        <v>5.213775</v>
      </c>
      <c r="W732" t="n">
        <v>11.5</v>
      </c>
      <c r="X732" t="n">
        <v>3.3</v>
      </c>
      <c r="Y732" t="n">
        <v>3.6</v>
      </c>
      <c r="Z732" t="n">
        <v>6.5</v>
      </c>
      <c r="AA732" t="n">
        <v>10.1</v>
      </c>
      <c r="AB732" t="n">
        <v>4.090683</v>
      </c>
      <c r="AC732" t="n">
        <v>7.7</v>
      </c>
      <c r="AD732" t="n">
        <v>4.3</v>
      </c>
      <c r="AE732" t="n">
        <v>6.650192</v>
      </c>
      <c r="AF732" t="n">
        <v>7.2</v>
      </c>
      <c r="AG732" t="n">
        <v>12.6</v>
      </c>
      <c r="AH732" t="n">
        <v>10.8</v>
      </c>
      <c r="AI732" t="n">
        <v>8.4</v>
      </c>
      <c r="AJ732" t="n">
        <v>7.1</v>
      </c>
      <c r="AK732" t="n">
        <v>10.2</v>
      </c>
      <c r="AL732" t="n">
        <v>5.1</v>
      </c>
    </row>
    <row r="733">
      <c r="A733" s="78" t="n">
        <v>42339</v>
      </c>
      <c r="B733" t="n">
        <v>5.743566</v>
      </c>
      <c r="C733" t="n">
        <v>6.3</v>
      </c>
      <c r="D733" t="n">
        <v>8.9</v>
      </c>
      <c r="E733" t="n">
        <v>7.2</v>
      </c>
      <c r="G733" t="n">
        <v>6.280214</v>
      </c>
      <c r="H733" t="n">
        <v>4.6</v>
      </c>
      <c r="I733" t="n">
        <v>4.2</v>
      </c>
      <c r="J733" t="n">
        <v>6.3</v>
      </c>
      <c r="K733" t="n">
        <v>10.5</v>
      </c>
      <c r="L733" t="n">
        <v>20.8</v>
      </c>
      <c r="M733" t="n">
        <v>6.7</v>
      </c>
      <c r="N733" t="n">
        <v>9.699999999999999</v>
      </c>
      <c r="O733" t="n">
        <v>10.3</v>
      </c>
      <c r="P733" t="n">
        <v>5.5896</v>
      </c>
      <c r="Q733" t="n">
        <v>5.1</v>
      </c>
      <c r="R733" t="n">
        <v>24.2</v>
      </c>
      <c r="S733" t="n">
        <v>6.2</v>
      </c>
      <c r="T733" t="n">
        <v>9.1</v>
      </c>
      <c r="U733" t="n">
        <v>3.7</v>
      </c>
      <c r="V733" t="n">
        <v>5.161195</v>
      </c>
      <c r="W733" t="n">
        <v>11.7</v>
      </c>
      <c r="X733" t="n">
        <v>3.3</v>
      </c>
      <c r="Y733" t="n">
        <v>3.5</v>
      </c>
      <c r="Z733" t="n">
        <v>6.5</v>
      </c>
      <c r="AA733" t="n">
        <v>10</v>
      </c>
      <c r="AB733" t="n">
        <v>4.367577</v>
      </c>
      <c r="AC733" t="n">
        <v>7.6</v>
      </c>
      <c r="AD733" t="n">
        <v>5.2</v>
      </c>
      <c r="AE733" t="n">
        <v>6.689084</v>
      </c>
      <c r="AF733" t="n">
        <v>7</v>
      </c>
      <c r="AG733" t="n">
        <v>12.5</v>
      </c>
      <c r="AH733" t="n">
        <v>10.7</v>
      </c>
      <c r="AI733" t="n">
        <v>8.5</v>
      </c>
      <c r="AJ733" t="n">
        <v>7.4</v>
      </c>
      <c r="AK733" t="n">
        <v>10.4</v>
      </c>
      <c r="AL733" t="n">
        <v>5</v>
      </c>
    </row>
    <row r="734">
      <c r="A734" s="78" t="n">
        <v>42370</v>
      </c>
      <c r="B734" t="n">
        <v>6.031957</v>
      </c>
      <c r="C734" t="n">
        <v>6.5</v>
      </c>
      <c r="D734" t="n">
        <v>8.6</v>
      </c>
      <c r="E734" t="n">
        <v>7.2</v>
      </c>
      <c r="G734" t="n">
        <v>6.307234</v>
      </c>
      <c r="H734" t="n">
        <v>4.3</v>
      </c>
      <c r="I734" t="n">
        <v>4.2</v>
      </c>
      <c r="J734" t="n">
        <v>5.7</v>
      </c>
      <c r="K734" t="n">
        <v>10.4</v>
      </c>
      <c r="L734" t="n">
        <v>20.6</v>
      </c>
      <c r="M734" t="n">
        <v>6.6</v>
      </c>
      <c r="N734" t="n">
        <v>9.1</v>
      </c>
      <c r="O734" t="n">
        <v>10.3</v>
      </c>
      <c r="P734" t="n">
        <v>5.507017</v>
      </c>
      <c r="Q734" t="n">
        <v>5.1</v>
      </c>
      <c r="R734" t="n">
        <v>24.7</v>
      </c>
      <c r="S734" t="n">
        <v>5.7</v>
      </c>
      <c r="T734" t="n">
        <v>9.1</v>
      </c>
      <c r="U734" t="n">
        <v>3.7</v>
      </c>
      <c r="V734" t="n">
        <v>5.076906</v>
      </c>
      <c r="W734" t="n">
        <v>11.6</v>
      </c>
      <c r="X734" t="n">
        <v>3.2</v>
      </c>
      <c r="Y734" t="n">
        <v>3.5</v>
      </c>
      <c r="Z734" t="n">
        <v>6.4</v>
      </c>
      <c r="AA734" t="n">
        <v>10</v>
      </c>
      <c r="AB734" t="n">
        <v>4.084901</v>
      </c>
      <c r="AC734" t="n">
        <v>7.4</v>
      </c>
      <c r="AD734" t="n">
        <v>5</v>
      </c>
      <c r="AE734" t="n">
        <v>6.600114</v>
      </c>
      <c r="AF734" t="n">
        <v>6.8</v>
      </c>
      <c r="AG734" t="n">
        <v>12.4</v>
      </c>
      <c r="AH734" t="n">
        <v>10.5</v>
      </c>
      <c r="AI734" t="n">
        <v>8.4</v>
      </c>
      <c r="AJ734" t="n">
        <v>7.2</v>
      </c>
      <c r="AK734" t="n">
        <v>10.2</v>
      </c>
      <c r="AL734" t="n">
        <v>4.8</v>
      </c>
    </row>
    <row r="735">
      <c r="A735" s="78" t="n">
        <v>42401</v>
      </c>
      <c r="B735" t="n">
        <v>5.693488</v>
      </c>
      <c r="C735" t="n">
        <v>6.5</v>
      </c>
      <c r="D735" t="n">
        <v>8.4</v>
      </c>
      <c r="E735" t="n">
        <v>7.3</v>
      </c>
      <c r="G735" t="n">
        <v>6.504063</v>
      </c>
      <c r="H735" t="n">
        <v>4.2</v>
      </c>
      <c r="I735" t="n">
        <v>4.1</v>
      </c>
      <c r="J735" t="n">
        <v>6.1</v>
      </c>
      <c r="K735" t="n">
        <v>10.4</v>
      </c>
      <c r="L735" t="n">
        <v>20.4</v>
      </c>
      <c r="M735" t="n">
        <v>6.5</v>
      </c>
      <c r="N735" t="n">
        <v>9.1</v>
      </c>
      <c r="O735" t="n">
        <v>10.4</v>
      </c>
      <c r="P735" t="n">
        <v>5.541081</v>
      </c>
      <c r="Q735" t="n">
        <v>5.1</v>
      </c>
      <c r="R735" t="n">
        <v>24.2</v>
      </c>
      <c r="S735" t="n">
        <v>5.5</v>
      </c>
      <c r="T735" t="n">
        <v>8.9</v>
      </c>
      <c r="U735" t="n">
        <v>3.7</v>
      </c>
      <c r="V735" t="n">
        <v>5.327378</v>
      </c>
      <c r="W735" t="n">
        <v>11.8</v>
      </c>
      <c r="X735" t="n">
        <v>3.3</v>
      </c>
      <c r="Y735" t="n">
        <v>3.9</v>
      </c>
      <c r="Z735" t="n">
        <v>6.4</v>
      </c>
      <c r="AA735" t="n">
        <v>9.9</v>
      </c>
      <c r="AB735" t="n">
        <v>4.169754</v>
      </c>
      <c r="AC735" t="n">
        <v>7.5</v>
      </c>
      <c r="AD735" t="n">
        <v>5.6</v>
      </c>
      <c r="AE735" t="n">
        <v>6.596787</v>
      </c>
      <c r="AF735" t="n">
        <v>6.7</v>
      </c>
      <c r="AG735" t="n">
        <v>12.5</v>
      </c>
      <c r="AH735" t="n">
        <v>10.3</v>
      </c>
      <c r="AI735" t="n">
        <v>8.300000000000001</v>
      </c>
      <c r="AJ735" t="n">
        <v>7.3</v>
      </c>
      <c r="AK735" t="n">
        <v>10.1</v>
      </c>
      <c r="AL735" t="n">
        <v>4.9</v>
      </c>
    </row>
    <row r="736">
      <c r="A736" s="78" t="n">
        <v>42430</v>
      </c>
      <c r="B736" t="n">
        <v>5.64791</v>
      </c>
      <c r="C736" t="n">
        <v>6.2</v>
      </c>
      <c r="D736" t="n">
        <v>8.300000000000001</v>
      </c>
      <c r="E736" t="n">
        <v>7.1</v>
      </c>
      <c r="G736" t="n">
        <v>6.627378</v>
      </c>
      <c r="H736" t="n">
        <v>4</v>
      </c>
      <c r="I736" t="n">
        <v>4.1</v>
      </c>
      <c r="J736" t="n">
        <v>6.1</v>
      </c>
      <c r="K736" t="n">
        <v>10.3</v>
      </c>
      <c r="L736" t="n">
        <v>20.3</v>
      </c>
      <c r="M736" t="n">
        <v>6.7</v>
      </c>
      <c r="N736" t="n">
        <v>9.4</v>
      </c>
      <c r="O736" t="n">
        <v>10.2</v>
      </c>
      <c r="P736" t="n">
        <v>5.551051</v>
      </c>
      <c r="Q736" t="n">
        <v>5</v>
      </c>
      <c r="R736" t="n">
        <v>24.2</v>
      </c>
      <c r="S736" t="n">
        <v>5.6</v>
      </c>
      <c r="T736" t="n">
        <v>8.800000000000001</v>
      </c>
      <c r="U736" t="n">
        <v>3.7</v>
      </c>
      <c r="V736" t="n">
        <v>5.298774</v>
      </c>
      <c r="W736" t="n">
        <v>11.6</v>
      </c>
      <c r="X736" t="n">
        <v>3.2</v>
      </c>
      <c r="Y736" t="n">
        <v>3.7</v>
      </c>
      <c r="Z736" t="n">
        <v>6.4</v>
      </c>
      <c r="AA736" t="n">
        <v>9.699999999999999</v>
      </c>
      <c r="AB736" t="n">
        <v>4.095553</v>
      </c>
      <c r="AC736" t="n">
        <v>7.4</v>
      </c>
      <c r="AD736" t="n">
        <v>5.1</v>
      </c>
      <c r="AE736" t="n">
        <v>6.61357</v>
      </c>
      <c r="AF736" t="n">
        <v>6.6</v>
      </c>
      <c r="AG736" t="n">
        <v>12.3</v>
      </c>
      <c r="AH736" t="n">
        <v>10.1</v>
      </c>
      <c r="AI736" t="n">
        <v>8.300000000000001</v>
      </c>
      <c r="AJ736" t="n">
        <v>7.5</v>
      </c>
      <c r="AK736" t="n">
        <v>10.2</v>
      </c>
      <c r="AL736" t="n">
        <v>5</v>
      </c>
    </row>
    <row r="737">
      <c r="A737" s="78" t="n">
        <v>42461</v>
      </c>
      <c r="B737" t="n">
        <v>5.641243</v>
      </c>
      <c r="C737" t="n">
        <v>6.1</v>
      </c>
      <c r="D737" t="n">
        <v>8.300000000000001</v>
      </c>
      <c r="E737" t="n">
        <v>7.2</v>
      </c>
      <c r="G737" t="n">
        <v>6.800251</v>
      </c>
      <c r="H737" t="n">
        <v>4</v>
      </c>
      <c r="I737" t="n">
        <v>4</v>
      </c>
      <c r="J737" t="n">
        <v>6</v>
      </c>
      <c r="K737" t="n">
        <v>10.3</v>
      </c>
      <c r="L737" t="n">
        <v>20.3</v>
      </c>
      <c r="M737" t="n">
        <v>6.7</v>
      </c>
      <c r="N737" t="n">
        <v>8.9</v>
      </c>
      <c r="O737" t="n">
        <v>10.1</v>
      </c>
      <c r="P737" t="n">
        <v>5.565402</v>
      </c>
      <c r="Q737" t="n">
        <v>4.9</v>
      </c>
      <c r="R737" t="n">
        <v>23.9</v>
      </c>
      <c r="S737" t="n">
        <v>5.4</v>
      </c>
      <c r="T737" t="n">
        <v>8.9</v>
      </c>
      <c r="U737" t="n">
        <v>3.6</v>
      </c>
      <c r="V737" t="n">
        <v>5.053184</v>
      </c>
      <c r="W737" t="n">
        <v>11.8</v>
      </c>
      <c r="X737" t="n">
        <v>3.2</v>
      </c>
      <c r="Y737" t="n">
        <v>3.6</v>
      </c>
      <c r="Z737" t="n">
        <v>6.3</v>
      </c>
      <c r="AA737" t="n">
        <v>9.5</v>
      </c>
      <c r="AB737" t="n">
        <v>3.914311</v>
      </c>
      <c r="AC737" t="n">
        <v>7.4</v>
      </c>
      <c r="AD737" t="n">
        <v>5</v>
      </c>
      <c r="AE737" t="n">
        <v>6.535333</v>
      </c>
      <c r="AF737" t="n">
        <v>6.4</v>
      </c>
      <c r="AG737" t="n">
        <v>11.9</v>
      </c>
      <c r="AH737" t="n">
        <v>9.9</v>
      </c>
      <c r="AI737" t="n">
        <v>8.1</v>
      </c>
      <c r="AJ737" t="n">
        <v>6.9</v>
      </c>
      <c r="AK737" t="n">
        <v>10.1</v>
      </c>
      <c r="AL737" t="n">
        <v>5.1</v>
      </c>
    </row>
    <row r="738">
      <c r="A738" s="78" t="n">
        <v>42491</v>
      </c>
      <c r="B738" t="n">
        <v>5.717092</v>
      </c>
      <c r="C738" t="n">
        <v>6.9</v>
      </c>
      <c r="D738" t="n">
        <v>8.199999999999999</v>
      </c>
      <c r="E738" t="n">
        <v>7</v>
      </c>
      <c r="G738" t="n">
        <v>6.74311</v>
      </c>
      <c r="H738" t="n">
        <v>3.9</v>
      </c>
      <c r="I738" t="n">
        <v>4</v>
      </c>
      <c r="J738" t="n">
        <v>6.3</v>
      </c>
      <c r="K738" t="n">
        <v>10.2</v>
      </c>
      <c r="L738" t="n">
        <v>20.1</v>
      </c>
      <c r="M738" t="n">
        <v>6.5</v>
      </c>
      <c r="N738" t="n">
        <v>8.6</v>
      </c>
      <c r="O738" t="n">
        <v>10</v>
      </c>
      <c r="P738" t="n">
        <v>5.42803</v>
      </c>
      <c r="Q738" t="n">
        <v>4.9</v>
      </c>
      <c r="R738" t="n">
        <v>23.9</v>
      </c>
      <c r="S738" t="n">
        <v>5</v>
      </c>
      <c r="T738" t="n">
        <v>8.800000000000001</v>
      </c>
      <c r="U738" t="n">
        <v>3.4</v>
      </c>
      <c r="V738" t="n">
        <v>4.681149</v>
      </c>
      <c r="W738" t="n">
        <v>11.6</v>
      </c>
      <c r="X738" t="n">
        <v>3.2</v>
      </c>
      <c r="Y738" t="n">
        <v>3.5</v>
      </c>
      <c r="Z738" t="n">
        <v>6.2</v>
      </c>
      <c r="AA738" t="n">
        <v>9.4</v>
      </c>
      <c r="AB738" t="n">
        <v>4.117435</v>
      </c>
      <c r="AC738" t="n">
        <v>7.2</v>
      </c>
      <c r="AD738" t="n">
        <v>4.9</v>
      </c>
      <c r="AE738" t="n">
        <v>6.465635</v>
      </c>
      <c r="AF738" t="n">
        <v>6.4</v>
      </c>
      <c r="AG738" t="n">
        <v>11.5</v>
      </c>
      <c r="AH738" t="n">
        <v>9.800000000000001</v>
      </c>
      <c r="AI738" t="n">
        <v>8</v>
      </c>
      <c r="AJ738" t="n">
        <v>7.4</v>
      </c>
      <c r="AK738" t="n">
        <v>10.3</v>
      </c>
      <c r="AL738" t="n">
        <v>4.8</v>
      </c>
    </row>
    <row r="739">
      <c r="A739" s="78" t="n">
        <v>42522</v>
      </c>
      <c r="B739" t="n">
        <v>5.691614</v>
      </c>
      <c r="C739" t="n">
        <v>6.8</v>
      </c>
      <c r="D739" t="n">
        <v>8.1</v>
      </c>
      <c r="E739" t="n">
        <v>6.9</v>
      </c>
      <c r="G739" t="n">
        <v>6.905233</v>
      </c>
      <c r="H739" t="n">
        <v>4.2</v>
      </c>
      <c r="I739" t="n">
        <v>4</v>
      </c>
      <c r="J739" t="n">
        <v>5.9</v>
      </c>
      <c r="K739" t="n">
        <v>10.1</v>
      </c>
      <c r="L739" t="n">
        <v>19.9</v>
      </c>
      <c r="M739" t="n">
        <v>6.9</v>
      </c>
      <c r="N739" t="n">
        <v>9.300000000000001</v>
      </c>
      <c r="O739" t="n">
        <v>10</v>
      </c>
      <c r="P739" t="n">
        <v>5.431252</v>
      </c>
      <c r="Q739" t="n">
        <v>4.9</v>
      </c>
      <c r="R739" t="n">
        <v>23.6</v>
      </c>
      <c r="S739" t="n">
        <v>4.7</v>
      </c>
      <c r="T739" t="n">
        <v>8.699999999999999</v>
      </c>
      <c r="U739" t="n">
        <v>3.3</v>
      </c>
      <c r="V739" t="n">
        <v>4.656688</v>
      </c>
      <c r="W739" t="n">
        <v>11.7</v>
      </c>
      <c r="X739" t="n">
        <v>3.1</v>
      </c>
      <c r="Y739" t="n">
        <v>3.5</v>
      </c>
      <c r="Z739" t="n">
        <v>6.2</v>
      </c>
      <c r="AA739" t="n">
        <v>9.5</v>
      </c>
      <c r="AB739" t="n">
        <v>3.96118</v>
      </c>
      <c r="AC739" t="n">
        <v>7.1</v>
      </c>
      <c r="AD739" t="n">
        <v>4.6</v>
      </c>
      <c r="AE739" t="n">
        <v>6.469121</v>
      </c>
      <c r="AF739" t="n">
        <v>6.4</v>
      </c>
      <c r="AG739" t="n">
        <v>11.4</v>
      </c>
      <c r="AH739" t="n">
        <v>9.699999999999999</v>
      </c>
      <c r="AI739" t="n">
        <v>7.8</v>
      </c>
      <c r="AJ739" t="n">
        <v>6.9</v>
      </c>
      <c r="AK739" t="n">
        <v>10.7</v>
      </c>
      <c r="AL739" t="n">
        <v>4.9</v>
      </c>
    </row>
    <row r="740">
      <c r="A740" s="78" t="n">
        <v>42552</v>
      </c>
      <c r="B740" t="n">
        <v>5.705802</v>
      </c>
      <c r="C740" t="n">
        <v>6.4</v>
      </c>
      <c r="D740" t="n">
        <v>7.9</v>
      </c>
      <c r="E740" t="n">
        <v>7</v>
      </c>
      <c r="G740" t="n">
        <v>6.77077</v>
      </c>
      <c r="H740" t="n">
        <v>4.2</v>
      </c>
      <c r="I740" t="n">
        <v>3.9</v>
      </c>
      <c r="J740" t="n">
        <v>6.5</v>
      </c>
      <c r="K740" t="n">
        <v>10</v>
      </c>
      <c r="L740" t="n">
        <v>19.5</v>
      </c>
      <c r="M740" t="n">
        <v>6.9</v>
      </c>
      <c r="N740" t="n">
        <v>9</v>
      </c>
      <c r="O740" t="n">
        <v>9.800000000000001</v>
      </c>
      <c r="P740" t="n">
        <v>5.356213</v>
      </c>
      <c r="Q740" t="n">
        <v>5</v>
      </c>
      <c r="R740" t="n">
        <v>23.8</v>
      </c>
      <c r="S740" t="n">
        <v>5</v>
      </c>
      <c r="T740" t="n">
        <v>8.5</v>
      </c>
      <c r="U740" t="n">
        <v>3.2</v>
      </c>
      <c r="V740" t="n">
        <v>4.685</v>
      </c>
      <c r="W740" t="n">
        <v>11.5</v>
      </c>
      <c r="X740" t="n">
        <v>3</v>
      </c>
      <c r="Y740" t="n">
        <v>3.6</v>
      </c>
      <c r="Z740" t="n">
        <v>6.2</v>
      </c>
      <c r="AA740" t="n">
        <v>9.699999999999999</v>
      </c>
      <c r="AB740" t="n">
        <v>3.794302</v>
      </c>
      <c r="AC740" t="n">
        <v>7</v>
      </c>
      <c r="AD740" t="n">
        <v>5</v>
      </c>
      <c r="AE740" t="n">
        <v>6.420312</v>
      </c>
      <c r="AF740" t="n">
        <v>6.3</v>
      </c>
      <c r="AG740" t="n">
        <v>11.2</v>
      </c>
      <c r="AH740" t="n">
        <v>9.6</v>
      </c>
      <c r="AI740" t="n">
        <v>7.5</v>
      </c>
      <c r="AJ740" t="n">
        <v>7</v>
      </c>
      <c r="AK740" t="n">
        <v>11.1</v>
      </c>
      <c r="AL740" t="n">
        <v>4.8</v>
      </c>
    </row>
    <row r="741">
      <c r="A741" s="78" t="n">
        <v>42583</v>
      </c>
      <c r="B741" t="n">
        <v>5.614239</v>
      </c>
      <c r="C741" t="n">
        <v>7</v>
      </c>
      <c r="D741" t="n">
        <v>7.8</v>
      </c>
      <c r="E741" t="n">
        <v>7</v>
      </c>
      <c r="G741" t="n">
        <v>6.808513</v>
      </c>
      <c r="H741" t="n">
        <v>3.7</v>
      </c>
      <c r="I741" t="n">
        <v>3.9</v>
      </c>
      <c r="J741" t="n">
        <v>5.8</v>
      </c>
      <c r="K741" t="n">
        <v>9.9</v>
      </c>
      <c r="L741" t="n">
        <v>19.3</v>
      </c>
      <c r="M741" t="n">
        <v>7.5</v>
      </c>
      <c r="N741" t="n">
        <v>8.4</v>
      </c>
      <c r="O741" t="n">
        <v>9.9</v>
      </c>
      <c r="P741" t="n">
        <v>5.398997</v>
      </c>
      <c r="Q741" t="n">
        <v>4.8</v>
      </c>
      <c r="R741" t="n">
        <v>23.9</v>
      </c>
      <c r="S741" t="n">
        <v>4.7</v>
      </c>
      <c r="T741" t="n">
        <v>8.300000000000001</v>
      </c>
      <c r="U741" t="n">
        <v>3.3</v>
      </c>
      <c r="V741" t="n">
        <v>4.644962</v>
      </c>
      <c r="W741" t="n">
        <v>11.5</v>
      </c>
      <c r="X741" t="n">
        <v>3.1</v>
      </c>
      <c r="Y741" t="n">
        <v>3.9</v>
      </c>
      <c r="Z741" t="n">
        <v>6.3</v>
      </c>
      <c r="AA741" t="n">
        <v>9.800000000000001</v>
      </c>
      <c r="AB741" t="n">
        <v>3.741039</v>
      </c>
      <c r="AC741" t="n">
        <v>6.8</v>
      </c>
      <c r="AD741" t="n">
        <v>5.2</v>
      </c>
      <c r="AE741" t="n">
        <v>6.432405</v>
      </c>
      <c r="AF741" t="n">
        <v>6.3</v>
      </c>
      <c r="AG741" t="n">
        <v>11.1</v>
      </c>
      <c r="AH741" t="n">
        <v>9.5</v>
      </c>
      <c r="AI741" t="n">
        <v>7.4</v>
      </c>
      <c r="AJ741" t="n">
        <v>7.3</v>
      </c>
      <c r="AK741" t="n">
        <v>11.1</v>
      </c>
      <c r="AL741" t="n">
        <v>4.9</v>
      </c>
    </row>
    <row r="742">
      <c r="A742" s="78" t="n">
        <v>42614</v>
      </c>
      <c r="B742" t="n">
        <v>5.644457</v>
      </c>
      <c r="C742" t="n">
        <v>6.5</v>
      </c>
      <c r="D742" t="n">
        <v>7.6</v>
      </c>
      <c r="E742" t="n">
        <v>7</v>
      </c>
      <c r="G742" t="n">
        <v>6.623913</v>
      </c>
      <c r="H742" t="n">
        <v>4</v>
      </c>
      <c r="I742" t="n">
        <v>3.8</v>
      </c>
      <c r="J742" t="n">
        <v>5.7</v>
      </c>
      <c r="K742" t="n">
        <v>9.9</v>
      </c>
      <c r="L742" t="n">
        <v>19.1</v>
      </c>
      <c r="M742" t="n">
        <v>7.1</v>
      </c>
      <c r="N742" t="n">
        <v>8.4</v>
      </c>
      <c r="O742" t="n">
        <v>9.9</v>
      </c>
      <c r="P742" t="n">
        <v>5.442061</v>
      </c>
      <c r="Q742" t="n">
        <v>4.8</v>
      </c>
      <c r="R742" t="n">
        <v>23.3</v>
      </c>
      <c r="S742" t="n">
        <v>4.5</v>
      </c>
      <c r="T742" t="n">
        <v>7.9</v>
      </c>
      <c r="U742" t="n">
        <v>3.4</v>
      </c>
      <c r="V742" t="n">
        <v>4.80363</v>
      </c>
      <c r="W742" t="n">
        <v>11.9</v>
      </c>
      <c r="X742" t="n">
        <v>3</v>
      </c>
      <c r="Y742" t="n">
        <v>4</v>
      </c>
      <c r="Z742" t="n">
        <v>6.4</v>
      </c>
      <c r="AA742" t="n">
        <v>9.800000000000001</v>
      </c>
      <c r="AB742" t="n">
        <v>3.851193</v>
      </c>
      <c r="AC742" t="n">
        <v>6.7</v>
      </c>
      <c r="AD742" t="n">
        <v>4.8</v>
      </c>
      <c r="AE742" t="n">
        <v>6.449511</v>
      </c>
      <c r="AF742" t="n">
        <v>6.1</v>
      </c>
      <c r="AG742" t="n">
        <v>11.1</v>
      </c>
      <c r="AH742" t="n">
        <v>9.300000000000001</v>
      </c>
      <c r="AI742" t="n">
        <v>7.6</v>
      </c>
      <c r="AJ742" t="n">
        <v>6.9</v>
      </c>
      <c r="AK742" t="n">
        <v>11.6</v>
      </c>
      <c r="AL742" t="n">
        <v>5</v>
      </c>
    </row>
    <row r="743">
      <c r="A743" s="78" t="n">
        <v>42644</v>
      </c>
      <c r="B743" t="n">
        <v>5.581423</v>
      </c>
      <c r="C743" t="n">
        <v>6.2</v>
      </c>
      <c r="D743" t="n">
        <v>7.3</v>
      </c>
      <c r="E743" t="n">
        <v>7</v>
      </c>
      <c r="G743" t="n">
        <v>6.656764</v>
      </c>
      <c r="H743" t="n">
        <v>3.8</v>
      </c>
      <c r="I743" t="n">
        <v>3.8</v>
      </c>
      <c r="J743" t="n">
        <v>6.3</v>
      </c>
      <c r="K743" t="n">
        <v>9.800000000000001</v>
      </c>
      <c r="L743" t="n">
        <v>18.8</v>
      </c>
      <c r="M743" t="n">
        <v>7.2</v>
      </c>
      <c r="N743" t="n">
        <v>9</v>
      </c>
      <c r="O743" t="n">
        <v>10.1</v>
      </c>
      <c r="P743" t="n">
        <v>5.39643</v>
      </c>
      <c r="Q743" t="n">
        <v>4.8</v>
      </c>
      <c r="R743" t="n">
        <v>23.6</v>
      </c>
      <c r="S743" t="n">
        <v>4.8</v>
      </c>
      <c r="T743" t="n">
        <v>7.7</v>
      </c>
      <c r="U743" t="n">
        <v>3.5</v>
      </c>
      <c r="V743" t="n">
        <v>4.669309</v>
      </c>
      <c r="W743" t="n">
        <v>11.7</v>
      </c>
      <c r="X743" t="n">
        <v>3</v>
      </c>
      <c r="Y743" t="n">
        <v>3.8</v>
      </c>
      <c r="Z743" t="n">
        <v>6.3</v>
      </c>
      <c r="AA743" t="n">
        <v>9.6</v>
      </c>
      <c r="AB743" t="n">
        <v>3.568632</v>
      </c>
      <c r="AC743" t="n">
        <v>6.6</v>
      </c>
      <c r="AD743" t="n">
        <v>4.8</v>
      </c>
      <c r="AE743" t="n">
        <v>6.39031</v>
      </c>
      <c r="AF743" t="n">
        <v>5.9</v>
      </c>
      <c r="AG743" t="n">
        <v>10.9</v>
      </c>
      <c r="AH743" t="n">
        <v>9.199999999999999</v>
      </c>
      <c r="AI743" t="n">
        <v>8</v>
      </c>
      <c r="AJ743" t="n">
        <v>7.1</v>
      </c>
      <c r="AK743" t="n">
        <v>11.5</v>
      </c>
      <c r="AL743" t="n">
        <v>4.9</v>
      </c>
    </row>
    <row r="744">
      <c r="A744" s="78" t="n">
        <v>42675</v>
      </c>
      <c r="B744" t="n">
        <v>5.765167</v>
      </c>
      <c r="C744" t="n">
        <v>6.3</v>
      </c>
      <c r="D744" t="n">
        <v>7.3</v>
      </c>
      <c r="E744" t="n">
        <v>6.9</v>
      </c>
      <c r="G744" t="n">
        <v>6.689851</v>
      </c>
      <c r="H744" t="n">
        <v>3.6</v>
      </c>
      <c r="I744" t="n">
        <v>3.7</v>
      </c>
      <c r="J744" t="n">
        <v>5.8</v>
      </c>
      <c r="K744" t="n">
        <v>9.9</v>
      </c>
      <c r="L744" t="n">
        <v>18.8</v>
      </c>
      <c r="M744" t="n">
        <v>6.7</v>
      </c>
      <c r="N744" t="n">
        <v>9.300000000000001</v>
      </c>
      <c r="O744" t="n">
        <v>10.1</v>
      </c>
      <c r="P744" t="n">
        <v>5.342544</v>
      </c>
      <c r="Q744" t="n">
        <v>4.7</v>
      </c>
      <c r="R744" t="n">
        <v>23.7</v>
      </c>
      <c r="S744" t="n">
        <v>4.1</v>
      </c>
      <c r="T744" t="n">
        <v>7.5</v>
      </c>
      <c r="U744" t="n">
        <v>3.5</v>
      </c>
      <c r="V744" t="n">
        <v>4.464761</v>
      </c>
      <c r="W744" t="n">
        <v>12</v>
      </c>
      <c r="X744" t="n">
        <v>3</v>
      </c>
      <c r="Y744" t="n">
        <v>3.7</v>
      </c>
      <c r="Z744" t="n">
        <v>6.3</v>
      </c>
      <c r="AA744" t="n">
        <v>9.5</v>
      </c>
      <c r="AB744" t="n">
        <v>3.623993</v>
      </c>
      <c r="AC744" t="n">
        <v>6.6</v>
      </c>
      <c r="AD744" t="n">
        <v>4.7</v>
      </c>
      <c r="AE744" t="n">
        <v>6.325283</v>
      </c>
      <c r="AF744" t="n">
        <v>5.7</v>
      </c>
      <c r="AG744" t="n">
        <v>10.7</v>
      </c>
      <c r="AH744" t="n">
        <v>9.1</v>
      </c>
      <c r="AI744" t="n">
        <v>8.199999999999999</v>
      </c>
      <c r="AJ744" t="n">
        <v>7</v>
      </c>
      <c r="AK744" t="n">
        <v>11.6</v>
      </c>
      <c r="AL744" t="n">
        <v>4.7</v>
      </c>
    </row>
    <row r="745">
      <c r="A745" s="78" t="n">
        <v>42705</v>
      </c>
      <c r="B745" t="n">
        <v>5.832499</v>
      </c>
      <c r="C745" t="n">
        <v>6.2</v>
      </c>
      <c r="D745" t="n">
        <v>7.4</v>
      </c>
      <c r="E745" t="n">
        <v>7</v>
      </c>
      <c r="G745" t="n">
        <v>6.756366</v>
      </c>
      <c r="H745" t="n">
        <v>3.6</v>
      </c>
      <c r="I745" t="n">
        <v>3.7</v>
      </c>
      <c r="J745" t="n">
        <v>5.6</v>
      </c>
      <c r="K745" t="n">
        <v>9.699999999999999</v>
      </c>
      <c r="L745" t="n">
        <v>18.6</v>
      </c>
      <c r="M745" t="n">
        <v>6.4</v>
      </c>
      <c r="N745" t="n">
        <v>8.5</v>
      </c>
      <c r="O745" t="n">
        <v>10</v>
      </c>
      <c r="P745" t="n">
        <v>5.309531</v>
      </c>
      <c r="Q745" t="n">
        <v>4.7</v>
      </c>
      <c r="R745" t="n">
        <v>23.8</v>
      </c>
      <c r="S745" t="n">
        <v>4.3</v>
      </c>
      <c r="T745" t="n">
        <v>7.5</v>
      </c>
      <c r="U745" t="n">
        <v>3.5</v>
      </c>
      <c r="V745" t="n">
        <v>4.27368</v>
      </c>
      <c r="W745" t="n">
        <v>11.8</v>
      </c>
      <c r="X745" t="n">
        <v>3</v>
      </c>
      <c r="Y745" t="n">
        <v>3.5</v>
      </c>
      <c r="Z745" t="n">
        <v>6.3</v>
      </c>
      <c r="AA745" t="n">
        <v>9.4</v>
      </c>
      <c r="AB745" t="n">
        <v>3.70068</v>
      </c>
      <c r="AC745" t="n">
        <v>6.4</v>
      </c>
      <c r="AD745" t="n">
        <v>4.2</v>
      </c>
      <c r="AE745" t="n">
        <v>6.335095</v>
      </c>
      <c r="AF745" t="n">
        <v>5.5</v>
      </c>
      <c r="AG745" t="n">
        <v>10.4</v>
      </c>
      <c r="AH745" t="n">
        <v>8.9</v>
      </c>
      <c r="AI745" t="n">
        <v>8.1</v>
      </c>
      <c r="AJ745" t="n">
        <v>7.1</v>
      </c>
      <c r="AK745" t="n">
        <v>12.1</v>
      </c>
      <c r="AL745" t="n">
        <v>4.7</v>
      </c>
    </row>
    <row r="746">
      <c r="A746" s="78" t="n">
        <v>42736</v>
      </c>
      <c r="B746" t="n">
        <v>5.693741</v>
      </c>
      <c r="C746" t="n">
        <v>6</v>
      </c>
      <c r="D746" t="n">
        <v>7.8</v>
      </c>
      <c r="E746" t="n">
        <v>6.8</v>
      </c>
      <c r="G746" t="n">
        <v>7.052913</v>
      </c>
      <c r="H746" t="n">
        <v>3.4</v>
      </c>
      <c r="I746" t="n">
        <v>3.7</v>
      </c>
      <c r="J746" t="n">
        <v>6.1</v>
      </c>
      <c r="K746" t="n">
        <v>9.6</v>
      </c>
      <c r="L746" t="n">
        <v>18.4</v>
      </c>
      <c r="M746" t="n">
        <v>6.1</v>
      </c>
      <c r="N746" t="n">
        <v>8.9</v>
      </c>
      <c r="O746" t="n">
        <v>9.699999999999999</v>
      </c>
      <c r="P746" t="n">
        <v>5.247816</v>
      </c>
      <c r="Q746" t="n">
        <v>4.6</v>
      </c>
      <c r="R746" t="n">
        <v>23.6</v>
      </c>
      <c r="S746" t="n">
        <v>4.1</v>
      </c>
      <c r="T746" t="n">
        <v>7.4</v>
      </c>
      <c r="U746" t="n">
        <v>3.5</v>
      </c>
      <c r="V746" t="n">
        <v>4.504171</v>
      </c>
      <c r="W746" t="n">
        <v>11.7</v>
      </c>
      <c r="X746" t="n">
        <v>3</v>
      </c>
      <c r="Y746" t="n">
        <v>3.5</v>
      </c>
      <c r="Z746" t="n">
        <v>6</v>
      </c>
      <c r="AA746" t="n">
        <v>9.199999999999999</v>
      </c>
      <c r="AB746" t="n">
        <v>3.456297</v>
      </c>
      <c r="AC746" t="n">
        <v>6.4</v>
      </c>
      <c r="AD746" t="n">
        <v>4.2</v>
      </c>
      <c r="AE746" t="n">
        <v>6.262237</v>
      </c>
      <c r="AF746" t="n">
        <v>5.3</v>
      </c>
      <c r="AG746" t="n">
        <v>10.3</v>
      </c>
      <c r="AH746" t="n">
        <v>8.699999999999999</v>
      </c>
      <c r="AI746" t="n">
        <v>7.7</v>
      </c>
      <c r="AJ746" t="n">
        <v>7</v>
      </c>
      <c r="AK746" t="n">
        <v>12</v>
      </c>
      <c r="AL746" t="n">
        <v>4.7</v>
      </c>
    </row>
    <row r="747">
      <c r="A747" s="78" t="n">
        <v>42767</v>
      </c>
      <c r="B747" t="n">
        <v>5.849093</v>
      </c>
      <c r="C747" t="n">
        <v>6.1</v>
      </c>
      <c r="D747" t="n">
        <v>7.9</v>
      </c>
      <c r="E747" t="n">
        <v>6.6</v>
      </c>
      <c r="G747" t="n">
        <v>7.037549</v>
      </c>
      <c r="H747" t="n">
        <v>3.3</v>
      </c>
      <c r="I747" t="n">
        <v>3.7</v>
      </c>
      <c r="J747" t="n">
        <v>6.3</v>
      </c>
      <c r="K747" t="n">
        <v>9.5</v>
      </c>
      <c r="L747" t="n">
        <v>18.2</v>
      </c>
      <c r="M747" t="n">
        <v>5.7</v>
      </c>
      <c r="N747" t="n">
        <v>9</v>
      </c>
      <c r="O747" t="n">
        <v>9.6</v>
      </c>
      <c r="P747" t="n">
        <v>5.176122</v>
      </c>
      <c r="Q747" t="n">
        <v>4.6</v>
      </c>
      <c r="R747" t="n">
        <v>23.1</v>
      </c>
      <c r="S747" t="n">
        <v>4.2</v>
      </c>
      <c r="T747" t="n">
        <v>7.3</v>
      </c>
      <c r="U747" t="n">
        <v>3.3</v>
      </c>
      <c r="V747" t="n">
        <v>4.313474</v>
      </c>
      <c r="W747" t="n">
        <v>11.6</v>
      </c>
      <c r="X747" t="n">
        <v>2.9</v>
      </c>
      <c r="Y747" t="n">
        <v>3.9</v>
      </c>
      <c r="Z747" t="n">
        <v>5.9</v>
      </c>
      <c r="AA747" t="n">
        <v>9</v>
      </c>
      <c r="AB747" t="n">
        <v>3.394027</v>
      </c>
      <c r="AC747" t="n">
        <v>6.3</v>
      </c>
      <c r="AD747" t="n">
        <v>4.5</v>
      </c>
      <c r="AE747" t="n">
        <v>6.214596</v>
      </c>
      <c r="AF747" t="n">
        <v>5.2</v>
      </c>
      <c r="AG747" t="n">
        <v>10.1</v>
      </c>
      <c r="AH747" t="n">
        <v>8.6</v>
      </c>
      <c r="AI747" t="n">
        <v>7.3</v>
      </c>
      <c r="AJ747" t="n">
        <v>7.1</v>
      </c>
      <c r="AK747" t="n">
        <v>11.9</v>
      </c>
      <c r="AL747" t="n">
        <v>4.6</v>
      </c>
    </row>
    <row r="748">
      <c r="A748" s="78" t="n">
        <v>42795</v>
      </c>
      <c r="B748" t="n">
        <v>5.848292</v>
      </c>
      <c r="C748" t="n">
        <v>6.2</v>
      </c>
      <c r="D748" t="n">
        <v>7.8</v>
      </c>
      <c r="E748" t="n">
        <v>6.7</v>
      </c>
      <c r="G748" t="n">
        <v>7.086896</v>
      </c>
      <c r="H748" t="n">
        <v>3.3</v>
      </c>
      <c r="I748" t="n">
        <v>3.7</v>
      </c>
      <c r="J748" t="n">
        <v>5.9</v>
      </c>
      <c r="K748" t="n">
        <v>9.5</v>
      </c>
      <c r="L748" t="n">
        <v>18</v>
      </c>
      <c r="M748" t="n">
        <v>5.9</v>
      </c>
      <c r="N748" t="n">
        <v>8.9</v>
      </c>
      <c r="O748" t="n">
        <v>9.6</v>
      </c>
      <c r="P748" t="n">
        <v>5.076149</v>
      </c>
      <c r="Q748" t="n">
        <v>4.5</v>
      </c>
      <c r="R748" t="n">
        <v>22.6</v>
      </c>
      <c r="S748" t="n">
        <v>4.4</v>
      </c>
      <c r="T748" t="n">
        <v>7.1</v>
      </c>
      <c r="U748" t="n">
        <v>3.2</v>
      </c>
      <c r="V748" t="n">
        <v>4.44093</v>
      </c>
      <c r="W748" t="n">
        <v>11.7</v>
      </c>
      <c r="X748" t="n">
        <v>2.8</v>
      </c>
      <c r="Y748" t="n">
        <v>3.6</v>
      </c>
      <c r="Z748" t="n">
        <v>5.7</v>
      </c>
      <c r="AA748" t="n">
        <v>8.800000000000001</v>
      </c>
      <c r="AB748" t="n">
        <v>3.501371</v>
      </c>
      <c r="AC748" t="n">
        <v>6.2</v>
      </c>
      <c r="AD748" t="n">
        <v>4.9</v>
      </c>
      <c r="AE748" t="n">
        <v>6.128273</v>
      </c>
      <c r="AF748" t="n">
        <v>5.1</v>
      </c>
      <c r="AG748" t="n">
        <v>10</v>
      </c>
      <c r="AH748" t="n">
        <v>8.5</v>
      </c>
      <c r="AI748" t="n">
        <v>6.9</v>
      </c>
      <c r="AJ748" t="n">
        <v>6.6</v>
      </c>
      <c r="AK748" t="n">
        <v>11.9</v>
      </c>
      <c r="AL748" t="n">
        <v>4.4</v>
      </c>
    </row>
    <row r="749">
      <c r="A749" s="78" t="n">
        <v>42826</v>
      </c>
      <c r="B749" t="n">
        <v>5.612325</v>
      </c>
      <c r="C749" t="n">
        <v>5.6</v>
      </c>
      <c r="D749" t="n">
        <v>7.5</v>
      </c>
      <c r="E749" t="n">
        <v>6.5</v>
      </c>
      <c r="G749" t="n">
        <v>7.075651</v>
      </c>
      <c r="H749" t="n">
        <v>3.3</v>
      </c>
      <c r="I749" t="n">
        <v>3.6</v>
      </c>
      <c r="J749" t="n">
        <v>5.9</v>
      </c>
      <c r="K749" t="n">
        <v>9.300000000000001</v>
      </c>
      <c r="L749" t="n">
        <v>17.6</v>
      </c>
      <c r="M749" t="n">
        <v>6.2</v>
      </c>
      <c r="N749" t="n">
        <v>9.4</v>
      </c>
      <c r="O749" t="n">
        <v>9.5</v>
      </c>
      <c r="P749" t="n">
        <v>5.003981</v>
      </c>
      <c r="Q749" t="n">
        <v>4.4</v>
      </c>
      <c r="R749" t="n">
        <v>22.1</v>
      </c>
      <c r="S749" t="n">
        <v>4.4</v>
      </c>
      <c r="T749" t="n">
        <v>6.8</v>
      </c>
      <c r="U749" t="n">
        <v>3.2</v>
      </c>
      <c r="V749" t="n">
        <v>4.352531</v>
      </c>
      <c r="W749" t="n">
        <v>11.2</v>
      </c>
      <c r="X749" t="n">
        <v>2.8</v>
      </c>
      <c r="Y749" t="n">
        <v>3.8</v>
      </c>
      <c r="Z749" t="n">
        <v>5.6</v>
      </c>
      <c r="AA749" t="n">
        <v>8.800000000000001</v>
      </c>
      <c r="AB749" t="n">
        <v>3.563391</v>
      </c>
      <c r="AC749" t="n">
        <v>6.1</v>
      </c>
      <c r="AD749" t="n">
        <v>4.6</v>
      </c>
      <c r="AE749" t="n">
        <v>6.026992</v>
      </c>
      <c r="AF749" t="n">
        <v>5.2</v>
      </c>
      <c r="AG749" t="n">
        <v>9.800000000000001</v>
      </c>
      <c r="AH749" t="n">
        <v>8.4</v>
      </c>
      <c r="AI749" t="n">
        <v>6.7</v>
      </c>
      <c r="AJ749" t="n">
        <v>7</v>
      </c>
      <c r="AK749" t="n">
        <v>11.6</v>
      </c>
      <c r="AL749" t="n">
        <v>4.4</v>
      </c>
    </row>
    <row r="750">
      <c r="A750" s="78" t="n">
        <v>42856</v>
      </c>
      <c r="B750" t="n">
        <v>5.540075</v>
      </c>
      <c r="C750" t="n">
        <v>6.1</v>
      </c>
      <c r="D750" t="n">
        <v>7.3</v>
      </c>
      <c r="E750" t="n">
        <v>6.6</v>
      </c>
      <c r="G750" t="n">
        <v>7.02832</v>
      </c>
      <c r="H750" t="n">
        <v>3</v>
      </c>
      <c r="I750" t="n">
        <v>3.6</v>
      </c>
      <c r="J750" t="n">
        <v>5.9</v>
      </c>
      <c r="K750" t="n">
        <v>9.199999999999999</v>
      </c>
      <c r="L750" t="n">
        <v>17.3</v>
      </c>
      <c r="M750" t="n">
        <v>6.5</v>
      </c>
      <c r="N750" t="n">
        <v>8.800000000000001</v>
      </c>
      <c r="O750" t="n">
        <v>9.6</v>
      </c>
      <c r="P750" t="n">
        <v>5.056739</v>
      </c>
      <c r="Q750" t="n">
        <v>4.4</v>
      </c>
      <c r="R750" t="n">
        <v>22.1</v>
      </c>
      <c r="S750" t="n">
        <v>4.1</v>
      </c>
      <c r="T750" t="n">
        <v>6.6</v>
      </c>
      <c r="U750" t="n">
        <v>3.2</v>
      </c>
      <c r="V750" t="n">
        <v>4.493063</v>
      </c>
      <c r="W750" t="n">
        <v>11.4</v>
      </c>
      <c r="X750" t="n">
        <v>3</v>
      </c>
      <c r="Y750" t="n">
        <v>3.4</v>
      </c>
      <c r="Z750" t="n">
        <v>5.5</v>
      </c>
      <c r="AA750" t="n">
        <v>8.9</v>
      </c>
      <c r="AB750" t="n">
        <v>3.623676</v>
      </c>
      <c r="AC750" t="n">
        <v>6.1</v>
      </c>
      <c r="AD750" t="n">
        <v>4.5</v>
      </c>
      <c r="AE750" t="n">
        <v>6.025663</v>
      </c>
      <c r="AF750" t="n">
        <v>5.2</v>
      </c>
      <c r="AG750" t="n">
        <v>9.4</v>
      </c>
      <c r="AH750" t="n">
        <v>8.300000000000001</v>
      </c>
      <c r="AI750" t="n">
        <v>6.6</v>
      </c>
      <c r="AJ750" t="n">
        <v>6.9</v>
      </c>
      <c r="AK750" t="n">
        <v>11.1</v>
      </c>
      <c r="AL750" t="n">
        <v>4.4</v>
      </c>
    </row>
    <row r="751">
      <c r="A751" s="78" t="n">
        <v>42887</v>
      </c>
      <c r="B751" t="n">
        <v>5.596509</v>
      </c>
      <c r="C751" t="n">
        <v>5.8</v>
      </c>
      <c r="D751" t="n">
        <v>7.2</v>
      </c>
      <c r="E751" t="n">
        <v>6.5</v>
      </c>
      <c r="G751" t="n">
        <v>6.85262</v>
      </c>
      <c r="H751" t="n">
        <v>2.9</v>
      </c>
      <c r="I751" t="n">
        <v>3.6</v>
      </c>
      <c r="J751" t="n">
        <v>5.8</v>
      </c>
      <c r="K751" t="n">
        <v>9.1</v>
      </c>
      <c r="L751" t="n">
        <v>17</v>
      </c>
      <c r="M751" t="n">
        <v>6</v>
      </c>
      <c r="N751" t="n">
        <v>8.9</v>
      </c>
      <c r="O751" t="n">
        <v>9.5</v>
      </c>
      <c r="P751" t="n">
        <v>4.946027</v>
      </c>
      <c r="Q751" t="n">
        <v>4.3</v>
      </c>
      <c r="R751" t="n">
        <v>21.4</v>
      </c>
      <c r="S751" t="n">
        <v>4.3</v>
      </c>
      <c r="T751" t="n">
        <v>6.6</v>
      </c>
      <c r="U751" t="n">
        <v>3.2</v>
      </c>
      <c r="V751" t="n">
        <v>4.342562</v>
      </c>
      <c r="W751" t="n">
        <v>11.2</v>
      </c>
      <c r="X751" t="n">
        <v>2.8</v>
      </c>
      <c r="Y751" t="n">
        <v>3.7</v>
      </c>
      <c r="Z751" t="n">
        <v>5.5</v>
      </c>
      <c r="AA751" t="n">
        <v>8.9</v>
      </c>
      <c r="AB751" t="n">
        <v>3.282188</v>
      </c>
      <c r="AC751" t="n">
        <v>6</v>
      </c>
      <c r="AD751" t="n">
        <v>4.4</v>
      </c>
      <c r="AE751" t="n">
        <v>5.894856</v>
      </c>
      <c r="AF751" t="n">
        <v>5.1</v>
      </c>
      <c r="AG751" t="n">
        <v>9.300000000000001</v>
      </c>
      <c r="AH751" t="n">
        <v>8</v>
      </c>
      <c r="AI751" t="n">
        <v>6.6</v>
      </c>
      <c r="AJ751" t="n">
        <v>6.7</v>
      </c>
      <c r="AK751" t="n">
        <v>11</v>
      </c>
      <c r="AL751" t="n">
        <v>4.3</v>
      </c>
    </row>
    <row r="752">
      <c r="A752" s="78" t="n">
        <v>42917</v>
      </c>
      <c r="B752" t="n">
        <v>5.604455</v>
      </c>
      <c r="C752" t="n">
        <v>5.9</v>
      </c>
      <c r="D752" t="n">
        <v>7.2</v>
      </c>
      <c r="E752" t="n">
        <v>6.3</v>
      </c>
      <c r="G752" t="n">
        <v>6.61187</v>
      </c>
      <c r="H752" t="n">
        <v>2.9</v>
      </c>
      <c r="I752" t="n">
        <v>3.5</v>
      </c>
      <c r="J752" t="n">
        <v>5.8</v>
      </c>
      <c r="K752" t="n">
        <v>9.1</v>
      </c>
      <c r="L752" t="n">
        <v>16.8</v>
      </c>
      <c r="M752" t="n">
        <v>5.7</v>
      </c>
      <c r="N752" t="n">
        <v>8.4</v>
      </c>
      <c r="O752" t="n">
        <v>9.6</v>
      </c>
      <c r="P752" t="n">
        <v>4.9424</v>
      </c>
      <c r="Q752" t="n">
        <v>4.3</v>
      </c>
      <c r="R752" t="n">
        <v>21.2</v>
      </c>
      <c r="S752" t="n">
        <v>4.1</v>
      </c>
      <c r="T752" t="n">
        <v>6.7</v>
      </c>
      <c r="U752" t="n">
        <v>3.2</v>
      </c>
      <c r="V752" t="n">
        <v>3.931154</v>
      </c>
      <c r="W752" t="n">
        <v>11.4</v>
      </c>
      <c r="X752" t="n">
        <v>2.8</v>
      </c>
      <c r="Y752" t="n">
        <v>3.5</v>
      </c>
      <c r="Z752" t="n">
        <v>5.6</v>
      </c>
      <c r="AA752" t="n">
        <v>8.800000000000001</v>
      </c>
      <c r="AB752" t="n">
        <v>3.242515</v>
      </c>
      <c r="AC752" t="n">
        <v>5.9</v>
      </c>
      <c r="AD752" t="n">
        <v>4.2</v>
      </c>
      <c r="AE752" t="n">
        <v>5.855155</v>
      </c>
      <c r="AF752" t="n">
        <v>4.9</v>
      </c>
      <c r="AG752" t="n">
        <v>9.1</v>
      </c>
      <c r="AH752" t="n">
        <v>7.9</v>
      </c>
      <c r="AI752" t="n">
        <v>6.5</v>
      </c>
      <c r="AJ752" t="n">
        <v>7.1</v>
      </c>
      <c r="AK752" t="n">
        <v>10.6</v>
      </c>
      <c r="AL752" t="n">
        <v>4.3</v>
      </c>
    </row>
    <row r="753">
      <c r="A753" s="78" t="n">
        <v>42948</v>
      </c>
      <c r="B753" t="n">
        <v>5.521781</v>
      </c>
      <c r="C753" t="n">
        <v>5.8</v>
      </c>
      <c r="D753" t="n">
        <v>7.2</v>
      </c>
      <c r="E753" t="n">
        <v>6.2</v>
      </c>
      <c r="G753" t="n">
        <v>6.77403</v>
      </c>
      <c r="H753" t="n">
        <v>2.7</v>
      </c>
      <c r="I753" t="n">
        <v>3.5</v>
      </c>
      <c r="J753" t="n">
        <v>6</v>
      </c>
      <c r="K753" t="n">
        <v>9</v>
      </c>
      <c r="L753" t="n">
        <v>16.7</v>
      </c>
      <c r="M753" t="n">
        <v>5.3</v>
      </c>
      <c r="N753" t="n">
        <v>8.300000000000001</v>
      </c>
      <c r="O753" t="n">
        <v>9.5</v>
      </c>
      <c r="P753" t="n">
        <v>4.955464</v>
      </c>
      <c r="Q753" t="n">
        <v>4.3</v>
      </c>
      <c r="R753" t="n">
        <v>21.1</v>
      </c>
      <c r="S753" t="n">
        <v>3.9</v>
      </c>
      <c r="T753" t="n">
        <v>6.6</v>
      </c>
      <c r="U753" t="n">
        <v>3.3</v>
      </c>
      <c r="V753" t="n">
        <v>4.084234</v>
      </c>
      <c r="W753" t="n">
        <v>11.3</v>
      </c>
      <c r="X753" t="n">
        <v>2.8</v>
      </c>
      <c r="Y753" t="n">
        <v>4</v>
      </c>
      <c r="Z753" t="n">
        <v>5.5</v>
      </c>
      <c r="AA753" t="n">
        <v>8.699999999999999</v>
      </c>
      <c r="AB753" t="n">
        <v>3.286128</v>
      </c>
      <c r="AC753" t="n">
        <v>5.7</v>
      </c>
      <c r="AD753" t="n">
        <v>4.4</v>
      </c>
      <c r="AE753" t="n">
        <v>5.872897</v>
      </c>
      <c r="AF753" t="n">
        <v>4.9</v>
      </c>
      <c r="AG753" t="n">
        <v>8.9</v>
      </c>
      <c r="AH753" t="n">
        <v>7.8</v>
      </c>
      <c r="AI753" t="n">
        <v>6.4</v>
      </c>
      <c r="AJ753" t="n">
        <v>6.6</v>
      </c>
      <c r="AK753" t="n">
        <v>10.5</v>
      </c>
      <c r="AL753" t="n">
        <v>4.4</v>
      </c>
    </row>
    <row r="754">
      <c r="A754" s="78" t="n">
        <v>42979</v>
      </c>
      <c r="B754" t="n">
        <v>5.446154</v>
      </c>
      <c r="C754" t="n">
        <v>6.1</v>
      </c>
      <c r="D754" t="n">
        <v>6.9</v>
      </c>
      <c r="E754" t="n">
        <v>6.2</v>
      </c>
      <c r="G754" t="n">
        <v>6.932243</v>
      </c>
      <c r="H754" t="n">
        <v>2.7</v>
      </c>
      <c r="I754" t="n">
        <v>3.5</v>
      </c>
      <c r="J754" t="n">
        <v>6</v>
      </c>
      <c r="K754" t="n">
        <v>8.9</v>
      </c>
      <c r="L754" t="n">
        <v>16.7</v>
      </c>
      <c r="M754" t="n">
        <v>5.6</v>
      </c>
      <c r="N754" t="n">
        <v>9</v>
      </c>
      <c r="O754" t="n">
        <v>9.300000000000001</v>
      </c>
      <c r="P754" t="n">
        <v>4.86641</v>
      </c>
      <c r="Q754" t="n">
        <v>4.2</v>
      </c>
      <c r="R754" t="n">
        <v>21.1</v>
      </c>
      <c r="S754" t="n">
        <v>3.9</v>
      </c>
      <c r="T754" t="n">
        <v>6.7</v>
      </c>
      <c r="U754" t="n">
        <v>3.3</v>
      </c>
      <c r="V754" t="n">
        <v>3.981765</v>
      </c>
      <c r="W754" t="n">
        <v>11.2</v>
      </c>
      <c r="X754" t="n">
        <v>2.8</v>
      </c>
      <c r="Y754" t="n">
        <v>3.8</v>
      </c>
      <c r="Z754" t="n">
        <v>5.6</v>
      </c>
      <c r="AA754" t="n">
        <v>8.6</v>
      </c>
      <c r="AB754" t="n">
        <v>3.342653</v>
      </c>
      <c r="AC754" t="n">
        <v>5.7</v>
      </c>
      <c r="AD754" t="n">
        <v>4.3</v>
      </c>
      <c r="AE754" t="n">
        <v>5.817581</v>
      </c>
      <c r="AF754" t="n">
        <v>4.8</v>
      </c>
      <c r="AG754" t="n">
        <v>8.699999999999999</v>
      </c>
      <c r="AH754" t="n">
        <v>7.8</v>
      </c>
      <c r="AI754" t="n">
        <v>6.3</v>
      </c>
      <c r="AJ754" t="n">
        <v>7</v>
      </c>
      <c r="AK754" t="n">
        <v>10.3</v>
      </c>
      <c r="AL754" t="n">
        <v>4.3</v>
      </c>
    </row>
    <row r="755">
      <c r="A755" s="78" t="n">
        <v>43009</v>
      </c>
      <c r="B755" t="n">
        <v>5.362957</v>
      </c>
      <c r="C755" t="n">
        <v>5.7</v>
      </c>
      <c r="D755" t="n">
        <v>6.7</v>
      </c>
      <c r="E755" t="n">
        <v>6.3</v>
      </c>
      <c r="G755" t="n">
        <v>6.967897</v>
      </c>
      <c r="H755" t="n">
        <v>2.7</v>
      </c>
      <c r="I755" t="n">
        <v>3.5</v>
      </c>
      <c r="J755" t="n">
        <v>5.4</v>
      </c>
      <c r="K755" t="n">
        <v>8.800000000000001</v>
      </c>
      <c r="L755" t="n">
        <v>16.7</v>
      </c>
      <c r="M755" t="n">
        <v>5.5</v>
      </c>
      <c r="N755" t="n">
        <v>8.199999999999999</v>
      </c>
      <c r="O755" t="n">
        <v>9.1</v>
      </c>
      <c r="P755" t="n">
        <v>4.817614</v>
      </c>
      <c r="Q755" t="n">
        <v>4.3</v>
      </c>
      <c r="R755" t="n">
        <v>21.1</v>
      </c>
      <c r="S755" t="n">
        <v>3.9</v>
      </c>
      <c r="T755" t="n">
        <v>6.6</v>
      </c>
      <c r="U755" t="n">
        <v>3.3</v>
      </c>
      <c r="V755" t="n">
        <v>4.090283</v>
      </c>
      <c r="W755" t="n">
        <v>11.1</v>
      </c>
      <c r="X755" t="n">
        <v>2.7</v>
      </c>
      <c r="Y755" t="n">
        <v>3.7</v>
      </c>
      <c r="Z755" t="n">
        <v>5.4</v>
      </c>
      <c r="AA755" t="n">
        <v>8.5</v>
      </c>
      <c r="AB755" t="n">
        <v>3.418843</v>
      </c>
      <c r="AC755" t="n">
        <v>5.5</v>
      </c>
      <c r="AD755" t="n">
        <v>4</v>
      </c>
      <c r="AE755" t="n">
        <v>5.763199</v>
      </c>
      <c r="AF755" t="n">
        <v>4.7</v>
      </c>
      <c r="AG755" t="n">
        <v>8.6</v>
      </c>
      <c r="AH755" t="n">
        <v>7.7</v>
      </c>
      <c r="AI755" t="n">
        <v>6</v>
      </c>
      <c r="AJ755" t="n">
        <v>7</v>
      </c>
      <c r="AK755" t="n">
        <v>10.3</v>
      </c>
      <c r="AL755" t="n">
        <v>4.2</v>
      </c>
    </row>
    <row r="756">
      <c r="A756" s="78" t="n">
        <v>43040</v>
      </c>
      <c r="B756" t="n">
        <v>5.420212</v>
      </c>
      <c r="C756" t="n">
        <v>5.9</v>
      </c>
      <c r="D756" t="n">
        <v>6.4</v>
      </c>
      <c r="E756" t="n">
        <v>6</v>
      </c>
      <c r="G756" t="n">
        <v>7.018055</v>
      </c>
      <c r="H756" t="n">
        <v>2.4</v>
      </c>
      <c r="I756" t="n">
        <v>3.4</v>
      </c>
      <c r="J756" t="n">
        <v>5.5</v>
      </c>
      <c r="K756" t="n">
        <v>8.699999999999999</v>
      </c>
      <c r="L756" t="n">
        <v>16.7</v>
      </c>
      <c r="M756" t="n">
        <v>5.6</v>
      </c>
      <c r="N756" t="n">
        <v>7.9</v>
      </c>
      <c r="O756" t="n">
        <v>9</v>
      </c>
      <c r="P756" t="n">
        <v>4.79752</v>
      </c>
      <c r="Q756" t="n">
        <v>4.4</v>
      </c>
      <c r="R756" t="n">
        <v>21.4</v>
      </c>
      <c r="S756" t="n">
        <v>3.6</v>
      </c>
      <c r="T756" t="n">
        <v>6.4</v>
      </c>
      <c r="U756" t="n">
        <v>3.3</v>
      </c>
      <c r="V756" t="n">
        <v>4.034127</v>
      </c>
      <c r="W756" t="n">
        <v>11</v>
      </c>
      <c r="X756" t="n">
        <v>2.7</v>
      </c>
      <c r="Y756" t="n">
        <v>3.8</v>
      </c>
      <c r="Z756" t="n">
        <v>5.4</v>
      </c>
      <c r="AA756" t="n">
        <v>8.300000000000001</v>
      </c>
      <c r="AB756" t="n">
        <v>3.500447</v>
      </c>
      <c r="AC756" t="n">
        <v>5.4</v>
      </c>
      <c r="AD756" t="n">
        <v>3.9</v>
      </c>
      <c r="AE756" t="n">
        <v>5.745576</v>
      </c>
      <c r="AF756" t="n">
        <v>4.6</v>
      </c>
      <c r="AG756" t="n">
        <v>8.199999999999999</v>
      </c>
      <c r="AH756" t="n">
        <v>7.6</v>
      </c>
      <c r="AI756" t="n">
        <v>5.8</v>
      </c>
      <c r="AJ756" t="n">
        <v>6.6</v>
      </c>
      <c r="AK756" t="n">
        <v>10.1</v>
      </c>
      <c r="AL756" t="n">
        <v>4.2</v>
      </c>
    </row>
    <row r="757">
      <c r="A757" s="78" t="n">
        <v>43070</v>
      </c>
      <c r="B757" t="n">
        <v>5.608844</v>
      </c>
      <c r="C757" t="n">
        <v>5.9</v>
      </c>
      <c r="D757" t="n">
        <v>6.2</v>
      </c>
      <c r="E757" t="n">
        <v>5.9</v>
      </c>
      <c r="G757" t="n">
        <v>7.225191</v>
      </c>
      <c r="H757" t="n">
        <v>2.3</v>
      </c>
      <c r="I757" t="n">
        <v>3.4</v>
      </c>
      <c r="J757" t="n">
        <v>5.3</v>
      </c>
      <c r="K757" t="n">
        <v>8.699999999999999</v>
      </c>
      <c r="L757" t="n">
        <v>16.6</v>
      </c>
      <c r="M757" t="n">
        <v>6</v>
      </c>
      <c r="N757" t="n">
        <v>9</v>
      </c>
      <c r="O757" t="n">
        <v>9</v>
      </c>
      <c r="P757" t="n">
        <v>4.741995</v>
      </c>
      <c r="Q757" t="n">
        <v>4.3</v>
      </c>
      <c r="R757" t="n">
        <v>21.2</v>
      </c>
      <c r="S757" t="n">
        <v>3.8</v>
      </c>
      <c r="T757" t="n">
        <v>6.3</v>
      </c>
      <c r="U757" t="n">
        <v>3.4</v>
      </c>
      <c r="V757" t="n">
        <v>4.049187</v>
      </c>
      <c r="W757" t="n">
        <v>10.9</v>
      </c>
      <c r="X757" t="n">
        <v>2.7</v>
      </c>
      <c r="Y757" t="n">
        <v>3.6</v>
      </c>
      <c r="Z757" t="n">
        <v>5.6</v>
      </c>
      <c r="AA757" t="n">
        <v>8.1</v>
      </c>
      <c r="AB757" t="n">
        <v>3.413861</v>
      </c>
      <c r="AC757" t="n">
        <v>5.4</v>
      </c>
      <c r="AD757" t="n">
        <v>4.5</v>
      </c>
      <c r="AE757" t="n">
        <v>5.680234</v>
      </c>
      <c r="AF757" t="n">
        <v>4.4</v>
      </c>
      <c r="AG757" t="n">
        <v>8.1</v>
      </c>
      <c r="AH757" t="n">
        <v>7.5</v>
      </c>
      <c r="AI757" t="n">
        <v>5.7</v>
      </c>
      <c r="AJ757" t="n">
        <v>6.8</v>
      </c>
      <c r="AK757" t="n">
        <v>9.9</v>
      </c>
      <c r="AL757" t="n">
        <v>4.1</v>
      </c>
    </row>
    <row r="758">
      <c r="A758" s="78" t="n">
        <v>43101</v>
      </c>
      <c r="B758" t="n">
        <v>5.515821</v>
      </c>
      <c r="C758" t="n">
        <v>5.7</v>
      </c>
      <c r="D758" t="n">
        <v>6.1</v>
      </c>
      <c r="E758" t="n">
        <v>6</v>
      </c>
      <c r="G758" t="n">
        <v>7.276473</v>
      </c>
      <c r="H758" t="n">
        <v>2.6</v>
      </c>
      <c r="I758" t="n">
        <v>3.3</v>
      </c>
      <c r="J758" t="n">
        <v>5.4</v>
      </c>
      <c r="K758" t="n">
        <v>8.699999999999999</v>
      </c>
      <c r="L758" t="n">
        <v>16.5</v>
      </c>
      <c r="M758" t="n">
        <v>6.5</v>
      </c>
      <c r="N758" t="n">
        <v>8.5</v>
      </c>
      <c r="O758" t="n">
        <v>9.199999999999999</v>
      </c>
      <c r="P758" t="n">
        <v>4.661717</v>
      </c>
      <c r="Q758" t="n">
        <v>4.2</v>
      </c>
      <c r="R758" t="n">
        <v>20.9</v>
      </c>
      <c r="S758" t="n">
        <v>3.6</v>
      </c>
      <c r="T758" t="n">
        <v>6</v>
      </c>
      <c r="U758" t="n">
        <v>3.3</v>
      </c>
      <c r="V758" t="n">
        <v>3.663604</v>
      </c>
      <c r="W758" t="n">
        <v>11.1</v>
      </c>
      <c r="X758" t="n">
        <v>2.4</v>
      </c>
      <c r="Y758" t="n">
        <v>3.5</v>
      </c>
      <c r="Z758" t="n">
        <v>5.5</v>
      </c>
      <c r="AA758" t="n">
        <v>8</v>
      </c>
      <c r="AB758" t="n">
        <v>3.19832</v>
      </c>
      <c r="AC758" t="n">
        <v>5.2</v>
      </c>
      <c r="AD758" t="n">
        <v>4</v>
      </c>
      <c r="AE758" t="n">
        <v>5.588873</v>
      </c>
      <c r="AF758" t="n">
        <v>4.2</v>
      </c>
      <c r="AG758" t="n">
        <v>8</v>
      </c>
      <c r="AH758" t="n">
        <v>7.3</v>
      </c>
      <c r="AI758" t="n">
        <v>5.6</v>
      </c>
      <c r="AJ758" t="n">
        <v>6.8</v>
      </c>
      <c r="AK758" t="n">
        <v>9.800000000000001</v>
      </c>
      <c r="AL758" t="n">
        <v>4</v>
      </c>
    </row>
    <row r="759">
      <c r="A759" s="78" t="n">
        <v>43132</v>
      </c>
      <c r="B759" t="n">
        <v>5.56423</v>
      </c>
      <c r="C759" t="n">
        <v>5.2</v>
      </c>
      <c r="D759" t="n">
        <v>6.1</v>
      </c>
      <c r="E759" t="n">
        <v>5.9</v>
      </c>
      <c r="G759" t="n">
        <v>7.347959</v>
      </c>
      <c r="H759" t="n">
        <v>2.3</v>
      </c>
      <c r="I759" t="n">
        <v>3.3</v>
      </c>
      <c r="J759" t="n">
        <v>4.6</v>
      </c>
      <c r="K759" t="n">
        <v>8.6</v>
      </c>
      <c r="L759" t="n">
        <v>16.3</v>
      </c>
      <c r="M759" t="n">
        <v>6.6</v>
      </c>
      <c r="N759" t="n">
        <v>8.4</v>
      </c>
      <c r="O759" t="n">
        <v>9.300000000000001</v>
      </c>
      <c r="P759" t="n">
        <v>4.673995</v>
      </c>
      <c r="Q759" t="n">
        <v>4.2</v>
      </c>
      <c r="R759" t="n">
        <v>21.3</v>
      </c>
      <c r="S759" t="n">
        <v>3.5</v>
      </c>
      <c r="T759" t="n">
        <v>5.9</v>
      </c>
      <c r="U759" t="n">
        <v>3.1</v>
      </c>
      <c r="V759" t="n">
        <v>3.85449</v>
      </c>
      <c r="W759" t="n">
        <v>10.8</v>
      </c>
      <c r="X759" t="n">
        <v>2.5</v>
      </c>
      <c r="Y759" t="n">
        <v>3.7</v>
      </c>
      <c r="Z759" t="n">
        <v>5.6</v>
      </c>
      <c r="AA759" t="n">
        <v>7.8</v>
      </c>
      <c r="AB759" t="n">
        <v>3.149476</v>
      </c>
      <c r="AC759" t="n">
        <v>5.1</v>
      </c>
      <c r="AD759" t="n">
        <v>4</v>
      </c>
      <c r="AE759" t="n">
        <v>5.582938</v>
      </c>
      <c r="AF759" t="n">
        <v>4</v>
      </c>
      <c r="AG759" t="n">
        <v>7.8</v>
      </c>
      <c r="AH759" t="n">
        <v>7.1</v>
      </c>
      <c r="AI759" t="n">
        <v>5.6</v>
      </c>
      <c r="AJ759" t="n">
        <v>5.9</v>
      </c>
      <c r="AK759" t="n">
        <v>10</v>
      </c>
      <c r="AL759" t="n">
        <v>4.1</v>
      </c>
    </row>
    <row r="760">
      <c r="A760" s="78" t="n">
        <v>43160</v>
      </c>
      <c r="B760" t="n">
        <v>5.505182</v>
      </c>
      <c r="C760" t="n">
        <v>5.3</v>
      </c>
      <c r="D760" t="n">
        <v>6.2</v>
      </c>
      <c r="E760" t="n">
        <v>5.9</v>
      </c>
      <c r="G760" t="n">
        <v>6.99662</v>
      </c>
      <c r="H760" t="n">
        <v>2.1</v>
      </c>
      <c r="I760" t="n">
        <v>3.3</v>
      </c>
      <c r="J760" t="n">
        <v>5.6</v>
      </c>
      <c r="K760" t="n">
        <v>8.5</v>
      </c>
      <c r="L760" t="n">
        <v>16</v>
      </c>
      <c r="M760" t="n">
        <v>6</v>
      </c>
      <c r="N760" t="n">
        <v>8.300000000000001</v>
      </c>
      <c r="O760" t="n">
        <v>9.300000000000001</v>
      </c>
      <c r="P760" t="n">
        <v>4.644668</v>
      </c>
      <c r="Q760" t="n">
        <v>4.2</v>
      </c>
      <c r="R760" t="n">
        <v>20.6</v>
      </c>
      <c r="S760" t="n">
        <v>3.7</v>
      </c>
      <c r="T760" t="n">
        <v>5.8</v>
      </c>
      <c r="U760" t="n">
        <v>3</v>
      </c>
      <c r="V760" t="n">
        <v>3.785184</v>
      </c>
      <c r="W760" t="n">
        <v>10.9</v>
      </c>
      <c r="X760" t="n">
        <v>2.5</v>
      </c>
      <c r="Y760" t="n">
        <v>4</v>
      </c>
      <c r="Z760" t="n">
        <v>5.6</v>
      </c>
      <c r="AA760" t="n">
        <v>7.7</v>
      </c>
      <c r="AB760" t="n">
        <v>3.196005</v>
      </c>
      <c r="AC760" t="n">
        <v>5</v>
      </c>
      <c r="AD760" t="n">
        <v>4.3</v>
      </c>
      <c r="AE760" t="n">
        <v>5.544517</v>
      </c>
      <c r="AF760" t="n">
        <v>3.9</v>
      </c>
      <c r="AG760" t="n">
        <v>7.6</v>
      </c>
      <c r="AH760" t="n">
        <v>6.9</v>
      </c>
      <c r="AI760" t="n">
        <v>5.5</v>
      </c>
      <c r="AJ760" t="n">
        <v>6.3</v>
      </c>
      <c r="AK760" t="n">
        <v>10</v>
      </c>
      <c r="AL760" t="n">
        <v>4</v>
      </c>
    </row>
    <row r="761">
      <c r="A761" s="78" t="n">
        <v>43191</v>
      </c>
      <c r="B761" t="n">
        <v>5.52892</v>
      </c>
      <c r="C761" t="n">
        <v>5.2</v>
      </c>
      <c r="D761" t="n">
        <v>6.5</v>
      </c>
      <c r="E761" t="n">
        <v>5.9</v>
      </c>
      <c r="G761" t="n">
        <v>7.137424</v>
      </c>
      <c r="H761" t="n">
        <v>2.3</v>
      </c>
      <c r="I761" t="n">
        <v>3.3</v>
      </c>
      <c r="J761" t="n">
        <v>5.1</v>
      </c>
      <c r="K761" t="n">
        <v>8.4</v>
      </c>
      <c r="L761" t="n">
        <v>15.7</v>
      </c>
      <c r="M761" t="n">
        <v>5.3</v>
      </c>
      <c r="N761" t="n">
        <v>7.7</v>
      </c>
      <c r="O761" t="n">
        <v>9.199999999999999</v>
      </c>
      <c r="P761" t="n">
        <v>4.638415</v>
      </c>
      <c r="Q761" t="n">
        <v>4.2</v>
      </c>
      <c r="R761" t="n">
        <v>20.1</v>
      </c>
      <c r="S761" t="n">
        <v>3.7</v>
      </c>
      <c r="T761" t="n">
        <v>5.9</v>
      </c>
      <c r="U761" t="n">
        <v>3</v>
      </c>
      <c r="V761" t="n">
        <v>3.965974</v>
      </c>
      <c r="W761" t="n">
        <v>11</v>
      </c>
      <c r="X761" t="n">
        <v>2.5</v>
      </c>
      <c r="Y761" t="n">
        <v>3.8</v>
      </c>
      <c r="Z761" t="n">
        <v>5.5</v>
      </c>
      <c r="AA761" t="n">
        <v>7.7</v>
      </c>
      <c r="AB761" t="n">
        <v>3.455548</v>
      </c>
      <c r="AC761" t="n">
        <v>4.9</v>
      </c>
      <c r="AD761" t="n">
        <v>4.2</v>
      </c>
      <c r="AE761" t="n">
        <v>5.542208</v>
      </c>
      <c r="AF761" t="n">
        <v>3.8</v>
      </c>
      <c r="AG761" t="n">
        <v>7.3</v>
      </c>
      <c r="AH761" t="n">
        <v>6.8</v>
      </c>
      <c r="AI761" t="n">
        <v>5.4</v>
      </c>
      <c r="AJ761" t="n">
        <v>6.6</v>
      </c>
      <c r="AK761" t="n">
        <v>10.2</v>
      </c>
      <c r="AL761" t="n">
        <v>4</v>
      </c>
    </row>
    <row r="762">
      <c r="A762" s="78" t="n">
        <v>43221</v>
      </c>
      <c r="B762" t="n">
        <v>5.387085</v>
      </c>
      <c r="C762" t="n">
        <v>4.7</v>
      </c>
      <c r="D762" t="n">
        <v>6.4</v>
      </c>
      <c r="E762" t="n">
        <v>6</v>
      </c>
      <c r="G762" t="n">
        <v>7.236829</v>
      </c>
      <c r="H762" t="n">
        <v>2.2</v>
      </c>
      <c r="I762" t="n">
        <v>3.2</v>
      </c>
      <c r="J762" t="n">
        <v>5</v>
      </c>
      <c r="K762" t="n">
        <v>8.300000000000001</v>
      </c>
      <c r="L762" t="n">
        <v>15.4</v>
      </c>
      <c r="M762" t="n">
        <v>5.1</v>
      </c>
      <c r="N762" t="n">
        <v>7.3</v>
      </c>
      <c r="O762" t="n">
        <v>9.199999999999999</v>
      </c>
      <c r="P762" t="n">
        <v>4.477556</v>
      </c>
      <c r="Q762" t="n">
        <v>4</v>
      </c>
      <c r="R762" t="n">
        <v>19.7</v>
      </c>
      <c r="S762" t="n">
        <v>3.4</v>
      </c>
      <c r="T762" t="n">
        <v>5.9</v>
      </c>
      <c r="U762" t="n">
        <v>3.1</v>
      </c>
      <c r="V762" t="n">
        <v>4.04008</v>
      </c>
      <c r="W762" t="n">
        <v>10.6</v>
      </c>
      <c r="X762" t="n">
        <v>2.2</v>
      </c>
      <c r="Y762" t="n">
        <v>3.8</v>
      </c>
      <c r="Z762" t="n">
        <v>5.5</v>
      </c>
      <c r="AA762" t="n">
        <v>7.7</v>
      </c>
      <c r="AB762" t="n">
        <v>3.266093</v>
      </c>
      <c r="AC762" t="n">
        <v>4.9</v>
      </c>
      <c r="AD762" t="n">
        <v>3.4</v>
      </c>
      <c r="AE762" t="n">
        <v>5.425374</v>
      </c>
      <c r="AF762" t="n">
        <v>3.7</v>
      </c>
      <c r="AG762" t="n">
        <v>7.2</v>
      </c>
      <c r="AH762" t="n">
        <v>6.7</v>
      </c>
      <c r="AI762" t="n">
        <v>5.3</v>
      </c>
      <c r="AJ762" t="n">
        <v>6.1</v>
      </c>
      <c r="AK762" t="n">
        <v>10.6</v>
      </c>
      <c r="AL762" t="n">
        <v>3.8</v>
      </c>
    </row>
    <row r="763">
      <c r="A763" s="78" t="n">
        <v>43252</v>
      </c>
      <c r="B763" t="n">
        <v>5.3201</v>
      </c>
      <c r="C763" t="n">
        <v>5.1</v>
      </c>
      <c r="D763" t="n">
        <v>6.2</v>
      </c>
      <c r="E763" t="n">
        <v>6.1</v>
      </c>
      <c r="G763" t="n">
        <v>7.469167</v>
      </c>
      <c r="H763" t="n">
        <v>2.3</v>
      </c>
      <c r="I763" t="n">
        <v>3.2</v>
      </c>
      <c r="J763" t="n">
        <v>5.3</v>
      </c>
      <c r="K763" t="n">
        <v>8.199999999999999</v>
      </c>
      <c r="L763" t="n">
        <v>15.1</v>
      </c>
      <c r="M763" t="n">
        <v>5</v>
      </c>
      <c r="N763" t="n">
        <v>7</v>
      </c>
      <c r="O763" t="n">
        <v>9.1</v>
      </c>
      <c r="P763" t="n">
        <v>4.582471</v>
      </c>
      <c r="Q763" t="n">
        <v>4</v>
      </c>
      <c r="R763" t="n">
        <v>19.5</v>
      </c>
      <c r="S763" t="n">
        <v>3.4</v>
      </c>
      <c r="T763" t="n">
        <v>5.8</v>
      </c>
      <c r="U763" t="n">
        <v>3.2</v>
      </c>
      <c r="V763" t="n">
        <v>3.947251</v>
      </c>
      <c r="W763" t="n">
        <v>10.8</v>
      </c>
      <c r="X763" t="n">
        <v>2.4</v>
      </c>
      <c r="Y763" t="n">
        <v>3.5</v>
      </c>
      <c r="Z763" t="n">
        <v>5.5</v>
      </c>
      <c r="AA763" t="n">
        <v>7.5</v>
      </c>
      <c r="AB763" t="n">
        <v>3.328409</v>
      </c>
      <c r="AC763" t="n">
        <v>4.9</v>
      </c>
      <c r="AD763" t="n">
        <v>4.2</v>
      </c>
      <c r="AE763" t="n">
        <v>5.47793</v>
      </c>
      <c r="AF763" t="n">
        <v>3.8</v>
      </c>
      <c r="AG763" t="n">
        <v>7</v>
      </c>
      <c r="AH763" t="n">
        <v>6.6</v>
      </c>
      <c r="AI763" t="n">
        <v>5.3</v>
      </c>
      <c r="AJ763" t="n">
        <v>6.6</v>
      </c>
      <c r="AK763" t="n">
        <v>10.7</v>
      </c>
      <c r="AL763" t="n">
        <v>4</v>
      </c>
    </row>
    <row r="764">
      <c r="A764" s="78" t="n">
        <v>43282</v>
      </c>
      <c r="B764" t="n">
        <v>5.305491</v>
      </c>
      <c r="C764" t="n">
        <v>5.3</v>
      </c>
      <c r="D764" t="n">
        <v>5.9</v>
      </c>
      <c r="E764" t="n">
        <v>5.8</v>
      </c>
      <c r="G764" t="n">
        <v>7.408137</v>
      </c>
      <c r="H764" t="n">
        <v>2.3</v>
      </c>
      <c r="I764" t="n">
        <v>3.2</v>
      </c>
      <c r="J764" t="n">
        <v>5</v>
      </c>
      <c r="K764" t="n">
        <v>8.1</v>
      </c>
      <c r="L764" t="n">
        <v>14.9</v>
      </c>
      <c r="M764" t="n">
        <v>5.2</v>
      </c>
      <c r="N764" t="n">
        <v>7.2</v>
      </c>
      <c r="O764" t="n">
        <v>8.9</v>
      </c>
      <c r="P764" t="n">
        <v>4.47099</v>
      </c>
      <c r="Q764" t="n">
        <v>4</v>
      </c>
      <c r="R764" t="n">
        <v>19.3</v>
      </c>
      <c r="S764" t="n">
        <v>3.8</v>
      </c>
      <c r="T764" t="n">
        <v>5.7</v>
      </c>
      <c r="U764" t="n">
        <v>3.2</v>
      </c>
      <c r="V764" t="n">
        <v>4.13274</v>
      </c>
      <c r="W764" t="n">
        <v>10.4</v>
      </c>
      <c r="X764" t="n">
        <v>2.5</v>
      </c>
      <c r="Y764" t="n">
        <v>3.8</v>
      </c>
      <c r="Z764" t="n">
        <v>5.6</v>
      </c>
      <c r="AA764" t="n">
        <v>7.3</v>
      </c>
      <c r="AB764" t="n">
        <v>3.271296</v>
      </c>
      <c r="AC764" t="n">
        <v>4.9</v>
      </c>
      <c r="AD764" t="n">
        <v>4.2</v>
      </c>
      <c r="AE764" t="n">
        <v>5.422323</v>
      </c>
      <c r="AF764" t="n">
        <v>3.9</v>
      </c>
      <c r="AG764" t="n">
        <v>7</v>
      </c>
      <c r="AH764" t="n">
        <v>6.4</v>
      </c>
      <c r="AI764" t="n">
        <v>5.2</v>
      </c>
      <c r="AJ764" t="n">
        <v>6.6</v>
      </c>
      <c r="AK764" t="n">
        <v>10.8</v>
      </c>
      <c r="AL764" t="n">
        <v>3.8</v>
      </c>
    </row>
    <row r="765">
      <c r="A765" s="78" t="n">
        <v>43313</v>
      </c>
      <c r="B765" t="n">
        <v>5.278568</v>
      </c>
      <c r="C765" t="n">
        <v>5.5</v>
      </c>
      <c r="D765" t="n">
        <v>5.6</v>
      </c>
      <c r="E765" t="n">
        <v>6</v>
      </c>
      <c r="G765" t="n">
        <v>7.25078</v>
      </c>
      <c r="H765" t="n">
        <v>2.4</v>
      </c>
      <c r="I765" t="n">
        <v>3.2</v>
      </c>
      <c r="J765" t="n">
        <v>5</v>
      </c>
      <c r="K765" t="n">
        <v>8</v>
      </c>
      <c r="L765" t="n">
        <v>14.8</v>
      </c>
      <c r="M765" t="n">
        <v>5.3</v>
      </c>
      <c r="N765" t="n">
        <v>7.4</v>
      </c>
      <c r="O765" t="n">
        <v>8.9</v>
      </c>
      <c r="P765" t="n">
        <v>4.455646</v>
      </c>
      <c r="Q765" t="n">
        <v>4.1</v>
      </c>
      <c r="R765" t="n">
        <v>19.3</v>
      </c>
      <c r="S765" t="n">
        <v>3.6</v>
      </c>
      <c r="T765" t="n">
        <v>5.7</v>
      </c>
      <c r="U765" t="n">
        <v>3.2</v>
      </c>
      <c r="V765" t="n">
        <v>3.931191</v>
      </c>
      <c r="W765" t="n">
        <v>10.1</v>
      </c>
      <c r="X765" t="n">
        <v>2.5</v>
      </c>
      <c r="Y765" t="n">
        <v>4.5</v>
      </c>
      <c r="Z765" t="n">
        <v>5.7</v>
      </c>
      <c r="AA765" t="n">
        <v>7.1</v>
      </c>
      <c r="AB765" t="n">
        <v>3.19831</v>
      </c>
      <c r="AC765" t="n">
        <v>4.9</v>
      </c>
      <c r="AD765" t="n">
        <v>4.1</v>
      </c>
      <c r="AE765" t="n">
        <v>5.447193</v>
      </c>
      <c r="AF765" t="n">
        <v>3.9</v>
      </c>
      <c r="AG765" t="n">
        <v>7.1</v>
      </c>
      <c r="AH765" t="n">
        <v>6.3</v>
      </c>
      <c r="AI765" t="n">
        <v>5.1</v>
      </c>
      <c r="AJ765" t="n">
        <v>6.5</v>
      </c>
      <c r="AK765" t="n">
        <v>11.2</v>
      </c>
      <c r="AL765" t="n">
        <v>3.8</v>
      </c>
    </row>
    <row r="766">
      <c r="A766" s="78" t="n">
        <v>43344</v>
      </c>
      <c r="B766" t="n">
        <v>5.01275</v>
      </c>
      <c r="C766" t="n">
        <v>5.3</v>
      </c>
      <c r="D766" t="n">
        <v>5.6</v>
      </c>
      <c r="E766" t="n">
        <v>5.9</v>
      </c>
      <c r="G766" t="n">
        <v>7.358868</v>
      </c>
      <c r="H766" t="n">
        <v>2.2</v>
      </c>
      <c r="I766" t="n">
        <v>3.2</v>
      </c>
      <c r="J766" t="n">
        <v>4.7</v>
      </c>
      <c r="K766" t="n">
        <v>8</v>
      </c>
      <c r="L766" t="n">
        <v>14.7</v>
      </c>
      <c r="M766" t="n">
        <v>5.6</v>
      </c>
      <c r="N766" t="n">
        <v>7</v>
      </c>
      <c r="O766" t="n">
        <v>8.800000000000001</v>
      </c>
      <c r="P766" t="n">
        <v>4.404082</v>
      </c>
      <c r="Q766" t="n">
        <v>4.1</v>
      </c>
      <c r="R766" t="n">
        <v>19.1</v>
      </c>
      <c r="S766" t="n">
        <v>3.6</v>
      </c>
      <c r="T766" t="n">
        <v>5.7</v>
      </c>
      <c r="U766" t="n">
        <v>3.2</v>
      </c>
      <c r="V766" t="n">
        <v>4.126415</v>
      </c>
      <c r="W766" t="n">
        <v>10.3</v>
      </c>
      <c r="X766" t="n">
        <v>2.3</v>
      </c>
      <c r="Y766" t="n">
        <v>4.1</v>
      </c>
      <c r="Z766" t="n">
        <v>5.6</v>
      </c>
      <c r="AA766" t="n">
        <v>7</v>
      </c>
      <c r="AB766" t="n">
        <v>3.285544</v>
      </c>
      <c r="AC766" t="n">
        <v>4.8</v>
      </c>
      <c r="AD766" t="n">
        <v>4.4</v>
      </c>
      <c r="AE766" t="n">
        <v>5.426748</v>
      </c>
      <c r="AF766" t="n">
        <v>3.9</v>
      </c>
      <c r="AG766" t="n">
        <v>6.7</v>
      </c>
      <c r="AH766" t="n">
        <v>6.2</v>
      </c>
      <c r="AI766" t="n">
        <v>4.9</v>
      </c>
      <c r="AJ766" t="n">
        <v>6.7</v>
      </c>
      <c r="AK766" t="n">
        <v>11.5</v>
      </c>
      <c r="AL766" t="n">
        <v>3.7</v>
      </c>
    </row>
    <row r="767">
      <c r="A767" s="78" t="n">
        <v>43374</v>
      </c>
      <c r="B767" t="n">
        <v>4.996928</v>
      </c>
      <c r="C767" t="n">
        <v>5.3</v>
      </c>
      <c r="D767" t="n">
        <v>5.8</v>
      </c>
      <c r="E767" t="n">
        <v>5.9</v>
      </c>
      <c r="G767" t="n">
        <v>7.599307</v>
      </c>
      <c r="H767" t="n">
        <v>2.1</v>
      </c>
      <c r="I767" t="n">
        <v>3.1</v>
      </c>
      <c r="J767" t="n">
        <v>5</v>
      </c>
      <c r="K767" t="n">
        <v>8</v>
      </c>
      <c r="L767" t="n">
        <v>14.7</v>
      </c>
      <c r="M767" t="n">
        <v>5.2</v>
      </c>
      <c r="N767" t="n">
        <v>7.2</v>
      </c>
      <c r="O767" t="n">
        <v>8.800000000000001</v>
      </c>
      <c r="P767" t="n">
        <v>4.464395</v>
      </c>
      <c r="Q767" t="n">
        <v>4</v>
      </c>
      <c r="R767" t="n">
        <v>19</v>
      </c>
      <c r="S767" t="n">
        <v>3.6</v>
      </c>
      <c r="T767" t="n">
        <v>5.8</v>
      </c>
      <c r="U767" t="n">
        <v>3.2</v>
      </c>
      <c r="V767" t="n">
        <v>4.035684</v>
      </c>
      <c r="W767" t="n">
        <v>10.7</v>
      </c>
      <c r="X767" t="n">
        <v>2.4</v>
      </c>
      <c r="Y767" t="n">
        <v>4</v>
      </c>
      <c r="Z767" t="n">
        <v>5.5</v>
      </c>
      <c r="AA767" t="n">
        <v>7.1</v>
      </c>
      <c r="AB767" t="n">
        <v>3.144248</v>
      </c>
      <c r="AC767" t="n">
        <v>4.7</v>
      </c>
      <c r="AD767" t="n">
        <v>4</v>
      </c>
      <c r="AE767" t="n">
        <v>5.467998</v>
      </c>
      <c r="AF767" t="n">
        <v>3.9</v>
      </c>
      <c r="AG767" t="n">
        <v>6.7</v>
      </c>
      <c r="AH767" t="n">
        <v>6.1</v>
      </c>
      <c r="AI767" t="n">
        <v>4.6</v>
      </c>
      <c r="AJ767" t="n">
        <v>6.6</v>
      </c>
      <c r="AK767" t="n">
        <v>11.6</v>
      </c>
      <c r="AL767" t="n">
        <v>3.8</v>
      </c>
    </row>
    <row r="768">
      <c r="A768" s="78" t="n">
        <v>43405</v>
      </c>
      <c r="B768" t="n">
        <v>5.102389</v>
      </c>
      <c r="C768" t="n">
        <v>4.9</v>
      </c>
      <c r="D768" t="n">
        <v>5.9</v>
      </c>
      <c r="E768" t="n">
        <v>5.7</v>
      </c>
      <c r="G768" t="n">
        <v>7.688685</v>
      </c>
      <c r="H768" t="n">
        <v>2</v>
      </c>
      <c r="I768" t="n">
        <v>3.1</v>
      </c>
      <c r="J768" t="n">
        <v>5.1</v>
      </c>
      <c r="K768" t="n">
        <v>8</v>
      </c>
      <c r="L768" t="n">
        <v>14.6</v>
      </c>
      <c r="M768" t="n">
        <v>4.6</v>
      </c>
      <c r="N768" t="n">
        <v>7.1</v>
      </c>
      <c r="O768" t="n">
        <v>8.800000000000001</v>
      </c>
      <c r="P768" t="n">
        <v>4.436836</v>
      </c>
      <c r="Q768" t="n">
        <v>4</v>
      </c>
      <c r="R768" t="n">
        <v>19.2</v>
      </c>
      <c r="S768" t="n">
        <v>3.5</v>
      </c>
      <c r="T768" t="n">
        <v>5.7</v>
      </c>
      <c r="U768" t="n">
        <v>3.2</v>
      </c>
      <c r="V768" t="n">
        <v>4.009426</v>
      </c>
      <c r="W768" t="n">
        <v>10.6</v>
      </c>
      <c r="X768" t="n">
        <v>2.5</v>
      </c>
      <c r="Y768" t="n">
        <v>3.9</v>
      </c>
      <c r="Z768" t="n">
        <v>5.4</v>
      </c>
      <c r="AA768" t="n">
        <v>7</v>
      </c>
      <c r="AB768" t="n">
        <v>3.311893</v>
      </c>
      <c r="AC768" t="n">
        <v>4.6</v>
      </c>
      <c r="AD768" t="n">
        <v>3.7</v>
      </c>
      <c r="AE768" t="n">
        <v>5.483261</v>
      </c>
      <c r="AF768" t="n">
        <v>3.9</v>
      </c>
      <c r="AG768" t="n">
        <v>6.8</v>
      </c>
      <c r="AH768" t="n">
        <v>6</v>
      </c>
      <c r="AI768" t="n">
        <v>4.4</v>
      </c>
      <c r="AJ768" t="n">
        <v>6.7</v>
      </c>
      <c r="AK768" t="n">
        <v>12.2</v>
      </c>
      <c r="AL768" t="n">
        <v>3.8</v>
      </c>
    </row>
    <row r="769">
      <c r="A769" s="78" t="n">
        <v>43435</v>
      </c>
      <c r="B769" t="n">
        <v>5.008975</v>
      </c>
      <c r="C769" t="n">
        <v>5.2</v>
      </c>
      <c r="D769" t="n">
        <v>5.9</v>
      </c>
      <c r="E769" t="n">
        <v>5.8</v>
      </c>
      <c r="G769" t="n">
        <v>7.530383</v>
      </c>
      <c r="H769" t="n">
        <v>2.2</v>
      </c>
      <c r="I769" t="n">
        <v>3.1</v>
      </c>
      <c r="J769" t="n">
        <v>5.7</v>
      </c>
      <c r="K769" t="n">
        <v>7.9</v>
      </c>
      <c r="L769" t="n">
        <v>14.5</v>
      </c>
      <c r="M769" t="n">
        <v>4.4</v>
      </c>
      <c r="N769" t="n">
        <v>5.9</v>
      </c>
      <c r="O769" t="n">
        <v>8.800000000000001</v>
      </c>
      <c r="P769" t="n">
        <v>4.457916</v>
      </c>
      <c r="Q769" t="n">
        <v>3.9</v>
      </c>
      <c r="R769" t="n">
        <v>19.1</v>
      </c>
      <c r="S769" t="n">
        <v>3.6</v>
      </c>
      <c r="T769" t="n">
        <v>5.5</v>
      </c>
      <c r="U769" t="n">
        <v>3.2</v>
      </c>
      <c r="V769" t="n">
        <v>4.254563</v>
      </c>
      <c r="W769" t="n">
        <v>10.2</v>
      </c>
      <c r="X769" t="n">
        <v>2.5</v>
      </c>
      <c r="Y769" t="n">
        <v>3.8</v>
      </c>
      <c r="Z769" t="n">
        <v>5.3</v>
      </c>
      <c r="AA769" t="n">
        <v>6.9</v>
      </c>
      <c r="AB769" t="n">
        <v>3.636656</v>
      </c>
      <c r="AC769" t="n">
        <v>4.6</v>
      </c>
      <c r="AD769" t="n">
        <v>3.7</v>
      </c>
      <c r="AE769" t="n">
        <v>5.563502</v>
      </c>
      <c r="AF769" t="n">
        <v>3.9</v>
      </c>
      <c r="AG769" t="n">
        <v>6.8</v>
      </c>
      <c r="AH769" t="n">
        <v>5.9</v>
      </c>
      <c r="AI769" t="n">
        <v>4.4</v>
      </c>
      <c r="AJ769" t="n">
        <v>6.8</v>
      </c>
      <c r="AK769" t="n">
        <v>12.7</v>
      </c>
      <c r="AL769" t="n">
        <v>3.9</v>
      </c>
    </row>
    <row r="770">
      <c r="A770" s="78" t="n">
        <v>43466</v>
      </c>
      <c r="B770" t="n">
        <v>5.056421</v>
      </c>
      <c r="C770" t="n">
        <v>4.9</v>
      </c>
      <c r="D770" t="n">
        <v>5.8</v>
      </c>
      <c r="E770" t="n">
        <v>5.9</v>
      </c>
      <c r="G770" t="n">
        <v>7.283808</v>
      </c>
      <c r="H770" t="n">
        <v>2.1</v>
      </c>
      <c r="I770" t="n">
        <v>3.1</v>
      </c>
      <c r="J770" t="n">
        <v>5.1</v>
      </c>
      <c r="K770" t="n">
        <v>7.9</v>
      </c>
      <c r="L770" t="n">
        <v>14.3</v>
      </c>
      <c r="M770" t="n">
        <v>4.4</v>
      </c>
      <c r="N770" t="n">
        <v>6.7</v>
      </c>
      <c r="O770" t="n">
        <v>8.800000000000001</v>
      </c>
      <c r="P770" t="n">
        <v>4.51149</v>
      </c>
      <c r="Q770" t="n">
        <v>3.9</v>
      </c>
      <c r="R770" t="n">
        <v>19.4</v>
      </c>
      <c r="S770" t="n">
        <v>3.4</v>
      </c>
      <c r="T770" t="n">
        <v>5</v>
      </c>
      <c r="U770" t="n">
        <v>3.2</v>
      </c>
      <c r="V770" t="n">
        <v>4.215337</v>
      </c>
      <c r="W770" t="n">
        <v>10.4</v>
      </c>
      <c r="X770" t="n">
        <v>2.5</v>
      </c>
      <c r="Y770" t="n">
        <v>4.1</v>
      </c>
      <c r="Z770" t="n">
        <v>5.3</v>
      </c>
      <c r="AA770" t="n">
        <v>6.8</v>
      </c>
      <c r="AB770" t="n">
        <v>3.374753</v>
      </c>
      <c r="AC770" t="n">
        <v>4.6</v>
      </c>
      <c r="AD770" t="n">
        <v>4</v>
      </c>
      <c r="AE770" t="n">
        <v>5.601999</v>
      </c>
      <c r="AF770" t="n">
        <v>3.9</v>
      </c>
      <c r="AG770" t="n">
        <v>6.7</v>
      </c>
      <c r="AH770" t="n">
        <v>5.8</v>
      </c>
      <c r="AI770" t="n">
        <v>4.5</v>
      </c>
      <c r="AJ770" t="n">
        <v>6.4</v>
      </c>
      <c r="AK770" t="n">
        <v>13.6</v>
      </c>
      <c r="AL770" t="n">
        <v>4</v>
      </c>
    </row>
    <row r="771">
      <c r="A771" s="78" t="n">
        <v>43497</v>
      </c>
      <c r="B771" t="n">
        <v>4.961694</v>
      </c>
      <c r="C771" t="n">
        <v>5.1</v>
      </c>
      <c r="D771" t="n">
        <v>5.7</v>
      </c>
      <c r="E771" t="n">
        <v>5.9</v>
      </c>
      <c r="G771" t="n">
        <v>7.210567</v>
      </c>
      <c r="H771" t="n">
        <v>1.7</v>
      </c>
      <c r="I771" t="n">
        <v>3</v>
      </c>
      <c r="J771" t="n">
        <v>5.1</v>
      </c>
      <c r="K771" t="n">
        <v>7.8</v>
      </c>
      <c r="L771" t="n">
        <v>14.2</v>
      </c>
      <c r="M771" t="n">
        <v>4.6</v>
      </c>
      <c r="N771" t="n">
        <v>7</v>
      </c>
      <c r="O771" t="n">
        <v>8.699999999999999</v>
      </c>
      <c r="P771" t="n">
        <v>4.374823</v>
      </c>
      <c r="Q771" t="n">
        <v>3.8</v>
      </c>
      <c r="R771" t="n">
        <v>19.3</v>
      </c>
      <c r="S771" t="n">
        <v>3.2</v>
      </c>
      <c r="T771" t="n">
        <v>4.9</v>
      </c>
      <c r="U771" t="n">
        <v>3.3</v>
      </c>
      <c r="V771" t="n">
        <v>4.043527</v>
      </c>
      <c r="W771" t="n">
        <v>10.5</v>
      </c>
      <c r="X771" t="n">
        <v>2.4</v>
      </c>
      <c r="Y771" t="n">
        <v>3.8</v>
      </c>
      <c r="Z771" t="n">
        <v>5.5</v>
      </c>
      <c r="AA771" t="n">
        <v>6.6</v>
      </c>
      <c r="AB771" t="n">
        <v>3.276687</v>
      </c>
      <c r="AC771" t="n">
        <v>4.4</v>
      </c>
      <c r="AD771" t="n">
        <v>4.3</v>
      </c>
      <c r="AE771" t="n">
        <v>5.505092</v>
      </c>
      <c r="AF771" t="n">
        <v>3.8</v>
      </c>
      <c r="AG771" t="n">
        <v>6.7</v>
      </c>
      <c r="AH771" t="n">
        <v>5.8</v>
      </c>
      <c r="AI771" t="n">
        <v>4.6</v>
      </c>
      <c r="AJ771" t="n">
        <v>7</v>
      </c>
      <c r="AK771" t="n">
        <v>13.8</v>
      </c>
      <c r="AL771" t="n">
        <v>3.8</v>
      </c>
    </row>
    <row r="772">
      <c r="A772" s="78" t="n">
        <v>43525</v>
      </c>
      <c r="B772" t="n">
        <v>5.079307</v>
      </c>
      <c r="C772" t="n">
        <v>5</v>
      </c>
      <c r="D772" t="n">
        <v>5.6</v>
      </c>
      <c r="E772" t="n">
        <v>5.8</v>
      </c>
      <c r="G772" t="n">
        <v>7.091382</v>
      </c>
      <c r="H772" t="n">
        <v>2.1</v>
      </c>
      <c r="I772" t="n">
        <v>3</v>
      </c>
      <c r="J772" t="n">
        <v>5.3</v>
      </c>
      <c r="K772" t="n">
        <v>7.7</v>
      </c>
      <c r="L772" t="n">
        <v>14.2</v>
      </c>
      <c r="M772" t="n">
        <v>4.5</v>
      </c>
      <c r="N772" t="n">
        <v>6.5</v>
      </c>
      <c r="O772" t="n">
        <v>8.699999999999999</v>
      </c>
      <c r="P772" t="n">
        <v>4.377031</v>
      </c>
      <c r="Q772" t="n">
        <v>3.8</v>
      </c>
      <c r="R772" t="n">
        <v>18.9</v>
      </c>
      <c r="S772" t="n">
        <v>3.4</v>
      </c>
      <c r="T772" t="n">
        <v>4.9</v>
      </c>
      <c r="U772" t="n">
        <v>3.4</v>
      </c>
      <c r="V772" t="n">
        <v>3.876348</v>
      </c>
      <c r="W772" t="n">
        <v>10.1</v>
      </c>
      <c r="X772" t="n">
        <v>2.5</v>
      </c>
      <c r="Y772" t="n">
        <v>3.8</v>
      </c>
      <c r="Z772" t="n">
        <v>5.6</v>
      </c>
      <c r="AA772" t="n">
        <v>6.5</v>
      </c>
      <c r="AB772" t="n">
        <v>3.538262</v>
      </c>
      <c r="AC772" t="n">
        <v>4.4</v>
      </c>
      <c r="AD772" t="n">
        <v>3.7</v>
      </c>
      <c r="AE772" t="n">
        <v>5.53334</v>
      </c>
      <c r="AF772" t="n">
        <v>3.7</v>
      </c>
      <c r="AG772" t="n">
        <v>6.6</v>
      </c>
      <c r="AH772" t="n">
        <v>5.7</v>
      </c>
      <c r="AI772" t="n">
        <v>4.5</v>
      </c>
      <c r="AJ772" t="n">
        <v>7.5</v>
      </c>
      <c r="AK772" t="n">
        <v>13.9</v>
      </c>
      <c r="AL772" t="n">
        <v>3.8</v>
      </c>
    </row>
    <row r="773">
      <c r="A773" s="78" t="n">
        <v>43556</v>
      </c>
      <c r="B773" t="n">
        <v>5.210599</v>
      </c>
      <c r="C773" t="n">
        <v>5</v>
      </c>
      <c r="D773" t="n">
        <v>5.6</v>
      </c>
      <c r="E773" t="n">
        <v>5.8</v>
      </c>
      <c r="G773" t="n">
        <v>6.99226</v>
      </c>
      <c r="H773" t="n">
        <v>2.1</v>
      </c>
      <c r="I773" t="n">
        <v>3</v>
      </c>
      <c r="J773" t="n">
        <v>5.3</v>
      </c>
      <c r="K773" t="n">
        <v>7.7</v>
      </c>
      <c r="L773" t="n">
        <v>14.2</v>
      </c>
      <c r="M773" t="n">
        <v>4.8</v>
      </c>
      <c r="N773" t="n">
        <v>7.2</v>
      </c>
      <c r="O773" t="n">
        <v>8.5</v>
      </c>
      <c r="P773" t="n">
        <v>4.290077</v>
      </c>
      <c r="Q773" t="n">
        <v>3.8</v>
      </c>
      <c r="R773" t="n">
        <v>18.2</v>
      </c>
      <c r="S773" t="n">
        <v>3.3</v>
      </c>
      <c r="T773" t="n">
        <v>5.1</v>
      </c>
      <c r="U773" t="n">
        <v>3.5</v>
      </c>
      <c r="V773" t="n">
        <v>3.92101</v>
      </c>
      <c r="W773" t="n">
        <v>10.3</v>
      </c>
      <c r="X773" t="n">
        <v>2.4</v>
      </c>
      <c r="Y773" t="n">
        <v>4</v>
      </c>
      <c r="Z773" t="n">
        <v>5.6</v>
      </c>
      <c r="AA773" t="n">
        <v>6.3</v>
      </c>
      <c r="AB773" t="n">
        <v>3.580176</v>
      </c>
      <c r="AC773" t="n">
        <v>4.3</v>
      </c>
      <c r="AD773" t="n">
        <v>3.2</v>
      </c>
      <c r="AE773" t="n">
        <v>5.435167</v>
      </c>
      <c r="AF773" t="n">
        <v>3.4</v>
      </c>
      <c r="AG773" t="n">
        <v>6.7</v>
      </c>
      <c r="AH773" t="n">
        <v>5.7</v>
      </c>
      <c r="AI773" t="n">
        <v>4.3</v>
      </c>
      <c r="AJ773" t="n">
        <v>6.6</v>
      </c>
      <c r="AK773" t="n">
        <v>13.8</v>
      </c>
      <c r="AL773" t="n">
        <v>3.6</v>
      </c>
    </row>
    <row r="774">
      <c r="A774" s="78" t="n">
        <v>43586</v>
      </c>
      <c r="B774" t="n">
        <v>5.197811</v>
      </c>
      <c r="C774" t="n">
        <v>4.9</v>
      </c>
      <c r="D774" t="n">
        <v>5.6</v>
      </c>
      <c r="E774" t="n">
        <v>5.4</v>
      </c>
      <c r="G774" t="n">
        <v>6.982352</v>
      </c>
      <c r="H774" t="n">
        <v>2.1</v>
      </c>
      <c r="I774" t="n">
        <v>2.9</v>
      </c>
      <c r="J774" t="n">
        <v>4.8</v>
      </c>
      <c r="K774" t="n">
        <v>7.7</v>
      </c>
      <c r="L774" t="n">
        <v>14.2</v>
      </c>
      <c r="M774" t="n">
        <v>5</v>
      </c>
      <c r="N774" t="n">
        <v>6.8</v>
      </c>
      <c r="O774" t="n">
        <v>8.6</v>
      </c>
      <c r="P774" t="n">
        <v>4.244489</v>
      </c>
      <c r="Q774" t="n">
        <v>3.9</v>
      </c>
      <c r="R774" t="n">
        <v>17.6</v>
      </c>
      <c r="S774" t="n">
        <v>3.3</v>
      </c>
      <c r="T774" t="n">
        <v>5.2</v>
      </c>
      <c r="U774" t="n">
        <v>3.6</v>
      </c>
      <c r="V774" t="n">
        <v>3.646762</v>
      </c>
      <c r="W774" t="n">
        <v>10</v>
      </c>
      <c r="X774" t="n">
        <v>2.3</v>
      </c>
      <c r="Y774" t="n">
        <v>3.8</v>
      </c>
      <c r="Z774" t="n">
        <v>5.6</v>
      </c>
      <c r="AA774" t="n">
        <v>6.3</v>
      </c>
      <c r="AB774" t="n">
        <v>3.582551</v>
      </c>
      <c r="AC774" t="n">
        <v>4.3</v>
      </c>
      <c r="AD774" t="n">
        <v>3.4</v>
      </c>
      <c r="AE774" t="n">
        <v>5.401625</v>
      </c>
      <c r="AF774" t="n">
        <v>3.3</v>
      </c>
      <c r="AG774" t="n">
        <v>6.7</v>
      </c>
      <c r="AH774" t="n">
        <v>5.7</v>
      </c>
      <c r="AI774" t="n">
        <v>4.3</v>
      </c>
      <c r="AJ774" t="n">
        <v>6.7</v>
      </c>
      <c r="AK774" t="n">
        <v>13.7</v>
      </c>
      <c r="AL774" t="n">
        <v>3.6</v>
      </c>
    </row>
    <row r="775">
      <c r="A775" s="78" t="n">
        <v>43617</v>
      </c>
      <c r="B775" t="n">
        <v>5.254198</v>
      </c>
      <c r="C775" t="n">
        <v>4.6</v>
      </c>
      <c r="D775" t="n">
        <v>5.5</v>
      </c>
      <c r="E775" t="n">
        <v>5.5</v>
      </c>
      <c r="G775" t="n">
        <v>7.165741</v>
      </c>
      <c r="H775" t="n">
        <v>1.8</v>
      </c>
      <c r="I775" t="n">
        <v>2.9</v>
      </c>
      <c r="J775" t="n">
        <v>4.5</v>
      </c>
      <c r="K775" t="n">
        <v>7.6</v>
      </c>
      <c r="L775" t="n">
        <v>14.2</v>
      </c>
      <c r="M775" t="n">
        <v>4.7</v>
      </c>
      <c r="N775" t="n">
        <v>6.2</v>
      </c>
      <c r="O775" t="n">
        <v>8.5</v>
      </c>
      <c r="P775" t="n">
        <v>4.201237</v>
      </c>
      <c r="Q775" t="n">
        <v>3.8</v>
      </c>
      <c r="R775" t="n">
        <v>17.4</v>
      </c>
      <c r="S775" t="n">
        <v>3.3</v>
      </c>
      <c r="T775" t="n">
        <v>5.2</v>
      </c>
      <c r="U775" t="n">
        <v>3.8</v>
      </c>
      <c r="V775" t="n">
        <v>4.01341</v>
      </c>
      <c r="W775" t="n">
        <v>9.6</v>
      </c>
      <c r="X775" t="n">
        <v>2.3</v>
      </c>
      <c r="Y775" t="n">
        <v>3.8</v>
      </c>
      <c r="Z775" t="n">
        <v>5.7</v>
      </c>
      <c r="AA775" t="n">
        <v>6.3</v>
      </c>
      <c r="AB775" t="n">
        <v>3.540605</v>
      </c>
      <c r="AC775" t="n">
        <v>4.4</v>
      </c>
      <c r="AD775" t="n">
        <v>3.8</v>
      </c>
      <c r="AE775" t="n">
        <v>5.342468</v>
      </c>
      <c r="AF775" t="n">
        <v>3.3</v>
      </c>
      <c r="AG775" t="n">
        <v>6.7</v>
      </c>
      <c r="AH775" t="n">
        <v>5.7</v>
      </c>
      <c r="AI775" t="n">
        <v>4.5</v>
      </c>
      <c r="AJ775" t="n">
        <v>6.5</v>
      </c>
      <c r="AK775" t="n">
        <v>13.7</v>
      </c>
      <c r="AL775" t="n">
        <v>3.6</v>
      </c>
    </row>
    <row r="776">
      <c r="A776" s="78" t="n">
        <v>43647</v>
      </c>
      <c r="B776" t="n">
        <v>5.284735</v>
      </c>
      <c r="C776" t="n">
        <v>4.8</v>
      </c>
      <c r="D776" t="n">
        <v>5.3</v>
      </c>
      <c r="E776" t="n">
        <v>5.8</v>
      </c>
      <c r="G776" t="n">
        <v>7.257775</v>
      </c>
      <c r="H776" t="n">
        <v>2.1</v>
      </c>
      <c r="I776" t="n">
        <v>2.9</v>
      </c>
      <c r="J776" t="n">
        <v>4.6</v>
      </c>
      <c r="K776" t="n">
        <v>7.5</v>
      </c>
      <c r="L776" t="n">
        <v>14.1</v>
      </c>
      <c r="M776" t="n">
        <v>4.3</v>
      </c>
      <c r="N776" t="n">
        <v>6.5</v>
      </c>
      <c r="O776" t="n">
        <v>8.300000000000001</v>
      </c>
      <c r="P776" t="n">
        <v>4.210208</v>
      </c>
      <c r="Q776" t="n">
        <v>3.9</v>
      </c>
      <c r="R776" t="n">
        <v>17.6</v>
      </c>
      <c r="S776" t="n">
        <v>3.3</v>
      </c>
      <c r="T776" t="n">
        <v>5.1</v>
      </c>
      <c r="U776" t="n">
        <v>4</v>
      </c>
      <c r="V776" t="n">
        <v>3.645413</v>
      </c>
      <c r="W776" t="n">
        <v>9.6</v>
      </c>
      <c r="X776" t="n">
        <v>2.3</v>
      </c>
      <c r="Y776" t="n">
        <v>4</v>
      </c>
      <c r="Z776" t="n">
        <v>5.7</v>
      </c>
      <c r="AA776" t="n">
        <v>6.3</v>
      </c>
      <c r="AB776" t="n">
        <v>3.520168</v>
      </c>
      <c r="AC776" t="n">
        <v>4.4</v>
      </c>
      <c r="AD776" t="n">
        <v>3.9</v>
      </c>
      <c r="AE776" t="n">
        <v>5.400309</v>
      </c>
      <c r="AF776" t="n">
        <v>3.2</v>
      </c>
      <c r="AG776" t="n">
        <v>6.6</v>
      </c>
      <c r="AH776" t="n">
        <v>5.7</v>
      </c>
      <c r="AI776" t="n">
        <v>4.8</v>
      </c>
      <c r="AJ776" t="n">
        <v>7.3</v>
      </c>
      <c r="AK776" t="n">
        <v>13.9</v>
      </c>
      <c r="AL776" t="n">
        <v>3.7</v>
      </c>
    </row>
    <row r="777">
      <c r="A777" s="78" t="n">
        <v>43678</v>
      </c>
      <c r="B777" t="n">
        <v>5.268459</v>
      </c>
      <c r="C777" t="n">
        <v>5</v>
      </c>
      <c r="D777" t="n">
        <v>5.2</v>
      </c>
      <c r="E777" t="n">
        <v>5.8</v>
      </c>
      <c r="G777" t="n">
        <v>7.127029</v>
      </c>
      <c r="H777" t="n">
        <v>2.1</v>
      </c>
      <c r="I777" t="n">
        <v>2.9</v>
      </c>
      <c r="J777" t="n">
        <v>4.9</v>
      </c>
      <c r="K777" t="n">
        <v>7.4</v>
      </c>
      <c r="L777" t="n">
        <v>14.1</v>
      </c>
      <c r="M777" t="n">
        <v>4.1</v>
      </c>
      <c r="N777" t="n">
        <v>7</v>
      </c>
      <c r="O777" t="n">
        <v>8.199999999999999</v>
      </c>
      <c r="P777" t="n">
        <v>4.180048</v>
      </c>
      <c r="Q777" t="n">
        <v>3.8</v>
      </c>
      <c r="R777" t="n">
        <v>17.4</v>
      </c>
      <c r="S777" t="n">
        <v>3.4</v>
      </c>
      <c r="T777" t="n">
        <v>5</v>
      </c>
      <c r="U777" t="n">
        <v>4.2</v>
      </c>
      <c r="V777" t="n">
        <v>3.588886</v>
      </c>
      <c r="W777" t="n">
        <v>9.4</v>
      </c>
      <c r="X777" t="n">
        <v>2.3</v>
      </c>
      <c r="Y777" t="n">
        <v>3.5</v>
      </c>
      <c r="Z777" t="n">
        <v>5.8</v>
      </c>
      <c r="AA777" t="n">
        <v>6.2</v>
      </c>
      <c r="AB777" t="n">
        <v>3.445964</v>
      </c>
      <c r="AC777" t="n">
        <v>4.5</v>
      </c>
      <c r="AD777" t="n">
        <v>4.4</v>
      </c>
      <c r="AE777" t="n">
        <v>5.384103</v>
      </c>
      <c r="AF777" t="n">
        <v>3.2</v>
      </c>
      <c r="AG777" t="n">
        <v>6.5</v>
      </c>
      <c r="AH777" t="n">
        <v>5.7</v>
      </c>
      <c r="AI777" t="n">
        <v>4.9</v>
      </c>
      <c r="AJ777" t="n">
        <v>7.3</v>
      </c>
      <c r="AK777" t="n">
        <v>14</v>
      </c>
      <c r="AL777" t="n">
        <v>3.7</v>
      </c>
    </row>
    <row r="778">
      <c r="A778" s="78" t="n">
        <v>43709</v>
      </c>
      <c r="B778" t="n">
        <v>5.191052</v>
      </c>
      <c r="C778" t="n">
        <v>4.6</v>
      </c>
      <c r="D778" t="n">
        <v>5.2</v>
      </c>
      <c r="E778" t="n">
        <v>5.6</v>
      </c>
      <c r="G778" t="n">
        <v>7.099298</v>
      </c>
      <c r="H778" t="n">
        <v>2</v>
      </c>
      <c r="I778" t="n">
        <v>2.9</v>
      </c>
      <c r="J778" t="n">
        <v>5.1</v>
      </c>
      <c r="K778" t="n">
        <v>7.5</v>
      </c>
      <c r="L778" t="n">
        <v>14</v>
      </c>
      <c r="M778" t="n">
        <v>4.3</v>
      </c>
      <c r="N778" t="n">
        <v>6.6</v>
      </c>
      <c r="O778" t="n">
        <v>8.1</v>
      </c>
      <c r="P778" t="n">
        <v>4.142455</v>
      </c>
      <c r="Q778" t="n">
        <v>3.8</v>
      </c>
      <c r="R778" t="n">
        <v>17.4</v>
      </c>
      <c r="S778" t="n">
        <v>3.4</v>
      </c>
      <c r="T778" t="n">
        <v>4.9</v>
      </c>
      <c r="U778" t="n">
        <v>4.2</v>
      </c>
      <c r="V778" t="n">
        <v>3.526922</v>
      </c>
      <c r="W778" t="n">
        <v>9.800000000000001</v>
      </c>
      <c r="X778" t="n">
        <v>2.4</v>
      </c>
      <c r="Y778" t="n">
        <v>3.6</v>
      </c>
      <c r="Z778" t="n">
        <v>5.6</v>
      </c>
      <c r="AA778" t="n">
        <v>6</v>
      </c>
      <c r="AB778" t="n">
        <v>3.501859</v>
      </c>
      <c r="AC778" t="n">
        <v>4.5</v>
      </c>
      <c r="AD778" t="n">
        <v>3.6</v>
      </c>
      <c r="AE778" t="n">
        <v>5.353061</v>
      </c>
      <c r="AF778" t="n">
        <v>3.1</v>
      </c>
      <c r="AG778" t="n">
        <v>6.6</v>
      </c>
      <c r="AH778" t="n">
        <v>5.8</v>
      </c>
      <c r="AI778" t="n">
        <v>4.7</v>
      </c>
      <c r="AJ778" t="n">
        <v>6.9</v>
      </c>
      <c r="AK778" t="n">
        <v>14.1</v>
      </c>
      <c r="AL778" t="n">
        <v>3.5</v>
      </c>
    </row>
    <row r="779">
      <c r="A779" s="78" t="n">
        <v>43739</v>
      </c>
      <c r="B779" t="n">
        <v>5.293975</v>
      </c>
      <c r="C779" t="n">
        <v>4.9</v>
      </c>
      <c r="D779" t="n">
        <v>5.3</v>
      </c>
      <c r="E779" t="n">
        <v>5.7</v>
      </c>
      <c r="G779" t="n">
        <v>7.241705</v>
      </c>
      <c r="H779" t="n">
        <v>2.2</v>
      </c>
      <c r="I779" t="n">
        <v>3</v>
      </c>
      <c r="J779" t="n">
        <v>5</v>
      </c>
      <c r="K779" t="n">
        <v>7.5</v>
      </c>
      <c r="L779" t="n">
        <v>14</v>
      </c>
      <c r="M779" t="n">
        <v>4.1</v>
      </c>
      <c r="N779" t="n">
        <v>6.9</v>
      </c>
      <c r="O779" t="n">
        <v>8.199999999999999</v>
      </c>
      <c r="P779" t="n">
        <v>4.205739</v>
      </c>
      <c r="Q779" t="n">
        <v>3.8</v>
      </c>
      <c r="R779" t="n">
        <v>17.1</v>
      </c>
      <c r="S779" t="n">
        <v>3.3</v>
      </c>
      <c r="T779" t="n">
        <v>4.8</v>
      </c>
      <c r="U779" t="n">
        <v>4.3</v>
      </c>
      <c r="V779" t="n">
        <v>3.4949</v>
      </c>
      <c r="W779" t="n">
        <v>9.5</v>
      </c>
      <c r="X779" t="n">
        <v>2.4</v>
      </c>
      <c r="Y779" t="n">
        <v>3.6</v>
      </c>
      <c r="Z779" t="n">
        <v>5.6</v>
      </c>
      <c r="AA779" t="n">
        <v>5.8</v>
      </c>
      <c r="AB779" t="n">
        <v>3.562027</v>
      </c>
      <c r="AC779" t="n">
        <v>4.5</v>
      </c>
      <c r="AD779" t="n">
        <v>4.4</v>
      </c>
      <c r="AE779" t="n">
        <v>5.374756</v>
      </c>
      <c r="AF779" t="n">
        <v>3.1</v>
      </c>
      <c r="AG779" t="n">
        <v>6.5</v>
      </c>
      <c r="AH779" t="n">
        <v>5.7</v>
      </c>
      <c r="AI779" t="n">
        <v>4.3</v>
      </c>
      <c r="AJ779" t="n">
        <v>7</v>
      </c>
      <c r="AK779" t="n">
        <v>13.5</v>
      </c>
      <c r="AL779" t="n">
        <v>3.6</v>
      </c>
    </row>
    <row r="780">
      <c r="A780" s="78" t="n">
        <v>43770</v>
      </c>
      <c r="B780" t="n">
        <v>5.14957</v>
      </c>
      <c r="C780" t="n">
        <v>4.2</v>
      </c>
      <c r="D780" t="n">
        <v>5.4</v>
      </c>
      <c r="E780" t="n">
        <v>6</v>
      </c>
      <c r="G780" t="n">
        <v>7.598143</v>
      </c>
      <c r="H780" t="n">
        <v>2.2</v>
      </c>
      <c r="I780" t="n">
        <v>3.1</v>
      </c>
      <c r="J780" t="n">
        <v>5.3</v>
      </c>
      <c r="K780" t="n">
        <v>7.5</v>
      </c>
      <c r="L780" t="n">
        <v>13.9</v>
      </c>
      <c r="M780" t="n">
        <v>4.2</v>
      </c>
      <c r="N780" t="n">
        <v>6.9</v>
      </c>
      <c r="O780" t="n">
        <v>8.199999999999999</v>
      </c>
      <c r="P780" t="n">
        <v>4.212134</v>
      </c>
      <c r="Q780" t="n">
        <v>3.8</v>
      </c>
      <c r="R780" t="n">
        <v>17</v>
      </c>
      <c r="S780" t="n">
        <v>3.5</v>
      </c>
      <c r="T780" t="n">
        <v>4.8</v>
      </c>
      <c r="U780" t="n">
        <v>4.3</v>
      </c>
      <c r="V780" t="n">
        <v>3.984594</v>
      </c>
      <c r="W780" t="n">
        <v>9.800000000000001</v>
      </c>
      <c r="X780" t="n">
        <v>2.3</v>
      </c>
      <c r="Y780" t="n">
        <v>3.7</v>
      </c>
      <c r="Z780" t="n">
        <v>5.7</v>
      </c>
      <c r="AA780" t="n">
        <v>5.9</v>
      </c>
      <c r="AB780" t="n">
        <v>3.496237</v>
      </c>
      <c r="AC780" t="n">
        <v>4.5</v>
      </c>
      <c r="AD780" t="n">
        <v>3.8</v>
      </c>
      <c r="AE780" t="n">
        <v>5.369317</v>
      </c>
      <c r="AF780" t="n">
        <v>3</v>
      </c>
      <c r="AG780" t="n">
        <v>6.8</v>
      </c>
      <c r="AH780" t="n">
        <v>5.7</v>
      </c>
      <c r="AI780" t="n">
        <v>4</v>
      </c>
      <c r="AJ780" t="n">
        <v>7.7</v>
      </c>
      <c r="AK780" t="n">
        <v>13.3</v>
      </c>
      <c r="AL780" t="n">
        <v>3.6</v>
      </c>
    </row>
    <row r="781">
      <c r="A781" s="78" t="n">
        <v>43800</v>
      </c>
      <c r="B781" t="n">
        <v>5.04985</v>
      </c>
      <c r="C781" t="n">
        <v>4.7</v>
      </c>
      <c r="D781" t="n">
        <v>5.4</v>
      </c>
      <c r="E781" t="n">
        <v>5.8</v>
      </c>
      <c r="G781" t="n">
        <v>7.860321</v>
      </c>
      <c r="H781" t="n">
        <v>1.9</v>
      </c>
      <c r="I781" t="n">
        <v>3.2</v>
      </c>
      <c r="J781" t="n">
        <v>5.1</v>
      </c>
      <c r="K781" t="n">
        <v>7.5</v>
      </c>
      <c r="L781" t="n">
        <v>13.9</v>
      </c>
      <c r="M781" t="n">
        <v>4.7</v>
      </c>
      <c r="N781" t="n">
        <v>6.6</v>
      </c>
      <c r="O781" t="n">
        <v>8.199999999999999</v>
      </c>
      <c r="P781" t="n">
        <v>4.198043</v>
      </c>
      <c r="Q781" t="n">
        <v>3.9</v>
      </c>
      <c r="R781" t="n">
        <v>17</v>
      </c>
      <c r="S781" t="n">
        <v>3</v>
      </c>
      <c r="T781" t="n">
        <v>4.8</v>
      </c>
      <c r="U781" t="n">
        <v>4.4</v>
      </c>
      <c r="V781" t="n">
        <v>3.633573</v>
      </c>
      <c r="W781" t="n">
        <v>9.699999999999999</v>
      </c>
      <c r="X781" t="n">
        <v>2.2</v>
      </c>
      <c r="Y781" t="n">
        <v>3.7</v>
      </c>
      <c r="Z781" t="n">
        <v>5.7</v>
      </c>
      <c r="AA781" t="n">
        <v>6.5</v>
      </c>
      <c r="AB781" t="n">
        <v>3.183815</v>
      </c>
      <c r="AC781" t="n">
        <v>4.3</v>
      </c>
      <c r="AD781" t="n">
        <v>4</v>
      </c>
      <c r="AE781" t="n">
        <v>5.320509</v>
      </c>
      <c r="AF781" t="n">
        <v>3</v>
      </c>
      <c r="AG781" t="n">
        <v>6.9</v>
      </c>
      <c r="AH781" t="n">
        <v>5.8</v>
      </c>
      <c r="AI781" t="n">
        <v>3.9</v>
      </c>
      <c r="AJ781" t="n">
        <v>6.9</v>
      </c>
      <c r="AK781" t="n">
        <v>13.4</v>
      </c>
      <c r="AL781" t="n">
        <v>3.6</v>
      </c>
    </row>
    <row r="782">
      <c r="A782" s="78" t="n">
        <v>43831</v>
      </c>
      <c r="B782" t="n">
        <v>5.280557</v>
      </c>
      <c r="C782" t="n">
        <v>4.3</v>
      </c>
      <c r="D782" t="n">
        <v>5.2</v>
      </c>
      <c r="E782" t="n">
        <v>5.6</v>
      </c>
      <c r="G782" t="n">
        <v>8.089002000000001</v>
      </c>
      <c r="H782" t="n">
        <v>2</v>
      </c>
      <c r="I782" t="n">
        <v>3.2</v>
      </c>
      <c r="J782" t="n">
        <v>4.7</v>
      </c>
      <c r="K782" t="n">
        <v>7.5</v>
      </c>
      <c r="L782" t="n">
        <v>13.9</v>
      </c>
      <c r="M782" t="n">
        <v>5.2</v>
      </c>
      <c r="N782" t="n">
        <v>6.8</v>
      </c>
      <c r="O782" t="n">
        <v>8.199999999999999</v>
      </c>
      <c r="P782" t="n">
        <v>4.201667</v>
      </c>
      <c r="Q782" t="n">
        <v>4</v>
      </c>
      <c r="R782" t="n">
        <v>16.5</v>
      </c>
      <c r="S782" t="n">
        <v>3.5</v>
      </c>
      <c r="T782" t="n">
        <v>4.8</v>
      </c>
      <c r="U782" t="n">
        <v>4.7</v>
      </c>
      <c r="V782" t="n">
        <v>3.72554</v>
      </c>
      <c r="W782" t="n">
        <v>9.6</v>
      </c>
      <c r="X782" t="n">
        <v>2.4</v>
      </c>
      <c r="Y782" t="n">
        <v>3.8</v>
      </c>
      <c r="Z782" t="n">
        <v>5.8</v>
      </c>
      <c r="AA782" t="n">
        <v>7.1</v>
      </c>
      <c r="AB782" t="n">
        <v>3.624125</v>
      </c>
      <c r="AC782" t="n">
        <v>4.1</v>
      </c>
      <c r="AD782" t="n">
        <v>4.1</v>
      </c>
      <c r="AE782" t="n">
        <v>5.357621</v>
      </c>
      <c r="AF782" t="n">
        <v>2.9</v>
      </c>
      <c r="AG782" t="n">
        <v>6.9</v>
      </c>
      <c r="AH782" t="n">
        <v>5.9</v>
      </c>
      <c r="AI782" t="n">
        <v>4.1</v>
      </c>
      <c r="AJ782" t="n">
        <v>7.4</v>
      </c>
      <c r="AK782" t="n">
        <v>13.1</v>
      </c>
      <c r="AL782" t="n">
        <v>3.5</v>
      </c>
    </row>
    <row r="783">
      <c r="A783" s="78" t="n">
        <v>43862</v>
      </c>
      <c r="B783" t="n">
        <v>5.081236</v>
      </c>
      <c r="C783" t="n">
        <v>4.6</v>
      </c>
      <c r="D783" t="n">
        <v>5.1</v>
      </c>
      <c r="E783" t="n">
        <v>5.7</v>
      </c>
      <c r="G783" t="n">
        <v>8.193517</v>
      </c>
      <c r="H783" t="n">
        <v>1.8</v>
      </c>
      <c r="I783" t="n">
        <v>3.3</v>
      </c>
      <c r="J783" t="n">
        <v>5.2</v>
      </c>
      <c r="K783" t="n">
        <v>7.4</v>
      </c>
      <c r="L783" t="n">
        <v>13.7</v>
      </c>
      <c r="M783" t="n">
        <v>5.2</v>
      </c>
      <c r="N783" t="n">
        <v>6.7</v>
      </c>
      <c r="O783" t="n">
        <v>7.8</v>
      </c>
      <c r="P783" t="n">
        <v>4.162039</v>
      </c>
      <c r="Q783" t="n">
        <v>4</v>
      </c>
      <c r="R783" t="n">
        <v>16.4</v>
      </c>
      <c r="S783" t="n">
        <v>3.6</v>
      </c>
      <c r="T783" t="n">
        <v>4.8</v>
      </c>
      <c r="U783" t="n">
        <v>5</v>
      </c>
      <c r="V783" t="n">
        <v>3.346708</v>
      </c>
      <c r="W783" t="n">
        <v>9.6</v>
      </c>
      <c r="X783" t="n">
        <v>2.4</v>
      </c>
      <c r="Y783" t="n">
        <v>3.3</v>
      </c>
      <c r="Z783" t="n">
        <v>5.8</v>
      </c>
      <c r="AA783" t="n">
        <v>7.2</v>
      </c>
      <c r="AB783" t="n">
        <v>3.535132</v>
      </c>
      <c r="AC783" t="n">
        <v>4</v>
      </c>
      <c r="AD783" t="n">
        <v>3.6</v>
      </c>
      <c r="AE783" t="n">
        <v>5.28381</v>
      </c>
      <c r="AF783" t="n">
        <v>2.9</v>
      </c>
      <c r="AG783" t="n">
        <v>6.6</v>
      </c>
      <c r="AH783" t="n">
        <v>6</v>
      </c>
      <c r="AI783" t="n">
        <v>4.2</v>
      </c>
      <c r="AJ783" t="n">
        <v>7.9</v>
      </c>
      <c r="AK783" t="n">
        <v>12.6</v>
      </c>
      <c r="AL783" t="n">
        <v>3.5</v>
      </c>
    </row>
    <row r="784">
      <c r="A784" s="78" t="n">
        <v>43891</v>
      </c>
      <c r="B784" t="n">
        <v>5.205826</v>
      </c>
      <c r="C784" t="n">
        <v>4.9</v>
      </c>
      <c r="D784" t="n">
        <v>5.1</v>
      </c>
      <c r="E784" t="n">
        <v>7.9</v>
      </c>
      <c r="G784" t="n">
        <v>9.028874</v>
      </c>
      <c r="H784" t="n">
        <v>1.8</v>
      </c>
      <c r="I784" t="n">
        <v>3.4</v>
      </c>
      <c r="J784" t="n">
        <v>4.9</v>
      </c>
      <c r="K784" t="n">
        <v>7.2</v>
      </c>
      <c r="L784" t="n">
        <v>14.5</v>
      </c>
      <c r="M784" t="n">
        <v>5.3</v>
      </c>
      <c r="N784" t="n">
        <v>6.8</v>
      </c>
      <c r="O784" t="n">
        <v>7.5</v>
      </c>
      <c r="P784" t="n">
        <v>4.554621</v>
      </c>
      <c r="Q784" t="n">
        <v>4.1</v>
      </c>
      <c r="R784" t="n">
        <v>17</v>
      </c>
      <c r="S784" t="n">
        <v>3.3</v>
      </c>
      <c r="T784" t="n">
        <v>4.9</v>
      </c>
      <c r="U784" t="n">
        <v>5.3</v>
      </c>
      <c r="V784" t="n">
        <v>3.473827</v>
      </c>
      <c r="W784" t="n">
        <v>7.8</v>
      </c>
      <c r="X784" t="n">
        <v>2.5</v>
      </c>
      <c r="Y784" t="n">
        <v>3.7</v>
      </c>
      <c r="Z784" t="n">
        <v>6.5</v>
      </c>
      <c r="AA784" t="n">
        <v>7.6</v>
      </c>
      <c r="AB784" t="n">
        <v>3.251234</v>
      </c>
      <c r="AC784" t="n">
        <v>4.1</v>
      </c>
      <c r="AD784" t="n">
        <v>3.6</v>
      </c>
      <c r="AE784" t="n">
        <v>5.587986</v>
      </c>
      <c r="AF784" t="n">
        <v>2.9</v>
      </c>
      <c r="AG784" t="n">
        <v>6.3</v>
      </c>
      <c r="AH784" t="n">
        <v>6</v>
      </c>
      <c r="AI784" t="n">
        <v>4.5</v>
      </c>
      <c r="AJ784" t="n">
        <v>6.8</v>
      </c>
      <c r="AK784" t="n">
        <v>12.9</v>
      </c>
      <c r="AL784" t="n">
        <v>4.4</v>
      </c>
    </row>
    <row r="785">
      <c r="A785" s="78" t="n">
        <v>43922</v>
      </c>
      <c r="B785" t="n">
        <v>6.32405</v>
      </c>
      <c r="C785" t="n">
        <v>6.1</v>
      </c>
      <c r="D785" t="n">
        <v>5.2</v>
      </c>
      <c r="E785" t="n">
        <v>13</v>
      </c>
      <c r="G785" t="n">
        <v>10.91097</v>
      </c>
      <c r="H785" t="n">
        <v>2.2</v>
      </c>
      <c r="I785" t="n">
        <v>3.5</v>
      </c>
      <c r="J785" t="n">
        <v>4.3</v>
      </c>
      <c r="K785" t="n">
        <v>7.4</v>
      </c>
      <c r="L785" t="n">
        <v>15.3</v>
      </c>
      <c r="M785" t="n">
        <v>6.1</v>
      </c>
      <c r="N785" t="n">
        <v>7.2</v>
      </c>
      <c r="O785" t="n">
        <v>7.5</v>
      </c>
      <c r="P785" t="n">
        <v>9.130732</v>
      </c>
      <c r="Q785" t="n">
        <v>4.1</v>
      </c>
      <c r="R785" t="n">
        <v>18.4</v>
      </c>
      <c r="S785" t="n">
        <v>3.7</v>
      </c>
      <c r="T785" t="n">
        <v>4.7</v>
      </c>
      <c r="U785" t="n">
        <v>5.6</v>
      </c>
      <c r="V785" t="n">
        <v>3.608179</v>
      </c>
      <c r="W785" t="n">
        <v>7.5</v>
      </c>
      <c r="X785" t="n">
        <v>2.6</v>
      </c>
      <c r="Y785" t="n">
        <v>3.8</v>
      </c>
      <c r="Z785" t="n">
        <v>7.3</v>
      </c>
      <c r="AA785" t="n">
        <v>8.300000000000001</v>
      </c>
      <c r="AB785" t="n">
        <v>4.88542</v>
      </c>
      <c r="AC785" t="n">
        <v>4.5</v>
      </c>
      <c r="AD785" t="n">
        <v>4.1</v>
      </c>
      <c r="AE785" t="n">
        <v>8.798125000000001</v>
      </c>
      <c r="AF785" t="n">
        <v>3.1</v>
      </c>
      <c r="AG785" t="n">
        <v>6.4</v>
      </c>
      <c r="AH785" t="n">
        <v>6.6</v>
      </c>
      <c r="AI785" t="n">
        <v>5.2</v>
      </c>
      <c r="AJ785" t="n">
        <v>8.1</v>
      </c>
      <c r="AK785" t="n">
        <v>13.5</v>
      </c>
      <c r="AL785" t="n">
        <v>14.7</v>
      </c>
    </row>
    <row r="786">
      <c r="A786" s="78" t="n">
        <v>43952</v>
      </c>
      <c r="B786" t="n">
        <v>7.016034</v>
      </c>
      <c r="C786" t="n">
        <v>7</v>
      </c>
      <c r="D786" t="n">
        <v>5.3</v>
      </c>
      <c r="E786" t="n">
        <v>13.4</v>
      </c>
      <c r="G786" t="n">
        <v>11.79657</v>
      </c>
      <c r="H786" t="n">
        <v>2.5</v>
      </c>
      <c r="I786" t="n">
        <v>3.6</v>
      </c>
      <c r="J786" t="n">
        <v>5.3</v>
      </c>
      <c r="K786" t="n">
        <v>7.6</v>
      </c>
      <c r="L786" t="n">
        <v>15.5</v>
      </c>
      <c r="M786" t="n">
        <v>7</v>
      </c>
      <c r="N786" t="n">
        <v>8.6</v>
      </c>
      <c r="O786" t="n">
        <v>7.1</v>
      </c>
      <c r="P786" t="n">
        <v>8.642545999999999</v>
      </c>
      <c r="Q786" t="n">
        <v>4.1</v>
      </c>
      <c r="R786" t="n">
        <v>19.6</v>
      </c>
      <c r="S786" t="n">
        <v>5.1</v>
      </c>
      <c r="T786" t="n">
        <v>5</v>
      </c>
      <c r="U786" t="n">
        <v>6</v>
      </c>
      <c r="V786" t="n">
        <v>4.12677</v>
      </c>
      <c r="W786" t="n">
        <v>8.699999999999999</v>
      </c>
      <c r="X786" t="n">
        <v>2.8</v>
      </c>
      <c r="Y786" t="n">
        <v>4.2</v>
      </c>
      <c r="Z786" t="n">
        <v>7.5</v>
      </c>
      <c r="AA786" t="n">
        <v>8.6</v>
      </c>
      <c r="AB786" t="n">
        <v>4.314645</v>
      </c>
      <c r="AC786" t="n">
        <v>4.6</v>
      </c>
      <c r="AD786" t="n">
        <v>4.8</v>
      </c>
      <c r="AE786" t="n">
        <v>8.643566999999999</v>
      </c>
      <c r="AF786" t="n">
        <v>3.2</v>
      </c>
      <c r="AG786" t="n">
        <v>6</v>
      </c>
      <c r="AH786" t="n">
        <v>6.6</v>
      </c>
      <c r="AI786" t="n">
        <v>5.4</v>
      </c>
      <c r="AJ786" t="n">
        <v>8.5</v>
      </c>
      <c r="AK786" t="n">
        <v>13.4</v>
      </c>
      <c r="AL786" t="n">
        <v>13.2</v>
      </c>
    </row>
    <row r="787">
      <c r="A787" s="78" t="n">
        <v>43983</v>
      </c>
      <c r="B787" t="n">
        <v>7.434352</v>
      </c>
      <c r="C787" t="n">
        <v>7.9</v>
      </c>
      <c r="D787" t="n">
        <v>5.7</v>
      </c>
      <c r="E787" t="n">
        <v>12.2</v>
      </c>
      <c r="G787" t="n">
        <v>12.46708</v>
      </c>
      <c r="H787" t="n">
        <v>2.6</v>
      </c>
      <c r="I787" t="n">
        <v>3.7</v>
      </c>
      <c r="J787" t="n">
        <v>6.8</v>
      </c>
      <c r="K787" t="n">
        <v>8.1</v>
      </c>
      <c r="L787" t="n">
        <v>15.9</v>
      </c>
      <c r="M787" t="n">
        <v>7.9</v>
      </c>
      <c r="N787" t="n">
        <v>7.6</v>
      </c>
      <c r="O787" t="n">
        <v>7.5</v>
      </c>
      <c r="P787" t="n">
        <v>7.792805</v>
      </c>
      <c r="Q787" t="n">
        <v>4.3</v>
      </c>
      <c r="R787" t="n">
        <v>20.3</v>
      </c>
      <c r="S787" t="n">
        <v>4.8</v>
      </c>
      <c r="T787" t="n">
        <v>5.7</v>
      </c>
      <c r="U787" t="n">
        <v>6.2</v>
      </c>
      <c r="V787" t="n">
        <v>4.701949</v>
      </c>
      <c r="W787" t="n">
        <v>9.6</v>
      </c>
      <c r="X787" t="n">
        <v>2.8</v>
      </c>
      <c r="Y787" t="n">
        <v>4.2</v>
      </c>
      <c r="Z787" t="n">
        <v>7.5</v>
      </c>
      <c r="AA787" t="n">
        <v>8.699999999999999</v>
      </c>
      <c r="AB787" t="n">
        <v>5.520003</v>
      </c>
      <c r="AC787" t="n">
        <v>5.4</v>
      </c>
      <c r="AD787" t="n">
        <v>4.9</v>
      </c>
      <c r="AE787" t="n">
        <v>8.296549000000001</v>
      </c>
      <c r="AF787" t="n">
        <v>3.4</v>
      </c>
      <c r="AG787" t="n">
        <v>7.5</v>
      </c>
      <c r="AH787" t="n">
        <v>6.7</v>
      </c>
      <c r="AI787" t="n">
        <v>5.4</v>
      </c>
      <c r="AJ787" t="n">
        <v>9.199999999999999</v>
      </c>
      <c r="AK787" t="n">
        <v>13.5</v>
      </c>
      <c r="AL787" t="n">
        <v>11</v>
      </c>
    </row>
    <row r="788">
      <c r="A788" s="78" t="n">
        <v>44013</v>
      </c>
      <c r="B788" t="n">
        <v>7.5389</v>
      </c>
      <c r="C788" t="n">
        <v>6.7</v>
      </c>
      <c r="D788" t="n">
        <v>6.2</v>
      </c>
      <c r="E788" t="n">
        <v>10.9</v>
      </c>
      <c r="G788" t="n">
        <v>12.382</v>
      </c>
      <c r="H788" t="n">
        <v>3</v>
      </c>
      <c r="I788" t="n">
        <v>3.8</v>
      </c>
      <c r="J788" t="n">
        <v>6.5</v>
      </c>
      <c r="K788" t="n">
        <v>8.4</v>
      </c>
      <c r="L788" t="n">
        <v>16.2</v>
      </c>
      <c r="M788" t="n">
        <v>7.7</v>
      </c>
      <c r="N788" t="n">
        <v>8.199999999999999</v>
      </c>
      <c r="O788" t="n">
        <v>8.5</v>
      </c>
      <c r="P788" t="n">
        <v>7.537064</v>
      </c>
      <c r="Q788" t="n">
        <v>4.6</v>
      </c>
      <c r="R788" t="n">
        <v>17.4</v>
      </c>
      <c r="S788" t="n">
        <v>4.3</v>
      </c>
      <c r="T788" t="n">
        <v>6.8</v>
      </c>
      <c r="U788" t="n">
        <v>6.4</v>
      </c>
      <c r="V788" t="n">
        <v>4.796307</v>
      </c>
      <c r="W788" t="n">
        <v>10.1</v>
      </c>
      <c r="X788" t="n">
        <v>2.9</v>
      </c>
      <c r="Y788" t="n">
        <v>4.2</v>
      </c>
      <c r="Z788" t="n">
        <v>7.1</v>
      </c>
      <c r="AA788" t="n">
        <v>8.699999999999999</v>
      </c>
      <c r="AB788" t="n">
        <v>5.130067</v>
      </c>
      <c r="AC788" t="n">
        <v>5.5</v>
      </c>
      <c r="AD788" t="n">
        <v>5.9</v>
      </c>
      <c r="AE788" t="n">
        <v>8.151676</v>
      </c>
      <c r="AF788" t="n">
        <v>3.5</v>
      </c>
      <c r="AG788" t="n">
        <v>8</v>
      </c>
      <c r="AH788" t="n">
        <v>6.9</v>
      </c>
      <c r="AI788" t="n">
        <v>5.2</v>
      </c>
      <c r="AJ788" t="n">
        <v>9.5</v>
      </c>
      <c r="AK788" t="n">
        <v>14.2</v>
      </c>
      <c r="AL788" t="n">
        <v>10.2</v>
      </c>
    </row>
    <row r="789">
      <c r="A789" s="78" t="n">
        <v>44044</v>
      </c>
      <c r="B789" t="n">
        <v>6.827913</v>
      </c>
      <c r="C789" t="n">
        <v>6.3</v>
      </c>
      <c r="D789" t="n">
        <v>6.6</v>
      </c>
      <c r="E789" t="n">
        <v>10.3</v>
      </c>
      <c r="G789" t="n">
        <v>11.99195</v>
      </c>
      <c r="H789" t="n">
        <v>2.7</v>
      </c>
      <c r="I789" t="n">
        <v>3.9</v>
      </c>
      <c r="J789" t="n">
        <v>6.2</v>
      </c>
      <c r="K789" t="n">
        <v>8.6</v>
      </c>
      <c r="L789" t="n">
        <v>16.4</v>
      </c>
      <c r="M789" t="n">
        <v>7.7</v>
      </c>
      <c r="N789" t="n">
        <v>8.800000000000001</v>
      </c>
      <c r="O789" t="n">
        <v>9</v>
      </c>
      <c r="P789" t="n">
        <v>6.853713</v>
      </c>
      <c r="Q789" t="n">
        <v>4.9</v>
      </c>
      <c r="R789" t="n">
        <v>17</v>
      </c>
      <c r="S789" t="n">
        <v>4.3</v>
      </c>
      <c r="T789" t="n">
        <v>7.3</v>
      </c>
      <c r="U789" t="n">
        <v>6.5</v>
      </c>
      <c r="V789" t="n">
        <v>4.844505</v>
      </c>
      <c r="W789" t="n">
        <v>9.9</v>
      </c>
      <c r="X789" t="n">
        <v>3</v>
      </c>
      <c r="Y789" t="n">
        <v>3.6</v>
      </c>
      <c r="Z789" t="n">
        <v>6.7</v>
      </c>
      <c r="AA789" t="n">
        <v>8.6</v>
      </c>
      <c r="AB789" t="n">
        <v>4.932432</v>
      </c>
      <c r="AC789" t="n">
        <v>5.5</v>
      </c>
      <c r="AD789" t="n">
        <v>5.4</v>
      </c>
      <c r="AE789" t="n">
        <v>7.564007</v>
      </c>
      <c r="AF789" t="n">
        <v>3.4</v>
      </c>
      <c r="AG789" t="n">
        <v>8.199999999999999</v>
      </c>
      <c r="AH789" t="n">
        <v>6.9</v>
      </c>
      <c r="AI789" t="n">
        <v>5.2</v>
      </c>
      <c r="AJ789" t="n">
        <v>9.300000000000001</v>
      </c>
      <c r="AK789" t="n">
        <v>12.8</v>
      </c>
      <c r="AL789" t="n">
        <v>8.4</v>
      </c>
    </row>
    <row r="790">
      <c r="A790" s="78" t="n">
        <v>44075</v>
      </c>
      <c r="B790" t="n">
        <v>6.899663</v>
      </c>
      <c r="C790" t="n">
        <v>6.4</v>
      </c>
      <c r="D790" t="n">
        <v>6.5</v>
      </c>
      <c r="E790" t="n">
        <v>9.199999999999999</v>
      </c>
      <c r="G790" t="n">
        <v>11.50702</v>
      </c>
      <c r="H790" t="n">
        <v>2.8</v>
      </c>
      <c r="I790" t="n">
        <v>3.9</v>
      </c>
      <c r="J790" t="n">
        <v>5.9</v>
      </c>
      <c r="K790" t="n">
        <v>8.6</v>
      </c>
      <c r="L790" t="n">
        <v>16.4</v>
      </c>
      <c r="M790" t="n">
        <v>7.6</v>
      </c>
      <c r="N790" t="n">
        <v>8.1</v>
      </c>
      <c r="O790" t="n">
        <v>9</v>
      </c>
      <c r="P790" t="n">
        <v>6.587126</v>
      </c>
      <c r="Q790" t="n">
        <v>5.1</v>
      </c>
      <c r="R790" t="n">
        <v>16.9</v>
      </c>
      <c r="S790" t="n">
        <v>4.2</v>
      </c>
      <c r="T790" t="n">
        <v>7.4</v>
      </c>
      <c r="U790" t="n">
        <v>6.7</v>
      </c>
      <c r="V790" t="n">
        <v>4.513253</v>
      </c>
      <c r="W790" t="n">
        <v>10</v>
      </c>
      <c r="X790" t="n">
        <v>3</v>
      </c>
      <c r="Y790" t="n">
        <v>4.1</v>
      </c>
      <c r="Z790" t="n">
        <v>6.6</v>
      </c>
      <c r="AA790" t="n">
        <v>8.300000000000001</v>
      </c>
      <c r="AB790" t="n">
        <v>4.798963</v>
      </c>
      <c r="AC790" t="n">
        <v>5.4</v>
      </c>
      <c r="AD790" t="n">
        <v>5.3</v>
      </c>
      <c r="AE790" t="n">
        <v>7.382926</v>
      </c>
      <c r="AF790" t="n">
        <v>3.4</v>
      </c>
      <c r="AG790" t="n">
        <v>8</v>
      </c>
      <c r="AH790" t="n">
        <v>6.9</v>
      </c>
      <c r="AI790" t="n">
        <v>5.1</v>
      </c>
      <c r="AJ790" t="n">
        <v>9.1</v>
      </c>
      <c r="AK790" t="n">
        <v>12.7</v>
      </c>
      <c r="AL790" t="n">
        <v>7.9</v>
      </c>
    </row>
    <row r="791">
      <c r="A791" s="78" t="n">
        <v>44105</v>
      </c>
      <c r="B791" t="n">
        <v>6.968581</v>
      </c>
      <c r="C791" t="n">
        <v>6.1</v>
      </c>
      <c r="D791" t="n">
        <v>6</v>
      </c>
      <c r="E791" t="n">
        <v>9.199999999999999</v>
      </c>
      <c r="G791" t="n">
        <v>11.18366</v>
      </c>
      <c r="H791" t="n">
        <v>3.2</v>
      </c>
      <c r="I791" t="n">
        <v>3.9</v>
      </c>
      <c r="J791" t="n">
        <v>5.9</v>
      </c>
      <c r="K791" t="n">
        <v>8.4</v>
      </c>
      <c r="L791" t="n">
        <v>16.3</v>
      </c>
      <c r="M791" t="n">
        <v>7.8</v>
      </c>
      <c r="N791" t="n">
        <v>8.300000000000001</v>
      </c>
      <c r="O791" t="n">
        <v>8.300000000000001</v>
      </c>
      <c r="P791" t="n">
        <v>6.161214</v>
      </c>
      <c r="Q791" t="n">
        <v>5.1</v>
      </c>
      <c r="R791" t="n">
        <v>17.6</v>
      </c>
      <c r="S791" t="n">
        <v>4.1</v>
      </c>
      <c r="T791" t="n">
        <v>6.4</v>
      </c>
      <c r="U791" t="n">
        <v>7</v>
      </c>
      <c r="V791" t="n">
        <v>4.552597</v>
      </c>
      <c r="W791" t="n">
        <v>10</v>
      </c>
      <c r="X791" t="n">
        <v>3.1</v>
      </c>
      <c r="Y791" t="n">
        <v>4.3</v>
      </c>
      <c r="Z791" t="n">
        <v>6.4</v>
      </c>
      <c r="AA791" t="n">
        <v>8.1</v>
      </c>
      <c r="AB791" t="n">
        <v>4.590428</v>
      </c>
      <c r="AC791" t="n">
        <v>5.3</v>
      </c>
      <c r="AD791" t="n">
        <v>5.6</v>
      </c>
      <c r="AE791" t="n">
        <v>7.126516</v>
      </c>
      <c r="AF791" t="n">
        <v>3.3</v>
      </c>
      <c r="AG791" t="n">
        <v>7.6</v>
      </c>
      <c r="AH791" t="n">
        <v>6.9</v>
      </c>
      <c r="AI791" t="n">
        <v>5.1</v>
      </c>
      <c r="AJ791" t="n">
        <v>8.800000000000001</v>
      </c>
      <c r="AK791" t="n">
        <v>13.1</v>
      </c>
      <c r="AL791" t="n">
        <v>6.9</v>
      </c>
    </row>
    <row r="792">
      <c r="A792" s="78" t="n">
        <v>44136</v>
      </c>
      <c r="B792" t="n">
        <v>6.823089</v>
      </c>
      <c r="C792" t="n">
        <v>5.9</v>
      </c>
      <c r="D792" t="n">
        <v>5.9</v>
      </c>
      <c r="E792" t="n">
        <v>8.699999999999999</v>
      </c>
      <c r="G792" t="n">
        <v>11.05027</v>
      </c>
      <c r="H792" t="n">
        <v>3</v>
      </c>
      <c r="I792" t="n">
        <v>3.9</v>
      </c>
      <c r="J792" t="n">
        <v>6</v>
      </c>
      <c r="K792" t="n">
        <v>8.199999999999999</v>
      </c>
      <c r="L792" t="n">
        <v>16.3</v>
      </c>
      <c r="M792" t="n">
        <v>7.7</v>
      </c>
      <c r="N792" t="n">
        <v>8</v>
      </c>
      <c r="O792" t="n">
        <v>8.1</v>
      </c>
      <c r="P792" t="n">
        <v>5.974698</v>
      </c>
      <c r="Q792" t="n">
        <v>5.2</v>
      </c>
      <c r="R792" t="n">
        <v>17.4</v>
      </c>
      <c r="S792" t="n">
        <v>4.3</v>
      </c>
      <c r="T792" t="n">
        <v>6.2</v>
      </c>
      <c r="U792" t="n">
        <v>7.1</v>
      </c>
      <c r="V792" t="n">
        <v>4.802911</v>
      </c>
      <c r="W792" t="n">
        <v>9.5</v>
      </c>
      <c r="X792" t="n">
        <v>2.9</v>
      </c>
      <c r="Y792" t="n">
        <v>4.2</v>
      </c>
      <c r="Z792" t="n">
        <v>6.4</v>
      </c>
      <c r="AA792" t="n">
        <v>8</v>
      </c>
      <c r="AB792" t="n">
        <v>4.484646</v>
      </c>
      <c r="AC792" t="n">
        <v>5</v>
      </c>
      <c r="AD792" t="n">
        <v>5.1</v>
      </c>
      <c r="AE792" t="n">
        <v>6.945038</v>
      </c>
      <c r="AF792" t="n">
        <v>3.3</v>
      </c>
      <c r="AG792" t="n">
        <v>7.2</v>
      </c>
      <c r="AH792" t="n">
        <v>6.9</v>
      </c>
      <c r="AI792" t="n">
        <v>5.2</v>
      </c>
      <c r="AJ792" t="n">
        <v>8.6</v>
      </c>
      <c r="AK792" t="n">
        <v>13</v>
      </c>
      <c r="AL792" t="n">
        <v>6.7</v>
      </c>
    </row>
    <row r="793">
      <c r="A793" s="78" t="n">
        <v>44166</v>
      </c>
      <c r="B793" t="n">
        <v>6.582119</v>
      </c>
      <c r="C793" t="n">
        <v>6.8</v>
      </c>
      <c r="D793" t="n">
        <v>6.1</v>
      </c>
      <c r="E793" t="n">
        <v>8.9</v>
      </c>
      <c r="G793" t="n">
        <v>10.80423</v>
      </c>
      <c r="H793" t="n">
        <v>3</v>
      </c>
      <c r="I793" t="n">
        <v>3.9</v>
      </c>
      <c r="J793" t="n">
        <v>5.9</v>
      </c>
      <c r="K793" t="n">
        <v>8.199999999999999</v>
      </c>
      <c r="L793" t="n">
        <v>16.3</v>
      </c>
      <c r="M793" t="n">
        <v>7.2</v>
      </c>
      <c r="N793" t="n">
        <v>8.199999999999999</v>
      </c>
      <c r="O793" t="n">
        <v>7.9</v>
      </c>
      <c r="P793" t="n">
        <v>6.000152</v>
      </c>
      <c r="Q793" t="n">
        <v>5.1</v>
      </c>
      <c r="R793" t="n">
        <v>16.8</v>
      </c>
      <c r="S793" t="n">
        <v>4.3</v>
      </c>
      <c r="T793" t="n">
        <v>6.2</v>
      </c>
      <c r="U793" t="n">
        <v>7.1</v>
      </c>
      <c r="V793" t="n">
        <v>4.835029</v>
      </c>
      <c r="W793" t="n">
        <v>9.800000000000001</v>
      </c>
      <c r="X793" t="n">
        <v>3</v>
      </c>
      <c r="Y793" t="n">
        <v>4.5</v>
      </c>
      <c r="Z793" t="n">
        <v>6.4</v>
      </c>
      <c r="AA793" t="n">
        <v>7.8</v>
      </c>
      <c r="AB793" t="n">
        <v>4.175779</v>
      </c>
      <c r="AC793" t="n">
        <v>4.9</v>
      </c>
      <c r="AD793" t="n">
        <v>4.7</v>
      </c>
      <c r="AE793" t="n">
        <v>6.906173</v>
      </c>
      <c r="AF793" t="n">
        <v>3.4</v>
      </c>
      <c r="AG793" t="n">
        <v>6.9</v>
      </c>
      <c r="AH793" t="n">
        <v>7</v>
      </c>
      <c r="AI793" t="n">
        <v>5.3</v>
      </c>
      <c r="AJ793" t="n">
        <v>9.199999999999999</v>
      </c>
      <c r="AK793" t="n">
        <v>12.8</v>
      </c>
      <c r="AL793" t="n">
        <v>6.7</v>
      </c>
    </row>
    <row r="794">
      <c r="A794" s="78" t="n">
        <v>44197</v>
      </c>
      <c r="B794" t="n">
        <v>6.358564</v>
      </c>
      <c r="C794" t="n">
        <v>7.6</v>
      </c>
      <c r="D794" t="n">
        <v>6.6</v>
      </c>
      <c r="E794" t="n">
        <v>9.4</v>
      </c>
      <c r="G794" t="n">
        <v>10.68371</v>
      </c>
      <c r="H794" t="n">
        <v>3.3</v>
      </c>
      <c r="I794" t="n">
        <v>3.9</v>
      </c>
      <c r="J794" t="n">
        <v>6.1</v>
      </c>
      <c r="K794" t="n">
        <v>8.300000000000001</v>
      </c>
      <c r="L794" t="n">
        <v>15.8</v>
      </c>
      <c r="M794" t="n">
        <v>7.3</v>
      </c>
      <c r="N794" t="n">
        <v>8.4</v>
      </c>
      <c r="O794" t="n">
        <v>8</v>
      </c>
      <c r="P794" t="n">
        <v>5.886602</v>
      </c>
      <c r="Q794" t="n">
        <v>5.1</v>
      </c>
      <c r="R794" t="n">
        <v>16.4</v>
      </c>
      <c r="S794" t="n">
        <v>4.5</v>
      </c>
      <c r="T794" t="n">
        <v>6.8</v>
      </c>
      <c r="U794" t="n">
        <v>7</v>
      </c>
      <c r="V794" t="n">
        <v>4.648635</v>
      </c>
      <c r="W794" t="n">
        <v>10.2</v>
      </c>
      <c r="X794" t="n">
        <v>3</v>
      </c>
      <c r="Y794" t="n">
        <v>5.2</v>
      </c>
      <c r="Z794" t="n">
        <v>6.4</v>
      </c>
      <c r="AA794" t="n">
        <v>7.7</v>
      </c>
      <c r="AB794" t="n">
        <v>4.470896</v>
      </c>
      <c r="AC794" t="n">
        <v>4.7</v>
      </c>
      <c r="AD794" t="n">
        <v>5.2</v>
      </c>
      <c r="AE794" t="n">
        <v>6.865499</v>
      </c>
      <c r="AF794" t="n">
        <v>3.5</v>
      </c>
      <c r="AG794" t="n">
        <v>7</v>
      </c>
      <c r="AH794" t="n">
        <v>7.1</v>
      </c>
      <c r="AI794" t="n">
        <v>5.5</v>
      </c>
      <c r="AJ794" t="n">
        <v>8.9</v>
      </c>
      <c r="AK794" t="n">
        <v>12.6</v>
      </c>
      <c r="AL794" t="n">
        <v>6.4</v>
      </c>
    </row>
    <row r="795">
      <c r="A795" s="78" t="n">
        <v>44228</v>
      </c>
      <c r="B795" t="n">
        <v>5.799874</v>
      </c>
      <c r="C795" t="n">
        <v>7</v>
      </c>
      <c r="D795" t="n">
        <v>6.8</v>
      </c>
      <c r="E795" t="n">
        <v>8.300000000000001</v>
      </c>
      <c r="G795" t="n">
        <v>10.3649</v>
      </c>
      <c r="H795" t="n">
        <v>3.2</v>
      </c>
      <c r="I795" t="n">
        <v>3.9</v>
      </c>
      <c r="J795" t="n">
        <v>6</v>
      </c>
      <c r="K795" t="n">
        <v>8.199999999999999</v>
      </c>
      <c r="L795" t="n">
        <v>15.7</v>
      </c>
      <c r="M795" t="n">
        <v>6.9</v>
      </c>
      <c r="N795" t="n">
        <v>8.1</v>
      </c>
      <c r="O795" t="n">
        <v>8.199999999999999</v>
      </c>
      <c r="P795" t="n">
        <v>5.777356</v>
      </c>
      <c r="Q795" t="n">
        <v>4.9</v>
      </c>
      <c r="R795" t="n">
        <v>15.9</v>
      </c>
      <c r="S795" t="n">
        <v>4.4</v>
      </c>
      <c r="T795" t="n">
        <v>7.2</v>
      </c>
      <c r="U795" t="n">
        <v>6.9</v>
      </c>
      <c r="V795" t="n">
        <v>5.120502</v>
      </c>
      <c r="W795" t="n">
        <v>10.2</v>
      </c>
      <c r="X795" t="n">
        <v>2.9</v>
      </c>
      <c r="Y795" t="n">
        <v>3.9</v>
      </c>
      <c r="Z795" t="n">
        <v>6.3</v>
      </c>
      <c r="AA795" t="n">
        <v>7.7</v>
      </c>
      <c r="AB795" t="n">
        <v>4.377018</v>
      </c>
      <c r="AC795" t="n">
        <v>4.7</v>
      </c>
      <c r="AD795" t="n">
        <v>5.4</v>
      </c>
      <c r="AE795" t="n">
        <v>6.743041</v>
      </c>
      <c r="AF795" t="n">
        <v>3.7</v>
      </c>
      <c r="AG795" t="n">
        <v>6.9</v>
      </c>
      <c r="AH795" t="n">
        <v>7.1</v>
      </c>
      <c r="AI795" t="n">
        <v>5.4</v>
      </c>
      <c r="AJ795" t="n">
        <v>9.1</v>
      </c>
      <c r="AK795" t="n">
        <v>13.2</v>
      </c>
      <c r="AL795" t="n">
        <v>6.2</v>
      </c>
    </row>
    <row r="796">
      <c r="A796" s="78" t="n">
        <v>44256</v>
      </c>
      <c r="B796" t="n">
        <v>5.612595</v>
      </c>
      <c r="C796" t="n">
        <v>6.6</v>
      </c>
      <c r="D796" t="n">
        <v>6.7</v>
      </c>
      <c r="E796" t="n">
        <v>7.5</v>
      </c>
      <c r="G796" t="n">
        <v>10.275</v>
      </c>
      <c r="H796" t="n">
        <v>3.3</v>
      </c>
      <c r="I796" t="n">
        <v>3.8</v>
      </c>
      <c r="J796" t="n">
        <v>6.3</v>
      </c>
      <c r="K796" t="n">
        <v>8.199999999999999</v>
      </c>
      <c r="L796" t="n">
        <v>15.4</v>
      </c>
      <c r="M796" t="n">
        <v>6.7</v>
      </c>
      <c r="N796" t="n">
        <v>7.7</v>
      </c>
      <c r="O796" t="n">
        <v>8.199999999999999</v>
      </c>
      <c r="P796" t="n">
        <v>5.584628</v>
      </c>
      <c r="Q796" t="n">
        <v>4.9</v>
      </c>
      <c r="R796" t="n">
        <v>17.2</v>
      </c>
      <c r="S796" t="n">
        <v>4.1</v>
      </c>
      <c r="T796" t="n">
        <v>7.6</v>
      </c>
      <c r="U796" t="n">
        <v>6.9</v>
      </c>
      <c r="V796" t="n">
        <v>5.500942</v>
      </c>
      <c r="W796" t="n">
        <v>10.1</v>
      </c>
      <c r="X796" t="n">
        <v>2.7</v>
      </c>
      <c r="Y796" t="n">
        <v>3.8</v>
      </c>
      <c r="Z796" t="n">
        <v>6.1</v>
      </c>
      <c r="AA796" t="n">
        <v>7.7</v>
      </c>
      <c r="AB796" t="n">
        <v>4.308621</v>
      </c>
      <c r="AC796" t="n">
        <v>4.6</v>
      </c>
      <c r="AD796" t="n">
        <v>4.4</v>
      </c>
      <c r="AE796" t="n">
        <v>6.59568</v>
      </c>
      <c r="AF796" t="n">
        <v>3.8</v>
      </c>
      <c r="AG796" t="n">
        <v>6.7</v>
      </c>
      <c r="AH796" t="n">
        <v>7.2</v>
      </c>
      <c r="AI796" t="n">
        <v>5.1</v>
      </c>
      <c r="AJ796" t="n">
        <v>9.5</v>
      </c>
      <c r="AK796" t="n">
        <v>12.8</v>
      </c>
      <c r="AL796" t="n">
        <v>6</v>
      </c>
    </row>
    <row r="797">
      <c r="A797" s="78" t="n">
        <v>44287</v>
      </c>
      <c r="B797" t="n">
        <v>5.424577</v>
      </c>
      <c r="C797" t="n">
        <v>7.3</v>
      </c>
      <c r="D797" t="n">
        <v>6.4</v>
      </c>
      <c r="E797" t="n">
        <v>8</v>
      </c>
      <c r="G797" t="n">
        <v>9.755858999999999</v>
      </c>
      <c r="H797" t="n">
        <v>3.3</v>
      </c>
      <c r="I797" t="n">
        <v>3.8</v>
      </c>
      <c r="J797" t="n">
        <v>5</v>
      </c>
      <c r="K797" t="n">
        <v>8.199999999999999</v>
      </c>
      <c r="L797" t="n">
        <v>15.5</v>
      </c>
      <c r="M797" t="n">
        <v>6.6</v>
      </c>
      <c r="N797" t="n">
        <v>8.6</v>
      </c>
      <c r="O797" t="n">
        <v>8.199999999999999</v>
      </c>
      <c r="P797" t="n">
        <v>5.651536</v>
      </c>
      <c r="Q797" t="n">
        <v>4.9</v>
      </c>
      <c r="R797" t="n">
        <v>17.2</v>
      </c>
      <c r="S797" t="n">
        <v>4.1</v>
      </c>
      <c r="T797" t="n">
        <v>7.6</v>
      </c>
      <c r="U797" t="n">
        <v>6.7</v>
      </c>
      <c r="V797" t="n">
        <v>5.352034</v>
      </c>
      <c r="W797" t="n">
        <v>10.2</v>
      </c>
      <c r="X797" t="n">
        <v>2.8</v>
      </c>
      <c r="Y797" t="n">
        <v>3.7</v>
      </c>
      <c r="Z797" t="n">
        <v>5.8</v>
      </c>
      <c r="AA797" t="n">
        <v>7.8</v>
      </c>
      <c r="AB797" t="n">
        <v>4.878905</v>
      </c>
      <c r="AC797" t="n">
        <v>4.5</v>
      </c>
      <c r="AD797" t="n">
        <v>5.1</v>
      </c>
      <c r="AE797" t="n">
        <v>6.697123</v>
      </c>
      <c r="AF797" t="n">
        <v>3.7</v>
      </c>
      <c r="AG797" t="n">
        <v>7</v>
      </c>
      <c r="AH797" t="n">
        <v>7.1</v>
      </c>
      <c r="AI797" t="n">
        <v>4.7</v>
      </c>
      <c r="AJ797" t="n">
        <v>9</v>
      </c>
      <c r="AK797" t="n">
        <v>13.5</v>
      </c>
      <c r="AL797" t="n">
        <v>6</v>
      </c>
    </row>
    <row r="798">
      <c r="A798" s="78" t="n">
        <v>44317</v>
      </c>
      <c r="B798" t="n">
        <v>5.063722</v>
      </c>
      <c r="C798" t="n">
        <v>6.8</v>
      </c>
      <c r="D798" t="n">
        <v>6.2</v>
      </c>
      <c r="E798" t="n">
        <v>8</v>
      </c>
      <c r="G798" t="n">
        <v>9.158092999999999</v>
      </c>
      <c r="H798" t="n">
        <v>3.1</v>
      </c>
      <c r="I798" t="n">
        <v>3.7</v>
      </c>
      <c r="J798" t="n">
        <v>5.1</v>
      </c>
      <c r="K798" t="n">
        <v>8.1</v>
      </c>
      <c r="L798" t="n">
        <v>15.5</v>
      </c>
      <c r="M798" t="n">
        <v>6.8</v>
      </c>
      <c r="N798" t="n">
        <v>8.199999999999999</v>
      </c>
      <c r="O798" t="n">
        <v>8.1</v>
      </c>
      <c r="P798" t="n">
        <v>5.486126</v>
      </c>
      <c r="Q798" t="n">
        <v>4.7</v>
      </c>
      <c r="R798" t="n">
        <v>15.6</v>
      </c>
      <c r="S798" t="n">
        <v>4.3</v>
      </c>
      <c r="T798" t="n">
        <v>7</v>
      </c>
      <c r="U798" t="n">
        <v>6.2</v>
      </c>
      <c r="V798" t="n">
        <v>5.397531</v>
      </c>
      <c r="W798" t="n">
        <v>9.800000000000001</v>
      </c>
      <c r="X798" t="n">
        <v>2.9</v>
      </c>
      <c r="Y798" t="n">
        <v>3.7</v>
      </c>
      <c r="Z798" t="n">
        <v>5.6</v>
      </c>
      <c r="AA798" t="n">
        <v>7.9</v>
      </c>
      <c r="AB798" t="n">
        <v>4.119943</v>
      </c>
      <c r="AC798" t="n">
        <v>4.4</v>
      </c>
      <c r="AD798" t="n">
        <v>5.4</v>
      </c>
      <c r="AE798" t="n">
        <v>6.475607</v>
      </c>
      <c r="AF798" t="n">
        <v>3.6</v>
      </c>
      <c r="AG798" t="n">
        <v>7</v>
      </c>
      <c r="AH798" t="n">
        <v>7</v>
      </c>
      <c r="AI798" t="n">
        <v>4.5</v>
      </c>
      <c r="AJ798" t="n">
        <v>9</v>
      </c>
      <c r="AK798" t="n">
        <v>13</v>
      </c>
      <c r="AL798" t="n">
        <v>5.8</v>
      </c>
    </row>
    <row r="799">
      <c r="A799" s="78" t="n">
        <v>44348</v>
      </c>
      <c r="B799" t="n">
        <v>4.970609</v>
      </c>
      <c r="C799" t="n">
        <v>6.2</v>
      </c>
      <c r="D799" t="n">
        <v>6.2</v>
      </c>
      <c r="E799" t="n">
        <v>7.6</v>
      </c>
      <c r="G799" t="n">
        <v>8.498335000000001</v>
      </c>
      <c r="H799" t="n">
        <v>2.8</v>
      </c>
      <c r="I799" t="n">
        <v>3.6</v>
      </c>
      <c r="J799" t="n">
        <v>4.8</v>
      </c>
      <c r="K799" t="n">
        <v>7.9</v>
      </c>
      <c r="L799" t="n">
        <v>15.4</v>
      </c>
      <c r="M799" t="n">
        <v>6.5</v>
      </c>
      <c r="N799" t="n">
        <v>7.6</v>
      </c>
      <c r="O799" t="n">
        <v>8</v>
      </c>
      <c r="P799" t="n">
        <v>5.465791</v>
      </c>
      <c r="Q799" t="n">
        <v>4.6</v>
      </c>
      <c r="R799" t="n">
        <v>15</v>
      </c>
      <c r="S799" t="n">
        <v>4.2</v>
      </c>
      <c r="T799" t="n">
        <v>6.4</v>
      </c>
      <c r="U799" t="n">
        <v>5.8</v>
      </c>
      <c r="V799" t="n">
        <v>5.275708</v>
      </c>
      <c r="W799" t="n">
        <v>9.4</v>
      </c>
      <c r="X799" t="n">
        <v>2.9</v>
      </c>
      <c r="Y799" t="n">
        <v>3.6</v>
      </c>
      <c r="Z799" t="n">
        <v>5.3</v>
      </c>
      <c r="AA799" t="n">
        <v>7.9</v>
      </c>
      <c r="AB799" t="n">
        <v>4.009814</v>
      </c>
      <c r="AC799" t="n">
        <v>4.2</v>
      </c>
      <c r="AD799" t="n">
        <v>4.4</v>
      </c>
      <c r="AE799" t="n">
        <v>6.300084</v>
      </c>
      <c r="AF799" t="n">
        <v>3.5</v>
      </c>
      <c r="AG799" t="n">
        <v>6.8</v>
      </c>
      <c r="AH799" t="n">
        <v>6.9</v>
      </c>
      <c r="AI799" t="n">
        <v>4.4</v>
      </c>
      <c r="AJ799" t="n">
        <v>9.4</v>
      </c>
      <c r="AK799" t="n">
        <v>10.9</v>
      </c>
      <c r="AL799" t="n">
        <v>5.9</v>
      </c>
    </row>
    <row r="800">
      <c r="A800" s="78" t="n">
        <v>44378</v>
      </c>
      <c r="B800" t="n">
        <v>4.693423</v>
      </c>
      <c r="C800" t="n">
        <v>6.1</v>
      </c>
      <c r="D800" t="n">
        <v>6.3</v>
      </c>
      <c r="E800" t="n">
        <v>7.4</v>
      </c>
      <c r="G800" t="n">
        <v>8.198373999999999</v>
      </c>
      <c r="H800" t="n">
        <v>2.6</v>
      </c>
      <c r="I800" t="n">
        <v>3.5</v>
      </c>
      <c r="J800" t="n">
        <v>4.2</v>
      </c>
      <c r="K800" t="n">
        <v>7.7</v>
      </c>
      <c r="L800" t="n">
        <v>15</v>
      </c>
      <c r="M800" t="n">
        <v>6.2</v>
      </c>
      <c r="N800" t="n">
        <v>7.6</v>
      </c>
      <c r="O800" t="n">
        <v>7.9</v>
      </c>
      <c r="P800" t="n">
        <v>5.166854</v>
      </c>
      <c r="Q800" t="n">
        <v>4.4</v>
      </c>
      <c r="R800" t="n">
        <v>14.3</v>
      </c>
      <c r="S800" t="n">
        <v>4</v>
      </c>
      <c r="T800" t="n">
        <v>5.9</v>
      </c>
      <c r="U800" t="n">
        <v>5.4</v>
      </c>
      <c r="V800" t="n">
        <v>4.964021</v>
      </c>
      <c r="W800" t="n">
        <v>9.199999999999999</v>
      </c>
      <c r="X800" t="n">
        <v>2.8</v>
      </c>
      <c r="Y800" t="n">
        <v>3.3</v>
      </c>
      <c r="Z800" t="n">
        <v>5.2</v>
      </c>
      <c r="AA800" t="n">
        <v>7.7</v>
      </c>
      <c r="AB800" t="n">
        <v>4.1778</v>
      </c>
      <c r="AC800" t="n">
        <v>4.1</v>
      </c>
      <c r="AD800" t="n">
        <v>5</v>
      </c>
      <c r="AE800" t="n">
        <v>6.027913</v>
      </c>
      <c r="AF800" t="n">
        <v>3.3</v>
      </c>
      <c r="AG800" t="n">
        <v>6.6</v>
      </c>
      <c r="AH800" t="n">
        <v>6.8</v>
      </c>
      <c r="AI800" t="n">
        <v>4.4</v>
      </c>
      <c r="AJ800" t="n">
        <v>8.5</v>
      </c>
      <c r="AK800" t="n">
        <v>11.5</v>
      </c>
      <c r="AL800" t="n">
        <v>5.4</v>
      </c>
    </row>
    <row r="801">
      <c r="A801" s="78" t="n">
        <v>44409</v>
      </c>
      <c r="B801" t="n">
        <v>4.56582</v>
      </c>
      <c r="C801" t="n">
        <v>5.9</v>
      </c>
      <c r="D801" t="n">
        <v>6.3</v>
      </c>
      <c r="E801" t="n">
        <v>7.1</v>
      </c>
      <c r="G801" t="n">
        <v>8.157582</v>
      </c>
      <c r="H801" t="n">
        <v>2.8</v>
      </c>
      <c r="I801" t="n">
        <v>3.5</v>
      </c>
      <c r="J801" t="n">
        <v>5.1</v>
      </c>
      <c r="K801" t="n">
        <v>7.5</v>
      </c>
      <c r="L801" t="n">
        <v>14.6</v>
      </c>
      <c r="M801" t="n">
        <v>5.8</v>
      </c>
      <c r="N801" t="n">
        <v>7</v>
      </c>
      <c r="O801" t="n">
        <v>7.8</v>
      </c>
      <c r="P801" t="n">
        <v>5.037302</v>
      </c>
      <c r="Q801" t="n">
        <v>4.3</v>
      </c>
      <c r="R801" t="n">
        <v>13.6</v>
      </c>
      <c r="S801" t="n">
        <v>4</v>
      </c>
      <c r="T801" t="n">
        <v>5.5</v>
      </c>
      <c r="U801" t="n">
        <v>5</v>
      </c>
      <c r="V801" t="n">
        <v>4.947244</v>
      </c>
      <c r="W801" t="n">
        <v>9.1</v>
      </c>
      <c r="X801" t="n">
        <v>2.8</v>
      </c>
      <c r="Y801" t="n">
        <v>3.1</v>
      </c>
      <c r="Z801" t="n">
        <v>5.1</v>
      </c>
      <c r="AA801" t="n">
        <v>7.3</v>
      </c>
      <c r="AB801" t="n">
        <v>4.01157</v>
      </c>
      <c r="AC801" t="n">
        <v>4.2</v>
      </c>
      <c r="AD801" t="n">
        <v>4.1</v>
      </c>
      <c r="AE801" t="n">
        <v>5.936403</v>
      </c>
      <c r="AF801" t="n">
        <v>3.1</v>
      </c>
      <c r="AG801" t="n">
        <v>6.3</v>
      </c>
      <c r="AH801" t="n">
        <v>6.7</v>
      </c>
      <c r="AI801" t="n">
        <v>4.5</v>
      </c>
      <c r="AJ801" t="n">
        <v>8.9</v>
      </c>
      <c r="AK801" t="n">
        <v>11.9</v>
      </c>
      <c r="AL801" t="n">
        <v>5.2</v>
      </c>
    </row>
    <row r="802">
      <c r="A802" s="78" t="n">
        <v>44440</v>
      </c>
      <c r="B802" t="n">
        <v>4.664749</v>
      </c>
      <c r="C802" t="n">
        <v>4.9</v>
      </c>
      <c r="D802" t="n">
        <v>6.2</v>
      </c>
      <c r="E802" t="n">
        <v>7</v>
      </c>
      <c r="G802" t="n">
        <v>8.016899</v>
      </c>
      <c r="H802" t="n">
        <v>2.6</v>
      </c>
      <c r="I802" t="n">
        <v>3.4</v>
      </c>
      <c r="J802" t="n">
        <v>4.9</v>
      </c>
      <c r="K802" t="n">
        <v>7.3</v>
      </c>
      <c r="L802" t="n">
        <v>14.1</v>
      </c>
      <c r="M802" t="n">
        <v>5.7</v>
      </c>
      <c r="N802" t="n">
        <v>7.5</v>
      </c>
      <c r="O802" t="n">
        <v>7.7</v>
      </c>
      <c r="P802" t="n">
        <v>4.818741</v>
      </c>
      <c r="Q802" t="n">
        <v>4.2</v>
      </c>
      <c r="R802" t="n">
        <v>13.2</v>
      </c>
      <c r="S802" t="n">
        <v>3.6</v>
      </c>
      <c r="T802" t="n">
        <v>5.3</v>
      </c>
      <c r="U802" t="n">
        <v>4.8</v>
      </c>
      <c r="V802" t="n">
        <v>4.984377</v>
      </c>
      <c r="W802" t="n">
        <v>9</v>
      </c>
      <c r="X802" t="n">
        <v>2.8</v>
      </c>
      <c r="Y802" t="n">
        <v>3.1</v>
      </c>
      <c r="Z802" t="n">
        <v>5</v>
      </c>
      <c r="AA802" t="n">
        <v>7.1</v>
      </c>
      <c r="AB802" t="n">
        <v>3.897173</v>
      </c>
      <c r="AC802" t="n">
        <v>4.1</v>
      </c>
      <c r="AD802" t="n">
        <v>3.7</v>
      </c>
      <c r="AE802" t="n">
        <v>5.71889</v>
      </c>
      <c r="AF802" t="n">
        <v>3</v>
      </c>
      <c r="AG802" t="n">
        <v>6.3</v>
      </c>
      <c r="AH802" t="n">
        <v>6.6</v>
      </c>
      <c r="AI802" t="n">
        <v>4.6</v>
      </c>
      <c r="AJ802" t="n">
        <v>8.800000000000001</v>
      </c>
      <c r="AK802" t="n">
        <v>11.4</v>
      </c>
      <c r="AL802" t="n">
        <v>4.7</v>
      </c>
    </row>
    <row r="803">
      <c r="A803" s="78" t="n">
        <v>44470</v>
      </c>
      <c r="B803" t="n">
        <v>5.259997</v>
      </c>
      <c r="C803" t="n">
        <v>5.8</v>
      </c>
      <c r="D803" t="n">
        <v>6</v>
      </c>
      <c r="E803" t="n">
        <v>6.8</v>
      </c>
      <c r="G803" t="n">
        <v>7.822106</v>
      </c>
      <c r="H803" t="n">
        <v>2.5</v>
      </c>
      <c r="I803" t="n">
        <v>3.3</v>
      </c>
      <c r="J803" t="n">
        <v>4.8</v>
      </c>
      <c r="K803" t="n">
        <v>7.3</v>
      </c>
      <c r="L803" t="n">
        <v>13.7</v>
      </c>
      <c r="M803" t="n">
        <v>5.2</v>
      </c>
      <c r="N803" t="n">
        <v>6.7</v>
      </c>
      <c r="O803" t="n">
        <v>7.6</v>
      </c>
      <c r="P803" t="n">
        <v>4.697143</v>
      </c>
      <c r="Q803" t="n">
        <v>4.1</v>
      </c>
      <c r="R803" t="n">
        <v>13.3</v>
      </c>
      <c r="S803" t="n">
        <v>3.8</v>
      </c>
      <c r="T803" t="n">
        <v>5.3</v>
      </c>
      <c r="U803" t="n">
        <v>4.6</v>
      </c>
      <c r="V803" t="n">
        <v>4.803226</v>
      </c>
      <c r="W803" t="n">
        <v>9.199999999999999</v>
      </c>
      <c r="X803" t="n">
        <v>2.7</v>
      </c>
      <c r="Y803" t="n">
        <v>3.2</v>
      </c>
      <c r="Z803" t="n">
        <v>4.8</v>
      </c>
      <c r="AA803" t="n">
        <v>7.1</v>
      </c>
      <c r="AB803" t="n">
        <v>3.809229</v>
      </c>
      <c r="AC803" t="n">
        <v>3.9</v>
      </c>
      <c r="AD803" t="n">
        <v>3.7</v>
      </c>
      <c r="AE803" t="n">
        <v>5.649238</v>
      </c>
      <c r="AF803" t="n">
        <v>3</v>
      </c>
      <c r="AG803" t="n">
        <v>6.3</v>
      </c>
      <c r="AH803" t="n">
        <v>6.6</v>
      </c>
      <c r="AI803" t="n">
        <v>4.7</v>
      </c>
      <c r="AJ803" t="n">
        <v>8.300000000000001</v>
      </c>
      <c r="AK803" t="n">
        <v>11.2</v>
      </c>
      <c r="AL803" t="n">
        <v>4.6</v>
      </c>
    </row>
    <row r="804">
      <c r="A804" s="78" t="n">
        <v>44501</v>
      </c>
      <c r="B804" t="n">
        <v>4.601148</v>
      </c>
      <c r="C804" t="n">
        <v>5.2</v>
      </c>
      <c r="D804" t="n">
        <v>5.8</v>
      </c>
      <c r="E804" t="n">
        <v>6.1</v>
      </c>
      <c r="G804" t="n">
        <v>7.731696</v>
      </c>
      <c r="H804" t="n">
        <v>2.2</v>
      </c>
      <c r="I804" t="n">
        <v>3.3</v>
      </c>
      <c r="J804" t="n">
        <v>4.2</v>
      </c>
      <c r="K804" t="n">
        <v>7.1</v>
      </c>
      <c r="L804" t="n">
        <v>13.4</v>
      </c>
      <c r="M804" t="n">
        <v>5.3</v>
      </c>
      <c r="N804" t="n">
        <v>6.8</v>
      </c>
      <c r="O804" t="n">
        <v>7.4</v>
      </c>
      <c r="P804" t="n">
        <v>4.502586</v>
      </c>
      <c r="Q804" t="n">
        <v>4</v>
      </c>
      <c r="R804" t="n">
        <v>12.9</v>
      </c>
      <c r="S804" t="n">
        <v>3.8</v>
      </c>
      <c r="T804" t="n">
        <v>5.2</v>
      </c>
      <c r="U804" t="n">
        <v>4.5</v>
      </c>
      <c r="V804" t="n">
        <v>4.341855</v>
      </c>
      <c r="W804" t="n">
        <v>9</v>
      </c>
      <c r="X804" t="n">
        <v>2.8</v>
      </c>
      <c r="Y804" t="n">
        <v>3.2</v>
      </c>
      <c r="Z804" t="n">
        <v>4.7</v>
      </c>
      <c r="AA804" t="n">
        <v>7.3</v>
      </c>
      <c r="AB804" t="n">
        <v>3.741245</v>
      </c>
      <c r="AC804" t="n">
        <v>3.7</v>
      </c>
      <c r="AD804" t="n">
        <v>3.8</v>
      </c>
      <c r="AE804" t="n">
        <v>5.488596</v>
      </c>
      <c r="AF804" t="n">
        <v>3</v>
      </c>
      <c r="AG804" t="n">
        <v>6.2</v>
      </c>
      <c r="AH804" t="n">
        <v>6.5</v>
      </c>
      <c r="AI804" t="n">
        <v>4.6</v>
      </c>
      <c r="AJ804" t="n">
        <v>8.300000000000001</v>
      </c>
      <c r="AK804" t="n">
        <v>11.2</v>
      </c>
      <c r="AL804" t="n">
        <v>4.2</v>
      </c>
    </row>
    <row r="805">
      <c r="A805" s="78" t="n">
        <v>44531</v>
      </c>
      <c r="B805" t="n">
        <v>4.172352</v>
      </c>
      <c r="C805" t="n">
        <v>4.8</v>
      </c>
      <c r="D805" t="n">
        <v>5.6</v>
      </c>
      <c r="E805" t="n">
        <v>6</v>
      </c>
      <c r="G805" t="n">
        <v>7.683586</v>
      </c>
      <c r="H805" t="n">
        <v>2.2</v>
      </c>
      <c r="I805" t="n">
        <v>3.2</v>
      </c>
      <c r="J805" t="n">
        <v>4.6</v>
      </c>
      <c r="K805" t="n">
        <v>7</v>
      </c>
      <c r="L805" t="n">
        <v>13.4</v>
      </c>
      <c r="M805" t="n">
        <v>5.4</v>
      </c>
      <c r="N805" t="n">
        <v>7.2</v>
      </c>
      <c r="O805" t="n">
        <v>7.4</v>
      </c>
      <c r="P805" t="n">
        <v>4.318834</v>
      </c>
      <c r="Q805" t="n">
        <v>4</v>
      </c>
      <c r="R805" t="n">
        <v>13</v>
      </c>
      <c r="S805" t="n">
        <v>3.7</v>
      </c>
      <c r="T805" t="n">
        <v>5</v>
      </c>
      <c r="U805" t="n">
        <v>4.3</v>
      </c>
      <c r="V805" t="n">
        <v>4.068702</v>
      </c>
      <c r="W805" t="n">
        <v>8.800000000000001</v>
      </c>
      <c r="X805" t="n">
        <v>2.7</v>
      </c>
      <c r="Y805" t="n">
        <v>3.8</v>
      </c>
      <c r="Z805" t="n">
        <v>4.7</v>
      </c>
      <c r="AA805" t="n">
        <v>7.3</v>
      </c>
      <c r="AB805" t="n">
        <v>3.851018</v>
      </c>
      <c r="AC805" t="n">
        <v>3.8</v>
      </c>
      <c r="AD805" t="n">
        <v>3.2</v>
      </c>
      <c r="AE805" t="n">
        <v>5.353419</v>
      </c>
      <c r="AF805" t="n">
        <v>2.9</v>
      </c>
      <c r="AG805" t="n">
        <v>5.8</v>
      </c>
      <c r="AH805" t="n">
        <v>6.5</v>
      </c>
      <c r="AI805" t="n">
        <v>4.4</v>
      </c>
      <c r="AJ805" t="n">
        <v>8</v>
      </c>
      <c r="AK805" t="n">
        <v>11.2</v>
      </c>
      <c r="AL805" t="n">
        <v>3.9</v>
      </c>
    </row>
    <row r="806">
      <c r="A806" s="78" t="n">
        <v>44562</v>
      </c>
      <c r="B806" t="n">
        <v>4.177396</v>
      </c>
      <c r="C806" t="n">
        <v>4.7</v>
      </c>
      <c r="D806" t="n">
        <v>5.3</v>
      </c>
      <c r="E806" t="n">
        <v>6.5</v>
      </c>
      <c r="G806" t="n">
        <v>7.758269</v>
      </c>
      <c r="H806" t="n">
        <v>2.3</v>
      </c>
      <c r="I806" t="n">
        <v>3.1</v>
      </c>
      <c r="J806" t="n">
        <v>4.9</v>
      </c>
      <c r="K806" t="n">
        <v>6.9</v>
      </c>
      <c r="L806" t="n">
        <v>13.4</v>
      </c>
      <c r="M806" t="n">
        <v>5.8</v>
      </c>
      <c r="N806" t="n">
        <v>7.1</v>
      </c>
      <c r="O806" t="n">
        <v>7.3</v>
      </c>
      <c r="P806" t="n">
        <v>4.350801</v>
      </c>
      <c r="Q806" t="n">
        <v>3.8</v>
      </c>
      <c r="R806" t="n">
        <v>13.6</v>
      </c>
      <c r="S806" t="n">
        <v>3.7</v>
      </c>
      <c r="T806" t="n">
        <v>4.9</v>
      </c>
      <c r="U806" t="n">
        <v>4.1</v>
      </c>
      <c r="V806" t="n">
        <v>3.837184</v>
      </c>
      <c r="W806" t="n">
        <v>8.699999999999999</v>
      </c>
      <c r="X806" t="n">
        <v>2.8</v>
      </c>
      <c r="Y806" t="n">
        <v>3.6</v>
      </c>
      <c r="Z806" t="n">
        <v>4.5</v>
      </c>
      <c r="AA806" t="n">
        <v>7.1</v>
      </c>
      <c r="AB806" t="n">
        <v>3.504019</v>
      </c>
      <c r="AC806" t="n">
        <v>3.6</v>
      </c>
      <c r="AD806" t="n">
        <v>3.3</v>
      </c>
      <c r="AE806" t="n">
        <v>5.332644</v>
      </c>
      <c r="AF806" t="n">
        <v>2.8</v>
      </c>
      <c r="AG806" t="n">
        <v>5.8</v>
      </c>
      <c r="AH806" t="n">
        <v>6.5</v>
      </c>
      <c r="AI806" t="n">
        <v>4.1</v>
      </c>
      <c r="AJ806" t="n">
        <v>8</v>
      </c>
      <c r="AK806" t="n">
        <v>11.2</v>
      </c>
      <c r="AL806" t="n">
        <v>4</v>
      </c>
    </row>
    <row r="807">
      <c r="A807" s="78" t="n">
        <v>44593</v>
      </c>
      <c r="B807" t="n">
        <v>4.003992</v>
      </c>
      <c r="C807" t="n">
        <v>4.8</v>
      </c>
      <c r="D807" t="n">
        <v>5.2</v>
      </c>
      <c r="E807" t="n">
        <v>5.5</v>
      </c>
      <c r="G807" t="n">
        <v>7.77262</v>
      </c>
      <c r="H807" t="n">
        <v>2.5</v>
      </c>
      <c r="I807" t="n">
        <v>3.1</v>
      </c>
      <c r="J807" t="n">
        <v>4.4</v>
      </c>
      <c r="K807" t="n">
        <v>6.8</v>
      </c>
      <c r="L807" t="n">
        <v>13.3</v>
      </c>
      <c r="M807" t="n">
        <v>5.5</v>
      </c>
      <c r="N807" t="n">
        <v>6.5</v>
      </c>
      <c r="O807" t="n">
        <v>7.3</v>
      </c>
      <c r="P807" t="n">
        <v>4.204727</v>
      </c>
      <c r="Q807" t="n">
        <v>3.7</v>
      </c>
      <c r="R807" t="n">
        <v>13.1</v>
      </c>
      <c r="S807" t="n">
        <v>3.7</v>
      </c>
      <c r="T807" t="n">
        <v>4.6</v>
      </c>
      <c r="U807" t="n">
        <v>4</v>
      </c>
      <c r="V807" t="n">
        <v>3.839704</v>
      </c>
      <c r="W807" t="n">
        <v>8.5</v>
      </c>
      <c r="X807" t="n">
        <v>2.7</v>
      </c>
      <c r="Y807" t="n">
        <v>2.7</v>
      </c>
      <c r="Z807" t="n">
        <v>4.5</v>
      </c>
      <c r="AA807" t="n">
        <v>6.9</v>
      </c>
      <c r="AB807" t="n">
        <v>3.689611</v>
      </c>
      <c r="AC807" t="n">
        <v>3.4</v>
      </c>
      <c r="AD807" t="n">
        <v>3.5</v>
      </c>
      <c r="AE807" t="n">
        <v>5.168386</v>
      </c>
      <c r="AF807" t="n">
        <v>2.8</v>
      </c>
      <c r="AG807" t="n">
        <v>5.7</v>
      </c>
      <c r="AH807" t="n">
        <v>6.4</v>
      </c>
      <c r="AI807" t="n">
        <v>4</v>
      </c>
      <c r="AJ807" t="n">
        <v>7.4</v>
      </c>
      <c r="AK807" t="n">
        <v>10.7</v>
      </c>
      <c r="AL807" t="n">
        <v>3.8</v>
      </c>
    </row>
    <row r="808">
      <c r="A808" s="78" t="n">
        <v>44621</v>
      </c>
      <c r="B808" t="n">
        <v>3.913421</v>
      </c>
      <c r="C808" t="n">
        <v>4.3</v>
      </c>
      <c r="D808" t="n">
        <v>5.4</v>
      </c>
      <c r="E808" t="n">
        <v>5.3</v>
      </c>
      <c r="G808" t="n">
        <v>7.747638</v>
      </c>
      <c r="H808" t="n">
        <v>2.3</v>
      </c>
      <c r="I808" t="n">
        <v>3</v>
      </c>
      <c r="J808" t="n">
        <v>3.9</v>
      </c>
      <c r="K808" t="n">
        <v>6.8</v>
      </c>
      <c r="L808" t="n">
        <v>13.3</v>
      </c>
      <c r="M808" t="n">
        <v>5.5</v>
      </c>
      <c r="N808" t="n">
        <v>6.5</v>
      </c>
      <c r="O808" t="n">
        <v>7.4</v>
      </c>
      <c r="P808" t="n">
        <v>4.077079</v>
      </c>
      <c r="Q808" t="n">
        <v>3.8</v>
      </c>
      <c r="R808" t="n">
        <v>12.8</v>
      </c>
      <c r="S808" t="n">
        <v>3.3</v>
      </c>
      <c r="T808" t="n">
        <v>4.9</v>
      </c>
      <c r="U808" t="n">
        <v>3.8</v>
      </c>
      <c r="V808" t="n">
        <v>3.801824</v>
      </c>
      <c r="W808" t="n">
        <v>8.300000000000001</v>
      </c>
      <c r="X808" t="n">
        <v>2.6</v>
      </c>
      <c r="Y808" t="n">
        <v>2.7</v>
      </c>
      <c r="Z808" t="n">
        <v>4.4</v>
      </c>
      <c r="AA808" t="n">
        <v>6.8</v>
      </c>
      <c r="AB808" t="n">
        <v>3.310441</v>
      </c>
      <c r="AC808" t="n">
        <v>3.3</v>
      </c>
      <c r="AD808" t="n">
        <v>3.1</v>
      </c>
      <c r="AE808" t="n">
        <v>5.066354</v>
      </c>
      <c r="AF808" t="n">
        <v>2.8</v>
      </c>
      <c r="AG808" t="n">
        <v>5.8</v>
      </c>
      <c r="AH808" t="n">
        <v>6.3</v>
      </c>
      <c r="AI808" t="n">
        <v>4.1</v>
      </c>
      <c r="AJ808" t="n">
        <v>7.6</v>
      </c>
      <c r="AK808" t="n">
        <v>11</v>
      </c>
      <c r="AL808" t="n">
        <v>3.6</v>
      </c>
    </row>
    <row r="809">
      <c r="A809" s="78" t="n">
        <v>44652</v>
      </c>
      <c r="B809" t="n">
        <v>3.859906</v>
      </c>
      <c r="C809" t="n">
        <v>4.4</v>
      </c>
      <c r="D809" t="n">
        <v>5.7</v>
      </c>
      <c r="E809" t="n">
        <v>5.2</v>
      </c>
      <c r="G809" t="n">
        <v>7.564669</v>
      </c>
      <c r="H809" t="n">
        <v>2.5</v>
      </c>
      <c r="I809" t="n">
        <v>3</v>
      </c>
      <c r="J809" t="n">
        <v>4.1</v>
      </c>
      <c r="K809" t="n">
        <v>6.7</v>
      </c>
      <c r="L809" t="n">
        <v>12.9</v>
      </c>
      <c r="M809" t="n">
        <v>5.5</v>
      </c>
      <c r="N809" t="n">
        <v>6.3</v>
      </c>
      <c r="O809" t="n">
        <v>7.5</v>
      </c>
      <c r="P809" t="n">
        <v>4.062782</v>
      </c>
      <c r="Q809" t="n">
        <v>3.8</v>
      </c>
      <c r="R809" t="n">
        <v>12.7</v>
      </c>
      <c r="S809" t="n">
        <v>3.3</v>
      </c>
      <c r="T809" t="n">
        <v>4.6</v>
      </c>
      <c r="U809" t="n">
        <v>3.6</v>
      </c>
      <c r="V809" t="n">
        <v>3.484561</v>
      </c>
      <c r="W809" t="n">
        <v>8.199999999999999</v>
      </c>
      <c r="X809" t="n">
        <v>2.5</v>
      </c>
      <c r="Y809" t="n">
        <v>2.7</v>
      </c>
      <c r="Z809" t="n">
        <v>4.3</v>
      </c>
      <c r="AA809" t="n">
        <v>6.6</v>
      </c>
      <c r="AB809" t="n">
        <v>3.170227</v>
      </c>
      <c r="AC809" t="n">
        <v>3.2</v>
      </c>
      <c r="AD809" t="n">
        <v>2.6</v>
      </c>
      <c r="AE809" t="n">
        <v>4.974589</v>
      </c>
      <c r="AF809" t="n">
        <v>2.8</v>
      </c>
      <c r="AG809" t="n">
        <v>5.9</v>
      </c>
      <c r="AH809" t="n">
        <v>6.3</v>
      </c>
      <c r="AI809" t="n">
        <v>4.4</v>
      </c>
      <c r="AJ809" t="n">
        <v>7.7</v>
      </c>
      <c r="AK809" t="n">
        <v>11</v>
      </c>
      <c r="AL809" t="n">
        <v>3.6</v>
      </c>
    </row>
    <row r="810">
      <c r="A810" s="78" t="n">
        <v>44682</v>
      </c>
      <c r="B810" t="n">
        <v>3.873577</v>
      </c>
      <c r="C810" t="n">
        <v>4.7</v>
      </c>
      <c r="D810" t="n">
        <v>5.9</v>
      </c>
      <c r="E810" t="n">
        <v>5.1</v>
      </c>
      <c r="G810" t="n">
        <v>7.534904</v>
      </c>
      <c r="H810" t="n">
        <v>2.4</v>
      </c>
      <c r="I810" t="n">
        <v>3</v>
      </c>
      <c r="J810" t="n">
        <v>4.1</v>
      </c>
      <c r="K810" t="n">
        <v>6.7</v>
      </c>
      <c r="L810" t="n">
        <v>12.6</v>
      </c>
      <c r="M810" t="n">
        <v>5.9</v>
      </c>
      <c r="N810" t="n">
        <v>6.1</v>
      </c>
      <c r="O810" t="n">
        <v>7.6</v>
      </c>
      <c r="P810" t="n">
        <v>4.067539</v>
      </c>
      <c r="Q810" t="n">
        <v>3.8</v>
      </c>
      <c r="R810" t="n">
        <v>12.7</v>
      </c>
      <c r="S810" t="n">
        <v>3.5</v>
      </c>
      <c r="T810" t="n">
        <v>4.2</v>
      </c>
      <c r="U810" t="n">
        <v>3.5</v>
      </c>
      <c r="V810" t="n">
        <v>3.700847</v>
      </c>
      <c r="W810" t="n">
        <v>8.1</v>
      </c>
      <c r="X810" t="n">
        <v>2.6</v>
      </c>
      <c r="Y810" t="n">
        <v>2.8</v>
      </c>
      <c r="Z810" t="n">
        <v>4.3</v>
      </c>
      <c r="AA810" t="n">
        <v>6.5</v>
      </c>
      <c r="AB810" t="n">
        <v>3.366427</v>
      </c>
      <c r="AC810" t="n">
        <v>3.3</v>
      </c>
      <c r="AD810" t="n">
        <v>3.8</v>
      </c>
      <c r="AE810" t="n">
        <v>4.969686</v>
      </c>
      <c r="AF810" t="n">
        <v>2.8</v>
      </c>
      <c r="AG810" t="n">
        <v>6</v>
      </c>
      <c r="AH810" t="n">
        <v>6.2</v>
      </c>
      <c r="AI810" t="n">
        <v>4.5</v>
      </c>
      <c r="AJ810" t="n">
        <v>7.7</v>
      </c>
      <c r="AK810" t="n">
        <v>10.7</v>
      </c>
      <c r="AL810" t="n">
        <v>3.6</v>
      </c>
    </row>
    <row r="811">
      <c r="A811" s="78" t="n">
        <v>44713</v>
      </c>
      <c r="B811" t="n">
        <v>3.537541</v>
      </c>
      <c r="C811" t="n">
        <v>4.2</v>
      </c>
      <c r="D811" t="n">
        <v>5.8</v>
      </c>
      <c r="E811" t="n">
        <v>4.9</v>
      </c>
      <c r="G811" t="n">
        <v>7.53675</v>
      </c>
      <c r="H811" t="n">
        <v>2.4</v>
      </c>
      <c r="I811" t="n">
        <v>3</v>
      </c>
      <c r="J811" t="n">
        <v>4.3</v>
      </c>
      <c r="K811" t="n">
        <v>6.7</v>
      </c>
      <c r="L811" t="n">
        <v>12.6</v>
      </c>
      <c r="M811" t="n">
        <v>6</v>
      </c>
      <c r="N811" t="n">
        <v>6.9</v>
      </c>
      <c r="O811" t="n">
        <v>7.6</v>
      </c>
      <c r="P811" t="n">
        <v>4.024475</v>
      </c>
      <c r="Q811" t="n">
        <v>3.6</v>
      </c>
      <c r="R811" t="n">
        <v>12.5</v>
      </c>
      <c r="S811" t="n">
        <v>3.1</v>
      </c>
      <c r="T811" t="n">
        <v>4.2</v>
      </c>
      <c r="U811" t="n">
        <v>3.5</v>
      </c>
      <c r="V811" t="n">
        <v>3.339099</v>
      </c>
      <c r="W811" t="n">
        <v>8</v>
      </c>
      <c r="X811" t="n">
        <v>2.6</v>
      </c>
      <c r="Y811" t="n">
        <v>2.9</v>
      </c>
      <c r="Z811" t="n">
        <v>4.3</v>
      </c>
      <c r="AA811" t="n">
        <v>6.6</v>
      </c>
      <c r="AB811" t="n">
        <v>3.33135</v>
      </c>
      <c r="AC811" t="n">
        <v>3.4</v>
      </c>
      <c r="AD811" t="n">
        <v>3</v>
      </c>
      <c r="AE811" t="n">
        <v>4.949132</v>
      </c>
      <c r="AF811" t="n">
        <v>2.9</v>
      </c>
      <c r="AG811" t="n">
        <v>6</v>
      </c>
      <c r="AH811" t="n">
        <v>6.1</v>
      </c>
      <c r="AI811" t="n">
        <v>4.4</v>
      </c>
      <c r="AJ811" t="n">
        <v>7.6</v>
      </c>
      <c r="AK811" t="n">
        <v>10.4</v>
      </c>
      <c r="AL811" t="n">
        <v>3.6</v>
      </c>
    </row>
    <row r="812">
      <c r="A812" s="78" t="n">
        <v>44743</v>
      </c>
      <c r="B812" t="n">
        <v>3.413169</v>
      </c>
      <c r="C812" t="n">
        <v>4.6</v>
      </c>
      <c r="D812" t="n">
        <v>5.5</v>
      </c>
      <c r="E812" t="n">
        <v>4.9</v>
      </c>
      <c r="G812" t="n">
        <v>7.617123</v>
      </c>
      <c r="H812" t="n">
        <v>2.4</v>
      </c>
      <c r="I812" t="n">
        <v>3</v>
      </c>
      <c r="J812" t="n">
        <v>4.7</v>
      </c>
      <c r="K812" t="n">
        <v>6.6</v>
      </c>
      <c r="L812" t="n">
        <v>12.6</v>
      </c>
      <c r="M812" t="n">
        <v>5.9</v>
      </c>
      <c r="N812" t="n">
        <v>7.1</v>
      </c>
      <c r="O812" t="n">
        <v>7.3</v>
      </c>
      <c r="P812" t="n">
        <v>3.91526</v>
      </c>
      <c r="Q812" t="n">
        <v>3.5</v>
      </c>
      <c r="R812" t="n">
        <v>12.4</v>
      </c>
      <c r="S812" t="n">
        <v>3.6</v>
      </c>
      <c r="T812" t="n">
        <v>4.3</v>
      </c>
      <c r="U812" t="n">
        <v>3.6</v>
      </c>
      <c r="V812" t="n">
        <v>3.446951</v>
      </c>
      <c r="W812" t="n">
        <v>7.9</v>
      </c>
      <c r="X812" t="n">
        <v>2.6</v>
      </c>
      <c r="Y812" t="n">
        <v>2.9</v>
      </c>
      <c r="Z812" t="n">
        <v>4.3</v>
      </c>
      <c r="AA812" t="n">
        <v>6.9</v>
      </c>
      <c r="AB812" t="n">
        <v>3.26228</v>
      </c>
      <c r="AC812" t="n">
        <v>3.6</v>
      </c>
      <c r="AD812" t="n">
        <v>2.8</v>
      </c>
      <c r="AE812" t="n">
        <v>4.849462</v>
      </c>
      <c r="AF812" t="n">
        <v>2.9</v>
      </c>
      <c r="AG812" t="n">
        <v>6</v>
      </c>
      <c r="AH812" t="n">
        <v>6.1</v>
      </c>
      <c r="AI812" t="n">
        <v>4.1</v>
      </c>
      <c r="AJ812" t="n">
        <v>7</v>
      </c>
      <c r="AK812" t="n">
        <v>10.1</v>
      </c>
      <c r="AL812" t="n">
        <v>3.5</v>
      </c>
    </row>
    <row r="813">
      <c r="A813" s="78" t="n">
        <v>44774</v>
      </c>
      <c r="B813" t="n">
        <v>3.478775</v>
      </c>
      <c r="C813" t="n">
        <v>5.2</v>
      </c>
      <c r="D813" t="n">
        <v>5.4</v>
      </c>
      <c r="E813" t="n">
        <v>5.4</v>
      </c>
      <c r="G813" t="n">
        <v>7.807982</v>
      </c>
      <c r="H813" t="n">
        <v>2.4</v>
      </c>
      <c r="I813" t="n">
        <v>3</v>
      </c>
      <c r="J813" t="n">
        <v>4.4</v>
      </c>
      <c r="K813" t="n">
        <v>6.7</v>
      </c>
      <c r="L813" t="n">
        <v>12.6</v>
      </c>
      <c r="M813" t="n">
        <v>5.6</v>
      </c>
      <c r="N813" t="n">
        <v>7.2</v>
      </c>
      <c r="O813" t="n">
        <v>7.2</v>
      </c>
      <c r="P813" t="n">
        <v>4.019201</v>
      </c>
      <c r="Q813" t="n">
        <v>3.6</v>
      </c>
      <c r="R813" t="n">
        <v>12.3</v>
      </c>
      <c r="S813" t="n">
        <v>3.5</v>
      </c>
      <c r="T813" t="n">
        <v>4.4</v>
      </c>
      <c r="U813" t="n">
        <v>3.6</v>
      </c>
      <c r="V813" t="n">
        <v>3.493859</v>
      </c>
      <c r="W813" t="n">
        <v>7.9</v>
      </c>
      <c r="X813" t="n">
        <v>2.5</v>
      </c>
      <c r="Y813" t="n">
        <v>2.5</v>
      </c>
      <c r="Z813" t="n">
        <v>4.4</v>
      </c>
      <c r="AA813" t="n">
        <v>7</v>
      </c>
      <c r="AB813" t="n">
        <v>3.263005</v>
      </c>
      <c r="AC813" t="n">
        <v>3.8</v>
      </c>
      <c r="AD813" t="n">
        <v>3.6</v>
      </c>
      <c r="AE813" t="n">
        <v>4.89768</v>
      </c>
      <c r="AF813" t="n">
        <v>3</v>
      </c>
      <c r="AG813" t="n">
        <v>6</v>
      </c>
      <c r="AH813" t="n">
        <v>6</v>
      </c>
      <c r="AI813" t="n">
        <v>4</v>
      </c>
      <c r="AJ813" t="n">
        <v>7</v>
      </c>
      <c r="AK813" t="n">
        <v>9.800000000000001</v>
      </c>
      <c r="AL813" t="n">
        <v>3.7</v>
      </c>
    </row>
    <row r="814">
      <c r="A814" s="78" t="n">
        <v>44805</v>
      </c>
      <c r="B814" t="n">
        <v>3.536857</v>
      </c>
      <c r="C814" t="n">
        <v>5.1</v>
      </c>
      <c r="D814" t="n">
        <v>5.4</v>
      </c>
      <c r="E814" t="n">
        <v>5.2</v>
      </c>
      <c r="G814" t="n">
        <v>7.92171</v>
      </c>
      <c r="H814" t="n">
        <v>2.2</v>
      </c>
      <c r="I814" t="n">
        <v>3</v>
      </c>
      <c r="J814" t="n">
        <v>4.5</v>
      </c>
      <c r="K814" t="n">
        <v>6.6</v>
      </c>
      <c r="L814" t="n">
        <v>12.7</v>
      </c>
      <c r="M814" t="n">
        <v>5.2</v>
      </c>
      <c r="N814" t="n">
        <v>7.2</v>
      </c>
      <c r="O814" t="n">
        <v>7.1</v>
      </c>
      <c r="P814" t="n">
        <v>3.957746</v>
      </c>
      <c r="Q814" t="n">
        <v>3.7</v>
      </c>
      <c r="R814" t="n">
        <v>12</v>
      </c>
      <c r="S814" t="n">
        <v>3.6</v>
      </c>
      <c r="T814" t="n">
        <v>4.4</v>
      </c>
      <c r="U814" t="n">
        <v>3.5</v>
      </c>
      <c r="V814" t="n">
        <v>3.774319</v>
      </c>
      <c r="W814" t="n">
        <v>7.9</v>
      </c>
      <c r="X814" t="n">
        <v>2.6</v>
      </c>
      <c r="Y814" t="n">
        <v>2.8</v>
      </c>
      <c r="Z814" t="n">
        <v>4.5</v>
      </c>
      <c r="AA814" t="n">
        <v>7.1</v>
      </c>
      <c r="AB814" t="n">
        <v>3.099312</v>
      </c>
      <c r="AC814" t="n">
        <v>3.8</v>
      </c>
      <c r="AD814" t="n">
        <v>3.4</v>
      </c>
      <c r="AE814" t="n">
        <v>4.896724</v>
      </c>
      <c r="AF814" t="n">
        <v>3</v>
      </c>
      <c r="AG814" t="n">
        <v>6.1</v>
      </c>
      <c r="AH814" t="n">
        <v>6</v>
      </c>
      <c r="AI814" t="n">
        <v>4</v>
      </c>
      <c r="AJ814" t="n">
        <v>7.1</v>
      </c>
      <c r="AK814" t="n">
        <v>10.1</v>
      </c>
      <c r="AL814" t="n">
        <v>3.5</v>
      </c>
    </row>
    <row r="815">
      <c r="A815" s="78" t="n">
        <v>44835</v>
      </c>
      <c r="B815" t="n">
        <v>3.388054</v>
      </c>
      <c r="C815" t="n">
        <v>4.6</v>
      </c>
      <c r="D815" t="n">
        <v>5.4</v>
      </c>
      <c r="E815" t="n">
        <v>5.2</v>
      </c>
      <c r="H815" t="n">
        <v>2.1</v>
      </c>
      <c r="I815" t="n">
        <v>3</v>
      </c>
      <c r="J815" t="n">
        <v>4.5</v>
      </c>
      <c r="K815" t="n">
        <v>6.5</v>
      </c>
      <c r="L815" t="n">
        <v>12.5</v>
      </c>
      <c r="M815" t="n">
        <v>5.2</v>
      </c>
      <c r="N815" t="n">
        <v>6.4</v>
      </c>
      <c r="O815" t="n">
        <v>7.1</v>
      </c>
      <c r="P815" t="n">
        <v>4.020406</v>
      </c>
      <c r="R815" t="n">
        <v>11.6</v>
      </c>
      <c r="S815" t="n">
        <v>3.6</v>
      </c>
      <c r="T815" t="n">
        <v>4.5</v>
      </c>
      <c r="U815" t="n">
        <v>3.5</v>
      </c>
      <c r="V815" t="n">
        <v>4.057059</v>
      </c>
      <c r="W815" t="n">
        <v>7.8</v>
      </c>
      <c r="X815" t="n">
        <v>2.6</v>
      </c>
      <c r="Y815" t="n">
        <v>2.8</v>
      </c>
      <c r="Z815" t="n">
        <v>4.6</v>
      </c>
      <c r="AA815" t="n">
        <v>7.1</v>
      </c>
      <c r="AB815" t="n">
        <v>3.180764</v>
      </c>
      <c r="AC815" t="n">
        <v>3.7</v>
      </c>
      <c r="AD815" t="n">
        <v>3.3</v>
      </c>
      <c r="AE815" t="n">
        <v>4.911014</v>
      </c>
      <c r="AF815" t="n">
        <v>3</v>
      </c>
      <c r="AG815" t="n">
        <v>6.1</v>
      </c>
      <c r="AH815" t="n">
        <v>5.9</v>
      </c>
      <c r="AI815" t="n">
        <v>4.1</v>
      </c>
      <c r="AJ815" t="n">
        <v>7.7</v>
      </c>
      <c r="AK815" t="n">
        <v>10.2</v>
      </c>
      <c r="AL815" t="n">
        <v>3.7</v>
      </c>
    </row>
    <row r="816">
      <c r="A816" s="78" t="n">
        <v>44866</v>
      </c>
      <c r="E816" t="n">
        <v>5.1</v>
      </c>
      <c r="N816" t="n">
        <v>6.7</v>
      </c>
      <c r="T816" t="n">
        <v>4.4</v>
      </c>
      <c r="Y816" t="n">
        <v>2.9</v>
      </c>
      <c r="AC816" t="n">
        <v>3.6</v>
      </c>
      <c r="AJ816" t="n">
        <v>7.2</v>
      </c>
      <c r="AL816" t="n">
        <v>3.7</v>
      </c>
    </row>
    <row r="817">
      <c r="A817" s="78" t="n">
        <v>44896</v>
      </c>
    </row>
    <row r="818">
      <c r="A818" s="78" t="n">
        <v>44927</v>
      </c>
    </row>
  </sheetData>
  <pageMargins left="0.7" right="0.7" top="0.75" bottom="0.75" header="0.3" footer="0.3"/>
</worksheet>
</file>

<file path=xl/worksheets/sheet6.xml><?xml version="1.0" encoding="utf-8"?>
<worksheet xmlns="http://schemas.openxmlformats.org/spreadsheetml/2006/main">
  <sheetPr codeName="Sheet2">
    <tabColor rgb="FF00B050"/>
    <outlinePr summaryBelow="1" summaryRight="1"/>
    <pageSetUpPr/>
  </sheetPr>
  <dimension ref="A1:AJ1018"/>
  <sheetViews>
    <sheetView zoomScale="50" zoomScaleNormal="50" workbookViewId="0">
      <pane ySplit="11" topLeftCell="A1003" activePane="bottomLeft" state="frozen"/>
      <selection activeCell="F8" sqref="F8"/>
      <selection pane="bottomLeft" activeCell="Y1034" sqref="Y1034"/>
    </sheetView>
  </sheetViews>
  <sheetFormatPr baseColWidth="8" defaultColWidth="8.81640625" defaultRowHeight="14.5"/>
  <cols>
    <col width="14" customWidth="1" style="49" min="1" max="1"/>
    <col width="12.6328125" customWidth="1" style="3" min="2" max="2"/>
    <col width="15" customWidth="1" style="3" min="3" max="3"/>
    <col width="13" customWidth="1" style="3" min="4" max="4"/>
    <col width="16.1796875" customWidth="1" style="3" min="5" max="5"/>
    <col width="14.36328125" customWidth="1" style="3" min="6" max="6"/>
    <col width="9.1796875" customWidth="1" style="63" min="7" max="36"/>
  </cols>
  <sheetData>
    <row r="1" customFormat="1" s="63">
      <c r="A1" s="63" t="inlineStr">
        <is>
          <t>PAYEMS</t>
        </is>
      </c>
      <c r="B1" s="15" t="inlineStr">
        <is>
          <t>All Employees: Total Nonfarm Payrolls, Thousands of Persons, Monthly, Seasonally Adjusted</t>
        </is>
      </c>
      <c r="C1" s="15" t="n"/>
      <c r="D1" s="15" t="n"/>
      <c r="E1" s="15" t="n"/>
      <c r="F1" s="15" t="n"/>
    </row>
    <row r="2" ht="16" customFormat="1" customHeight="1" s="63" thickBot="1">
      <c r="B2" s="15" t="n"/>
      <c r="C2" s="15" t="n"/>
      <c r="D2" s="15" t="n"/>
      <c r="E2" s="15" t="n"/>
      <c r="F2" s="15" t="n"/>
    </row>
    <row r="3" customFormat="1" s="63">
      <c r="B3" s="15" t="n"/>
      <c r="C3" s="22" t="inlineStr">
        <is>
          <t>Max</t>
        </is>
      </c>
      <c r="D3" s="18">
        <f>MAX(C13:C1041)</f>
        <v/>
      </c>
      <c r="E3" s="15" t="n"/>
      <c r="F3" s="16" t="n"/>
    </row>
    <row r="4" customFormat="1" s="63">
      <c r="A4" s="17" t="n"/>
      <c r="B4" s="15" t="n"/>
      <c r="C4" s="23" t="inlineStr">
        <is>
          <t>Min</t>
        </is>
      </c>
      <c r="D4" s="19">
        <f>MIN(C13:C1041)</f>
        <v/>
      </c>
      <c r="E4" s="15" t="n"/>
      <c r="F4" s="15" t="n"/>
    </row>
    <row r="5" customFormat="1" s="63">
      <c r="B5" s="15" t="n"/>
      <c r="C5" s="23" t="inlineStr">
        <is>
          <t>Average</t>
        </is>
      </c>
      <c r="D5" s="20">
        <f>AVERAGE(C13:C1541)</f>
        <v/>
      </c>
      <c r="E5" s="15" t="n"/>
      <c r="F5" s="15" t="n"/>
    </row>
    <row r="6" ht="16" customFormat="1" customHeight="1" s="63" thickBot="1">
      <c r="B6" s="15" t="n"/>
      <c r="C6" s="24" t="inlineStr">
        <is>
          <t>Avg. since 2010</t>
        </is>
      </c>
      <c r="D6" s="21">
        <f>AVERAGE(C864:C1041)</f>
        <v/>
      </c>
      <c r="E6" s="15" t="n"/>
      <c r="F6" s="15" t="n"/>
    </row>
    <row r="7" customFormat="1" s="63">
      <c r="B7" s="15" t="n"/>
      <c r="C7" s="15" t="n"/>
      <c r="D7" s="15" t="n"/>
      <c r="E7" s="15" t="n"/>
      <c r="F7" s="15" t="n"/>
    </row>
    <row r="8" customFormat="1" s="63">
      <c r="C8" s="15" t="n"/>
      <c r="D8" s="15" t="n"/>
      <c r="E8" s="15" t="n"/>
      <c r="F8" s="15" t="n"/>
    </row>
    <row r="9" customFormat="1" s="63">
      <c r="B9" s="15" t="n"/>
      <c r="C9" s="15" t="n"/>
      <c r="D9" s="15" t="n"/>
      <c r="E9" s="15" t="n"/>
      <c r="F9" s="15" t="n"/>
    </row>
    <row r="10" customFormat="1" s="63">
      <c r="A10" s="63" t="inlineStr">
        <is>
          <t>Frequency: Monthly</t>
        </is>
      </c>
      <c r="B10" s="15" t="n"/>
      <c r="C10" s="15" t="n"/>
      <c r="D10" s="15" t="n"/>
      <c r="E10" s="15" t="n"/>
      <c r="F10" s="15" t="n"/>
    </row>
    <row r="11" ht="32" customFormat="1" customHeight="1" s="48">
      <c r="A11" s="14" t="inlineStr">
        <is>
          <t>Date</t>
        </is>
      </c>
      <c r="B11" s="5" t="inlineStr">
        <is>
          <t>PAYEMS</t>
        </is>
      </c>
      <c r="C11" s="5" t="inlineStr">
        <is>
          <t>Monthly Change in k</t>
        </is>
      </c>
      <c r="D11" s="14" t="inlineStr">
        <is>
          <t>3 months average</t>
        </is>
      </c>
      <c r="E11" s="14" t="inlineStr">
        <is>
          <t>Unemployment Rate</t>
        </is>
      </c>
      <c r="F11" s="14" t="inlineStr">
        <is>
          <t>Participation Rate</t>
        </is>
      </c>
      <c r="G11" s="62" t="n"/>
      <c r="H11" s="62" t="n"/>
      <c r="I11" s="62" t="n"/>
      <c r="J11" s="62" t="n"/>
      <c r="K11" s="62" t="n"/>
      <c r="L11" s="62" t="n"/>
      <c r="M11" s="62" t="n"/>
      <c r="N11" s="62" t="n"/>
      <c r="O11" s="62" t="n"/>
      <c r="P11" s="62" t="n"/>
      <c r="Q11" s="62" t="n"/>
      <c r="R11" s="62" t="n"/>
      <c r="S11" s="62" t="n"/>
      <c r="T11" s="62" t="n"/>
      <c r="U11" s="62" t="n"/>
      <c r="V11" s="62" t="n"/>
      <c r="W11" s="62" t="n"/>
      <c r="X11" s="62" t="n"/>
      <c r="Y11" s="62" t="n"/>
      <c r="Z11" s="62" t="n"/>
      <c r="AA11" s="62" t="n"/>
      <c r="AB11" s="62" t="n"/>
      <c r="AC11" s="62" t="n"/>
      <c r="AD11" s="62" t="n"/>
      <c r="AE11" s="62" t="n"/>
      <c r="AF11" s="62" t="n"/>
      <c r="AG11" s="62" t="n"/>
      <c r="AH11" s="62" t="n"/>
      <c r="AI11" s="62" t="n"/>
      <c r="AJ11" s="62" t="n"/>
    </row>
    <row r="12">
      <c r="A12" s="54" t="n">
        <v>14246</v>
      </c>
      <c r="B12" s="25">
        <f>VLOOKUP(Table1[[#This Row],[Date]],Database!A:D,3,)</f>
        <v/>
      </c>
      <c r="C12" s="26" t="n"/>
      <c r="D12" s="26" t="n"/>
      <c r="E12" s="58" t="n"/>
      <c r="F12" s="58" t="n"/>
    </row>
    <row r="13">
      <c r="A13" s="54" t="n">
        <v>14277</v>
      </c>
      <c r="B13" s="25">
        <f>VLOOKUP(Table1[[#This Row],[Date]],Database!A:D,3,)</f>
        <v/>
      </c>
      <c r="C13" s="26">
        <f>B13-B12</f>
        <v/>
      </c>
      <c r="D13" s="26" t="n"/>
      <c r="E13" s="58" t="n"/>
      <c r="F13" s="58" t="n"/>
    </row>
    <row r="14">
      <c r="A14" s="54" t="n">
        <v>14305</v>
      </c>
      <c r="B14" s="25">
        <f>VLOOKUP(Table1[[#This Row],[Date]],Database!A:D,3,)</f>
        <v/>
      </c>
      <c r="C14" s="26">
        <f>B14-B13</f>
        <v/>
      </c>
      <c r="D14" s="26" t="n"/>
      <c r="E14" s="58" t="n"/>
      <c r="F14" s="58" t="n"/>
    </row>
    <row r="15">
      <c r="A15" s="54" t="n">
        <v>14336</v>
      </c>
      <c r="B15" s="25">
        <f>VLOOKUP(Table1[[#This Row],[Date]],Database!A:D,3,)</f>
        <v/>
      </c>
      <c r="C15" s="26">
        <f>B15-B14</f>
        <v/>
      </c>
      <c r="D15" s="26">
        <f>AVERAGE(C13:C15)</f>
        <v/>
      </c>
      <c r="E15" s="58" t="n"/>
      <c r="F15" s="58" t="n"/>
    </row>
    <row r="16">
      <c r="A16" s="54" t="n">
        <v>14366</v>
      </c>
      <c r="B16" s="25">
        <f>VLOOKUP(Table1[[#This Row],[Date]],Database!A:D,3,)</f>
        <v/>
      </c>
      <c r="C16" s="26">
        <f>B16-B15</f>
        <v/>
      </c>
      <c r="D16" s="26">
        <f>AVERAGE(C14:C16)</f>
        <v/>
      </c>
      <c r="E16" s="58" t="n"/>
      <c r="F16" s="58" t="n"/>
    </row>
    <row r="17">
      <c r="A17" s="54" t="n">
        <v>14397</v>
      </c>
      <c r="B17" s="25">
        <f>VLOOKUP(Table1[[#This Row],[Date]],Database!A:D,3,)</f>
        <v/>
      </c>
      <c r="C17" s="26">
        <f>B17-B16</f>
        <v/>
      </c>
      <c r="D17" s="26">
        <f>AVERAGE(C15:C17)</f>
        <v/>
      </c>
      <c r="E17" s="58" t="n"/>
      <c r="F17" s="58" t="n"/>
    </row>
    <row r="18">
      <c r="A18" s="54" t="n">
        <v>14427</v>
      </c>
      <c r="B18" s="25">
        <f>VLOOKUP(Table1[[#This Row],[Date]],Database!A:D,3,)</f>
        <v/>
      </c>
      <c r="C18" s="26">
        <f>B18-B17</f>
        <v/>
      </c>
      <c r="D18" s="26">
        <f>AVERAGE(C16:C18)</f>
        <v/>
      </c>
      <c r="E18" s="58" t="n"/>
      <c r="F18" s="58" t="n"/>
    </row>
    <row r="19">
      <c r="A19" s="54" t="n">
        <v>14458</v>
      </c>
      <c r="B19" s="25">
        <f>VLOOKUP(Table1[[#This Row],[Date]],Database!A:D,3,)</f>
        <v/>
      </c>
      <c r="C19" s="26">
        <f>B19-B18</f>
        <v/>
      </c>
      <c r="D19" s="26">
        <f>AVERAGE(C17:C19)</f>
        <v/>
      </c>
      <c r="E19" s="58" t="n"/>
      <c r="F19" s="58" t="n"/>
    </row>
    <row r="20">
      <c r="A20" s="54" t="n">
        <v>14489</v>
      </c>
      <c r="B20" s="25">
        <f>VLOOKUP(Table1[[#This Row],[Date]],Database!A:D,3,)</f>
        <v/>
      </c>
      <c r="C20" s="26">
        <f>B20-B19</f>
        <v/>
      </c>
      <c r="D20" s="26">
        <f>AVERAGE(C18:C20)</f>
        <v/>
      </c>
      <c r="E20" s="58" t="n"/>
      <c r="F20" s="58" t="n"/>
    </row>
    <row r="21">
      <c r="A21" s="54" t="n">
        <v>14519</v>
      </c>
      <c r="B21" s="25">
        <f>VLOOKUP(Table1[[#This Row],[Date]],Database!A:D,3,)</f>
        <v/>
      </c>
      <c r="C21" s="26">
        <f>B21-B20</f>
        <v/>
      </c>
      <c r="D21" s="26">
        <f>AVERAGE(C19:C21)</f>
        <v/>
      </c>
      <c r="E21" s="58" t="n"/>
      <c r="F21" s="58" t="n"/>
    </row>
    <row r="22">
      <c r="A22" s="54" t="n">
        <v>14550</v>
      </c>
      <c r="B22" s="25">
        <f>VLOOKUP(Table1[[#This Row],[Date]],Database!A:D,3,)</f>
        <v/>
      </c>
      <c r="C22" s="26">
        <f>B22-B21</f>
        <v/>
      </c>
      <c r="D22" s="26">
        <f>AVERAGE(C20:C22)</f>
        <v/>
      </c>
      <c r="E22" s="58" t="n"/>
      <c r="F22" s="58" t="n"/>
    </row>
    <row r="23">
      <c r="A23" s="54" t="n">
        <v>14580</v>
      </c>
      <c r="B23" s="25">
        <f>VLOOKUP(Table1[[#This Row],[Date]],Database!A:D,3,)</f>
        <v/>
      </c>
      <c r="C23" s="26">
        <f>B23-B22</f>
        <v/>
      </c>
      <c r="D23" s="26">
        <f>AVERAGE(C21:C23)</f>
        <v/>
      </c>
      <c r="E23" s="58" t="n"/>
      <c r="F23" s="58" t="n"/>
    </row>
    <row r="24">
      <c r="A24" s="54" t="n">
        <v>14611</v>
      </c>
      <c r="B24" s="25">
        <f>VLOOKUP(Table1[[#This Row],[Date]],Database!A:D,3,)</f>
        <v/>
      </c>
      <c r="C24" s="26">
        <f>B24-B23</f>
        <v/>
      </c>
      <c r="D24" s="26">
        <f>AVERAGE(C22:C24)</f>
        <v/>
      </c>
      <c r="E24" s="58" t="n"/>
      <c r="F24" s="58" t="n"/>
    </row>
    <row r="25">
      <c r="A25" s="54" t="n">
        <v>14642</v>
      </c>
      <c r="B25" s="25">
        <f>VLOOKUP(Table1[[#This Row],[Date]],Database!A:D,3,)</f>
        <v/>
      </c>
      <c r="C25" s="26">
        <f>B25-B24</f>
        <v/>
      </c>
      <c r="D25" s="26">
        <f>AVERAGE(C23:C25)</f>
        <v/>
      </c>
      <c r="E25" s="58" t="n"/>
      <c r="F25" s="58" t="n"/>
    </row>
    <row r="26">
      <c r="A26" s="54" t="n">
        <v>14671</v>
      </c>
      <c r="B26" s="25">
        <f>VLOOKUP(Table1[[#This Row],[Date]],Database!A:D,3,)</f>
        <v/>
      </c>
      <c r="C26" s="26">
        <f>B26-B25</f>
        <v/>
      </c>
      <c r="D26" s="26">
        <f>AVERAGE(C24:C26)</f>
        <v/>
      </c>
      <c r="E26" s="58" t="n"/>
      <c r="F26" s="58" t="n"/>
    </row>
    <row r="27">
      <c r="A27" s="54" t="n">
        <v>14702</v>
      </c>
      <c r="B27" s="25">
        <f>VLOOKUP(Table1[[#This Row],[Date]],Database!A:D,3,)</f>
        <v/>
      </c>
      <c r="C27" s="26">
        <f>B27-B26</f>
        <v/>
      </c>
      <c r="D27" s="26">
        <f>AVERAGE(C25:C27)</f>
        <v/>
      </c>
      <c r="E27" s="58" t="n"/>
      <c r="F27" s="58" t="n"/>
    </row>
    <row r="28">
      <c r="A28" s="54" t="n">
        <v>14732</v>
      </c>
      <c r="B28" s="25">
        <f>VLOOKUP(Table1[[#This Row],[Date]],Database!A:D,3,)</f>
        <v/>
      </c>
      <c r="C28" s="26">
        <f>B28-B27</f>
        <v/>
      </c>
      <c r="D28" s="26">
        <f>AVERAGE(C26:C28)</f>
        <v/>
      </c>
      <c r="E28" s="58" t="n"/>
      <c r="F28" s="58" t="n"/>
    </row>
    <row r="29">
      <c r="A29" s="54" t="n">
        <v>14763</v>
      </c>
      <c r="B29" s="25">
        <f>VLOOKUP(Table1[[#This Row],[Date]],Database!A:D,3,)</f>
        <v/>
      </c>
      <c r="C29" s="26">
        <f>B29-B28</f>
        <v/>
      </c>
      <c r="D29" s="26">
        <f>AVERAGE(C27:C29)</f>
        <v/>
      </c>
      <c r="E29" s="58" t="n"/>
      <c r="F29" s="58" t="n"/>
    </row>
    <row r="30">
      <c r="A30" s="54" t="n">
        <v>14793</v>
      </c>
      <c r="B30" s="25">
        <f>VLOOKUP(Table1[[#This Row],[Date]],Database!A:D,3,)</f>
        <v/>
      </c>
      <c r="C30" s="26">
        <f>B30-B29</f>
        <v/>
      </c>
      <c r="D30" s="26">
        <f>AVERAGE(C28:C30)</f>
        <v/>
      </c>
      <c r="E30" s="58" t="n"/>
      <c r="F30" s="58" t="n"/>
    </row>
    <row r="31">
      <c r="A31" s="54" t="n">
        <v>14824</v>
      </c>
      <c r="B31" s="25">
        <f>VLOOKUP(Table1[[#This Row],[Date]],Database!A:D,3,)</f>
        <v/>
      </c>
      <c r="C31" s="26">
        <f>B31-B30</f>
        <v/>
      </c>
      <c r="D31" s="26">
        <f>AVERAGE(C29:C31)</f>
        <v/>
      </c>
      <c r="E31" s="58" t="n"/>
      <c r="F31" s="58" t="n"/>
    </row>
    <row r="32">
      <c r="A32" s="54" t="n">
        <v>14855</v>
      </c>
      <c r="B32" s="25">
        <f>VLOOKUP(Table1[[#This Row],[Date]],Database!A:D,3,)</f>
        <v/>
      </c>
      <c r="C32" s="26">
        <f>B32-B31</f>
        <v/>
      </c>
      <c r="D32" s="26">
        <f>AVERAGE(C30:C32)</f>
        <v/>
      </c>
      <c r="E32" s="58" t="n"/>
      <c r="F32" s="58" t="n"/>
    </row>
    <row r="33">
      <c r="A33" s="54" t="n">
        <v>14885</v>
      </c>
      <c r="B33" s="25">
        <f>VLOOKUP(Table1[[#This Row],[Date]],Database!A:D,3,)</f>
        <v/>
      </c>
      <c r="C33" s="26">
        <f>B33-B32</f>
        <v/>
      </c>
      <c r="D33" s="26">
        <f>AVERAGE(C31:C33)</f>
        <v/>
      </c>
      <c r="E33" s="58" t="n"/>
      <c r="F33" s="58" t="n"/>
    </row>
    <row r="34">
      <c r="A34" s="54" t="n">
        <v>14916</v>
      </c>
      <c r="B34" s="25">
        <f>VLOOKUP(Table1[[#This Row],[Date]],Database!A:D,3,)</f>
        <v/>
      </c>
      <c r="C34" s="26">
        <f>B34-B33</f>
        <v/>
      </c>
      <c r="D34" s="26">
        <f>AVERAGE(C32:C34)</f>
        <v/>
      </c>
      <c r="E34" s="58" t="n"/>
      <c r="F34" s="58" t="n"/>
    </row>
    <row r="35">
      <c r="A35" s="54" t="n">
        <v>14946</v>
      </c>
      <c r="B35" s="25">
        <f>VLOOKUP(Table1[[#This Row],[Date]],Database!A:D,3,)</f>
        <v/>
      </c>
      <c r="C35" s="26">
        <f>B35-B34</f>
        <v/>
      </c>
      <c r="D35" s="26">
        <f>AVERAGE(C33:C35)</f>
        <v/>
      </c>
      <c r="E35" s="58" t="n"/>
      <c r="F35" s="58" t="n"/>
    </row>
    <row r="36">
      <c r="A36" s="54" t="n">
        <v>14977</v>
      </c>
      <c r="B36" s="25">
        <f>VLOOKUP(Table1[[#This Row],[Date]],Database!A:D,3,)</f>
        <v/>
      </c>
      <c r="C36" s="26">
        <f>B36-B35</f>
        <v/>
      </c>
      <c r="D36" s="26">
        <f>AVERAGE(C34:C36)</f>
        <v/>
      </c>
      <c r="E36" s="58" t="n"/>
      <c r="F36" s="58" t="n"/>
    </row>
    <row r="37">
      <c r="A37" s="54" t="n">
        <v>15008</v>
      </c>
      <c r="B37" s="25">
        <f>VLOOKUP(Table1[[#This Row],[Date]],Database!A:D,3,)</f>
        <v/>
      </c>
      <c r="C37" s="26">
        <f>B37-B36</f>
        <v/>
      </c>
      <c r="D37" s="26">
        <f>AVERAGE(C35:C37)</f>
        <v/>
      </c>
      <c r="E37" s="58" t="n"/>
      <c r="F37" s="58" t="n"/>
    </row>
    <row r="38">
      <c r="A38" s="54" t="n">
        <v>15036</v>
      </c>
      <c r="B38" s="25">
        <f>VLOOKUP(Table1[[#This Row],[Date]],Database!A:D,3,)</f>
        <v/>
      </c>
      <c r="C38" s="26">
        <f>B38-B37</f>
        <v/>
      </c>
      <c r="D38" s="26">
        <f>AVERAGE(C36:C38)</f>
        <v/>
      </c>
      <c r="E38" s="58" t="n"/>
      <c r="F38" s="58" t="n"/>
    </row>
    <row r="39">
      <c r="A39" s="54" t="n">
        <v>15067</v>
      </c>
      <c r="B39" s="25">
        <f>VLOOKUP(Table1[[#This Row],[Date]],Database!A:D,3,)</f>
        <v/>
      </c>
      <c r="C39" s="26">
        <f>B39-B38</f>
        <v/>
      </c>
      <c r="D39" s="26">
        <f>AVERAGE(C37:C39)</f>
        <v/>
      </c>
      <c r="E39" s="58" t="n"/>
      <c r="F39" s="58" t="n"/>
    </row>
    <row r="40">
      <c r="A40" s="54" t="n">
        <v>15097</v>
      </c>
      <c r="B40" s="25">
        <f>VLOOKUP(Table1[[#This Row],[Date]],Database!A:D,3,)</f>
        <v/>
      </c>
      <c r="C40" s="26">
        <f>B40-B39</f>
        <v/>
      </c>
      <c r="D40" s="26">
        <f>AVERAGE(C38:C40)</f>
        <v/>
      </c>
      <c r="E40" s="58" t="n"/>
      <c r="F40" s="58" t="n"/>
    </row>
    <row r="41">
      <c r="A41" s="54" t="n">
        <v>15128</v>
      </c>
      <c r="B41" s="25">
        <f>VLOOKUP(Table1[[#This Row],[Date]],Database!A:D,3,)</f>
        <v/>
      </c>
      <c r="C41" s="26">
        <f>B41-B40</f>
        <v/>
      </c>
      <c r="D41" s="26">
        <f>AVERAGE(C39:C41)</f>
        <v/>
      </c>
      <c r="E41" s="58" t="n"/>
      <c r="F41" s="58" t="n"/>
    </row>
    <row r="42">
      <c r="A42" s="54" t="n">
        <v>15158</v>
      </c>
      <c r="B42" s="25">
        <f>VLOOKUP(Table1[[#This Row],[Date]],Database!A:D,3,)</f>
        <v/>
      </c>
      <c r="C42" s="26">
        <f>B42-B41</f>
        <v/>
      </c>
      <c r="D42" s="26">
        <f>AVERAGE(C40:C42)</f>
        <v/>
      </c>
      <c r="E42" s="58" t="n"/>
      <c r="F42" s="58" t="n"/>
    </row>
    <row r="43">
      <c r="A43" s="54" t="n">
        <v>15189</v>
      </c>
      <c r="B43" s="25">
        <f>VLOOKUP(Table1[[#This Row],[Date]],Database!A:D,3,)</f>
        <v/>
      </c>
      <c r="C43" s="26">
        <f>B43-B42</f>
        <v/>
      </c>
      <c r="D43" s="26">
        <f>AVERAGE(C41:C43)</f>
        <v/>
      </c>
      <c r="E43" s="58" t="n"/>
      <c r="F43" s="58" t="n"/>
    </row>
    <row r="44">
      <c r="A44" s="54" t="n">
        <v>15220</v>
      </c>
      <c r="B44" s="25">
        <f>VLOOKUP(Table1[[#This Row],[Date]],Database!A:D,3,)</f>
        <v/>
      </c>
      <c r="C44" s="26">
        <f>B44-B43</f>
        <v/>
      </c>
      <c r="D44" s="26">
        <f>AVERAGE(C42:C44)</f>
        <v/>
      </c>
      <c r="E44" s="58" t="n"/>
      <c r="F44" s="58" t="n"/>
    </row>
    <row r="45">
      <c r="A45" s="54" t="n">
        <v>15250</v>
      </c>
      <c r="B45" s="25">
        <f>VLOOKUP(Table1[[#This Row],[Date]],Database!A:D,3,)</f>
        <v/>
      </c>
      <c r="C45" s="26">
        <f>B45-B44</f>
        <v/>
      </c>
      <c r="D45" s="26">
        <f>AVERAGE(C43:C45)</f>
        <v/>
      </c>
      <c r="E45" s="58" t="n"/>
      <c r="F45" s="58" t="n"/>
    </row>
    <row r="46">
      <c r="A46" s="54" t="n">
        <v>15281</v>
      </c>
      <c r="B46" s="25">
        <f>VLOOKUP(Table1[[#This Row],[Date]],Database!A:D,3,)</f>
        <v/>
      </c>
      <c r="C46" s="26">
        <f>B46-B45</f>
        <v/>
      </c>
      <c r="D46" s="26">
        <f>AVERAGE(C44:C46)</f>
        <v/>
      </c>
      <c r="E46" s="58" t="n"/>
      <c r="F46" s="58" t="n"/>
    </row>
    <row r="47">
      <c r="A47" s="54" t="n">
        <v>15311</v>
      </c>
      <c r="B47" s="25">
        <f>VLOOKUP(Table1[[#This Row],[Date]],Database!A:D,3,)</f>
        <v/>
      </c>
      <c r="C47" s="26">
        <f>B47-B46</f>
        <v/>
      </c>
      <c r="D47" s="26">
        <f>AVERAGE(C45:C47)</f>
        <v/>
      </c>
      <c r="E47" s="58" t="n"/>
      <c r="F47" s="58" t="n"/>
    </row>
    <row r="48">
      <c r="A48" s="54" t="n">
        <v>15342</v>
      </c>
      <c r="B48" s="25">
        <f>VLOOKUP(Table1[[#This Row],[Date]],Database!A:D,3,)</f>
        <v/>
      </c>
      <c r="C48" s="26">
        <f>B48-B47</f>
        <v/>
      </c>
      <c r="D48" s="26">
        <f>AVERAGE(C46:C48)</f>
        <v/>
      </c>
      <c r="E48" s="58" t="n"/>
      <c r="F48" s="58" t="n"/>
    </row>
    <row r="49">
      <c r="A49" s="54" t="n">
        <v>15373</v>
      </c>
      <c r="B49" s="25">
        <f>VLOOKUP(Table1[[#This Row],[Date]],Database!A:D,3,)</f>
        <v/>
      </c>
      <c r="C49" s="26">
        <f>B49-B48</f>
        <v/>
      </c>
      <c r="D49" s="26">
        <f>AVERAGE(C47:C49)</f>
        <v/>
      </c>
      <c r="E49" s="58" t="n"/>
      <c r="F49" s="58" t="n"/>
    </row>
    <row r="50">
      <c r="A50" s="54" t="n">
        <v>15401</v>
      </c>
      <c r="B50" s="25">
        <f>VLOOKUP(Table1[[#This Row],[Date]],Database!A:D,3,)</f>
        <v/>
      </c>
      <c r="C50" s="26">
        <f>B50-B49</f>
        <v/>
      </c>
      <c r="D50" s="26">
        <f>AVERAGE(C48:C50)</f>
        <v/>
      </c>
      <c r="E50" s="58" t="n"/>
      <c r="F50" s="58" t="n"/>
    </row>
    <row r="51">
      <c r="A51" s="54" t="n">
        <v>15432</v>
      </c>
      <c r="B51" s="25">
        <f>VLOOKUP(Table1[[#This Row],[Date]],Database!A:D,3,)</f>
        <v/>
      </c>
      <c r="C51" s="26">
        <f>B51-B50</f>
        <v/>
      </c>
      <c r="D51" s="26">
        <f>AVERAGE(C49:C51)</f>
        <v/>
      </c>
      <c r="E51" s="58" t="n"/>
      <c r="F51" s="58" t="n"/>
    </row>
    <row r="52">
      <c r="A52" s="54" t="n">
        <v>15462</v>
      </c>
      <c r="B52" s="25">
        <f>VLOOKUP(Table1[[#This Row],[Date]],Database!A:D,3,)</f>
        <v/>
      </c>
      <c r="C52" s="26">
        <f>B52-B51</f>
        <v/>
      </c>
      <c r="D52" s="26">
        <f>AVERAGE(C50:C52)</f>
        <v/>
      </c>
      <c r="E52" s="58" t="n"/>
      <c r="F52" s="58" t="n"/>
    </row>
    <row r="53">
      <c r="A53" s="54" t="n">
        <v>15493</v>
      </c>
      <c r="B53" s="25">
        <f>VLOOKUP(Table1[[#This Row],[Date]],Database!A:D,3,)</f>
        <v/>
      </c>
      <c r="C53" s="26">
        <f>B53-B52</f>
        <v/>
      </c>
      <c r="D53" s="26">
        <f>AVERAGE(C51:C53)</f>
        <v/>
      </c>
      <c r="E53" s="58" t="n"/>
      <c r="F53" s="58" t="n"/>
    </row>
    <row r="54">
      <c r="A54" s="54" t="n">
        <v>15523</v>
      </c>
      <c r="B54" s="25">
        <f>VLOOKUP(Table1[[#This Row],[Date]],Database!A:D,3,)</f>
        <v/>
      </c>
      <c r="C54" s="26">
        <f>B54-B53</f>
        <v/>
      </c>
      <c r="D54" s="26">
        <f>AVERAGE(C52:C54)</f>
        <v/>
      </c>
      <c r="E54" s="58" t="n"/>
      <c r="F54" s="58" t="n"/>
    </row>
    <row r="55">
      <c r="A55" s="54" t="n">
        <v>15554</v>
      </c>
      <c r="B55" s="25">
        <f>VLOOKUP(Table1[[#This Row],[Date]],Database!A:D,3,)</f>
        <v/>
      </c>
      <c r="C55" s="26">
        <f>B55-B54</f>
        <v/>
      </c>
      <c r="D55" s="26">
        <f>AVERAGE(C53:C55)</f>
        <v/>
      </c>
      <c r="E55" s="58" t="n"/>
      <c r="F55" s="58" t="n"/>
    </row>
    <row r="56">
      <c r="A56" s="54" t="n">
        <v>15585</v>
      </c>
      <c r="B56" s="25">
        <f>VLOOKUP(Table1[[#This Row],[Date]],Database!A:D,3,)</f>
        <v/>
      </c>
      <c r="C56" s="26">
        <f>B56-B55</f>
        <v/>
      </c>
      <c r="D56" s="26">
        <f>AVERAGE(C54:C56)</f>
        <v/>
      </c>
      <c r="E56" s="58" t="n"/>
      <c r="F56" s="58" t="n"/>
    </row>
    <row r="57">
      <c r="A57" s="54" t="n">
        <v>15615</v>
      </c>
      <c r="B57" s="25">
        <f>VLOOKUP(Table1[[#This Row],[Date]],Database!A:D,3,)</f>
        <v/>
      </c>
      <c r="C57" s="26">
        <f>B57-B56</f>
        <v/>
      </c>
      <c r="D57" s="26">
        <f>AVERAGE(C55:C57)</f>
        <v/>
      </c>
      <c r="E57" s="58" t="n"/>
      <c r="F57" s="58" t="n"/>
    </row>
    <row r="58">
      <c r="A58" s="54" t="n">
        <v>15646</v>
      </c>
      <c r="B58" s="25">
        <f>VLOOKUP(Table1[[#This Row],[Date]],Database!A:D,3,)</f>
        <v/>
      </c>
      <c r="C58" s="26">
        <f>B58-B57</f>
        <v/>
      </c>
      <c r="D58" s="26">
        <f>AVERAGE(C56:C58)</f>
        <v/>
      </c>
      <c r="E58" s="58" t="n"/>
      <c r="F58" s="58" t="n"/>
    </row>
    <row r="59">
      <c r="A59" s="54" t="n">
        <v>15676</v>
      </c>
      <c r="B59" s="25">
        <f>VLOOKUP(Table1[[#This Row],[Date]],Database!A:D,3,)</f>
        <v/>
      </c>
      <c r="C59" s="26">
        <f>B59-B58</f>
        <v/>
      </c>
      <c r="D59" s="26">
        <f>AVERAGE(C57:C59)</f>
        <v/>
      </c>
      <c r="E59" s="58" t="n"/>
      <c r="F59" s="58" t="n"/>
    </row>
    <row r="60">
      <c r="A60" s="54" t="n">
        <v>15707</v>
      </c>
      <c r="B60" s="25">
        <f>VLOOKUP(Table1[[#This Row],[Date]],Database!A:D,3,)</f>
        <v/>
      </c>
      <c r="C60" s="26">
        <f>B60-B59</f>
        <v/>
      </c>
      <c r="D60" s="26">
        <f>AVERAGE(C58:C60)</f>
        <v/>
      </c>
      <c r="E60" s="58" t="n"/>
      <c r="F60" s="58" t="n"/>
    </row>
    <row r="61">
      <c r="A61" s="54" t="n">
        <v>15738</v>
      </c>
      <c r="B61" s="25">
        <f>VLOOKUP(Table1[[#This Row],[Date]],Database!A:D,3,)</f>
        <v/>
      </c>
      <c r="C61" s="26">
        <f>B61-B60</f>
        <v/>
      </c>
      <c r="D61" s="26">
        <f>AVERAGE(C59:C61)</f>
        <v/>
      </c>
      <c r="E61" s="58" t="n"/>
      <c r="F61" s="58" t="n"/>
    </row>
    <row r="62">
      <c r="A62" s="54" t="n">
        <v>15766</v>
      </c>
      <c r="B62" s="25">
        <f>VLOOKUP(Table1[[#This Row],[Date]],Database!A:D,3,)</f>
        <v/>
      </c>
      <c r="C62" s="26">
        <f>B62-B61</f>
        <v/>
      </c>
      <c r="D62" s="26">
        <f>AVERAGE(C60:C62)</f>
        <v/>
      </c>
      <c r="E62" s="58" t="n"/>
      <c r="F62" s="58" t="n"/>
    </row>
    <row r="63">
      <c r="A63" s="54" t="n">
        <v>15797</v>
      </c>
      <c r="B63" s="25">
        <f>VLOOKUP(Table1[[#This Row],[Date]],Database!A:D,3,)</f>
        <v/>
      </c>
      <c r="C63" s="26">
        <f>B63-B62</f>
        <v/>
      </c>
      <c r="D63" s="26">
        <f>AVERAGE(C61:C63)</f>
        <v/>
      </c>
      <c r="E63" s="58" t="n"/>
      <c r="F63" s="58" t="n"/>
    </row>
    <row r="64">
      <c r="A64" s="54" t="n">
        <v>15827</v>
      </c>
      <c r="B64" s="25">
        <f>VLOOKUP(Table1[[#This Row],[Date]],Database!A:D,3,)</f>
        <v/>
      </c>
      <c r="C64" s="26">
        <f>B64-B63</f>
        <v/>
      </c>
      <c r="D64" s="26">
        <f>AVERAGE(C62:C64)</f>
        <v/>
      </c>
      <c r="E64" s="58" t="n"/>
      <c r="F64" s="58" t="n"/>
    </row>
    <row r="65">
      <c r="A65" s="54" t="n">
        <v>15858</v>
      </c>
      <c r="B65" s="25">
        <f>VLOOKUP(Table1[[#This Row],[Date]],Database!A:D,3,)</f>
        <v/>
      </c>
      <c r="C65" s="26">
        <f>B65-B64</f>
        <v/>
      </c>
      <c r="D65" s="26">
        <f>AVERAGE(C63:C65)</f>
        <v/>
      </c>
      <c r="E65" s="58" t="n"/>
      <c r="F65" s="58" t="n"/>
    </row>
    <row r="66">
      <c r="A66" s="54" t="n">
        <v>15888</v>
      </c>
      <c r="B66" s="25">
        <f>VLOOKUP(Table1[[#This Row],[Date]],Database!A:D,3,)</f>
        <v/>
      </c>
      <c r="C66" s="26">
        <f>B66-B65</f>
        <v/>
      </c>
      <c r="D66" s="26">
        <f>AVERAGE(C64:C66)</f>
        <v/>
      </c>
      <c r="E66" s="58" t="n"/>
      <c r="F66" s="58" t="n"/>
    </row>
    <row r="67">
      <c r="A67" s="54" t="n">
        <v>15919</v>
      </c>
      <c r="B67" s="25">
        <f>VLOOKUP(Table1[[#This Row],[Date]],Database!A:D,3,)</f>
        <v/>
      </c>
      <c r="C67" s="26">
        <f>B67-B66</f>
        <v/>
      </c>
      <c r="D67" s="26">
        <f>AVERAGE(C65:C67)</f>
        <v/>
      </c>
      <c r="E67" s="58" t="n"/>
      <c r="F67" s="58" t="n"/>
    </row>
    <row r="68">
      <c r="A68" s="54" t="n">
        <v>15950</v>
      </c>
      <c r="B68" s="25">
        <f>VLOOKUP(Table1[[#This Row],[Date]],Database!A:D,3,)</f>
        <v/>
      </c>
      <c r="C68" s="26">
        <f>B68-B67</f>
        <v/>
      </c>
      <c r="D68" s="26">
        <f>AVERAGE(C66:C68)</f>
        <v/>
      </c>
      <c r="E68" s="58" t="n"/>
      <c r="F68" s="58" t="n"/>
    </row>
    <row r="69">
      <c r="A69" s="54" t="n">
        <v>15980</v>
      </c>
      <c r="B69" s="25">
        <f>VLOOKUP(Table1[[#This Row],[Date]],Database!A:D,3,)</f>
        <v/>
      </c>
      <c r="C69" s="26">
        <f>B69-B68</f>
        <v/>
      </c>
      <c r="D69" s="26">
        <f>AVERAGE(C67:C69)</f>
        <v/>
      </c>
      <c r="E69" s="58" t="n"/>
      <c r="F69" s="58" t="n"/>
    </row>
    <row r="70">
      <c r="A70" s="54" t="n">
        <v>16011</v>
      </c>
      <c r="B70" s="25">
        <f>VLOOKUP(Table1[[#This Row],[Date]],Database!A:D,3,)</f>
        <v/>
      </c>
      <c r="C70" s="26">
        <f>B70-B69</f>
        <v/>
      </c>
      <c r="D70" s="26">
        <f>AVERAGE(C68:C70)</f>
        <v/>
      </c>
      <c r="E70" s="58" t="n"/>
      <c r="F70" s="58" t="n"/>
    </row>
    <row r="71">
      <c r="A71" s="54" t="n">
        <v>16041</v>
      </c>
      <c r="B71" s="25">
        <f>VLOOKUP(Table1[[#This Row],[Date]],Database!A:D,3,)</f>
        <v/>
      </c>
      <c r="C71" s="26">
        <f>B71-B70</f>
        <v/>
      </c>
      <c r="D71" s="26">
        <f>AVERAGE(C69:C71)</f>
        <v/>
      </c>
      <c r="E71" s="58" t="n"/>
      <c r="F71" s="58" t="n"/>
    </row>
    <row r="72">
      <c r="A72" s="54" t="n">
        <v>16072</v>
      </c>
      <c r="B72" s="25">
        <f>VLOOKUP(Table1[[#This Row],[Date]],Database!A:D,3,)</f>
        <v/>
      </c>
      <c r="C72" s="26">
        <f>B72-B71</f>
        <v/>
      </c>
      <c r="D72" s="26">
        <f>AVERAGE(C70:C72)</f>
        <v/>
      </c>
      <c r="E72" s="58" t="n"/>
      <c r="F72" s="58" t="n"/>
    </row>
    <row r="73">
      <c r="A73" s="54" t="n">
        <v>16103</v>
      </c>
      <c r="B73" s="25">
        <f>VLOOKUP(Table1[[#This Row],[Date]],Database!A:D,3,)</f>
        <v/>
      </c>
      <c r="C73" s="26">
        <f>B73-B72</f>
        <v/>
      </c>
      <c r="D73" s="26">
        <f>AVERAGE(C71:C73)</f>
        <v/>
      </c>
      <c r="E73" s="58" t="n"/>
      <c r="F73" s="58" t="n"/>
    </row>
    <row r="74">
      <c r="A74" s="54" t="n">
        <v>16132</v>
      </c>
      <c r="B74" s="25">
        <f>VLOOKUP(Table1[[#This Row],[Date]],Database!A:D,3,)</f>
        <v/>
      </c>
      <c r="C74" s="26">
        <f>B74-B73</f>
        <v/>
      </c>
      <c r="D74" s="26">
        <f>AVERAGE(C72:C74)</f>
        <v/>
      </c>
      <c r="E74" s="58" t="n"/>
      <c r="F74" s="58" t="n"/>
    </row>
    <row r="75">
      <c r="A75" s="54" t="n">
        <v>16163</v>
      </c>
      <c r="B75" s="25">
        <f>VLOOKUP(Table1[[#This Row],[Date]],Database!A:D,3,)</f>
        <v/>
      </c>
      <c r="C75" s="26">
        <f>B75-B74</f>
        <v/>
      </c>
      <c r="D75" s="26">
        <f>AVERAGE(C73:C75)</f>
        <v/>
      </c>
      <c r="E75" s="58" t="n"/>
      <c r="F75" s="58" t="n"/>
    </row>
    <row r="76">
      <c r="A76" s="54" t="n">
        <v>16193</v>
      </c>
      <c r="B76" s="25">
        <f>VLOOKUP(Table1[[#This Row],[Date]],Database!A:D,3,)</f>
        <v/>
      </c>
      <c r="C76" s="26">
        <f>B76-B75</f>
        <v/>
      </c>
      <c r="D76" s="26">
        <f>AVERAGE(C74:C76)</f>
        <v/>
      </c>
      <c r="E76" s="58" t="n"/>
      <c r="F76" s="58" t="n"/>
    </row>
    <row r="77">
      <c r="A77" s="54" t="n">
        <v>16224</v>
      </c>
      <c r="B77" s="25">
        <f>VLOOKUP(Table1[[#This Row],[Date]],Database!A:D,3,)</f>
        <v/>
      </c>
      <c r="C77" s="26">
        <f>B77-B76</f>
        <v/>
      </c>
      <c r="D77" s="26">
        <f>AVERAGE(C75:C77)</f>
        <v/>
      </c>
      <c r="E77" s="58" t="n"/>
      <c r="F77" s="58" t="n"/>
    </row>
    <row r="78">
      <c r="A78" s="54" t="n">
        <v>16254</v>
      </c>
      <c r="B78" s="25">
        <f>VLOOKUP(Table1[[#This Row],[Date]],Database!A:D,3,)</f>
        <v/>
      </c>
      <c r="C78" s="26">
        <f>B78-B77</f>
        <v/>
      </c>
      <c r="D78" s="26">
        <f>AVERAGE(C76:C78)</f>
        <v/>
      </c>
      <c r="E78" s="58" t="n"/>
      <c r="F78" s="58" t="n"/>
    </row>
    <row r="79">
      <c r="A79" s="54" t="n">
        <v>16285</v>
      </c>
      <c r="B79" s="25">
        <f>VLOOKUP(Table1[[#This Row],[Date]],Database!A:D,3,)</f>
        <v/>
      </c>
      <c r="C79" s="26">
        <f>B79-B78</f>
        <v/>
      </c>
      <c r="D79" s="26">
        <f>AVERAGE(C77:C79)</f>
        <v/>
      </c>
      <c r="E79" s="58" t="n"/>
      <c r="F79" s="58" t="n"/>
    </row>
    <row r="80">
      <c r="A80" s="54" t="n">
        <v>16316</v>
      </c>
      <c r="B80" s="25">
        <f>VLOOKUP(Table1[[#This Row],[Date]],Database!A:D,3,)</f>
        <v/>
      </c>
      <c r="C80" s="26">
        <f>B80-B79</f>
        <v/>
      </c>
      <c r="D80" s="26">
        <f>AVERAGE(C78:C80)</f>
        <v/>
      </c>
      <c r="E80" s="58" t="n"/>
      <c r="F80" s="58" t="n"/>
    </row>
    <row r="81">
      <c r="A81" s="54" t="n">
        <v>16346</v>
      </c>
      <c r="B81" s="25">
        <f>VLOOKUP(Table1[[#This Row],[Date]],Database!A:D,3,)</f>
        <v/>
      </c>
      <c r="C81" s="26">
        <f>B81-B80</f>
        <v/>
      </c>
      <c r="D81" s="26">
        <f>AVERAGE(C79:C81)</f>
        <v/>
      </c>
      <c r="E81" s="58" t="n"/>
      <c r="F81" s="58" t="n"/>
    </row>
    <row r="82">
      <c r="A82" s="54" t="n">
        <v>16377</v>
      </c>
      <c r="B82" s="25">
        <f>VLOOKUP(Table1[[#This Row],[Date]],Database!A:D,3,)</f>
        <v/>
      </c>
      <c r="C82" s="26">
        <f>B82-B81</f>
        <v/>
      </c>
      <c r="D82" s="26">
        <f>AVERAGE(C80:C82)</f>
        <v/>
      </c>
      <c r="E82" s="58" t="n"/>
      <c r="F82" s="58" t="n"/>
    </row>
    <row r="83">
      <c r="A83" s="54" t="n">
        <v>16407</v>
      </c>
      <c r="B83" s="25">
        <f>VLOOKUP(Table1[[#This Row],[Date]],Database!A:D,3,)</f>
        <v/>
      </c>
      <c r="C83" s="26">
        <f>B83-B82</f>
        <v/>
      </c>
      <c r="D83" s="26">
        <f>AVERAGE(C81:C83)</f>
        <v/>
      </c>
      <c r="E83" s="58" t="n"/>
      <c r="F83" s="58" t="n"/>
    </row>
    <row r="84">
      <c r="A84" s="54" t="n">
        <v>16438</v>
      </c>
      <c r="B84" s="25">
        <f>VLOOKUP(Table1[[#This Row],[Date]],Database!A:D,3,)</f>
        <v/>
      </c>
      <c r="C84" s="26">
        <f>B84-B83</f>
        <v/>
      </c>
      <c r="D84" s="26">
        <f>AVERAGE(C82:C84)</f>
        <v/>
      </c>
      <c r="E84" s="58" t="n"/>
      <c r="F84" s="58" t="n"/>
    </row>
    <row r="85">
      <c r="A85" s="54" t="n">
        <v>16469</v>
      </c>
      <c r="B85" s="25">
        <f>VLOOKUP(Table1[[#This Row],[Date]],Database!A:D,3,)</f>
        <v/>
      </c>
      <c r="C85" s="26">
        <f>B85-B84</f>
        <v/>
      </c>
      <c r="D85" s="26">
        <f>AVERAGE(C83:C85)</f>
        <v/>
      </c>
      <c r="E85" s="58" t="n"/>
      <c r="F85" s="58" t="n"/>
    </row>
    <row r="86">
      <c r="A86" s="54" t="n">
        <v>16497</v>
      </c>
      <c r="B86" s="25">
        <f>VLOOKUP(Table1[[#This Row],[Date]],Database!A:D,3,)</f>
        <v/>
      </c>
      <c r="C86" s="26">
        <f>B86-B85</f>
        <v/>
      </c>
      <c r="D86" s="26">
        <f>AVERAGE(C84:C86)</f>
        <v/>
      </c>
      <c r="E86" s="58" t="n"/>
      <c r="F86" s="58" t="n"/>
    </row>
    <row r="87">
      <c r="A87" s="54" t="n">
        <v>16528</v>
      </c>
      <c r="B87" s="25">
        <f>VLOOKUP(Table1[[#This Row],[Date]],Database!A:D,3,)</f>
        <v/>
      </c>
      <c r="C87" s="26">
        <f>B87-B86</f>
        <v/>
      </c>
      <c r="D87" s="26">
        <f>AVERAGE(C85:C87)</f>
        <v/>
      </c>
      <c r="E87" s="58" t="n"/>
      <c r="F87" s="58" t="n"/>
    </row>
    <row r="88">
      <c r="A88" s="54" t="n">
        <v>16558</v>
      </c>
      <c r="B88" s="25">
        <f>VLOOKUP(Table1[[#This Row],[Date]],Database!A:D,3,)</f>
        <v/>
      </c>
      <c r="C88" s="26">
        <f>B88-B87</f>
        <v/>
      </c>
      <c r="D88" s="26">
        <f>AVERAGE(C86:C88)</f>
        <v/>
      </c>
      <c r="E88" s="58" t="n"/>
      <c r="F88" s="58" t="n"/>
    </row>
    <row r="89">
      <c r="A89" s="54" t="n">
        <v>16589</v>
      </c>
      <c r="B89" s="25">
        <f>VLOOKUP(Table1[[#This Row],[Date]],Database!A:D,3,)</f>
        <v/>
      </c>
      <c r="C89" s="26">
        <f>B89-B88</f>
        <v/>
      </c>
      <c r="D89" s="26">
        <f>AVERAGE(C87:C89)</f>
        <v/>
      </c>
      <c r="E89" s="58" t="n"/>
      <c r="F89" s="58" t="n"/>
    </row>
    <row r="90">
      <c r="A90" s="54" t="n">
        <v>16619</v>
      </c>
      <c r="B90" s="25">
        <f>VLOOKUP(Table1[[#This Row],[Date]],Database!A:D,3,)</f>
        <v/>
      </c>
      <c r="C90" s="26">
        <f>B90-B89</f>
        <v/>
      </c>
      <c r="D90" s="26">
        <f>AVERAGE(C88:C90)</f>
        <v/>
      </c>
      <c r="E90" s="58" t="n"/>
      <c r="F90" s="58" t="n"/>
    </row>
    <row r="91">
      <c r="A91" s="54" t="n">
        <v>16650</v>
      </c>
      <c r="B91" s="25">
        <f>VLOOKUP(Table1[[#This Row],[Date]],Database!A:D,3,)</f>
        <v/>
      </c>
      <c r="C91" s="26">
        <f>B91-B90</f>
        <v/>
      </c>
      <c r="D91" s="26">
        <f>AVERAGE(C89:C91)</f>
        <v/>
      </c>
      <c r="E91" s="58" t="n"/>
      <c r="F91" s="58" t="n"/>
    </row>
    <row r="92">
      <c r="A92" s="54" t="n">
        <v>16681</v>
      </c>
      <c r="B92" s="25">
        <f>VLOOKUP(Table1[[#This Row],[Date]],Database!A:D,3,)</f>
        <v/>
      </c>
      <c r="C92" s="26">
        <f>B92-B91</f>
        <v/>
      </c>
      <c r="D92" s="26">
        <f>AVERAGE(C90:C92)</f>
        <v/>
      </c>
      <c r="E92" s="58" t="n"/>
      <c r="F92" s="58" t="n"/>
    </row>
    <row r="93">
      <c r="A93" s="54" t="n">
        <v>16711</v>
      </c>
      <c r="B93" s="25">
        <f>VLOOKUP(Table1[[#This Row],[Date]],Database!A:D,3,)</f>
        <v/>
      </c>
      <c r="C93" s="26">
        <f>B93-B92</f>
        <v/>
      </c>
      <c r="D93" s="26">
        <f>AVERAGE(C91:C93)</f>
        <v/>
      </c>
      <c r="E93" s="58" t="n"/>
      <c r="F93" s="58" t="n"/>
    </row>
    <row r="94">
      <c r="A94" s="54" t="n">
        <v>16742</v>
      </c>
      <c r="B94" s="25">
        <f>VLOOKUP(Table1[[#This Row],[Date]],Database!A:D,3,)</f>
        <v/>
      </c>
      <c r="C94" s="26">
        <f>B94-B93</f>
        <v/>
      </c>
      <c r="D94" s="26">
        <f>AVERAGE(C92:C94)</f>
        <v/>
      </c>
      <c r="E94" s="58" t="n"/>
      <c r="F94" s="58" t="n"/>
    </row>
    <row r="95">
      <c r="A95" s="54" t="n">
        <v>16772</v>
      </c>
      <c r="B95" s="25">
        <f>VLOOKUP(Table1[[#This Row],[Date]],Database!A:D,3,)</f>
        <v/>
      </c>
      <c r="C95" s="26">
        <f>B95-B94</f>
        <v/>
      </c>
      <c r="D95" s="26">
        <f>AVERAGE(C93:C95)</f>
        <v/>
      </c>
      <c r="E95" s="58" t="n"/>
      <c r="F95" s="58" t="n"/>
    </row>
    <row r="96">
      <c r="A96" s="54" t="n">
        <v>16803</v>
      </c>
      <c r="B96" s="25">
        <f>VLOOKUP(Table1[[#This Row],[Date]],Database!A:D,3,)</f>
        <v/>
      </c>
      <c r="C96" s="26">
        <f>B96-B95</f>
        <v/>
      </c>
      <c r="D96" s="26">
        <f>AVERAGE(C94:C96)</f>
        <v/>
      </c>
      <c r="E96" s="58" t="n"/>
      <c r="F96" s="58" t="n"/>
    </row>
    <row r="97">
      <c r="A97" s="54" t="n">
        <v>16834</v>
      </c>
      <c r="B97" s="25">
        <f>VLOOKUP(Table1[[#This Row],[Date]],Database!A:D,3,)</f>
        <v/>
      </c>
      <c r="C97" s="26">
        <f>B97-B96</f>
        <v/>
      </c>
      <c r="D97" s="26">
        <f>AVERAGE(C95:C97)</f>
        <v/>
      </c>
      <c r="E97" s="58" t="n"/>
      <c r="F97" s="58" t="n"/>
    </row>
    <row r="98">
      <c r="A98" s="54" t="n">
        <v>16862</v>
      </c>
      <c r="B98" s="25">
        <f>VLOOKUP(Table1[[#This Row],[Date]],Database!A:D,3,)</f>
        <v/>
      </c>
      <c r="C98" s="26">
        <f>B98-B97</f>
        <v/>
      </c>
      <c r="D98" s="26">
        <f>AVERAGE(C96:C98)</f>
        <v/>
      </c>
      <c r="E98" s="58" t="n"/>
      <c r="F98" s="58" t="n"/>
    </row>
    <row r="99">
      <c r="A99" s="54" t="n">
        <v>16893</v>
      </c>
      <c r="B99" s="25">
        <f>VLOOKUP(Table1[[#This Row],[Date]],Database!A:D,3,)</f>
        <v/>
      </c>
      <c r="C99" s="26">
        <f>B99-B98</f>
        <v/>
      </c>
      <c r="D99" s="26">
        <f>AVERAGE(C97:C99)</f>
        <v/>
      </c>
      <c r="E99" s="58" t="n"/>
      <c r="F99" s="58" t="n"/>
    </row>
    <row r="100">
      <c r="A100" s="54" t="n">
        <v>16923</v>
      </c>
      <c r="B100" s="25">
        <f>VLOOKUP(Table1[[#This Row],[Date]],Database!A:D,3,)</f>
        <v/>
      </c>
      <c r="C100" s="26">
        <f>B100-B99</f>
        <v/>
      </c>
      <c r="D100" s="26">
        <f>AVERAGE(C98:C100)</f>
        <v/>
      </c>
      <c r="E100" s="58" t="n"/>
      <c r="F100" s="58" t="n"/>
    </row>
    <row r="101">
      <c r="A101" s="54" t="n">
        <v>16954</v>
      </c>
      <c r="B101" s="25">
        <f>VLOOKUP(Table1[[#This Row],[Date]],Database!A:D,3,)</f>
        <v/>
      </c>
      <c r="C101" s="26">
        <f>B101-B100</f>
        <v/>
      </c>
      <c r="D101" s="26">
        <f>AVERAGE(C99:C101)</f>
        <v/>
      </c>
      <c r="E101" s="58" t="n"/>
      <c r="F101" s="58" t="n"/>
    </row>
    <row r="102">
      <c r="A102" s="54" t="n">
        <v>16984</v>
      </c>
      <c r="B102" s="25">
        <f>VLOOKUP(Table1[[#This Row],[Date]],Database!A:D,3,)</f>
        <v/>
      </c>
      <c r="C102" s="26">
        <f>B102-B101</f>
        <v/>
      </c>
      <c r="D102" s="26">
        <f>AVERAGE(C100:C102)</f>
        <v/>
      </c>
      <c r="E102" s="58" t="n"/>
      <c r="F102" s="58" t="n"/>
    </row>
    <row r="103">
      <c r="A103" s="54" t="n">
        <v>17015</v>
      </c>
      <c r="B103" s="25">
        <f>VLOOKUP(Table1[[#This Row],[Date]],Database!A:D,3,)</f>
        <v/>
      </c>
      <c r="C103" s="26">
        <f>B103-B102</f>
        <v/>
      </c>
      <c r="D103" s="26">
        <f>AVERAGE(C101:C103)</f>
        <v/>
      </c>
      <c r="E103" s="58" t="n"/>
      <c r="F103" s="58" t="n"/>
    </row>
    <row r="104">
      <c r="A104" s="54" t="n">
        <v>17046</v>
      </c>
      <c r="B104" s="25">
        <f>VLOOKUP(Table1[[#This Row],[Date]],Database!A:D,3,)</f>
        <v/>
      </c>
      <c r="C104" s="26">
        <f>B104-B103</f>
        <v/>
      </c>
      <c r="D104" s="26">
        <f>AVERAGE(C102:C104)</f>
        <v/>
      </c>
      <c r="E104" s="58" t="n"/>
      <c r="F104" s="58" t="n"/>
    </row>
    <row r="105">
      <c r="A105" s="54" t="n">
        <v>17076</v>
      </c>
      <c r="B105" s="25">
        <f>VLOOKUP(Table1[[#This Row],[Date]],Database!A:D,3,)</f>
        <v/>
      </c>
      <c r="C105" s="26">
        <f>B105-B104</f>
        <v/>
      </c>
      <c r="D105" s="26">
        <f>AVERAGE(C103:C105)</f>
        <v/>
      </c>
      <c r="E105" s="58" t="n"/>
      <c r="F105" s="58" t="n"/>
    </row>
    <row r="106">
      <c r="A106" s="54" t="n">
        <v>17107</v>
      </c>
      <c r="B106" s="25">
        <f>VLOOKUP(Table1[[#This Row],[Date]],Database!A:D,3,)</f>
        <v/>
      </c>
      <c r="C106" s="26">
        <f>B106-B105</f>
        <v/>
      </c>
      <c r="D106" s="26">
        <f>AVERAGE(C104:C106)</f>
        <v/>
      </c>
      <c r="E106" s="58" t="n"/>
      <c r="F106" s="58" t="n"/>
    </row>
    <row r="107">
      <c r="A107" s="54" t="n">
        <v>17137</v>
      </c>
      <c r="B107" s="25">
        <f>VLOOKUP(Table1[[#This Row],[Date]],Database!A:D,3,)</f>
        <v/>
      </c>
      <c r="C107" s="26">
        <f>B107-B106</f>
        <v/>
      </c>
      <c r="D107" s="26">
        <f>AVERAGE(C105:C107)</f>
        <v/>
      </c>
      <c r="E107" s="58" t="n"/>
      <c r="F107" s="58" t="n"/>
    </row>
    <row r="108">
      <c r="A108" s="54" t="n">
        <v>17168</v>
      </c>
      <c r="B108" s="25">
        <f>VLOOKUP(Table1[[#This Row],[Date]],Database!A:D,3,)</f>
        <v/>
      </c>
      <c r="C108" s="26">
        <f>B108-B107</f>
        <v/>
      </c>
      <c r="D108" s="26">
        <f>AVERAGE(C106:C108)</f>
        <v/>
      </c>
      <c r="E108" s="58" t="n"/>
      <c r="F108" s="58" t="n"/>
    </row>
    <row r="109">
      <c r="A109" s="54" t="n">
        <v>17199</v>
      </c>
      <c r="B109" s="25">
        <f>VLOOKUP(Table1[[#This Row],[Date]],Database!A:D,3,)</f>
        <v/>
      </c>
      <c r="C109" s="26">
        <f>B109-B108</f>
        <v/>
      </c>
      <c r="D109" s="26">
        <f>AVERAGE(C107:C109)</f>
        <v/>
      </c>
      <c r="E109" s="58" t="n"/>
      <c r="F109" s="58" t="n"/>
    </row>
    <row r="110">
      <c r="A110" s="54" t="n">
        <v>17227</v>
      </c>
      <c r="B110" s="25">
        <f>VLOOKUP(Table1[[#This Row],[Date]],Database!A:D,3,)</f>
        <v/>
      </c>
      <c r="C110" s="26">
        <f>B110-B109</f>
        <v/>
      </c>
      <c r="D110" s="26">
        <f>AVERAGE(C108:C110)</f>
        <v/>
      </c>
      <c r="E110" s="58" t="n"/>
      <c r="F110" s="58" t="n"/>
    </row>
    <row r="111">
      <c r="A111" s="54" t="n">
        <v>17258</v>
      </c>
      <c r="B111" s="25">
        <f>VLOOKUP(Table1[[#This Row],[Date]],Database!A:D,3,)</f>
        <v/>
      </c>
      <c r="C111" s="26">
        <f>B111-B110</f>
        <v/>
      </c>
      <c r="D111" s="26">
        <f>AVERAGE(C109:C111)</f>
        <v/>
      </c>
      <c r="E111" s="58" t="n"/>
      <c r="F111" s="58" t="n"/>
    </row>
    <row r="112">
      <c r="A112" s="54" t="n">
        <v>17288</v>
      </c>
      <c r="B112" s="25">
        <f>VLOOKUP(Table1[[#This Row],[Date]],Database!A:D,3,)</f>
        <v/>
      </c>
      <c r="C112" s="26">
        <f>B112-B111</f>
        <v/>
      </c>
      <c r="D112" s="26">
        <f>AVERAGE(C110:C112)</f>
        <v/>
      </c>
      <c r="E112" s="58" t="n"/>
      <c r="F112" s="58" t="n"/>
    </row>
    <row r="113">
      <c r="A113" s="54" t="n">
        <v>17319</v>
      </c>
      <c r="B113" s="25">
        <f>VLOOKUP(Table1[[#This Row],[Date]],Database!A:D,3,)</f>
        <v/>
      </c>
      <c r="C113" s="26">
        <f>B113-B112</f>
        <v/>
      </c>
      <c r="D113" s="26">
        <f>AVERAGE(C111:C113)</f>
        <v/>
      </c>
      <c r="E113" s="58" t="n"/>
      <c r="F113" s="58" t="n"/>
    </row>
    <row r="114">
      <c r="A114" s="54" t="n">
        <v>17349</v>
      </c>
      <c r="B114" s="25">
        <f>VLOOKUP(Table1[[#This Row],[Date]],Database!A:D,3,)</f>
        <v/>
      </c>
      <c r="C114" s="26">
        <f>B114-B113</f>
        <v/>
      </c>
      <c r="D114" s="26">
        <f>AVERAGE(C112:C114)</f>
        <v/>
      </c>
      <c r="E114" s="58" t="n"/>
      <c r="F114" s="58" t="n"/>
    </row>
    <row r="115">
      <c r="A115" s="54" t="n">
        <v>17380</v>
      </c>
      <c r="B115" s="25">
        <f>VLOOKUP(Table1[[#This Row],[Date]],Database!A:D,3,)</f>
        <v/>
      </c>
      <c r="C115" s="26">
        <f>B115-B114</f>
        <v/>
      </c>
      <c r="D115" s="26">
        <f>AVERAGE(C113:C115)</f>
        <v/>
      </c>
      <c r="E115" s="58" t="n"/>
      <c r="F115" s="58" t="n"/>
    </row>
    <row r="116">
      <c r="A116" s="54" t="n">
        <v>17411</v>
      </c>
      <c r="B116" s="25">
        <f>VLOOKUP(Table1[[#This Row],[Date]],Database!A:D,3,)</f>
        <v/>
      </c>
      <c r="C116" s="26">
        <f>B116-B115</f>
        <v/>
      </c>
      <c r="D116" s="26">
        <f>AVERAGE(C114:C116)</f>
        <v/>
      </c>
      <c r="E116" s="58" t="n"/>
      <c r="F116" s="58" t="n"/>
    </row>
    <row r="117">
      <c r="A117" s="54" t="n">
        <v>17441</v>
      </c>
      <c r="B117" s="25">
        <f>VLOOKUP(Table1[[#This Row],[Date]],Database!A:D,3,)</f>
        <v/>
      </c>
      <c r="C117" s="26">
        <f>B117-B116</f>
        <v/>
      </c>
      <c r="D117" s="26">
        <f>AVERAGE(C115:C117)</f>
        <v/>
      </c>
      <c r="E117" s="58" t="n"/>
      <c r="F117" s="58" t="n"/>
    </row>
    <row r="118">
      <c r="A118" s="54" t="n">
        <v>17472</v>
      </c>
      <c r="B118" s="25">
        <f>VLOOKUP(Table1[[#This Row],[Date]],Database!A:D,3,)</f>
        <v/>
      </c>
      <c r="C118" s="26">
        <f>B118-B117</f>
        <v/>
      </c>
      <c r="D118" s="26">
        <f>AVERAGE(C116:C118)</f>
        <v/>
      </c>
      <c r="E118" s="58" t="n"/>
      <c r="F118" s="58" t="n"/>
    </row>
    <row r="119">
      <c r="A119" s="54" t="n">
        <v>17502</v>
      </c>
      <c r="B119" s="25">
        <f>VLOOKUP(Table1[[#This Row],[Date]],Database!A:D,3,)</f>
        <v/>
      </c>
      <c r="C119" s="26">
        <f>B119-B118</f>
        <v/>
      </c>
      <c r="D119" s="26">
        <f>AVERAGE(C117:C119)</f>
        <v/>
      </c>
      <c r="E119" s="58" t="n"/>
      <c r="F119" s="58" t="n"/>
      <c r="G119" s="55" t="n"/>
    </row>
    <row r="120">
      <c r="A120" s="54" t="n">
        <v>17533</v>
      </c>
      <c r="B120" s="25">
        <f>VLOOKUP(Table1[[#This Row],[Date]],Database!A:D,3,)</f>
        <v/>
      </c>
      <c r="C120" s="26">
        <f>B120-B119</f>
        <v/>
      </c>
      <c r="D120" s="26">
        <f>AVERAGE(C118:C120)</f>
        <v/>
      </c>
      <c r="E120" s="58">
        <f>VLOOKUP(Table1[[#This Row],[Date]],Database!A:D,4,)</f>
        <v/>
      </c>
      <c r="F120" s="58">
        <f>VLOOKUP(Table1[[#This Row],[Date]],Database!A:D,2,)</f>
        <v/>
      </c>
      <c r="G120" s="55" t="n"/>
    </row>
    <row r="121">
      <c r="A121" s="54" t="n">
        <v>17564</v>
      </c>
      <c r="B121" s="25">
        <f>VLOOKUP(Table1[[#This Row],[Date]],Database!A:D,3,)</f>
        <v/>
      </c>
      <c r="C121" s="26">
        <f>B121-B120</f>
        <v/>
      </c>
      <c r="D121" s="26">
        <f>AVERAGE(C119:C121)</f>
        <v/>
      </c>
      <c r="E121" s="58">
        <f>VLOOKUP(Table1[[#This Row],[Date]],Database!A:D,4,)</f>
        <v/>
      </c>
      <c r="F121" s="58">
        <f>VLOOKUP(Table1[[#This Row],[Date]],Database!A:D,2,)</f>
        <v/>
      </c>
      <c r="G121" s="55" t="n"/>
    </row>
    <row r="122">
      <c r="A122" s="54" t="n">
        <v>17593</v>
      </c>
      <c r="B122" s="25">
        <f>VLOOKUP(Table1[[#This Row],[Date]],Database!A:D,3,)</f>
        <v/>
      </c>
      <c r="C122" s="26">
        <f>B122-B121</f>
        <v/>
      </c>
      <c r="D122" s="26">
        <f>AVERAGE(C120:C122)</f>
        <v/>
      </c>
      <c r="E122" s="58">
        <f>VLOOKUP(Table1[[#This Row],[Date]],Database!A:D,4,)</f>
        <v/>
      </c>
      <c r="F122" s="58">
        <f>VLOOKUP(Table1[[#This Row],[Date]],Database!A:D,2,)</f>
        <v/>
      </c>
      <c r="G122" s="55" t="n"/>
    </row>
    <row r="123">
      <c r="A123" s="54" t="n">
        <v>17624</v>
      </c>
      <c r="B123" s="25">
        <f>VLOOKUP(Table1[[#This Row],[Date]],Database!A:D,3,)</f>
        <v/>
      </c>
      <c r="C123" s="26">
        <f>B123-B122</f>
        <v/>
      </c>
      <c r="D123" s="26">
        <f>AVERAGE(C121:C123)</f>
        <v/>
      </c>
      <c r="E123" s="58">
        <f>VLOOKUP(Table1[[#This Row],[Date]],Database!A:D,4,)</f>
        <v/>
      </c>
      <c r="F123" s="58">
        <f>VLOOKUP(Table1[[#This Row],[Date]],Database!A:D,2,)</f>
        <v/>
      </c>
      <c r="G123" s="55" t="n"/>
    </row>
    <row r="124">
      <c r="A124" s="54" t="n">
        <v>17654</v>
      </c>
      <c r="B124" s="25">
        <f>VLOOKUP(Table1[[#This Row],[Date]],Database!A:D,3,)</f>
        <v/>
      </c>
      <c r="C124" s="26">
        <f>B124-B123</f>
        <v/>
      </c>
      <c r="D124" s="26">
        <f>AVERAGE(C122:C124)</f>
        <v/>
      </c>
      <c r="E124" s="58">
        <f>VLOOKUP(Table1[[#This Row],[Date]],Database!A:D,4,)</f>
        <v/>
      </c>
      <c r="F124" s="58">
        <f>VLOOKUP(Table1[[#This Row],[Date]],Database!A:D,2,)</f>
        <v/>
      </c>
      <c r="G124" s="55" t="n"/>
    </row>
    <row r="125">
      <c r="A125" s="54" t="n">
        <v>17685</v>
      </c>
      <c r="B125" s="25">
        <f>VLOOKUP(Table1[[#This Row],[Date]],Database!A:D,3,)</f>
        <v/>
      </c>
      <c r="C125" s="26">
        <f>B125-B124</f>
        <v/>
      </c>
      <c r="D125" s="26">
        <f>AVERAGE(C123:C125)</f>
        <v/>
      </c>
      <c r="E125" s="58">
        <f>VLOOKUP(Table1[[#This Row],[Date]],Database!A:D,4,)</f>
        <v/>
      </c>
      <c r="F125" s="58">
        <f>VLOOKUP(Table1[[#This Row],[Date]],Database!A:D,2,)</f>
        <v/>
      </c>
      <c r="G125" s="55" t="n"/>
    </row>
    <row r="126">
      <c r="A126" s="54" t="n">
        <v>17715</v>
      </c>
      <c r="B126" s="25">
        <f>VLOOKUP(Table1[[#This Row],[Date]],Database!A:D,3,)</f>
        <v/>
      </c>
      <c r="C126" s="26">
        <f>B126-B125</f>
        <v/>
      </c>
      <c r="D126" s="26">
        <f>AVERAGE(C124:C126)</f>
        <v/>
      </c>
      <c r="E126" s="58">
        <f>VLOOKUP(Table1[[#This Row],[Date]],Database!A:D,4,)</f>
        <v/>
      </c>
      <c r="F126" s="58">
        <f>VLOOKUP(Table1[[#This Row],[Date]],Database!A:D,2,)</f>
        <v/>
      </c>
      <c r="G126" s="55" t="n"/>
    </row>
    <row r="127">
      <c r="A127" s="54" t="n">
        <v>17746</v>
      </c>
      <c r="B127" s="25">
        <f>VLOOKUP(Table1[[#This Row],[Date]],Database!A:D,3,)</f>
        <v/>
      </c>
      <c r="C127" s="26">
        <f>B127-B126</f>
        <v/>
      </c>
      <c r="D127" s="26">
        <f>AVERAGE(C125:C127)</f>
        <v/>
      </c>
      <c r="E127" s="58">
        <f>VLOOKUP(Table1[[#This Row],[Date]],Database!A:D,4,)</f>
        <v/>
      </c>
      <c r="F127" s="58">
        <f>VLOOKUP(Table1[[#This Row],[Date]],Database!A:D,2,)</f>
        <v/>
      </c>
      <c r="G127" s="55" t="n"/>
    </row>
    <row r="128">
      <c r="A128" s="54" t="n">
        <v>17777</v>
      </c>
      <c r="B128" s="25">
        <f>VLOOKUP(Table1[[#This Row],[Date]],Database!A:D,3,)</f>
        <v/>
      </c>
      <c r="C128" s="26">
        <f>B128-B127</f>
        <v/>
      </c>
      <c r="D128" s="26">
        <f>AVERAGE(C126:C128)</f>
        <v/>
      </c>
      <c r="E128" s="58">
        <f>VLOOKUP(Table1[[#This Row],[Date]],Database!A:D,4,)</f>
        <v/>
      </c>
      <c r="F128" s="58">
        <f>VLOOKUP(Table1[[#This Row],[Date]],Database!A:D,2,)</f>
        <v/>
      </c>
      <c r="G128" s="55" t="n"/>
    </row>
    <row r="129">
      <c r="A129" s="54" t="n">
        <v>17807</v>
      </c>
      <c r="B129" s="25">
        <f>VLOOKUP(Table1[[#This Row],[Date]],Database!A:D,3,)</f>
        <v/>
      </c>
      <c r="C129" s="26">
        <f>B129-B128</f>
        <v/>
      </c>
      <c r="D129" s="26">
        <f>AVERAGE(C127:C129)</f>
        <v/>
      </c>
      <c r="E129" s="58">
        <f>VLOOKUP(Table1[[#This Row],[Date]],Database!A:D,4,)</f>
        <v/>
      </c>
      <c r="F129" s="58">
        <f>VLOOKUP(Table1[[#This Row],[Date]],Database!A:D,2,)</f>
        <v/>
      </c>
      <c r="G129" s="55" t="n"/>
    </row>
    <row r="130">
      <c r="A130" s="54" t="n">
        <v>17838</v>
      </c>
      <c r="B130" s="25">
        <f>VLOOKUP(Table1[[#This Row],[Date]],Database!A:D,3,)</f>
        <v/>
      </c>
      <c r="C130" s="26">
        <f>B130-B129</f>
        <v/>
      </c>
      <c r="D130" s="26">
        <f>AVERAGE(C128:C130)</f>
        <v/>
      </c>
      <c r="E130" s="58">
        <f>VLOOKUP(Table1[[#This Row],[Date]],Database!A:D,4,)</f>
        <v/>
      </c>
      <c r="F130" s="58">
        <f>VLOOKUP(Table1[[#This Row],[Date]],Database!A:D,2,)</f>
        <v/>
      </c>
      <c r="G130" s="55" t="n"/>
    </row>
    <row r="131">
      <c r="A131" s="54" t="n">
        <v>17868</v>
      </c>
      <c r="B131" s="25">
        <f>VLOOKUP(Table1[[#This Row],[Date]],Database!A:D,3,)</f>
        <v/>
      </c>
      <c r="C131" s="26">
        <f>B131-B130</f>
        <v/>
      </c>
      <c r="D131" s="26">
        <f>AVERAGE(C129:C131)</f>
        <v/>
      </c>
      <c r="E131" s="58">
        <f>VLOOKUP(Table1[[#This Row],[Date]],Database!A:D,4,)</f>
        <v/>
      </c>
      <c r="F131" s="58">
        <f>VLOOKUP(Table1[[#This Row],[Date]],Database!A:D,2,)</f>
        <v/>
      </c>
      <c r="G131" s="55" t="n"/>
    </row>
    <row r="132">
      <c r="A132" s="54" t="n">
        <v>17899</v>
      </c>
      <c r="B132" s="25">
        <f>VLOOKUP(Table1[[#This Row],[Date]],Database!A:D,3,)</f>
        <v/>
      </c>
      <c r="C132" s="26">
        <f>B132-B131</f>
        <v/>
      </c>
      <c r="D132" s="26">
        <f>AVERAGE(C130:C132)</f>
        <v/>
      </c>
      <c r="E132" s="58">
        <f>VLOOKUP(Table1[[#This Row],[Date]],Database!A:D,4,)</f>
        <v/>
      </c>
      <c r="F132" s="58">
        <f>VLOOKUP(Table1[[#This Row],[Date]],Database!A:D,2,)</f>
        <v/>
      </c>
      <c r="G132" s="55" t="n"/>
    </row>
    <row r="133">
      <c r="A133" s="54" t="n">
        <v>17930</v>
      </c>
      <c r="B133" s="25">
        <f>VLOOKUP(Table1[[#This Row],[Date]],Database!A:D,3,)</f>
        <v/>
      </c>
      <c r="C133" s="26">
        <f>B133-B132</f>
        <v/>
      </c>
      <c r="D133" s="26">
        <f>AVERAGE(C131:C133)</f>
        <v/>
      </c>
      <c r="E133" s="58">
        <f>VLOOKUP(Table1[[#This Row],[Date]],Database!A:D,4,)</f>
        <v/>
      </c>
      <c r="F133" s="58">
        <f>VLOOKUP(Table1[[#This Row],[Date]],Database!A:D,2,)</f>
        <v/>
      </c>
      <c r="G133" s="55" t="n"/>
    </row>
    <row r="134">
      <c r="A134" s="54" t="n">
        <v>17958</v>
      </c>
      <c r="B134" s="25">
        <f>VLOOKUP(Table1[[#This Row],[Date]],Database!A:D,3,)</f>
        <v/>
      </c>
      <c r="C134" s="26">
        <f>B134-B133</f>
        <v/>
      </c>
      <c r="D134" s="26">
        <f>AVERAGE(C132:C134)</f>
        <v/>
      </c>
      <c r="E134" s="58">
        <f>VLOOKUP(Table1[[#This Row],[Date]],Database!A:D,4,)</f>
        <v/>
      </c>
      <c r="F134" s="58">
        <f>VLOOKUP(Table1[[#This Row],[Date]],Database!A:D,2,)</f>
        <v/>
      </c>
      <c r="G134" s="55" t="n"/>
    </row>
    <row r="135">
      <c r="A135" s="54" t="n">
        <v>17989</v>
      </c>
      <c r="B135" s="25">
        <f>VLOOKUP(Table1[[#This Row],[Date]],Database!A:D,3,)</f>
        <v/>
      </c>
      <c r="C135" s="26">
        <f>B135-B134</f>
        <v/>
      </c>
      <c r="D135" s="26">
        <f>AVERAGE(C133:C135)</f>
        <v/>
      </c>
      <c r="E135" s="58">
        <f>VLOOKUP(Table1[[#This Row],[Date]],Database!A:D,4,)</f>
        <v/>
      </c>
      <c r="F135" s="58">
        <f>VLOOKUP(Table1[[#This Row],[Date]],Database!A:D,2,)</f>
        <v/>
      </c>
      <c r="G135" s="55" t="n"/>
    </row>
    <row r="136">
      <c r="A136" s="54" t="n">
        <v>18019</v>
      </c>
      <c r="B136" s="25">
        <f>VLOOKUP(Table1[[#This Row],[Date]],Database!A:D,3,)</f>
        <v/>
      </c>
      <c r="C136" s="26">
        <f>B136-B135</f>
        <v/>
      </c>
      <c r="D136" s="26">
        <f>AVERAGE(C134:C136)</f>
        <v/>
      </c>
      <c r="E136" s="58">
        <f>VLOOKUP(Table1[[#This Row],[Date]],Database!A:D,4,)</f>
        <v/>
      </c>
      <c r="F136" s="58">
        <f>VLOOKUP(Table1[[#This Row],[Date]],Database!A:D,2,)</f>
        <v/>
      </c>
      <c r="G136" s="55" t="n"/>
    </row>
    <row r="137">
      <c r="A137" s="54" t="n">
        <v>18050</v>
      </c>
      <c r="B137" s="25">
        <f>VLOOKUP(Table1[[#This Row],[Date]],Database!A:D,3,)</f>
        <v/>
      </c>
      <c r="C137" s="26">
        <f>B137-B136</f>
        <v/>
      </c>
      <c r="D137" s="26">
        <f>AVERAGE(C135:C137)</f>
        <v/>
      </c>
      <c r="E137" s="58">
        <f>VLOOKUP(Table1[[#This Row],[Date]],Database!A:D,4,)</f>
        <v/>
      </c>
      <c r="F137" s="58">
        <f>VLOOKUP(Table1[[#This Row],[Date]],Database!A:D,2,)</f>
        <v/>
      </c>
      <c r="G137" s="55" t="n"/>
    </row>
    <row r="138">
      <c r="A138" s="54" t="n">
        <v>18080</v>
      </c>
      <c r="B138" s="25">
        <f>VLOOKUP(Table1[[#This Row],[Date]],Database!A:D,3,)</f>
        <v/>
      </c>
      <c r="C138" s="26">
        <f>B138-B137</f>
        <v/>
      </c>
      <c r="D138" s="26">
        <f>AVERAGE(C136:C138)</f>
        <v/>
      </c>
      <c r="E138" s="58">
        <f>VLOOKUP(Table1[[#This Row],[Date]],Database!A:D,4,)</f>
        <v/>
      </c>
      <c r="F138" s="58">
        <f>VLOOKUP(Table1[[#This Row],[Date]],Database!A:D,2,)</f>
        <v/>
      </c>
      <c r="G138" s="55" t="n"/>
    </row>
    <row r="139">
      <c r="A139" s="54" t="n">
        <v>18111</v>
      </c>
      <c r="B139" s="25">
        <f>VLOOKUP(Table1[[#This Row],[Date]],Database!A:D,3,)</f>
        <v/>
      </c>
      <c r="C139" s="26">
        <f>B139-B138</f>
        <v/>
      </c>
      <c r="D139" s="26">
        <f>AVERAGE(C137:C139)</f>
        <v/>
      </c>
      <c r="E139" s="58">
        <f>VLOOKUP(Table1[[#This Row],[Date]],Database!A:D,4,)</f>
        <v/>
      </c>
      <c r="F139" s="58">
        <f>VLOOKUP(Table1[[#This Row],[Date]],Database!A:D,2,)</f>
        <v/>
      </c>
      <c r="G139" s="55" t="n"/>
    </row>
    <row r="140">
      <c r="A140" s="54" t="n">
        <v>18142</v>
      </c>
      <c r="B140" s="25">
        <f>VLOOKUP(Table1[[#This Row],[Date]],Database!A:D,3,)</f>
        <v/>
      </c>
      <c r="C140" s="26">
        <f>B140-B139</f>
        <v/>
      </c>
      <c r="D140" s="26">
        <f>AVERAGE(C138:C140)</f>
        <v/>
      </c>
      <c r="E140" s="58">
        <f>VLOOKUP(Table1[[#This Row],[Date]],Database!A:D,4,)</f>
        <v/>
      </c>
      <c r="F140" s="58">
        <f>VLOOKUP(Table1[[#This Row],[Date]],Database!A:D,2,)</f>
        <v/>
      </c>
      <c r="G140" s="55" t="n"/>
    </row>
    <row r="141">
      <c r="A141" s="54" t="n">
        <v>18172</v>
      </c>
      <c r="B141" s="25">
        <f>VLOOKUP(Table1[[#This Row],[Date]],Database!A:D,3,)</f>
        <v/>
      </c>
      <c r="C141" s="26">
        <f>B141-B140</f>
        <v/>
      </c>
      <c r="D141" s="26">
        <f>AVERAGE(C139:C141)</f>
        <v/>
      </c>
      <c r="E141" s="58">
        <f>VLOOKUP(Table1[[#This Row],[Date]],Database!A:D,4,)</f>
        <v/>
      </c>
      <c r="F141" s="58">
        <f>VLOOKUP(Table1[[#This Row],[Date]],Database!A:D,2,)</f>
        <v/>
      </c>
      <c r="G141" s="55" t="n"/>
    </row>
    <row r="142">
      <c r="A142" s="54" t="n">
        <v>18203</v>
      </c>
      <c r="B142" s="25">
        <f>VLOOKUP(Table1[[#This Row],[Date]],Database!A:D,3,)</f>
        <v/>
      </c>
      <c r="C142" s="26">
        <f>B142-B141</f>
        <v/>
      </c>
      <c r="D142" s="26">
        <f>AVERAGE(C140:C142)</f>
        <v/>
      </c>
      <c r="E142" s="58">
        <f>VLOOKUP(Table1[[#This Row],[Date]],Database!A:D,4,)</f>
        <v/>
      </c>
      <c r="F142" s="58">
        <f>VLOOKUP(Table1[[#This Row],[Date]],Database!A:D,2,)</f>
        <v/>
      </c>
      <c r="G142" s="55" t="n"/>
    </row>
    <row r="143">
      <c r="A143" s="54" t="n">
        <v>18233</v>
      </c>
      <c r="B143" s="25">
        <f>VLOOKUP(Table1[[#This Row],[Date]],Database!A:D,3,)</f>
        <v/>
      </c>
      <c r="C143" s="26">
        <f>B143-B142</f>
        <v/>
      </c>
      <c r="D143" s="26">
        <f>AVERAGE(C141:C143)</f>
        <v/>
      </c>
      <c r="E143" s="58">
        <f>VLOOKUP(Table1[[#This Row],[Date]],Database!A:D,4,)</f>
        <v/>
      </c>
      <c r="F143" s="58">
        <f>VLOOKUP(Table1[[#This Row],[Date]],Database!A:D,2,)</f>
        <v/>
      </c>
      <c r="G143" s="55" t="n"/>
    </row>
    <row r="144">
      <c r="A144" s="54" t="n">
        <v>18264</v>
      </c>
      <c r="B144" s="25">
        <f>VLOOKUP(Table1[[#This Row],[Date]],Database!A:D,3,)</f>
        <v/>
      </c>
      <c r="C144" s="26">
        <f>B144-B143</f>
        <v/>
      </c>
      <c r="D144" s="26">
        <f>AVERAGE(C142:C144)</f>
        <v/>
      </c>
      <c r="E144" s="58">
        <f>VLOOKUP(Table1[[#This Row],[Date]],Database!A:D,4,)</f>
        <v/>
      </c>
      <c r="F144" s="58">
        <f>VLOOKUP(Table1[[#This Row],[Date]],Database!A:D,2,)</f>
        <v/>
      </c>
      <c r="G144" s="55" t="n"/>
    </row>
    <row r="145">
      <c r="A145" s="54" t="n">
        <v>18295</v>
      </c>
      <c r="B145" s="25">
        <f>VLOOKUP(Table1[[#This Row],[Date]],Database!A:D,3,)</f>
        <v/>
      </c>
      <c r="C145" s="26">
        <f>B145-B144</f>
        <v/>
      </c>
      <c r="D145" s="26">
        <f>AVERAGE(C143:C145)</f>
        <v/>
      </c>
      <c r="E145" s="58">
        <f>VLOOKUP(Table1[[#This Row],[Date]],Database!A:D,4,)</f>
        <v/>
      </c>
      <c r="F145" s="58">
        <f>VLOOKUP(Table1[[#This Row],[Date]],Database!A:D,2,)</f>
        <v/>
      </c>
      <c r="G145" s="55" t="n"/>
    </row>
    <row r="146">
      <c r="A146" s="54" t="n">
        <v>18323</v>
      </c>
      <c r="B146" s="25">
        <f>VLOOKUP(Table1[[#This Row],[Date]],Database!A:D,3,)</f>
        <v/>
      </c>
      <c r="C146" s="26">
        <f>B146-B145</f>
        <v/>
      </c>
      <c r="D146" s="26">
        <f>AVERAGE(C144:C146)</f>
        <v/>
      </c>
      <c r="E146" s="58">
        <f>VLOOKUP(Table1[[#This Row],[Date]],Database!A:D,4,)</f>
        <v/>
      </c>
      <c r="F146" s="58">
        <f>VLOOKUP(Table1[[#This Row],[Date]],Database!A:D,2,)</f>
        <v/>
      </c>
      <c r="G146" s="55" t="n"/>
    </row>
    <row r="147">
      <c r="A147" s="54" t="n">
        <v>18354</v>
      </c>
      <c r="B147" s="25">
        <f>VLOOKUP(Table1[[#This Row],[Date]],Database!A:D,3,)</f>
        <v/>
      </c>
      <c r="C147" s="26">
        <f>B147-B146</f>
        <v/>
      </c>
      <c r="D147" s="26">
        <f>AVERAGE(C145:C147)</f>
        <v/>
      </c>
      <c r="E147" s="58">
        <f>VLOOKUP(Table1[[#This Row],[Date]],Database!A:D,4,)</f>
        <v/>
      </c>
      <c r="F147" s="58">
        <f>VLOOKUP(Table1[[#This Row],[Date]],Database!A:D,2,)</f>
        <v/>
      </c>
      <c r="G147" s="55" t="n"/>
    </row>
    <row r="148">
      <c r="A148" s="54" t="n">
        <v>18384</v>
      </c>
      <c r="B148" s="25">
        <f>VLOOKUP(Table1[[#This Row],[Date]],Database!A:D,3,)</f>
        <v/>
      </c>
      <c r="C148" s="26">
        <f>B148-B147</f>
        <v/>
      </c>
      <c r="D148" s="26">
        <f>AVERAGE(C146:C148)</f>
        <v/>
      </c>
      <c r="E148" s="58">
        <f>VLOOKUP(Table1[[#This Row],[Date]],Database!A:D,4,)</f>
        <v/>
      </c>
      <c r="F148" s="58">
        <f>VLOOKUP(Table1[[#This Row],[Date]],Database!A:D,2,)</f>
        <v/>
      </c>
      <c r="G148" s="55" t="n"/>
    </row>
    <row r="149">
      <c r="A149" s="54" t="n">
        <v>18415</v>
      </c>
      <c r="B149" s="25">
        <f>VLOOKUP(Table1[[#This Row],[Date]],Database!A:D,3,)</f>
        <v/>
      </c>
      <c r="C149" s="26">
        <f>B149-B148</f>
        <v/>
      </c>
      <c r="D149" s="26">
        <f>AVERAGE(C147:C149)</f>
        <v/>
      </c>
      <c r="E149" s="58">
        <f>VLOOKUP(Table1[[#This Row],[Date]],Database!A:D,4,)</f>
        <v/>
      </c>
      <c r="F149" s="58">
        <f>VLOOKUP(Table1[[#This Row],[Date]],Database!A:D,2,)</f>
        <v/>
      </c>
      <c r="G149" s="55" t="n"/>
    </row>
    <row r="150">
      <c r="A150" s="54" t="n">
        <v>18445</v>
      </c>
      <c r="B150" s="25">
        <f>VLOOKUP(Table1[[#This Row],[Date]],Database!A:D,3,)</f>
        <v/>
      </c>
      <c r="C150" s="26">
        <f>B150-B149</f>
        <v/>
      </c>
      <c r="D150" s="26">
        <f>AVERAGE(C148:C150)</f>
        <v/>
      </c>
      <c r="E150" s="58">
        <f>VLOOKUP(Table1[[#This Row],[Date]],Database!A:D,4,)</f>
        <v/>
      </c>
      <c r="F150" s="58">
        <f>VLOOKUP(Table1[[#This Row],[Date]],Database!A:D,2,)</f>
        <v/>
      </c>
      <c r="G150" s="55" t="n"/>
    </row>
    <row r="151">
      <c r="A151" s="54" t="n">
        <v>18476</v>
      </c>
      <c r="B151" s="25">
        <f>VLOOKUP(Table1[[#This Row],[Date]],Database!A:D,3,)</f>
        <v/>
      </c>
      <c r="C151" s="26">
        <f>B151-B150</f>
        <v/>
      </c>
      <c r="D151" s="26">
        <f>AVERAGE(C149:C151)</f>
        <v/>
      </c>
      <c r="E151" s="58">
        <f>VLOOKUP(Table1[[#This Row],[Date]],Database!A:D,4,)</f>
        <v/>
      </c>
      <c r="F151" s="58">
        <f>VLOOKUP(Table1[[#This Row],[Date]],Database!A:D,2,)</f>
        <v/>
      </c>
      <c r="G151" s="55" t="n"/>
    </row>
    <row r="152">
      <c r="A152" s="54" t="n">
        <v>18507</v>
      </c>
      <c r="B152" s="25">
        <f>VLOOKUP(Table1[[#This Row],[Date]],Database!A:D,3,)</f>
        <v/>
      </c>
      <c r="C152" s="26">
        <f>B152-B151</f>
        <v/>
      </c>
      <c r="D152" s="26">
        <f>AVERAGE(C150:C152)</f>
        <v/>
      </c>
      <c r="E152" s="58">
        <f>VLOOKUP(Table1[[#This Row],[Date]],Database!A:D,4,)</f>
        <v/>
      </c>
      <c r="F152" s="58">
        <f>VLOOKUP(Table1[[#This Row],[Date]],Database!A:D,2,)</f>
        <v/>
      </c>
      <c r="G152" s="55" t="n"/>
    </row>
    <row r="153">
      <c r="A153" s="54" t="n">
        <v>18537</v>
      </c>
      <c r="B153" s="25">
        <f>VLOOKUP(Table1[[#This Row],[Date]],Database!A:D,3,)</f>
        <v/>
      </c>
      <c r="C153" s="26">
        <f>B153-B152</f>
        <v/>
      </c>
      <c r="D153" s="26">
        <f>AVERAGE(C151:C153)</f>
        <v/>
      </c>
      <c r="E153" s="58">
        <f>VLOOKUP(Table1[[#This Row],[Date]],Database!A:D,4,)</f>
        <v/>
      </c>
      <c r="F153" s="58">
        <f>VLOOKUP(Table1[[#This Row],[Date]],Database!A:D,2,)</f>
        <v/>
      </c>
      <c r="G153" s="55" t="n"/>
    </row>
    <row r="154">
      <c r="A154" s="54" t="n">
        <v>18568</v>
      </c>
      <c r="B154" s="25">
        <f>VLOOKUP(Table1[[#This Row],[Date]],Database!A:D,3,)</f>
        <v/>
      </c>
      <c r="C154" s="26">
        <f>B154-B153</f>
        <v/>
      </c>
      <c r="D154" s="26">
        <f>AVERAGE(C152:C154)</f>
        <v/>
      </c>
      <c r="E154" s="58">
        <f>VLOOKUP(Table1[[#This Row],[Date]],Database!A:D,4,)</f>
        <v/>
      </c>
      <c r="F154" s="58">
        <f>VLOOKUP(Table1[[#This Row],[Date]],Database!A:D,2,)</f>
        <v/>
      </c>
      <c r="G154" s="55" t="n"/>
    </row>
    <row r="155">
      <c r="A155" s="54" t="n">
        <v>18598</v>
      </c>
      <c r="B155" s="25">
        <f>VLOOKUP(Table1[[#This Row],[Date]],Database!A:D,3,)</f>
        <v/>
      </c>
      <c r="C155" s="26">
        <f>B155-B154</f>
        <v/>
      </c>
      <c r="D155" s="26">
        <f>AVERAGE(C153:C155)</f>
        <v/>
      </c>
      <c r="E155" s="58">
        <f>VLOOKUP(Table1[[#This Row],[Date]],Database!A:D,4,)</f>
        <v/>
      </c>
      <c r="F155" s="58">
        <f>VLOOKUP(Table1[[#This Row],[Date]],Database!A:D,2,)</f>
        <v/>
      </c>
      <c r="G155" s="55" t="n"/>
    </row>
    <row r="156">
      <c r="A156" s="54" t="n">
        <v>18629</v>
      </c>
      <c r="B156" s="25">
        <f>VLOOKUP(Table1[[#This Row],[Date]],Database!A:D,3,)</f>
        <v/>
      </c>
      <c r="C156" s="26">
        <f>B156-B155</f>
        <v/>
      </c>
      <c r="D156" s="26">
        <f>AVERAGE(C154:C156)</f>
        <v/>
      </c>
      <c r="E156" s="58">
        <f>VLOOKUP(Table1[[#This Row],[Date]],Database!A:D,4,)</f>
        <v/>
      </c>
      <c r="F156" s="58">
        <f>VLOOKUP(Table1[[#This Row],[Date]],Database!A:D,2,)</f>
        <v/>
      </c>
      <c r="G156" s="55" t="n"/>
    </row>
    <row r="157">
      <c r="A157" s="54" t="n">
        <v>18660</v>
      </c>
      <c r="B157" s="25">
        <f>VLOOKUP(Table1[[#This Row],[Date]],Database!A:D,3,)</f>
        <v/>
      </c>
      <c r="C157" s="26">
        <f>B157-B156</f>
        <v/>
      </c>
      <c r="D157" s="26">
        <f>AVERAGE(C155:C157)</f>
        <v/>
      </c>
      <c r="E157" s="58">
        <f>VLOOKUP(Table1[[#This Row],[Date]],Database!A:D,4,)</f>
        <v/>
      </c>
      <c r="F157" s="58">
        <f>VLOOKUP(Table1[[#This Row],[Date]],Database!A:D,2,)</f>
        <v/>
      </c>
      <c r="G157" s="55" t="n"/>
    </row>
    <row r="158">
      <c r="A158" s="54" t="n">
        <v>18688</v>
      </c>
      <c r="B158" s="25">
        <f>VLOOKUP(Table1[[#This Row],[Date]],Database!A:D,3,)</f>
        <v/>
      </c>
      <c r="C158" s="26">
        <f>B158-B157</f>
        <v/>
      </c>
      <c r="D158" s="26">
        <f>AVERAGE(C156:C158)</f>
        <v/>
      </c>
      <c r="E158" s="58">
        <f>VLOOKUP(Table1[[#This Row],[Date]],Database!A:D,4,)</f>
        <v/>
      </c>
      <c r="F158" s="58">
        <f>VLOOKUP(Table1[[#This Row],[Date]],Database!A:D,2,)</f>
        <v/>
      </c>
      <c r="G158" s="55" t="n"/>
    </row>
    <row r="159">
      <c r="A159" s="54" t="n">
        <v>18719</v>
      </c>
      <c r="B159" s="25">
        <f>VLOOKUP(Table1[[#This Row],[Date]],Database!A:D,3,)</f>
        <v/>
      </c>
      <c r="C159" s="26">
        <f>B159-B158</f>
        <v/>
      </c>
      <c r="D159" s="26">
        <f>AVERAGE(C157:C159)</f>
        <v/>
      </c>
      <c r="E159" s="58">
        <f>VLOOKUP(Table1[[#This Row],[Date]],Database!A:D,4,)</f>
        <v/>
      </c>
      <c r="F159" s="58">
        <f>VLOOKUP(Table1[[#This Row],[Date]],Database!A:D,2,)</f>
        <v/>
      </c>
      <c r="G159" s="55" t="n"/>
    </row>
    <row r="160">
      <c r="A160" s="54" t="n">
        <v>18749</v>
      </c>
      <c r="B160" s="25">
        <f>VLOOKUP(Table1[[#This Row],[Date]],Database!A:D,3,)</f>
        <v/>
      </c>
      <c r="C160" s="26">
        <f>B160-B159</f>
        <v/>
      </c>
      <c r="D160" s="26">
        <f>AVERAGE(C158:C160)</f>
        <v/>
      </c>
      <c r="E160" s="58">
        <f>VLOOKUP(Table1[[#This Row],[Date]],Database!A:D,4,)</f>
        <v/>
      </c>
      <c r="F160" s="58">
        <f>VLOOKUP(Table1[[#This Row],[Date]],Database!A:D,2,)</f>
        <v/>
      </c>
      <c r="G160" s="55" t="n"/>
    </row>
    <row r="161">
      <c r="A161" s="54" t="n">
        <v>18780</v>
      </c>
      <c r="B161" s="25">
        <f>VLOOKUP(Table1[[#This Row],[Date]],Database!A:D,3,)</f>
        <v/>
      </c>
      <c r="C161" s="26">
        <f>B161-B160</f>
        <v/>
      </c>
      <c r="D161" s="26">
        <f>AVERAGE(C159:C161)</f>
        <v/>
      </c>
      <c r="E161" s="58">
        <f>VLOOKUP(Table1[[#This Row],[Date]],Database!A:D,4,)</f>
        <v/>
      </c>
      <c r="F161" s="58">
        <f>VLOOKUP(Table1[[#This Row],[Date]],Database!A:D,2,)</f>
        <v/>
      </c>
      <c r="G161" s="55" t="n"/>
    </row>
    <row r="162">
      <c r="A162" s="54" t="n">
        <v>18810</v>
      </c>
      <c r="B162" s="25">
        <f>VLOOKUP(Table1[[#This Row],[Date]],Database!A:D,3,)</f>
        <v/>
      </c>
      <c r="C162" s="26">
        <f>B162-B161</f>
        <v/>
      </c>
      <c r="D162" s="26">
        <f>AVERAGE(C160:C162)</f>
        <v/>
      </c>
      <c r="E162" s="58">
        <f>VLOOKUP(Table1[[#This Row],[Date]],Database!A:D,4,)</f>
        <v/>
      </c>
      <c r="F162" s="58">
        <f>VLOOKUP(Table1[[#This Row],[Date]],Database!A:D,2,)</f>
        <v/>
      </c>
      <c r="G162" s="55" t="n"/>
    </row>
    <row r="163">
      <c r="A163" s="54" t="n">
        <v>18841</v>
      </c>
      <c r="B163" s="25">
        <f>VLOOKUP(Table1[[#This Row],[Date]],Database!A:D,3,)</f>
        <v/>
      </c>
      <c r="C163" s="26">
        <f>B163-B162</f>
        <v/>
      </c>
      <c r="D163" s="26">
        <f>AVERAGE(C161:C163)</f>
        <v/>
      </c>
      <c r="E163" s="58">
        <f>VLOOKUP(Table1[[#This Row],[Date]],Database!A:D,4,)</f>
        <v/>
      </c>
      <c r="F163" s="58">
        <f>VLOOKUP(Table1[[#This Row],[Date]],Database!A:D,2,)</f>
        <v/>
      </c>
      <c r="G163" s="55" t="n"/>
    </row>
    <row r="164">
      <c r="A164" s="54" t="n">
        <v>18872</v>
      </c>
      <c r="B164" s="25">
        <f>VLOOKUP(Table1[[#This Row],[Date]],Database!A:D,3,)</f>
        <v/>
      </c>
      <c r="C164" s="26">
        <f>B164-B163</f>
        <v/>
      </c>
      <c r="D164" s="26">
        <f>AVERAGE(C162:C164)</f>
        <v/>
      </c>
      <c r="E164" s="58">
        <f>VLOOKUP(Table1[[#This Row],[Date]],Database!A:D,4,)</f>
        <v/>
      </c>
      <c r="F164" s="58">
        <f>VLOOKUP(Table1[[#This Row],[Date]],Database!A:D,2,)</f>
        <v/>
      </c>
      <c r="G164" s="55" t="n"/>
    </row>
    <row r="165">
      <c r="A165" s="54" t="n">
        <v>18902</v>
      </c>
      <c r="B165" s="25">
        <f>VLOOKUP(Table1[[#This Row],[Date]],Database!A:D,3,)</f>
        <v/>
      </c>
      <c r="C165" s="26">
        <f>B165-B164</f>
        <v/>
      </c>
      <c r="D165" s="26">
        <f>AVERAGE(C163:C165)</f>
        <v/>
      </c>
      <c r="E165" s="58">
        <f>VLOOKUP(Table1[[#This Row],[Date]],Database!A:D,4,)</f>
        <v/>
      </c>
      <c r="F165" s="58">
        <f>VLOOKUP(Table1[[#This Row],[Date]],Database!A:D,2,)</f>
        <v/>
      </c>
      <c r="G165" s="55" t="n"/>
    </row>
    <row r="166">
      <c r="A166" s="54" t="n">
        <v>18933</v>
      </c>
      <c r="B166" s="25">
        <f>VLOOKUP(Table1[[#This Row],[Date]],Database!A:D,3,)</f>
        <v/>
      </c>
      <c r="C166" s="26">
        <f>B166-B165</f>
        <v/>
      </c>
      <c r="D166" s="26">
        <f>AVERAGE(C164:C166)</f>
        <v/>
      </c>
      <c r="E166" s="58">
        <f>VLOOKUP(Table1[[#This Row],[Date]],Database!A:D,4,)</f>
        <v/>
      </c>
      <c r="F166" s="58">
        <f>VLOOKUP(Table1[[#This Row],[Date]],Database!A:D,2,)</f>
        <v/>
      </c>
      <c r="G166" s="55" t="n"/>
    </row>
    <row r="167">
      <c r="A167" s="54" t="n">
        <v>18963</v>
      </c>
      <c r="B167" s="25">
        <f>VLOOKUP(Table1[[#This Row],[Date]],Database!A:D,3,)</f>
        <v/>
      </c>
      <c r="C167" s="26">
        <f>B167-B166</f>
        <v/>
      </c>
      <c r="D167" s="26">
        <f>AVERAGE(C165:C167)</f>
        <v/>
      </c>
      <c r="E167" s="58">
        <f>VLOOKUP(Table1[[#This Row],[Date]],Database!A:D,4,)</f>
        <v/>
      </c>
      <c r="F167" s="58">
        <f>VLOOKUP(Table1[[#This Row],[Date]],Database!A:D,2,)</f>
        <v/>
      </c>
      <c r="G167" s="55" t="n"/>
    </row>
    <row r="168">
      <c r="A168" s="54" t="n">
        <v>18994</v>
      </c>
      <c r="B168" s="25">
        <f>VLOOKUP(Table1[[#This Row],[Date]],Database!A:D,3,)</f>
        <v/>
      </c>
      <c r="C168" s="26">
        <f>B168-B167</f>
        <v/>
      </c>
      <c r="D168" s="26">
        <f>AVERAGE(C166:C168)</f>
        <v/>
      </c>
      <c r="E168" s="58">
        <f>VLOOKUP(Table1[[#This Row],[Date]],Database!A:D,4,)</f>
        <v/>
      </c>
      <c r="F168" s="58">
        <f>VLOOKUP(Table1[[#This Row],[Date]],Database!A:D,2,)</f>
        <v/>
      </c>
      <c r="G168" s="55" t="n"/>
    </row>
    <row r="169">
      <c r="A169" s="54" t="n">
        <v>19025</v>
      </c>
      <c r="B169" s="25">
        <f>VLOOKUP(Table1[[#This Row],[Date]],Database!A:D,3,)</f>
        <v/>
      </c>
      <c r="C169" s="26">
        <f>B169-B168</f>
        <v/>
      </c>
      <c r="D169" s="26">
        <f>AVERAGE(C167:C169)</f>
        <v/>
      </c>
      <c r="E169" s="58">
        <f>VLOOKUP(Table1[[#This Row],[Date]],Database!A:D,4,)</f>
        <v/>
      </c>
      <c r="F169" s="58">
        <f>VLOOKUP(Table1[[#This Row],[Date]],Database!A:D,2,)</f>
        <v/>
      </c>
      <c r="G169" s="55" t="n"/>
    </row>
    <row r="170">
      <c r="A170" s="54" t="n">
        <v>19054</v>
      </c>
      <c r="B170" s="25">
        <f>VLOOKUP(Table1[[#This Row],[Date]],Database!A:D,3,)</f>
        <v/>
      </c>
      <c r="C170" s="26">
        <f>B170-B169</f>
        <v/>
      </c>
      <c r="D170" s="26">
        <f>AVERAGE(C168:C170)</f>
        <v/>
      </c>
      <c r="E170" s="58">
        <f>VLOOKUP(Table1[[#This Row],[Date]],Database!A:D,4,)</f>
        <v/>
      </c>
      <c r="F170" s="58">
        <f>VLOOKUP(Table1[[#This Row],[Date]],Database!A:D,2,)</f>
        <v/>
      </c>
      <c r="G170" s="55" t="n"/>
    </row>
    <row r="171">
      <c r="A171" s="54" t="n">
        <v>19085</v>
      </c>
      <c r="B171" s="25">
        <f>VLOOKUP(Table1[[#This Row],[Date]],Database!A:D,3,)</f>
        <v/>
      </c>
      <c r="C171" s="26">
        <f>B171-B170</f>
        <v/>
      </c>
      <c r="D171" s="26">
        <f>AVERAGE(C169:C171)</f>
        <v/>
      </c>
      <c r="E171" s="58">
        <f>VLOOKUP(Table1[[#This Row],[Date]],Database!A:D,4,)</f>
        <v/>
      </c>
      <c r="F171" s="58">
        <f>VLOOKUP(Table1[[#This Row],[Date]],Database!A:D,2,)</f>
        <v/>
      </c>
      <c r="G171" s="55" t="n"/>
    </row>
    <row r="172">
      <c r="A172" s="54" t="n">
        <v>19115</v>
      </c>
      <c r="B172" s="25">
        <f>VLOOKUP(Table1[[#This Row],[Date]],Database!A:D,3,)</f>
        <v/>
      </c>
      <c r="C172" s="26">
        <f>B172-B171</f>
        <v/>
      </c>
      <c r="D172" s="26">
        <f>AVERAGE(C170:C172)</f>
        <v/>
      </c>
      <c r="E172" s="58">
        <f>VLOOKUP(Table1[[#This Row],[Date]],Database!A:D,4,)</f>
        <v/>
      </c>
      <c r="F172" s="58">
        <f>VLOOKUP(Table1[[#This Row],[Date]],Database!A:D,2,)</f>
        <v/>
      </c>
      <c r="G172" s="55" t="n"/>
    </row>
    <row r="173">
      <c r="A173" s="54" t="n">
        <v>19146</v>
      </c>
      <c r="B173" s="25">
        <f>VLOOKUP(Table1[[#This Row],[Date]],Database!A:D,3,)</f>
        <v/>
      </c>
      <c r="C173" s="26">
        <f>B173-B172</f>
        <v/>
      </c>
      <c r="D173" s="26">
        <f>AVERAGE(C171:C173)</f>
        <v/>
      </c>
      <c r="E173" s="58">
        <f>VLOOKUP(Table1[[#This Row],[Date]],Database!A:D,4,)</f>
        <v/>
      </c>
      <c r="F173" s="58">
        <f>VLOOKUP(Table1[[#This Row],[Date]],Database!A:D,2,)</f>
        <v/>
      </c>
      <c r="G173" s="55" t="n"/>
    </row>
    <row r="174">
      <c r="A174" s="54" t="n">
        <v>19176</v>
      </c>
      <c r="B174" s="25">
        <f>VLOOKUP(Table1[[#This Row],[Date]],Database!A:D,3,)</f>
        <v/>
      </c>
      <c r="C174" s="26">
        <f>B174-B173</f>
        <v/>
      </c>
      <c r="D174" s="26">
        <f>AVERAGE(C172:C174)</f>
        <v/>
      </c>
      <c r="E174" s="58">
        <f>VLOOKUP(Table1[[#This Row],[Date]],Database!A:D,4,)</f>
        <v/>
      </c>
      <c r="F174" s="58">
        <f>VLOOKUP(Table1[[#This Row],[Date]],Database!A:D,2,)</f>
        <v/>
      </c>
      <c r="G174" s="55" t="n"/>
    </row>
    <row r="175">
      <c r="A175" s="54" t="n">
        <v>19207</v>
      </c>
      <c r="B175" s="25">
        <f>VLOOKUP(Table1[[#This Row],[Date]],Database!A:D,3,)</f>
        <v/>
      </c>
      <c r="C175" s="26">
        <f>B175-B174</f>
        <v/>
      </c>
      <c r="D175" s="26">
        <f>AVERAGE(C173:C175)</f>
        <v/>
      </c>
      <c r="E175" s="58">
        <f>VLOOKUP(Table1[[#This Row],[Date]],Database!A:D,4,)</f>
        <v/>
      </c>
      <c r="F175" s="58">
        <f>VLOOKUP(Table1[[#This Row],[Date]],Database!A:D,2,)</f>
        <v/>
      </c>
      <c r="G175" s="55" t="n"/>
    </row>
    <row r="176">
      <c r="A176" s="54" t="n">
        <v>19238</v>
      </c>
      <c r="B176" s="25">
        <f>VLOOKUP(Table1[[#This Row],[Date]],Database!A:D,3,)</f>
        <v/>
      </c>
      <c r="C176" s="26">
        <f>B176-B175</f>
        <v/>
      </c>
      <c r="D176" s="26">
        <f>AVERAGE(C174:C176)</f>
        <v/>
      </c>
      <c r="E176" s="58">
        <f>VLOOKUP(Table1[[#This Row],[Date]],Database!A:D,4,)</f>
        <v/>
      </c>
      <c r="F176" s="58">
        <f>VLOOKUP(Table1[[#This Row],[Date]],Database!A:D,2,)</f>
        <v/>
      </c>
      <c r="G176" s="55" t="n"/>
    </row>
    <row r="177">
      <c r="A177" s="54" t="n">
        <v>19268</v>
      </c>
      <c r="B177" s="25">
        <f>VLOOKUP(Table1[[#This Row],[Date]],Database!A:D,3,)</f>
        <v/>
      </c>
      <c r="C177" s="26">
        <f>B177-B176</f>
        <v/>
      </c>
      <c r="D177" s="26">
        <f>AVERAGE(C175:C177)</f>
        <v/>
      </c>
      <c r="E177" s="58">
        <f>VLOOKUP(Table1[[#This Row],[Date]],Database!A:D,4,)</f>
        <v/>
      </c>
      <c r="F177" s="58">
        <f>VLOOKUP(Table1[[#This Row],[Date]],Database!A:D,2,)</f>
        <v/>
      </c>
      <c r="G177" s="55" t="n"/>
    </row>
    <row r="178">
      <c r="A178" s="54" t="n">
        <v>19299</v>
      </c>
      <c r="B178" s="25">
        <f>VLOOKUP(Table1[[#This Row],[Date]],Database!A:D,3,)</f>
        <v/>
      </c>
      <c r="C178" s="26">
        <f>B178-B177</f>
        <v/>
      </c>
      <c r="D178" s="26">
        <f>AVERAGE(C176:C178)</f>
        <v/>
      </c>
      <c r="E178" s="58">
        <f>VLOOKUP(Table1[[#This Row],[Date]],Database!A:D,4,)</f>
        <v/>
      </c>
      <c r="F178" s="58">
        <f>VLOOKUP(Table1[[#This Row],[Date]],Database!A:D,2,)</f>
        <v/>
      </c>
      <c r="G178" s="55" t="n"/>
    </row>
    <row r="179">
      <c r="A179" s="54" t="n">
        <v>19329</v>
      </c>
      <c r="B179" s="25">
        <f>VLOOKUP(Table1[[#This Row],[Date]],Database!A:D,3,)</f>
        <v/>
      </c>
      <c r="C179" s="26">
        <f>B179-B178</f>
        <v/>
      </c>
      <c r="D179" s="26">
        <f>AVERAGE(C177:C179)</f>
        <v/>
      </c>
      <c r="E179" s="58">
        <f>VLOOKUP(Table1[[#This Row],[Date]],Database!A:D,4,)</f>
        <v/>
      </c>
      <c r="F179" s="58">
        <f>VLOOKUP(Table1[[#This Row],[Date]],Database!A:D,2,)</f>
        <v/>
      </c>
      <c r="G179" s="55" t="n"/>
    </row>
    <row r="180">
      <c r="A180" s="54" t="n">
        <v>19360</v>
      </c>
      <c r="B180" s="25">
        <f>VLOOKUP(Table1[[#This Row],[Date]],Database!A:D,3,)</f>
        <v/>
      </c>
      <c r="C180" s="26">
        <f>B180-B179</f>
        <v/>
      </c>
      <c r="D180" s="26">
        <f>AVERAGE(C178:C180)</f>
        <v/>
      </c>
      <c r="E180" s="58">
        <f>VLOOKUP(Table1[[#This Row],[Date]],Database!A:D,4,)</f>
        <v/>
      </c>
      <c r="F180" s="58">
        <f>VLOOKUP(Table1[[#This Row],[Date]],Database!A:D,2,)</f>
        <v/>
      </c>
      <c r="G180" s="55" t="n"/>
    </row>
    <row r="181">
      <c r="A181" s="54" t="n">
        <v>19391</v>
      </c>
      <c r="B181" s="25">
        <f>VLOOKUP(Table1[[#This Row],[Date]],Database!A:D,3,)</f>
        <v/>
      </c>
      <c r="C181" s="26">
        <f>B181-B180</f>
        <v/>
      </c>
      <c r="D181" s="26">
        <f>AVERAGE(C179:C181)</f>
        <v/>
      </c>
      <c r="E181" s="58">
        <f>VLOOKUP(Table1[[#This Row],[Date]],Database!A:D,4,)</f>
        <v/>
      </c>
      <c r="F181" s="58">
        <f>VLOOKUP(Table1[[#This Row],[Date]],Database!A:D,2,)</f>
        <v/>
      </c>
      <c r="G181" s="55" t="n"/>
    </row>
    <row r="182">
      <c r="A182" s="54" t="n">
        <v>19419</v>
      </c>
      <c r="B182" s="25">
        <f>VLOOKUP(Table1[[#This Row],[Date]],Database!A:D,3,)</f>
        <v/>
      </c>
      <c r="C182" s="26">
        <f>B182-B181</f>
        <v/>
      </c>
      <c r="D182" s="26">
        <f>AVERAGE(C180:C182)</f>
        <v/>
      </c>
      <c r="E182" s="58">
        <f>VLOOKUP(Table1[[#This Row],[Date]],Database!A:D,4,)</f>
        <v/>
      </c>
      <c r="F182" s="58">
        <f>VLOOKUP(Table1[[#This Row],[Date]],Database!A:D,2,)</f>
        <v/>
      </c>
      <c r="G182" s="55" t="n"/>
    </row>
    <row r="183">
      <c r="A183" s="54" t="n">
        <v>19450</v>
      </c>
      <c r="B183" s="25">
        <f>VLOOKUP(Table1[[#This Row],[Date]],Database!A:D,3,)</f>
        <v/>
      </c>
      <c r="C183" s="26">
        <f>B183-B182</f>
        <v/>
      </c>
      <c r="D183" s="26">
        <f>AVERAGE(C181:C183)</f>
        <v/>
      </c>
      <c r="E183" s="58">
        <f>VLOOKUP(Table1[[#This Row],[Date]],Database!A:D,4,)</f>
        <v/>
      </c>
      <c r="F183" s="58">
        <f>VLOOKUP(Table1[[#This Row],[Date]],Database!A:D,2,)</f>
        <v/>
      </c>
      <c r="G183" s="55" t="n"/>
    </row>
    <row r="184">
      <c r="A184" s="54" t="n">
        <v>19480</v>
      </c>
      <c r="B184" s="25">
        <f>VLOOKUP(Table1[[#This Row],[Date]],Database!A:D,3,)</f>
        <v/>
      </c>
      <c r="C184" s="26">
        <f>B184-B183</f>
        <v/>
      </c>
      <c r="D184" s="26">
        <f>AVERAGE(C182:C184)</f>
        <v/>
      </c>
      <c r="E184" s="58">
        <f>VLOOKUP(Table1[[#This Row],[Date]],Database!A:D,4,)</f>
        <v/>
      </c>
      <c r="F184" s="58">
        <f>VLOOKUP(Table1[[#This Row],[Date]],Database!A:D,2,)</f>
        <v/>
      </c>
      <c r="G184" s="55" t="n"/>
    </row>
    <row r="185">
      <c r="A185" s="54" t="n">
        <v>19511</v>
      </c>
      <c r="B185" s="25">
        <f>VLOOKUP(Table1[[#This Row],[Date]],Database!A:D,3,)</f>
        <v/>
      </c>
      <c r="C185" s="26">
        <f>B185-B184</f>
        <v/>
      </c>
      <c r="D185" s="26">
        <f>AVERAGE(C183:C185)</f>
        <v/>
      </c>
      <c r="E185" s="58">
        <f>VLOOKUP(Table1[[#This Row],[Date]],Database!A:D,4,)</f>
        <v/>
      </c>
      <c r="F185" s="58">
        <f>VLOOKUP(Table1[[#This Row],[Date]],Database!A:D,2,)</f>
        <v/>
      </c>
      <c r="G185" s="55" t="n"/>
    </row>
    <row r="186">
      <c r="A186" s="54" t="n">
        <v>19541</v>
      </c>
      <c r="B186" s="25">
        <f>VLOOKUP(Table1[[#This Row],[Date]],Database!A:D,3,)</f>
        <v/>
      </c>
      <c r="C186" s="26">
        <f>B186-B185</f>
        <v/>
      </c>
      <c r="D186" s="26">
        <f>AVERAGE(C184:C186)</f>
        <v/>
      </c>
      <c r="E186" s="58">
        <f>VLOOKUP(Table1[[#This Row],[Date]],Database!A:D,4,)</f>
        <v/>
      </c>
      <c r="F186" s="58">
        <f>VLOOKUP(Table1[[#This Row],[Date]],Database!A:D,2,)</f>
        <v/>
      </c>
      <c r="G186" s="55" t="n"/>
    </row>
    <row r="187">
      <c r="A187" s="54" t="n">
        <v>19572</v>
      </c>
      <c r="B187" s="25">
        <f>VLOOKUP(Table1[[#This Row],[Date]],Database!A:D,3,)</f>
        <v/>
      </c>
      <c r="C187" s="26">
        <f>B187-B186</f>
        <v/>
      </c>
      <c r="D187" s="26">
        <f>AVERAGE(C185:C187)</f>
        <v/>
      </c>
      <c r="E187" s="58">
        <f>VLOOKUP(Table1[[#This Row],[Date]],Database!A:D,4,)</f>
        <v/>
      </c>
      <c r="F187" s="58">
        <f>VLOOKUP(Table1[[#This Row],[Date]],Database!A:D,2,)</f>
        <v/>
      </c>
      <c r="G187" s="55" t="n"/>
    </row>
    <row r="188">
      <c r="A188" s="54" t="n">
        <v>19603</v>
      </c>
      <c r="B188" s="25">
        <f>VLOOKUP(Table1[[#This Row],[Date]],Database!A:D,3,)</f>
        <v/>
      </c>
      <c r="C188" s="26">
        <f>B188-B187</f>
        <v/>
      </c>
      <c r="D188" s="26">
        <f>AVERAGE(C186:C188)</f>
        <v/>
      </c>
      <c r="E188" s="58">
        <f>VLOOKUP(Table1[[#This Row],[Date]],Database!A:D,4,)</f>
        <v/>
      </c>
      <c r="F188" s="58">
        <f>VLOOKUP(Table1[[#This Row],[Date]],Database!A:D,2,)</f>
        <v/>
      </c>
      <c r="G188" s="55" t="n"/>
    </row>
    <row r="189">
      <c r="A189" s="54" t="n">
        <v>19633</v>
      </c>
      <c r="B189" s="25">
        <f>VLOOKUP(Table1[[#This Row],[Date]],Database!A:D,3,)</f>
        <v/>
      </c>
      <c r="C189" s="26">
        <f>B189-B188</f>
        <v/>
      </c>
      <c r="D189" s="26">
        <f>AVERAGE(C187:C189)</f>
        <v/>
      </c>
      <c r="E189" s="58">
        <f>VLOOKUP(Table1[[#This Row],[Date]],Database!A:D,4,)</f>
        <v/>
      </c>
      <c r="F189" s="58">
        <f>VLOOKUP(Table1[[#This Row],[Date]],Database!A:D,2,)</f>
        <v/>
      </c>
      <c r="G189" s="55" t="n"/>
    </row>
    <row r="190">
      <c r="A190" s="54" t="n">
        <v>19664</v>
      </c>
      <c r="B190" s="25">
        <f>VLOOKUP(Table1[[#This Row],[Date]],Database!A:D,3,)</f>
        <v/>
      </c>
      <c r="C190" s="26">
        <f>B190-B189</f>
        <v/>
      </c>
      <c r="D190" s="26">
        <f>AVERAGE(C188:C190)</f>
        <v/>
      </c>
      <c r="E190" s="58">
        <f>VLOOKUP(Table1[[#This Row],[Date]],Database!A:D,4,)</f>
        <v/>
      </c>
      <c r="F190" s="58">
        <f>VLOOKUP(Table1[[#This Row],[Date]],Database!A:D,2,)</f>
        <v/>
      </c>
      <c r="G190" s="55" t="n"/>
    </row>
    <row r="191">
      <c r="A191" s="54" t="n">
        <v>19694</v>
      </c>
      <c r="B191" s="25">
        <f>VLOOKUP(Table1[[#This Row],[Date]],Database!A:D,3,)</f>
        <v/>
      </c>
      <c r="C191" s="26">
        <f>B191-B190</f>
        <v/>
      </c>
      <c r="D191" s="26">
        <f>AVERAGE(C189:C191)</f>
        <v/>
      </c>
      <c r="E191" s="58">
        <f>VLOOKUP(Table1[[#This Row],[Date]],Database!A:D,4,)</f>
        <v/>
      </c>
      <c r="F191" s="58">
        <f>VLOOKUP(Table1[[#This Row],[Date]],Database!A:D,2,)</f>
        <v/>
      </c>
      <c r="G191" s="55" t="n"/>
    </row>
    <row r="192">
      <c r="A192" s="54" t="n">
        <v>19725</v>
      </c>
      <c r="B192" s="25">
        <f>VLOOKUP(Table1[[#This Row],[Date]],Database!A:D,3,)</f>
        <v/>
      </c>
      <c r="C192" s="26">
        <f>B192-B191</f>
        <v/>
      </c>
      <c r="D192" s="26">
        <f>AVERAGE(C190:C192)</f>
        <v/>
      </c>
      <c r="E192" s="58">
        <f>VLOOKUP(Table1[[#This Row],[Date]],Database!A:D,4,)</f>
        <v/>
      </c>
      <c r="F192" s="58">
        <f>VLOOKUP(Table1[[#This Row],[Date]],Database!A:D,2,)</f>
        <v/>
      </c>
      <c r="G192" s="55" t="n"/>
    </row>
    <row r="193">
      <c r="A193" s="54" t="n">
        <v>19756</v>
      </c>
      <c r="B193" s="25">
        <f>VLOOKUP(Table1[[#This Row],[Date]],Database!A:D,3,)</f>
        <v/>
      </c>
      <c r="C193" s="26">
        <f>B193-B192</f>
        <v/>
      </c>
      <c r="D193" s="26">
        <f>AVERAGE(C191:C193)</f>
        <v/>
      </c>
      <c r="E193" s="58">
        <f>VLOOKUP(Table1[[#This Row],[Date]],Database!A:D,4,)</f>
        <v/>
      </c>
      <c r="F193" s="58">
        <f>VLOOKUP(Table1[[#This Row],[Date]],Database!A:D,2,)</f>
        <v/>
      </c>
      <c r="G193" s="55" t="n"/>
    </row>
    <row r="194">
      <c r="A194" s="54" t="n">
        <v>19784</v>
      </c>
      <c r="B194" s="25">
        <f>VLOOKUP(Table1[[#This Row],[Date]],Database!A:D,3,)</f>
        <v/>
      </c>
      <c r="C194" s="26">
        <f>B194-B193</f>
        <v/>
      </c>
      <c r="D194" s="26">
        <f>AVERAGE(C192:C194)</f>
        <v/>
      </c>
      <c r="E194" s="58">
        <f>VLOOKUP(Table1[[#This Row],[Date]],Database!A:D,4,)</f>
        <v/>
      </c>
      <c r="F194" s="58">
        <f>VLOOKUP(Table1[[#This Row],[Date]],Database!A:D,2,)</f>
        <v/>
      </c>
      <c r="G194" s="55" t="n"/>
    </row>
    <row r="195">
      <c r="A195" s="54" t="n">
        <v>19815</v>
      </c>
      <c r="B195" s="25">
        <f>VLOOKUP(Table1[[#This Row],[Date]],Database!A:D,3,)</f>
        <v/>
      </c>
      <c r="C195" s="26">
        <f>B195-B194</f>
        <v/>
      </c>
      <c r="D195" s="26">
        <f>AVERAGE(C193:C195)</f>
        <v/>
      </c>
      <c r="E195" s="58">
        <f>VLOOKUP(Table1[[#This Row],[Date]],Database!A:D,4,)</f>
        <v/>
      </c>
      <c r="F195" s="58">
        <f>VLOOKUP(Table1[[#This Row],[Date]],Database!A:D,2,)</f>
        <v/>
      </c>
      <c r="G195" s="55" t="n"/>
    </row>
    <row r="196">
      <c r="A196" s="54" t="n">
        <v>19845</v>
      </c>
      <c r="B196" s="25">
        <f>VLOOKUP(Table1[[#This Row],[Date]],Database!A:D,3,)</f>
        <v/>
      </c>
      <c r="C196" s="26">
        <f>B196-B195</f>
        <v/>
      </c>
      <c r="D196" s="26">
        <f>AVERAGE(C194:C196)</f>
        <v/>
      </c>
      <c r="E196" s="58">
        <f>VLOOKUP(Table1[[#This Row],[Date]],Database!A:D,4,)</f>
        <v/>
      </c>
      <c r="F196" s="58">
        <f>VLOOKUP(Table1[[#This Row],[Date]],Database!A:D,2,)</f>
        <v/>
      </c>
      <c r="G196" s="55" t="n"/>
    </row>
    <row r="197">
      <c r="A197" s="54" t="n">
        <v>19876</v>
      </c>
      <c r="B197" s="25">
        <f>VLOOKUP(Table1[[#This Row],[Date]],Database!A:D,3,)</f>
        <v/>
      </c>
      <c r="C197" s="26">
        <f>B197-B196</f>
        <v/>
      </c>
      <c r="D197" s="26">
        <f>AVERAGE(C195:C197)</f>
        <v/>
      </c>
      <c r="E197" s="58">
        <f>VLOOKUP(Table1[[#This Row],[Date]],Database!A:D,4,)</f>
        <v/>
      </c>
      <c r="F197" s="58">
        <f>VLOOKUP(Table1[[#This Row],[Date]],Database!A:D,2,)</f>
        <v/>
      </c>
      <c r="G197" s="55" t="n"/>
    </row>
    <row r="198">
      <c r="A198" s="54" t="n">
        <v>19906</v>
      </c>
      <c r="B198" s="25">
        <f>VLOOKUP(Table1[[#This Row],[Date]],Database!A:D,3,)</f>
        <v/>
      </c>
      <c r="C198" s="26">
        <f>B198-B197</f>
        <v/>
      </c>
      <c r="D198" s="26">
        <f>AVERAGE(C196:C198)</f>
        <v/>
      </c>
      <c r="E198" s="58">
        <f>VLOOKUP(Table1[[#This Row],[Date]],Database!A:D,4,)</f>
        <v/>
      </c>
      <c r="F198" s="58">
        <f>VLOOKUP(Table1[[#This Row],[Date]],Database!A:D,2,)</f>
        <v/>
      </c>
      <c r="G198" s="55" t="n"/>
    </row>
    <row r="199">
      <c r="A199" s="54" t="n">
        <v>19937</v>
      </c>
      <c r="B199" s="25">
        <f>VLOOKUP(Table1[[#This Row],[Date]],Database!A:D,3,)</f>
        <v/>
      </c>
      <c r="C199" s="26">
        <f>B199-B198</f>
        <v/>
      </c>
      <c r="D199" s="26">
        <f>AVERAGE(C197:C199)</f>
        <v/>
      </c>
      <c r="E199" s="58">
        <f>VLOOKUP(Table1[[#This Row],[Date]],Database!A:D,4,)</f>
        <v/>
      </c>
      <c r="F199" s="58">
        <f>VLOOKUP(Table1[[#This Row],[Date]],Database!A:D,2,)</f>
        <v/>
      </c>
      <c r="G199" s="55" t="n"/>
    </row>
    <row r="200">
      <c r="A200" s="54" t="n">
        <v>19968</v>
      </c>
      <c r="B200" s="25">
        <f>VLOOKUP(Table1[[#This Row],[Date]],Database!A:D,3,)</f>
        <v/>
      </c>
      <c r="C200" s="26">
        <f>B200-B199</f>
        <v/>
      </c>
      <c r="D200" s="26">
        <f>AVERAGE(C198:C200)</f>
        <v/>
      </c>
      <c r="E200" s="58">
        <f>VLOOKUP(Table1[[#This Row],[Date]],Database!A:D,4,)</f>
        <v/>
      </c>
      <c r="F200" s="58">
        <f>VLOOKUP(Table1[[#This Row],[Date]],Database!A:D,2,)</f>
        <v/>
      </c>
      <c r="G200" s="55" t="n"/>
    </row>
    <row r="201">
      <c r="A201" s="54" t="n">
        <v>19998</v>
      </c>
      <c r="B201" s="25">
        <f>VLOOKUP(Table1[[#This Row],[Date]],Database!A:D,3,)</f>
        <v/>
      </c>
      <c r="C201" s="26">
        <f>B201-B200</f>
        <v/>
      </c>
      <c r="D201" s="26">
        <f>AVERAGE(C199:C201)</f>
        <v/>
      </c>
      <c r="E201" s="58">
        <f>VLOOKUP(Table1[[#This Row],[Date]],Database!A:D,4,)</f>
        <v/>
      </c>
      <c r="F201" s="58">
        <f>VLOOKUP(Table1[[#This Row],[Date]],Database!A:D,2,)</f>
        <v/>
      </c>
      <c r="G201" s="55" t="n"/>
    </row>
    <row r="202">
      <c r="A202" s="54" t="n">
        <v>20029</v>
      </c>
      <c r="B202" s="25">
        <f>VLOOKUP(Table1[[#This Row],[Date]],Database!A:D,3,)</f>
        <v/>
      </c>
      <c r="C202" s="26">
        <f>B202-B201</f>
        <v/>
      </c>
      <c r="D202" s="26">
        <f>AVERAGE(C200:C202)</f>
        <v/>
      </c>
      <c r="E202" s="58">
        <f>VLOOKUP(Table1[[#This Row],[Date]],Database!A:D,4,)</f>
        <v/>
      </c>
      <c r="F202" s="58">
        <f>VLOOKUP(Table1[[#This Row],[Date]],Database!A:D,2,)</f>
        <v/>
      </c>
      <c r="G202" s="55" t="n"/>
    </row>
    <row r="203">
      <c r="A203" s="54" t="n">
        <v>20059</v>
      </c>
      <c r="B203" s="25">
        <f>VLOOKUP(Table1[[#This Row],[Date]],Database!A:D,3,)</f>
        <v/>
      </c>
      <c r="C203" s="26">
        <f>B203-B202</f>
        <v/>
      </c>
      <c r="D203" s="26">
        <f>AVERAGE(C201:C203)</f>
        <v/>
      </c>
      <c r="E203" s="58">
        <f>VLOOKUP(Table1[[#This Row],[Date]],Database!A:D,4,)</f>
        <v/>
      </c>
      <c r="F203" s="58">
        <f>VLOOKUP(Table1[[#This Row],[Date]],Database!A:D,2,)</f>
        <v/>
      </c>
      <c r="G203" s="55" t="n"/>
    </row>
    <row r="204">
      <c r="A204" s="54" t="n">
        <v>20090</v>
      </c>
      <c r="B204" s="25">
        <f>VLOOKUP(Table1[[#This Row],[Date]],Database!A:D,3,)</f>
        <v/>
      </c>
      <c r="C204" s="26">
        <f>B204-B203</f>
        <v/>
      </c>
      <c r="D204" s="26">
        <f>AVERAGE(C202:C204)</f>
        <v/>
      </c>
      <c r="E204" s="58">
        <f>VLOOKUP(Table1[[#This Row],[Date]],Database!A:D,4,)</f>
        <v/>
      </c>
      <c r="F204" s="58">
        <f>VLOOKUP(Table1[[#This Row],[Date]],Database!A:D,2,)</f>
        <v/>
      </c>
      <c r="G204" s="55" t="n"/>
    </row>
    <row r="205">
      <c r="A205" s="54" t="n">
        <v>20121</v>
      </c>
      <c r="B205" s="25">
        <f>VLOOKUP(Table1[[#This Row],[Date]],Database!A:D,3,)</f>
        <v/>
      </c>
      <c r="C205" s="26">
        <f>B205-B204</f>
        <v/>
      </c>
      <c r="D205" s="26">
        <f>AVERAGE(C203:C205)</f>
        <v/>
      </c>
      <c r="E205" s="58">
        <f>VLOOKUP(Table1[[#This Row],[Date]],Database!A:D,4,)</f>
        <v/>
      </c>
      <c r="F205" s="58">
        <f>VLOOKUP(Table1[[#This Row],[Date]],Database!A:D,2,)</f>
        <v/>
      </c>
      <c r="G205" s="55" t="n"/>
    </row>
    <row r="206">
      <c r="A206" s="54" t="n">
        <v>20149</v>
      </c>
      <c r="B206" s="25">
        <f>VLOOKUP(Table1[[#This Row],[Date]],Database!A:D,3,)</f>
        <v/>
      </c>
      <c r="C206" s="26">
        <f>B206-B205</f>
        <v/>
      </c>
      <c r="D206" s="26">
        <f>AVERAGE(C204:C206)</f>
        <v/>
      </c>
      <c r="E206" s="58">
        <f>VLOOKUP(Table1[[#This Row],[Date]],Database!A:D,4,)</f>
        <v/>
      </c>
      <c r="F206" s="58">
        <f>VLOOKUP(Table1[[#This Row],[Date]],Database!A:D,2,)</f>
        <v/>
      </c>
      <c r="G206" s="55" t="n"/>
    </row>
    <row r="207">
      <c r="A207" s="54" t="n">
        <v>20180</v>
      </c>
      <c r="B207" s="25">
        <f>VLOOKUP(Table1[[#This Row],[Date]],Database!A:D,3,)</f>
        <v/>
      </c>
      <c r="C207" s="26">
        <f>B207-B206</f>
        <v/>
      </c>
      <c r="D207" s="26">
        <f>AVERAGE(C205:C207)</f>
        <v/>
      </c>
      <c r="E207" s="58">
        <f>VLOOKUP(Table1[[#This Row],[Date]],Database!A:D,4,)</f>
        <v/>
      </c>
      <c r="F207" s="58">
        <f>VLOOKUP(Table1[[#This Row],[Date]],Database!A:D,2,)</f>
        <v/>
      </c>
      <c r="G207" s="55" t="n"/>
    </row>
    <row r="208">
      <c r="A208" s="54" t="n">
        <v>20210</v>
      </c>
      <c r="B208" s="25">
        <f>VLOOKUP(Table1[[#This Row],[Date]],Database!A:D,3,)</f>
        <v/>
      </c>
      <c r="C208" s="26">
        <f>B208-B207</f>
        <v/>
      </c>
      <c r="D208" s="26">
        <f>AVERAGE(C206:C208)</f>
        <v/>
      </c>
      <c r="E208" s="58">
        <f>VLOOKUP(Table1[[#This Row],[Date]],Database!A:D,4,)</f>
        <v/>
      </c>
      <c r="F208" s="58">
        <f>VLOOKUP(Table1[[#This Row],[Date]],Database!A:D,2,)</f>
        <v/>
      </c>
      <c r="G208" s="55" t="n"/>
    </row>
    <row r="209">
      <c r="A209" s="54" t="n">
        <v>20241</v>
      </c>
      <c r="B209" s="25">
        <f>VLOOKUP(Table1[[#This Row],[Date]],Database!A:D,3,)</f>
        <v/>
      </c>
      <c r="C209" s="26">
        <f>B209-B208</f>
        <v/>
      </c>
      <c r="D209" s="26">
        <f>AVERAGE(C207:C209)</f>
        <v/>
      </c>
      <c r="E209" s="58">
        <f>VLOOKUP(Table1[[#This Row],[Date]],Database!A:D,4,)</f>
        <v/>
      </c>
      <c r="F209" s="58">
        <f>VLOOKUP(Table1[[#This Row],[Date]],Database!A:D,2,)</f>
        <v/>
      </c>
      <c r="G209" s="55" t="n"/>
    </row>
    <row r="210">
      <c r="A210" s="54" t="n">
        <v>20271</v>
      </c>
      <c r="B210" s="25">
        <f>VLOOKUP(Table1[[#This Row],[Date]],Database!A:D,3,)</f>
        <v/>
      </c>
      <c r="C210" s="26">
        <f>B210-B209</f>
        <v/>
      </c>
      <c r="D210" s="26">
        <f>AVERAGE(C208:C210)</f>
        <v/>
      </c>
      <c r="E210" s="58">
        <f>VLOOKUP(Table1[[#This Row],[Date]],Database!A:D,4,)</f>
        <v/>
      </c>
      <c r="F210" s="58">
        <f>VLOOKUP(Table1[[#This Row],[Date]],Database!A:D,2,)</f>
        <v/>
      </c>
      <c r="G210" s="55" t="n"/>
    </row>
    <row r="211">
      <c r="A211" s="54" t="n">
        <v>20302</v>
      </c>
      <c r="B211" s="25">
        <f>VLOOKUP(Table1[[#This Row],[Date]],Database!A:D,3,)</f>
        <v/>
      </c>
      <c r="C211" s="26">
        <f>B211-B210</f>
        <v/>
      </c>
      <c r="D211" s="26">
        <f>AVERAGE(C209:C211)</f>
        <v/>
      </c>
      <c r="E211" s="58">
        <f>VLOOKUP(Table1[[#This Row],[Date]],Database!A:D,4,)</f>
        <v/>
      </c>
      <c r="F211" s="58">
        <f>VLOOKUP(Table1[[#This Row],[Date]],Database!A:D,2,)</f>
        <v/>
      </c>
      <c r="G211" s="55" t="n"/>
    </row>
    <row r="212">
      <c r="A212" s="54" t="n">
        <v>20333</v>
      </c>
      <c r="B212" s="25">
        <f>VLOOKUP(Table1[[#This Row],[Date]],Database!A:D,3,)</f>
        <v/>
      </c>
      <c r="C212" s="26">
        <f>B212-B211</f>
        <v/>
      </c>
      <c r="D212" s="26">
        <f>AVERAGE(C210:C212)</f>
        <v/>
      </c>
      <c r="E212" s="58">
        <f>VLOOKUP(Table1[[#This Row],[Date]],Database!A:D,4,)</f>
        <v/>
      </c>
      <c r="F212" s="58">
        <f>VLOOKUP(Table1[[#This Row],[Date]],Database!A:D,2,)</f>
        <v/>
      </c>
      <c r="G212" s="55" t="n"/>
    </row>
    <row r="213">
      <c r="A213" s="54" t="n">
        <v>20363</v>
      </c>
      <c r="B213" s="25">
        <f>VLOOKUP(Table1[[#This Row],[Date]],Database!A:D,3,)</f>
        <v/>
      </c>
      <c r="C213" s="26">
        <f>B213-B212</f>
        <v/>
      </c>
      <c r="D213" s="26">
        <f>AVERAGE(C211:C213)</f>
        <v/>
      </c>
      <c r="E213" s="58">
        <f>VLOOKUP(Table1[[#This Row],[Date]],Database!A:D,4,)</f>
        <v/>
      </c>
      <c r="F213" s="58">
        <f>VLOOKUP(Table1[[#This Row],[Date]],Database!A:D,2,)</f>
        <v/>
      </c>
      <c r="G213" s="55" t="n"/>
    </row>
    <row r="214">
      <c r="A214" s="54" t="n">
        <v>20394</v>
      </c>
      <c r="B214" s="25">
        <f>VLOOKUP(Table1[[#This Row],[Date]],Database!A:D,3,)</f>
        <v/>
      </c>
      <c r="C214" s="26">
        <f>B214-B213</f>
        <v/>
      </c>
      <c r="D214" s="26">
        <f>AVERAGE(C212:C214)</f>
        <v/>
      </c>
      <c r="E214" s="58">
        <f>VLOOKUP(Table1[[#This Row],[Date]],Database!A:D,4,)</f>
        <v/>
      </c>
      <c r="F214" s="58">
        <f>VLOOKUP(Table1[[#This Row],[Date]],Database!A:D,2,)</f>
        <v/>
      </c>
      <c r="G214" s="55" t="n"/>
    </row>
    <row r="215">
      <c r="A215" s="54" t="n">
        <v>20424</v>
      </c>
      <c r="B215" s="25">
        <f>VLOOKUP(Table1[[#This Row],[Date]],Database!A:D,3,)</f>
        <v/>
      </c>
      <c r="C215" s="26">
        <f>B215-B214</f>
        <v/>
      </c>
      <c r="D215" s="26">
        <f>AVERAGE(C213:C215)</f>
        <v/>
      </c>
      <c r="E215" s="58">
        <f>VLOOKUP(Table1[[#This Row],[Date]],Database!A:D,4,)</f>
        <v/>
      </c>
      <c r="F215" s="58">
        <f>VLOOKUP(Table1[[#This Row],[Date]],Database!A:D,2,)</f>
        <v/>
      </c>
      <c r="G215" s="55" t="n"/>
    </row>
    <row r="216">
      <c r="A216" s="54" t="n">
        <v>20455</v>
      </c>
      <c r="B216" s="25">
        <f>VLOOKUP(Table1[[#This Row],[Date]],Database!A:D,3,)</f>
        <v/>
      </c>
      <c r="C216" s="26">
        <f>B216-B215</f>
        <v/>
      </c>
      <c r="D216" s="26">
        <f>AVERAGE(C214:C216)</f>
        <v/>
      </c>
      <c r="E216" s="58">
        <f>VLOOKUP(Table1[[#This Row],[Date]],Database!A:D,4,)</f>
        <v/>
      </c>
      <c r="F216" s="58">
        <f>VLOOKUP(Table1[[#This Row],[Date]],Database!A:D,2,)</f>
        <v/>
      </c>
      <c r="G216" s="55" t="n"/>
    </row>
    <row r="217">
      <c r="A217" s="54" t="n">
        <v>20486</v>
      </c>
      <c r="B217" s="25">
        <f>VLOOKUP(Table1[[#This Row],[Date]],Database!A:D,3,)</f>
        <v/>
      </c>
      <c r="C217" s="26">
        <f>B217-B216</f>
        <v/>
      </c>
      <c r="D217" s="26">
        <f>AVERAGE(C215:C217)</f>
        <v/>
      </c>
      <c r="E217" s="58">
        <f>VLOOKUP(Table1[[#This Row],[Date]],Database!A:D,4,)</f>
        <v/>
      </c>
      <c r="F217" s="58">
        <f>VLOOKUP(Table1[[#This Row],[Date]],Database!A:D,2,)</f>
        <v/>
      </c>
      <c r="G217" s="55" t="n"/>
    </row>
    <row r="218">
      <c r="A218" s="54" t="n">
        <v>20515</v>
      </c>
      <c r="B218" s="25">
        <f>VLOOKUP(Table1[[#This Row],[Date]],Database!A:D,3,)</f>
        <v/>
      </c>
      <c r="C218" s="26">
        <f>B218-B217</f>
        <v/>
      </c>
      <c r="D218" s="26">
        <f>AVERAGE(C216:C218)</f>
        <v/>
      </c>
      <c r="E218" s="58">
        <f>VLOOKUP(Table1[[#This Row],[Date]],Database!A:D,4,)</f>
        <v/>
      </c>
      <c r="F218" s="58">
        <f>VLOOKUP(Table1[[#This Row],[Date]],Database!A:D,2,)</f>
        <v/>
      </c>
      <c r="G218" s="55" t="n"/>
    </row>
    <row r="219">
      <c r="A219" s="54" t="n">
        <v>20546</v>
      </c>
      <c r="B219" s="25">
        <f>VLOOKUP(Table1[[#This Row],[Date]],Database!A:D,3,)</f>
        <v/>
      </c>
      <c r="C219" s="26">
        <f>B219-B218</f>
        <v/>
      </c>
      <c r="D219" s="26">
        <f>AVERAGE(C217:C219)</f>
        <v/>
      </c>
      <c r="E219" s="58">
        <f>VLOOKUP(Table1[[#This Row],[Date]],Database!A:D,4,)</f>
        <v/>
      </c>
      <c r="F219" s="58">
        <f>VLOOKUP(Table1[[#This Row],[Date]],Database!A:D,2,)</f>
        <v/>
      </c>
      <c r="G219" s="55" t="n"/>
    </row>
    <row r="220">
      <c r="A220" s="54" t="n">
        <v>20576</v>
      </c>
      <c r="B220" s="25">
        <f>VLOOKUP(Table1[[#This Row],[Date]],Database!A:D,3,)</f>
        <v/>
      </c>
      <c r="C220" s="26">
        <f>B220-B219</f>
        <v/>
      </c>
      <c r="D220" s="26">
        <f>AVERAGE(C218:C220)</f>
        <v/>
      </c>
      <c r="E220" s="58">
        <f>VLOOKUP(Table1[[#This Row],[Date]],Database!A:D,4,)</f>
        <v/>
      </c>
      <c r="F220" s="58">
        <f>VLOOKUP(Table1[[#This Row],[Date]],Database!A:D,2,)</f>
        <v/>
      </c>
      <c r="G220" s="55" t="n"/>
    </row>
    <row r="221">
      <c r="A221" s="54" t="n">
        <v>20607</v>
      </c>
      <c r="B221" s="25">
        <f>VLOOKUP(Table1[[#This Row],[Date]],Database!A:D,3,)</f>
        <v/>
      </c>
      <c r="C221" s="26">
        <f>B221-B220</f>
        <v/>
      </c>
      <c r="D221" s="26">
        <f>AVERAGE(C219:C221)</f>
        <v/>
      </c>
      <c r="E221" s="58">
        <f>VLOOKUP(Table1[[#This Row],[Date]],Database!A:D,4,)</f>
        <v/>
      </c>
      <c r="F221" s="58">
        <f>VLOOKUP(Table1[[#This Row],[Date]],Database!A:D,2,)</f>
        <v/>
      </c>
      <c r="G221" s="55" t="n"/>
    </row>
    <row r="222">
      <c r="A222" s="54" t="n">
        <v>20637</v>
      </c>
      <c r="B222" s="25">
        <f>VLOOKUP(Table1[[#This Row],[Date]],Database!A:D,3,)</f>
        <v/>
      </c>
      <c r="C222" s="26">
        <f>B222-B221</f>
        <v/>
      </c>
      <c r="D222" s="26">
        <f>AVERAGE(C220:C222)</f>
        <v/>
      </c>
      <c r="E222" s="58">
        <f>VLOOKUP(Table1[[#This Row],[Date]],Database!A:D,4,)</f>
        <v/>
      </c>
      <c r="F222" s="58">
        <f>VLOOKUP(Table1[[#This Row],[Date]],Database!A:D,2,)</f>
        <v/>
      </c>
      <c r="G222" s="55" t="n"/>
    </row>
    <row r="223">
      <c r="A223" s="54" t="n">
        <v>20668</v>
      </c>
      <c r="B223" s="25">
        <f>VLOOKUP(Table1[[#This Row],[Date]],Database!A:D,3,)</f>
        <v/>
      </c>
      <c r="C223" s="26">
        <f>B223-B222</f>
        <v/>
      </c>
      <c r="D223" s="26">
        <f>AVERAGE(C221:C223)</f>
        <v/>
      </c>
      <c r="E223" s="58">
        <f>VLOOKUP(Table1[[#This Row],[Date]],Database!A:D,4,)</f>
        <v/>
      </c>
      <c r="F223" s="58">
        <f>VLOOKUP(Table1[[#This Row],[Date]],Database!A:D,2,)</f>
        <v/>
      </c>
      <c r="G223" s="55" t="n"/>
    </row>
    <row r="224">
      <c r="A224" s="54" t="n">
        <v>20699</v>
      </c>
      <c r="B224" s="25">
        <f>VLOOKUP(Table1[[#This Row],[Date]],Database!A:D,3,)</f>
        <v/>
      </c>
      <c r="C224" s="26">
        <f>B224-B223</f>
        <v/>
      </c>
      <c r="D224" s="26">
        <f>AVERAGE(C222:C224)</f>
        <v/>
      </c>
      <c r="E224" s="58">
        <f>VLOOKUP(Table1[[#This Row],[Date]],Database!A:D,4,)</f>
        <v/>
      </c>
      <c r="F224" s="58">
        <f>VLOOKUP(Table1[[#This Row],[Date]],Database!A:D,2,)</f>
        <v/>
      </c>
      <c r="G224" s="55" t="n"/>
    </row>
    <row r="225">
      <c r="A225" s="54" t="n">
        <v>20729</v>
      </c>
      <c r="B225" s="25">
        <f>VLOOKUP(Table1[[#This Row],[Date]],Database!A:D,3,)</f>
        <v/>
      </c>
      <c r="C225" s="26">
        <f>B225-B224</f>
        <v/>
      </c>
      <c r="D225" s="26">
        <f>AVERAGE(C223:C225)</f>
        <v/>
      </c>
      <c r="E225" s="58">
        <f>VLOOKUP(Table1[[#This Row],[Date]],Database!A:D,4,)</f>
        <v/>
      </c>
      <c r="F225" s="58">
        <f>VLOOKUP(Table1[[#This Row],[Date]],Database!A:D,2,)</f>
        <v/>
      </c>
      <c r="G225" s="55" t="n"/>
    </row>
    <row r="226">
      <c r="A226" s="54" t="n">
        <v>20760</v>
      </c>
      <c r="B226" s="25">
        <f>VLOOKUP(Table1[[#This Row],[Date]],Database!A:D,3,)</f>
        <v/>
      </c>
      <c r="C226" s="26">
        <f>B226-B225</f>
        <v/>
      </c>
      <c r="D226" s="26">
        <f>AVERAGE(C224:C226)</f>
        <v/>
      </c>
      <c r="E226" s="58">
        <f>VLOOKUP(Table1[[#This Row],[Date]],Database!A:D,4,)</f>
        <v/>
      </c>
      <c r="F226" s="58">
        <f>VLOOKUP(Table1[[#This Row],[Date]],Database!A:D,2,)</f>
        <v/>
      </c>
      <c r="G226" s="55" t="n"/>
    </row>
    <row r="227">
      <c r="A227" s="54" t="n">
        <v>20790</v>
      </c>
      <c r="B227" s="25">
        <f>VLOOKUP(Table1[[#This Row],[Date]],Database!A:D,3,)</f>
        <v/>
      </c>
      <c r="C227" s="26">
        <f>B227-B226</f>
        <v/>
      </c>
      <c r="D227" s="26">
        <f>AVERAGE(C225:C227)</f>
        <v/>
      </c>
      <c r="E227" s="58">
        <f>VLOOKUP(Table1[[#This Row],[Date]],Database!A:D,4,)</f>
        <v/>
      </c>
      <c r="F227" s="58">
        <f>VLOOKUP(Table1[[#This Row],[Date]],Database!A:D,2,)</f>
        <v/>
      </c>
      <c r="G227" s="55" t="n"/>
    </row>
    <row r="228">
      <c r="A228" s="54" t="n">
        <v>20821</v>
      </c>
      <c r="B228" s="25">
        <f>VLOOKUP(Table1[[#This Row],[Date]],Database!A:D,3,)</f>
        <v/>
      </c>
      <c r="C228" s="26">
        <f>B228-B227</f>
        <v/>
      </c>
      <c r="D228" s="26">
        <f>AVERAGE(C226:C228)</f>
        <v/>
      </c>
      <c r="E228" s="58">
        <f>VLOOKUP(Table1[[#This Row],[Date]],Database!A:D,4,)</f>
        <v/>
      </c>
      <c r="F228" s="58">
        <f>VLOOKUP(Table1[[#This Row],[Date]],Database!A:D,2,)</f>
        <v/>
      </c>
      <c r="G228" s="55" t="n"/>
    </row>
    <row r="229">
      <c r="A229" s="54" t="n">
        <v>20852</v>
      </c>
      <c r="B229" s="25">
        <f>VLOOKUP(Table1[[#This Row],[Date]],Database!A:D,3,)</f>
        <v/>
      </c>
      <c r="C229" s="26">
        <f>B229-B228</f>
        <v/>
      </c>
      <c r="D229" s="26">
        <f>AVERAGE(C227:C229)</f>
        <v/>
      </c>
      <c r="E229" s="58">
        <f>VLOOKUP(Table1[[#This Row],[Date]],Database!A:D,4,)</f>
        <v/>
      </c>
      <c r="F229" s="58">
        <f>VLOOKUP(Table1[[#This Row],[Date]],Database!A:D,2,)</f>
        <v/>
      </c>
      <c r="G229" s="55" t="n"/>
    </row>
    <row r="230">
      <c r="A230" s="54" t="n">
        <v>20880</v>
      </c>
      <c r="B230" s="25">
        <f>VLOOKUP(Table1[[#This Row],[Date]],Database!A:D,3,)</f>
        <v/>
      </c>
      <c r="C230" s="26">
        <f>B230-B229</f>
        <v/>
      </c>
      <c r="D230" s="26">
        <f>AVERAGE(C228:C230)</f>
        <v/>
      </c>
      <c r="E230" s="58">
        <f>VLOOKUP(Table1[[#This Row],[Date]],Database!A:D,4,)</f>
        <v/>
      </c>
      <c r="F230" s="58">
        <f>VLOOKUP(Table1[[#This Row],[Date]],Database!A:D,2,)</f>
        <v/>
      </c>
      <c r="G230" s="55" t="n"/>
    </row>
    <row r="231">
      <c r="A231" s="54" t="n">
        <v>20911</v>
      </c>
      <c r="B231" s="25">
        <f>VLOOKUP(Table1[[#This Row],[Date]],Database!A:D,3,)</f>
        <v/>
      </c>
      <c r="C231" s="26">
        <f>B231-B230</f>
        <v/>
      </c>
      <c r="D231" s="26">
        <f>AVERAGE(C229:C231)</f>
        <v/>
      </c>
      <c r="E231" s="58">
        <f>VLOOKUP(Table1[[#This Row],[Date]],Database!A:D,4,)</f>
        <v/>
      </c>
      <c r="F231" s="58">
        <f>VLOOKUP(Table1[[#This Row],[Date]],Database!A:D,2,)</f>
        <v/>
      </c>
      <c r="G231" s="55" t="n"/>
    </row>
    <row r="232">
      <c r="A232" s="54" t="n">
        <v>20941</v>
      </c>
      <c r="B232" s="25">
        <f>VLOOKUP(Table1[[#This Row],[Date]],Database!A:D,3,)</f>
        <v/>
      </c>
      <c r="C232" s="26">
        <f>B232-B231</f>
        <v/>
      </c>
      <c r="D232" s="26">
        <f>AVERAGE(C230:C232)</f>
        <v/>
      </c>
      <c r="E232" s="58">
        <f>VLOOKUP(Table1[[#This Row],[Date]],Database!A:D,4,)</f>
        <v/>
      </c>
      <c r="F232" s="58">
        <f>VLOOKUP(Table1[[#This Row],[Date]],Database!A:D,2,)</f>
        <v/>
      </c>
      <c r="G232" s="55" t="n"/>
    </row>
    <row r="233">
      <c r="A233" s="54" t="n">
        <v>20972</v>
      </c>
      <c r="B233" s="25">
        <f>VLOOKUP(Table1[[#This Row],[Date]],Database!A:D,3,)</f>
        <v/>
      </c>
      <c r="C233" s="26">
        <f>B233-B232</f>
        <v/>
      </c>
      <c r="D233" s="26">
        <f>AVERAGE(C231:C233)</f>
        <v/>
      </c>
      <c r="E233" s="58">
        <f>VLOOKUP(Table1[[#This Row],[Date]],Database!A:D,4,)</f>
        <v/>
      </c>
      <c r="F233" s="58">
        <f>VLOOKUP(Table1[[#This Row],[Date]],Database!A:D,2,)</f>
        <v/>
      </c>
      <c r="G233" s="55" t="n"/>
    </row>
    <row r="234">
      <c r="A234" s="54" t="n">
        <v>21002</v>
      </c>
      <c r="B234" s="25">
        <f>VLOOKUP(Table1[[#This Row],[Date]],Database!A:D,3,)</f>
        <v/>
      </c>
      <c r="C234" s="26">
        <f>B234-B233</f>
        <v/>
      </c>
      <c r="D234" s="26">
        <f>AVERAGE(C232:C234)</f>
        <v/>
      </c>
      <c r="E234" s="58">
        <f>VLOOKUP(Table1[[#This Row],[Date]],Database!A:D,4,)</f>
        <v/>
      </c>
      <c r="F234" s="58">
        <f>VLOOKUP(Table1[[#This Row],[Date]],Database!A:D,2,)</f>
        <v/>
      </c>
      <c r="G234" s="55" t="n"/>
    </row>
    <row r="235">
      <c r="A235" s="54" t="n">
        <v>21033</v>
      </c>
      <c r="B235" s="25">
        <f>VLOOKUP(Table1[[#This Row],[Date]],Database!A:D,3,)</f>
        <v/>
      </c>
      <c r="C235" s="26">
        <f>B235-B234</f>
        <v/>
      </c>
      <c r="D235" s="26">
        <f>AVERAGE(C233:C235)</f>
        <v/>
      </c>
      <c r="E235" s="58">
        <f>VLOOKUP(Table1[[#This Row],[Date]],Database!A:D,4,)</f>
        <v/>
      </c>
      <c r="F235" s="58">
        <f>VLOOKUP(Table1[[#This Row],[Date]],Database!A:D,2,)</f>
        <v/>
      </c>
      <c r="G235" s="55" t="n"/>
    </row>
    <row r="236">
      <c r="A236" s="54" t="n">
        <v>21064</v>
      </c>
      <c r="B236" s="25">
        <f>VLOOKUP(Table1[[#This Row],[Date]],Database!A:D,3,)</f>
        <v/>
      </c>
      <c r="C236" s="26">
        <f>B236-B235</f>
        <v/>
      </c>
      <c r="D236" s="26">
        <f>AVERAGE(C234:C236)</f>
        <v/>
      </c>
      <c r="E236" s="58">
        <f>VLOOKUP(Table1[[#This Row],[Date]],Database!A:D,4,)</f>
        <v/>
      </c>
      <c r="F236" s="58">
        <f>VLOOKUP(Table1[[#This Row],[Date]],Database!A:D,2,)</f>
        <v/>
      </c>
      <c r="G236" s="55" t="n"/>
    </row>
    <row r="237">
      <c r="A237" s="54" t="n">
        <v>21094</v>
      </c>
      <c r="B237" s="25">
        <f>VLOOKUP(Table1[[#This Row],[Date]],Database!A:D,3,)</f>
        <v/>
      </c>
      <c r="C237" s="26">
        <f>B237-B236</f>
        <v/>
      </c>
      <c r="D237" s="26">
        <f>AVERAGE(C235:C237)</f>
        <v/>
      </c>
      <c r="E237" s="58">
        <f>VLOOKUP(Table1[[#This Row],[Date]],Database!A:D,4,)</f>
        <v/>
      </c>
      <c r="F237" s="58">
        <f>VLOOKUP(Table1[[#This Row],[Date]],Database!A:D,2,)</f>
        <v/>
      </c>
      <c r="G237" s="55" t="n"/>
    </row>
    <row r="238">
      <c r="A238" s="54" t="n">
        <v>21125</v>
      </c>
      <c r="B238" s="25">
        <f>VLOOKUP(Table1[[#This Row],[Date]],Database!A:D,3,)</f>
        <v/>
      </c>
      <c r="C238" s="26">
        <f>B238-B237</f>
        <v/>
      </c>
      <c r="D238" s="26">
        <f>AVERAGE(C236:C238)</f>
        <v/>
      </c>
      <c r="E238" s="58">
        <f>VLOOKUP(Table1[[#This Row],[Date]],Database!A:D,4,)</f>
        <v/>
      </c>
      <c r="F238" s="58">
        <f>VLOOKUP(Table1[[#This Row],[Date]],Database!A:D,2,)</f>
        <v/>
      </c>
      <c r="G238" s="55" t="n"/>
    </row>
    <row r="239">
      <c r="A239" s="54" t="n">
        <v>21155</v>
      </c>
      <c r="B239" s="25">
        <f>VLOOKUP(Table1[[#This Row],[Date]],Database!A:D,3,)</f>
        <v/>
      </c>
      <c r="C239" s="26">
        <f>B239-B238</f>
        <v/>
      </c>
      <c r="D239" s="26">
        <f>AVERAGE(C237:C239)</f>
        <v/>
      </c>
      <c r="E239" s="58">
        <f>VLOOKUP(Table1[[#This Row],[Date]],Database!A:D,4,)</f>
        <v/>
      </c>
      <c r="F239" s="58">
        <f>VLOOKUP(Table1[[#This Row],[Date]],Database!A:D,2,)</f>
        <v/>
      </c>
      <c r="G239" s="55" t="n"/>
    </row>
    <row r="240">
      <c r="A240" s="54" t="n">
        <v>21186</v>
      </c>
      <c r="B240" s="25">
        <f>VLOOKUP(Table1[[#This Row],[Date]],Database!A:D,3,)</f>
        <v/>
      </c>
      <c r="C240" s="26">
        <f>B240-B239</f>
        <v/>
      </c>
      <c r="D240" s="26">
        <f>AVERAGE(C238:C240)</f>
        <v/>
      </c>
      <c r="E240" s="58">
        <f>VLOOKUP(Table1[[#This Row],[Date]],Database!A:D,4,)</f>
        <v/>
      </c>
      <c r="F240" s="58">
        <f>VLOOKUP(Table1[[#This Row],[Date]],Database!A:D,2,)</f>
        <v/>
      </c>
      <c r="G240" s="55" t="n"/>
    </row>
    <row r="241">
      <c r="A241" s="54" t="n">
        <v>21217</v>
      </c>
      <c r="B241" s="25">
        <f>VLOOKUP(Table1[[#This Row],[Date]],Database!A:D,3,)</f>
        <v/>
      </c>
      <c r="C241" s="26">
        <f>B241-B240</f>
        <v/>
      </c>
      <c r="D241" s="26">
        <f>AVERAGE(C239:C241)</f>
        <v/>
      </c>
      <c r="E241" s="58">
        <f>VLOOKUP(Table1[[#This Row],[Date]],Database!A:D,4,)</f>
        <v/>
      </c>
      <c r="F241" s="58">
        <f>VLOOKUP(Table1[[#This Row],[Date]],Database!A:D,2,)</f>
        <v/>
      </c>
      <c r="G241" s="55" t="n"/>
    </row>
    <row r="242">
      <c r="A242" s="54" t="n">
        <v>21245</v>
      </c>
      <c r="B242" s="25">
        <f>VLOOKUP(Table1[[#This Row],[Date]],Database!A:D,3,)</f>
        <v/>
      </c>
      <c r="C242" s="26">
        <f>B242-B241</f>
        <v/>
      </c>
      <c r="D242" s="26">
        <f>AVERAGE(C240:C242)</f>
        <v/>
      </c>
      <c r="E242" s="58">
        <f>VLOOKUP(Table1[[#This Row],[Date]],Database!A:D,4,)</f>
        <v/>
      </c>
      <c r="F242" s="58">
        <f>VLOOKUP(Table1[[#This Row],[Date]],Database!A:D,2,)</f>
        <v/>
      </c>
      <c r="G242" s="55" t="n"/>
    </row>
    <row r="243">
      <c r="A243" s="54" t="n">
        <v>21276</v>
      </c>
      <c r="B243" s="25">
        <f>VLOOKUP(Table1[[#This Row],[Date]],Database!A:D,3,)</f>
        <v/>
      </c>
      <c r="C243" s="26">
        <f>B243-B242</f>
        <v/>
      </c>
      <c r="D243" s="26">
        <f>AVERAGE(C241:C243)</f>
        <v/>
      </c>
      <c r="E243" s="58">
        <f>VLOOKUP(Table1[[#This Row],[Date]],Database!A:D,4,)</f>
        <v/>
      </c>
      <c r="F243" s="58">
        <f>VLOOKUP(Table1[[#This Row],[Date]],Database!A:D,2,)</f>
        <v/>
      </c>
      <c r="G243" s="55" t="n"/>
    </row>
    <row r="244">
      <c r="A244" s="54" t="n">
        <v>21306</v>
      </c>
      <c r="B244" s="25">
        <f>VLOOKUP(Table1[[#This Row],[Date]],Database!A:D,3,)</f>
        <v/>
      </c>
      <c r="C244" s="26">
        <f>B244-B243</f>
        <v/>
      </c>
      <c r="D244" s="26">
        <f>AVERAGE(C242:C244)</f>
        <v/>
      </c>
      <c r="E244" s="58">
        <f>VLOOKUP(Table1[[#This Row],[Date]],Database!A:D,4,)</f>
        <v/>
      </c>
      <c r="F244" s="58">
        <f>VLOOKUP(Table1[[#This Row],[Date]],Database!A:D,2,)</f>
        <v/>
      </c>
      <c r="G244" s="55" t="n"/>
    </row>
    <row r="245">
      <c r="A245" s="54" t="n">
        <v>21337</v>
      </c>
      <c r="B245" s="25">
        <f>VLOOKUP(Table1[[#This Row],[Date]],Database!A:D,3,)</f>
        <v/>
      </c>
      <c r="C245" s="26">
        <f>B245-B244</f>
        <v/>
      </c>
      <c r="D245" s="26">
        <f>AVERAGE(C243:C245)</f>
        <v/>
      </c>
      <c r="E245" s="58">
        <f>VLOOKUP(Table1[[#This Row],[Date]],Database!A:D,4,)</f>
        <v/>
      </c>
      <c r="F245" s="58">
        <f>VLOOKUP(Table1[[#This Row],[Date]],Database!A:D,2,)</f>
        <v/>
      </c>
      <c r="G245" s="55" t="n"/>
    </row>
    <row r="246">
      <c r="A246" s="54" t="n">
        <v>21367</v>
      </c>
      <c r="B246" s="25">
        <f>VLOOKUP(Table1[[#This Row],[Date]],Database!A:D,3,)</f>
        <v/>
      </c>
      <c r="C246" s="26">
        <f>B246-B245</f>
        <v/>
      </c>
      <c r="D246" s="26">
        <f>AVERAGE(C244:C246)</f>
        <v/>
      </c>
      <c r="E246" s="58">
        <f>VLOOKUP(Table1[[#This Row],[Date]],Database!A:D,4,)</f>
        <v/>
      </c>
      <c r="F246" s="58">
        <f>VLOOKUP(Table1[[#This Row],[Date]],Database!A:D,2,)</f>
        <v/>
      </c>
      <c r="G246" s="55" t="n"/>
    </row>
    <row r="247">
      <c r="A247" s="54" t="n">
        <v>21398</v>
      </c>
      <c r="B247" s="25">
        <f>VLOOKUP(Table1[[#This Row],[Date]],Database!A:D,3,)</f>
        <v/>
      </c>
      <c r="C247" s="26">
        <f>B247-B246</f>
        <v/>
      </c>
      <c r="D247" s="26">
        <f>AVERAGE(C245:C247)</f>
        <v/>
      </c>
      <c r="E247" s="58">
        <f>VLOOKUP(Table1[[#This Row],[Date]],Database!A:D,4,)</f>
        <v/>
      </c>
      <c r="F247" s="58">
        <f>VLOOKUP(Table1[[#This Row],[Date]],Database!A:D,2,)</f>
        <v/>
      </c>
      <c r="G247" s="55" t="n"/>
    </row>
    <row r="248">
      <c r="A248" s="54" t="n">
        <v>21429</v>
      </c>
      <c r="B248" s="25">
        <f>VLOOKUP(Table1[[#This Row],[Date]],Database!A:D,3,)</f>
        <v/>
      </c>
      <c r="C248" s="26">
        <f>B248-B247</f>
        <v/>
      </c>
      <c r="D248" s="26">
        <f>AVERAGE(C246:C248)</f>
        <v/>
      </c>
      <c r="E248" s="58">
        <f>VLOOKUP(Table1[[#This Row],[Date]],Database!A:D,4,)</f>
        <v/>
      </c>
      <c r="F248" s="58">
        <f>VLOOKUP(Table1[[#This Row],[Date]],Database!A:D,2,)</f>
        <v/>
      </c>
      <c r="G248" s="55" t="n"/>
    </row>
    <row r="249">
      <c r="A249" s="54" t="n">
        <v>21459</v>
      </c>
      <c r="B249" s="25">
        <f>VLOOKUP(Table1[[#This Row],[Date]],Database!A:D,3,)</f>
        <v/>
      </c>
      <c r="C249" s="26">
        <f>B249-B248</f>
        <v/>
      </c>
      <c r="D249" s="26">
        <f>AVERAGE(C247:C249)</f>
        <v/>
      </c>
      <c r="E249" s="58">
        <f>VLOOKUP(Table1[[#This Row],[Date]],Database!A:D,4,)</f>
        <v/>
      </c>
      <c r="F249" s="58">
        <f>VLOOKUP(Table1[[#This Row],[Date]],Database!A:D,2,)</f>
        <v/>
      </c>
      <c r="G249" s="55" t="n"/>
    </row>
    <row r="250">
      <c r="A250" s="54" t="n">
        <v>21490</v>
      </c>
      <c r="B250" s="25">
        <f>VLOOKUP(Table1[[#This Row],[Date]],Database!A:D,3,)</f>
        <v/>
      </c>
      <c r="C250" s="26">
        <f>B250-B249</f>
        <v/>
      </c>
      <c r="D250" s="26">
        <f>AVERAGE(C248:C250)</f>
        <v/>
      </c>
      <c r="E250" s="58">
        <f>VLOOKUP(Table1[[#This Row],[Date]],Database!A:D,4,)</f>
        <v/>
      </c>
      <c r="F250" s="58">
        <f>VLOOKUP(Table1[[#This Row],[Date]],Database!A:D,2,)</f>
        <v/>
      </c>
      <c r="G250" s="55" t="n"/>
    </row>
    <row r="251">
      <c r="A251" s="54" t="n">
        <v>21520</v>
      </c>
      <c r="B251" s="25">
        <f>VLOOKUP(Table1[[#This Row],[Date]],Database!A:D,3,)</f>
        <v/>
      </c>
      <c r="C251" s="26">
        <f>B251-B250</f>
        <v/>
      </c>
      <c r="D251" s="26">
        <f>AVERAGE(C249:C251)</f>
        <v/>
      </c>
      <c r="E251" s="58">
        <f>VLOOKUP(Table1[[#This Row],[Date]],Database!A:D,4,)</f>
        <v/>
      </c>
      <c r="F251" s="58">
        <f>VLOOKUP(Table1[[#This Row],[Date]],Database!A:D,2,)</f>
        <v/>
      </c>
      <c r="G251" s="55" t="n"/>
    </row>
    <row r="252">
      <c r="A252" s="54" t="n">
        <v>21551</v>
      </c>
      <c r="B252" s="25">
        <f>VLOOKUP(Table1[[#This Row],[Date]],Database!A:D,3,)</f>
        <v/>
      </c>
      <c r="C252" s="26">
        <f>B252-B251</f>
        <v/>
      </c>
      <c r="D252" s="26">
        <f>AVERAGE(C250:C252)</f>
        <v/>
      </c>
      <c r="E252" s="58">
        <f>VLOOKUP(Table1[[#This Row],[Date]],Database!A:D,4,)</f>
        <v/>
      </c>
      <c r="F252" s="58">
        <f>VLOOKUP(Table1[[#This Row],[Date]],Database!A:D,2,)</f>
        <v/>
      </c>
      <c r="G252" s="55" t="n"/>
    </row>
    <row r="253">
      <c r="A253" s="54" t="n">
        <v>21582</v>
      </c>
      <c r="B253" s="25">
        <f>VLOOKUP(Table1[[#This Row],[Date]],Database!A:D,3,)</f>
        <v/>
      </c>
      <c r="C253" s="26">
        <f>B253-B252</f>
        <v/>
      </c>
      <c r="D253" s="26">
        <f>AVERAGE(C251:C253)</f>
        <v/>
      </c>
      <c r="E253" s="58">
        <f>VLOOKUP(Table1[[#This Row],[Date]],Database!A:D,4,)</f>
        <v/>
      </c>
      <c r="F253" s="58">
        <f>VLOOKUP(Table1[[#This Row],[Date]],Database!A:D,2,)</f>
        <v/>
      </c>
      <c r="G253" s="55" t="n"/>
    </row>
    <row r="254">
      <c r="A254" s="54" t="n">
        <v>21610</v>
      </c>
      <c r="B254" s="25">
        <f>VLOOKUP(Table1[[#This Row],[Date]],Database!A:D,3,)</f>
        <v/>
      </c>
      <c r="C254" s="26">
        <f>B254-B253</f>
        <v/>
      </c>
      <c r="D254" s="26">
        <f>AVERAGE(C252:C254)</f>
        <v/>
      </c>
      <c r="E254" s="58">
        <f>VLOOKUP(Table1[[#This Row],[Date]],Database!A:D,4,)</f>
        <v/>
      </c>
      <c r="F254" s="58">
        <f>VLOOKUP(Table1[[#This Row],[Date]],Database!A:D,2,)</f>
        <v/>
      </c>
      <c r="G254" s="55" t="n"/>
    </row>
    <row r="255">
      <c r="A255" s="54" t="n">
        <v>21641</v>
      </c>
      <c r="B255" s="25">
        <f>VLOOKUP(Table1[[#This Row],[Date]],Database!A:D,3,)</f>
        <v/>
      </c>
      <c r="C255" s="26">
        <f>B255-B254</f>
        <v/>
      </c>
      <c r="D255" s="26">
        <f>AVERAGE(C253:C255)</f>
        <v/>
      </c>
      <c r="E255" s="58">
        <f>VLOOKUP(Table1[[#This Row],[Date]],Database!A:D,4,)</f>
        <v/>
      </c>
      <c r="F255" s="58">
        <f>VLOOKUP(Table1[[#This Row],[Date]],Database!A:D,2,)</f>
        <v/>
      </c>
      <c r="G255" s="55" t="n"/>
    </row>
    <row r="256">
      <c r="A256" s="54" t="n">
        <v>21671</v>
      </c>
      <c r="B256" s="25">
        <f>VLOOKUP(Table1[[#This Row],[Date]],Database!A:D,3,)</f>
        <v/>
      </c>
      <c r="C256" s="26">
        <f>B256-B255</f>
        <v/>
      </c>
      <c r="D256" s="26">
        <f>AVERAGE(C254:C256)</f>
        <v/>
      </c>
      <c r="E256" s="58">
        <f>VLOOKUP(Table1[[#This Row],[Date]],Database!A:D,4,)</f>
        <v/>
      </c>
      <c r="F256" s="58">
        <f>VLOOKUP(Table1[[#This Row],[Date]],Database!A:D,2,)</f>
        <v/>
      </c>
      <c r="G256" s="55" t="n"/>
    </row>
    <row r="257">
      <c r="A257" s="54" t="n">
        <v>21702</v>
      </c>
      <c r="B257" s="25">
        <f>VLOOKUP(Table1[[#This Row],[Date]],Database!A:D,3,)</f>
        <v/>
      </c>
      <c r="C257" s="26">
        <f>B257-B256</f>
        <v/>
      </c>
      <c r="D257" s="26">
        <f>AVERAGE(C255:C257)</f>
        <v/>
      </c>
      <c r="E257" s="58">
        <f>VLOOKUP(Table1[[#This Row],[Date]],Database!A:D,4,)</f>
        <v/>
      </c>
      <c r="F257" s="58">
        <f>VLOOKUP(Table1[[#This Row],[Date]],Database!A:D,2,)</f>
        <v/>
      </c>
      <c r="G257" s="55" t="n"/>
    </row>
    <row r="258">
      <c r="A258" s="54" t="n">
        <v>21732</v>
      </c>
      <c r="B258" s="25">
        <f>VLOOKUP(Table1[[#This Row],[Date]],Database!A:D,3,)</f>
        <v/>
      </c>
      <c r="C258" s="26">
        <f>B258-B257</f>
        <v/>
      </c>
      <c r="D258" s="26">
        <f>AVERAGE(C256:C258)</f>
        <v/>
      </c>
      <c r="E258" s="58">
        <f>VLOOKUP(Table1[[#This Row],[Date]],Database!A:D,4,)</f>
        <v/>
      </c>
      <c r="F258" s="58">
        <f>VLOOKUP(Table1[[#This Row],[Date]],Database!A:D,2,)</f>
        <v/>
      </c>
      <c r="G258" s="55" t="n"/>
    </row>
    <row r="259">
      <c r="A259" s="54" t="n">
        <v>21763</v>
      </c>
      <c r="B259" s="25">
        <f>VLOOKUP(Table1[[#This Row],[Date]],Database!A:D,3,)</f>
        <v/>
      </c>
      <c r="C259" s="26">
        <f>B259-B258</f>
        <v/>
      </c>
      <c r="D259" s="26">
        <f>AVERAGE(C257:C259)</f>
        <v/>
      </c>
      <c r="E259" s="58">
        <f>VLOOKUP(Table1[[#This Row],[Date]],Database!A:D,4,)</f>
        <v/>
      </c>
      <c r="F259" s="58">
        <f>VLOOKUP(Table1[[#This Row],[Date]],Database!A:D,2,)</f>
        <v/>
      </c>
      <c r="G259" s="55" t="n"/>
    </row>
    <row r="260">
      <c r="A260" s="54" t="n">
        <v>21794</v>
      </c>
      <c r="B260" s="25">
        <f>VLOOKUP(Table1[[#This Row],[Date]],Database!A:D,3,)</f>
        <v/>
      </c>
      <c r="C260" s="26">
        <f>B260-B259</f>
        <v/>
      </c>
      <c r="D260" s="26">
        <f>AVERAGE(C258:C260)</f>
        <v/>
      </c>
      <c r="E260" s="58">
        <f>VLOOKUP(Table1[[#This Row],[Date]],Database!A:D,4,)</f>
        <v/>
      </c>
      <c r="F260" s="58">
        <f>VLOOKUP(Table1[[#This Row],[Date]],Database!A:D,2,)</f>
        <v/>
      </c>
      <c r="G260" s="55" t="n"/>
    </row>
    <row r="261">
      <c r="A261" s="54" t="n">
        <v>21824</v>
      </c>
      <c r="B261" s="25">
        <f>VLOOKUP(Table1[[#This Row],[Date]],Database!A:D,3,)</f>
        <v/>
      </c>
      <c r="C261" s="26">
        <f>B261-B260</f>
        <v/>
      </c>
      <c r="D261" s="26">
        <f>AVERAGE(C259:C261)</f>
        <v/>
      </c>
      <c r="E261" s="58">
        <f>VLOOKUP(Table1[[#This Row],[Date]],Database!A:D,4,)</f>
        <v/>
      </c>
      <c r="F261" s="58">
        <f>VLOOKUP(Table1[[#This Row],[Date]],Database!A:D,2,)</f>
        <v/>
      </c>
      <c r="G261" s="55" t="n"/>
    </row>
    <row r="262">
      <c r="A262" s="54" t="n">
        <v>21855</v>
      </c>
      <c r="B262" s="25">
        <f>VLOOKUP(Table1[[#This Row],[Date]],Database!A:D,3,)</f>
        <v/>
      </c>
      <c r="C262" s="26">
        <f>B262-B261</f>
        <v/>
      </c>
      <c r="D262" s="26">
        <f>AVERAGE(C260:C262)</f>
        <v/>
      </c>
      <c r="E262" s="58">
        <f>VLOOKUP(Table1[[#This Row],[Date]],Database!A:D,4,)</f>
        <v/>
      </c>
      <c r="F262" s="58">
        <f>VLOOKUP(Table1[[#This Row],[Date]],Database!A:D,2,)</f>
        <v/>
      </c>
      <c r="G262" s="55" t="n"/>
    </row>
    <row r="263">
      <c r="A263" s="54" t="n">
        <v>21885</v>
      </c>
      <c r="B263" s="25">
        <f>VLOOKUP(Table1[[#This Row],[Date]],Database!A:D,3,)</f>
        <v/>
      </c>
      <c r="C263" s="26">
        <f>B263-B262</f>
        <v/>
      </c>
      <c r="D263" s="26">
        <f>AVERAGE(C261:C263)</f>
        <v/>
      </c>
      <c r="E263" s="58">
        <f>VLOOKUP(Table1[[#This Row],[Date]],Database!A:D,4,)</f>
        <v/>
      </c>
      <c r="F263" s="58">
        <f>VLOOKUP(Table1[[#This Row],[Date]],Database!A:D,2,)</f>
        <v/>
      </c>
      <c r="G263" s="55" t="n"/>
    </row>
    <row r="264">
      <c r="A264" s="54" t="n">
        <v>21916</v>
      </c>
      <c r="B264" s="25">
        <f>VLOOKUP(Table1[[#This Row],[Date]],Database!A:D,3,)</f>
        <v/>
      </c>
      <c r="C264" s="26">
        <f>B264-B263</f>
        <v/>
      </c>
      <c r="D264" s="26">
        <f>AVERAGE(C262:C264)</f>
        <v/>
      </c>
      <c r="E264" s="58">
        <f>VLOOKUP(Table1[[#This Row],[Date]],Database!A:D,4,)</f>
        <v/>
      </c>
      <c r="F264" s="58">
        <f>VLOOKUP(Table1[[#This Row],[Date]],Database!A:D,2,)</f>
        <v/>
      </c>
      <c r="G264" s="55" t="n"/>
    </row>
    <row r="265">
      <c r="A265" s="54" t="n">
        <v>21947</v>
      </c>
      <c r="B265" s="25">
        <f>VLOOKUP(Table1[[#This Row],[Date]],Database!A:D,3,)</f>
        <v/>
      </c>
      <c r="C265" s="26">
        <f>B265-B264</f>
        <v/>
      </c>
      <c r="D265" s="26">
        <f>AVERAGE(C263:C265)</f>
        <v/>
      </c>
      <c r="E265" s="58">
        <f>VLOOKUP(Table1[[#This Row],[Date]],Database!A:D,4,)</f>
        <v/>
      </c>
      <c r="F265" s="58">
        <f>VLOOKUP(Table1[[#This Row],[Date]],Database!A:D,2,)</f>
        <v/>
      </c>
      <c r="G265" s="55" t="n"/>
    </row>
    <row r="266">
      <c r="A266" s="54" t="n">
        <v>21976</v>
      </c>
      <c r="B266" s="25">
        <f>VLOOKUP(Table1[[#This Row],[Date]],Database!A:D,3,)</f>
        <v/>
      </c>
      <c r="C266" s="26">
        <f>B266-B265</f>
        <v/>
      </c>
      <c r="D266" s="26">
        <f>AVERAGE(C264:C266)</f>
        <v/>
      </c>
      <c r="E266" s="58">
        <f>VLOOKUP(Table1[[#This Row],[Date]],Database!A:D,4,)</f>
        <v/>
      </c>
      <c r="F266" s="58">
        <f>VLOOKUP(Table1[[#This Row],[Date]],Database!A:D,2,)</f>
        <v/>
      </c>
      <c r="G266" s="55" t="n"/>
    </row>
    <row r="267">
      <c r="A267" s="54" t="n">
        <v>22007</v>
      </c>
      <c r="B267" s="25">
        <f>VLOOKUP(Table1[[#This Row],[Date]],Database!A:D,3,)</f>
        <v/>
      </c>
      <c r="C267" s="26">
        <f>B267-B266</f>
        <v/>
      </c>
      <c r="D267" s="26">
        <f>AVERAGE(C265:C267)</f>
        <v/>
      </c>
      <c r="E267" s="58">
        <f>VLOOKUP(Table1[[#This Row],[Date]],Database!A:D,4,)</f>
        <v/>
      </c>
      <c r="F267" s="58">
        <f>VLOOKUP(Table1[[#This Row],[Date]],Database!A:D,2,)</f>
        <v/>
      </c>
      <c r="G267" s="55" t="n"/>
    </row>
    <row r="268">
      <c r="A268" s="54" t="n">
        <v>22037</v>
      </c>
      <c r="B268" s="25">
        <f>VLOOKUP(Table1[[#This Row],[Date]],Database!A:D,3,)</f>
        <v/>
      </c>
      <c r="C268" s="26">
        <f>B268-B267</f>
        <v/>
      </c>
      <c r="D268" s="26">
        <f>AVERAGE(C266:C268)</f>
        <v/>
      </c>
      <c r="E268" s="58">
        <f>VLOOKUP(Table1[[#This Row],[Date]],Database!A:D,4,)</f>
        <v/>
      </c>
      <c r="F268" s="58">
        <f>VLOOKUP(Table1[[#This Row],[Date]],Database!A:D,2,)</f>
        <v/>
      </c>
      <c r="G268" s="55" t="n"/>
    </row>
    <row r="269">
      <c r="A269" s="54" t="n">
        <v>22068</v>
      </c>
      <c r="B269" s="25">
        <f>VLOOKUP(Table1[[#This Row],[Date]],Database!A:D,3,)</f>
        <v/>
      </c>
      <c r="C269" s="26">
        <f>B269-B268</f>
        <v/>
      </c>
      <c r="D269" s="26">
        <f>AVERAGE(C267:C269)</f>
        <v/>
      </c>
      <c r="E269" s="58">
        <f>VLOOKUP(Table1[[#This Row],[Date]],Database!A:D,4,)</f>
        <v/>
      </c>
      <c r="F269" s="58">
        <f>VLOOKUP(Table1[[#This Row],[Date]],Database!A:D,2,)</f>
        <v/>
      </c>
      <c r="G269" s="55" t="n"/>
    </row>
    <row r="270">
      <c r="A270" s="54" t="n">
        <v>22098</v>
      </c>
      <c r="B270" s="25">
        <f>VLOOKUP(Table1[[#This Row],[Date]],Database!A:D,3,)</f>
        <v/>
      </c>
      <c r="C270" s="26">
        <f>B270-B269</f>
        <v/>
      </c>
      <c r="D270" s="26">
        <f>AVERAGE(C268:C270)</f>
        <v/>
      </c>
      <c r="E270" s="58">
        <f>VLOOKUP(Table1[[#This Row],[Date]],Database!A:D,4,)</f>
        <v/>
      </c>
      <c r="F270" s="58">
        <f>VLOOKUP(Table1[[#This Row],[Date]],Database!A:D,2,)</f>
        <v/>
      </c>
      <c r="G270" s="55" t="n"/>
    </row>
    <row r="271">
      <c r="A271" s="54" t="n">
        <v>22129</v>
      </c>
      <c r="B271" s="25">
        <f>VLOOKUP(Table1[[#This Row],[Date]],Database!A:D,3,)</f>
        <v/>
      </c>
      <c r="C271" s="26">
        <f>B271-B270</f>
        <v/>
      </c>
      <c r="D271" s="26">
        <f>AVERAGE(C269:C271)</f>
        <v/>
      </c>
      <c r="E271" s="58">
        <f>VLOOKUP(Table1[[#This Row],[Date]],Database!A:D,4,)</f>
        <v/>
      </c>
      <c r="F271" s="58">
        <f>VLOOKUP(Table1[[#This Row],[Date]],Database!A:D,2,)</f>
        <v/>
      </c>
      <c r="G271" s="55" t="n"/>
    </row>
    <row r="272">
      <c r="A272" s="54" t="n">
        <v>22160</v>
      </c>
      <c r="B272" s="25">
        <f>VLOOKUP(Table1[[#This Row],[Date]],Database!A:D,3,)</f>
        <v/>
      </c>
      <c r="C272" s="26">
        <f>B272-B271</f>
        <v/>
      </c>
      <c r="D272" s="26">
        <f>AVERAGE(C270:C272)</f>
        <v/>
      </c>
      <c r="E272" s="58">
        <f>VLOOKUP(Table1[[#This Row],[Date]],Database!A:D,4,)</f>
        <v/>
      </c>
      <c r="F272" s="58">
        <f>VLOOKUP(Table1[[#This Row],[Date]],Database!A:D,2,)</f>
        <v/>
      </c>
      <c r="G272" s="55" t="n"/>
    </row>
    <row r="273">
      <c r="A273" s="54" t="n">
        <v>22190</v>
      </c>
      <c r="B273" s="25">
        <f>VLOOKUP(Table1[[#This Row],[Date]],Database!A:D,3,)</f>
        <v/>
      </c>
      <c r="C273" s="26">
        <f>B273-B272</f>
        <v/>
      </c>
      <c r="D273" s="26">
        <f>AVERAGE(C271:C273)</f>
        <v/>
      </c>
      <c r="E273" s="58">
        <f>VLOOKUP(Table1[[#This Row],[Date]],Database!A:D,4,)</f>
        <v/>
      </c>
      <c r="F273" s="58">
        <f>VLOOKUP(Table1[[#This Row],[Date]],Database!A:D,2,)</f>
        <v/>
      </c>
      <c r="G273" s="55" t="n"/>
    </row>
    <row r="274">
      <c r="A274" s="54" t="n">
        <v>22221</v>
      </c>
      <c r="B274" s="25">
        <f>VLOOKUP(Table1[[#This Row],[Date]],Database!A:D,3,)</f>
        <v/>
      </c>
      <c r="C274" s="26">
        <f>B274-B273</f>
        <v/>
      </c>
      <c r="D274" s="26">
        <f>AVERAGE(C272:C274)</f>
        <v/>
      </c>
      <c r="E274" s="58">
        <f>VLOOKUP(Table1[[#This Row],[Date]],Database!A:D,4,)</f>
        <v/>
      </c>
      <c r="F274" s="58">
        <f>VLOOKUP(Table1[[#This Row],[Date]],Database!A:D,2,)</f>
        <v/>
      </c>
      <c r="G274" s="55" t="n"/>
    </row>
    <row r="275">
      <c r="A275" s="54" t="n">
        <v>22251</v>
      </c>
      <c r="B275" s="25">
        <f>VLOOKUP(Table1[[#This Row],[Date]],Database!A:D,3,)</f>
        <v/>
      </c>
      <c r="C275" s="26">
        <f>B275-B274</f>
        <v/>
      </c>
      <c r="D275" s="26">
        <f>AVERAGE(C273:C275)</f>
        <v/>
      </c>
      <c r="E275" s="58">
        <f>VLOOKUP(Table1[[#This Row],[Date]],Database!A:D,4,)</f>
        <v/>
      </c>
      <c r="F275" s="58">
        <f>VLOOKUP(Table1[[#This Row],[Date]],Database!A:D,2,)</f>
        <v/>
      </c>
      <c r="G275" s="55" t="n"/>
    </row>
    <row r="276">
      <c r="A276" s="54" t="n">
        <v>22282</v>
      </c>
      <c r="B276" s="25">
        <f>VLOOKUP(Table1[[#This Row],[Date]],Database!A:D,3,)</f>
        <v/>
      </c>
      <c r="C276" s="26">
        <f>B276-B275</f>
        <v/>
      </c>
      <c r="D276" s="26">
        <f>AVERAGE(C274:C276)</f>
        <v/>
      </c>
      <c r="E276" s="58">
        <f>VLOOKUP(Table1[[#This Row],[Date]],Database!A:D,4,)</f>
        <v/>
      </c>
      <c r="F276" s="58">
        <f>VLOOKUP(Table1[[#This Row],[Date]],Database!A:D,2,)</f>
        <v/>
      </c>
      <c r="G276" s="55" t="n"/>
    </row>
    <row r="277">
      <c r="A277" s="54" t="n">
        <v>22313</v>
      </c>
      <c r="B277" s="25">
        <f>VLOOKUP(Table1[[#This Row],[Date]],Database!A:D,3,)</f>
        <v/>
      </c>
      <c r="C277" s="26">
        <f>B277-B276</f>
        <v/>
      </c>
      <c r="D277" s="26">
        <f>AVERAGE(C275:C277)</f>
        <v/>
      </c>
      <c r="E277" s="58">
        <f>VLOOKUP(Table1[[#This Row],[Date]],Database!A:D,4,)</f>
        <v/>
      </c>
      <c r="F277" s="58">
        <f>VLOOKUP(Table1[[#This Row],[Date]],Database!A:D,2,)</f>
        <v/>
      </c>
      <c r="G277" s="55" t="n"/>
    </row>
    <row r="278">
      <c r="A278" s="54" t="n">
        <v>22341</v>
      </c>
      <c r="B278" s="25">
        <f>VLOOKUP(Table1[[#This Row],[Date]],Database!A:D,3,)</f>
        <v/>
      </c>
      <c r="C278" s="26">
        <f>B278-B277</f>
        <v/>
      </c>
      <c r="D278" s="26">
        <f>AVERAGE(C276:C278)</f>
        <v/>
      </c>
      <c r="E278" s="58">
        <f>VLOOKUP(Table1[[#This Row],[Date]],Database!A:D,4,)</f>
        <v/>
      </c>
      <c r="F278" s="58">
        <f>VLOOKUP(Table1[[#This Row],[Date]],Database!A:D,2,)</f>
        <v/>
      </c>
      <c r="G278" s="55" t="n"/>
    </row>
    <row r="279">
      <c r="A279" s="54" t="n">
        <v>22372</v>
      </c>
      <c r="B279" s="25">
        <f>VLOOKUP(Table1[[#This Row],[Date]],Database!A:D,3,)</f>
        <v/>
      </c>
      <c r="C279" s="26">
        <f>B279-B278</f>
        <v/>
      </c>
      <c r="D279" s="26">
        <f>AVERAGE(C277:C279)</f>
        <v/>
      </c>
      <c r="E279" s="58">
        <f>VLOOKUP(Table1[[#This Row],[Date]],Database!A:D,4,)</f>
        <v/>
      </c>
      <c r="F279" s="58">
        <f>VLOOKUP(Table1[[#This Row],[Date]],Database!A:D,2,)</f>
        <v/>
      </c>
      <c r="G279" s="55" t="n"/>
    </row>
    <row r="280">
      <c r="A280" s="54" t="n">
        <v>22402</v>
      </c>
      <c r="B280" s="25">
        <f>VLOOKUP(Table1[[#This Row],[Date]],Database!A:D,3,)</f>
        <v/>
      </c>
      <c r="C280" s="26">
        <f>B280-B279</f>
        <v/>
      </c>
      <c r="D280" s="26">
        <f>AVERAGE(C278:C280)</f>
        <v/>
      </c>
      <c r="E280" s="58">
        <f>VLOOKUP(Table1[[#This Row],[Date]],Database!A:D,4,)</f>
        <v/>
      </c>
      <c r="F280" s="58">
        <f>VLOOKUP(Table1[[#This Row],[Date]],Database!A:D,2,)</f>
        <v/>
      </c>
      <c r="G280" s="55" t="n"/>
    </row>
    <row r="281">
      <c r="A281" s="54" t="n">
        <v>22433</v>
      </c>
      <c r="B281" s="25">
        <f>VLOOKUP(Table1[[#This Row],[Date]],Database!A:D,3,)</f>
        <v/>
      </c>
      <c r="C281" s="26">
        <f>B281-B280</f>
        <v/>
      </c>
      <c r="D281" s="26">
        <f>AVERAGE(C279:C281)</f>
        <v/>
      </c>
      <c r="E281" s="58">
        <f>VLOOKUP(Table1[[#This Row],[Date]],Database!A:D,4,)</f>
        <v/>
      </c>
      <c r="F281" s="58">
        <f>VLOOKUP(Table1[[#This Row],[Date]],Database!A:D,2,)</f>
        <v/>
      </c>
      <c r="G281" s="55" t="n"/>
    </row>
    <row r="282">
      <c r="A282" s="54" t="n">
        <v>22463</v>
      </c>
      <c r="B282" s="25">
        <f>VLOOKUP(Table1[[#This Row],[Date]],Database!A:D,3,)</f>
        <v/>
      </c>
      <c r="C282" s="26">
        <f>B282-B281</f>
        <v/>
      </c>
      <c r="D282" s="26">
        <f>AVERAGE(C280:C282)</f>
        <v/>
      </c>
      <c r="E282" s="58">
        <f>VLOOKUP(Table1[[#This Row],[Date]],Database!A:D,4,)</f>
        <v/>
      </c>
      <c r="F282" s="58">
        <f>VLOOKUP(Table1[[#This Row],[Date]],Database!A:D,2,)</f>
        <v/>
      </c>
      <c r="G282" s="55" t="n"/>
    </row>
    <row r="283">
      <c r="A283" s="54" t="n">
        <v>22494</v>
      </c>
      <c r="B283" s="25">
        <f>VLOOKUP(Table1[[#This Row],[Date]],Database!A:D,3,)</f>
        <v/>
      </c>
      <c r="C283" s="26">
        <f>B283-B282</f>
        <v/>
      </c>
      <c r="D283" s="26">
        <f>AVERAGE(C281:C283)</f>
        <v/>
      </c>
      <c r="E283" s="58">
        <f>VLOOKUP(Table1[[#This Row],[Date]],Database!A:D,4,)</f>
        <v/>
      </c>
      <c r="F283" s="58">
        <f>VLOOKUP(Table1[[#This Row],[Date]],Database!A:D,2,)</f>
        <v/>
      </c>
      <c r="G283" s="55" t="n"/>
    </row>
    <row r="284">
      <c r="A284" s="54" t="n">
        <v>22525</v>
      </c>
      <c r="B284" s="25">
        <f>VLOOKUP(Table1[[#This Row],[Date]],Database!A:D,3,)</f>
        <v/>
      </c>
      <c r="C284" s="26">
        <f>B284-B283</f>
        <v/>
      </c>
      <c r="D284" s="26">
        <f>AVERAGE(C282:C284)</f>
        <v/>
      </c>
      <c r="E284" s="58">
        <f>VLOOKUP(Table1[[#This Row],[Date]],Database!A:D,4,)</f>
        <v/>
      </c>
      <c r="F284" s="58">
        <f>VLOOKUP(Table1[[#This Row],[Date]],Database!A:D,2,)</f>
        <v/>
      </c>
      <c r="G284" s="55" t="n"/>
    </row>
    <row r="285">
      <c r="A285" s="54" t="n">
        <v>22555</v>
      </c>
      <c r="B285" s="25">
        <f>VLOOKUP(Table1[[#This Row],[Date]],Database!A:D,3,)</f>
        <v/>
      </c>
      <c r="C285" s="26">
        <f>B285-B284</f>
        <v/>
      </c>
      <c r="D285" s="26">
        <f>AVERAGE(C283:C285)</f>
        <v/>
      </c>
      <c r="E285" s="58">
        <f>VLOOKUP(Table1[[#This Row],[Date]],Database!A:D,4,)</f>
        <v/>
      </c>
      <c r="F285" s="58">
        <f>VLOOKUP(Table1[[#This Row],[Date]],Database!A:D,2,)</f>
        <v/>
      </c>
      <c r="G285" s="55" t="n"/>
    </row>
    <row r="286">
      <c r="A286" s="54" t="n">
        <v>22586</v>
      </c>
      <c r="B286" s="25">
        <f>VLOOKUP(Table1[[#This Row],[Date]],Database!A:D,3,)</f>
        <v/>
      </c>
      <c r="C286" s="26">
        <f>B286-B285</f>
        <v/>
      </c>
      <c r="D286" s="26">
        <f>AVERAGE(C284:C286)</f>
        <v/>
      </c>
      <c r="E286" s="58">
        <f>VLOOKUP(Table1[[#This Row],[Date]],Database!A:D,4,)</f>
        <v/>
      </c>
      <c r="F286" s="58">
        <f>VLOOKUP(Table1[[#This Row],[Date]],Database!A:D,2,)</f>
        <v/>
      </c>
      <c r="G286" s="55" t="n"/>
    </row>
    <row r="287">
      <c r="A287" s="54" t="n">
        <v>22616</v>
      </c>
      <c r="B287" s="25">
        <f>VLOOKUP(Table1[[#This Row],[Date]],Database!A:D,3,)</f>
        <v/>
      </c>
      <c r="C287" s="26">
        <f>B287-B286</f>
        <v/>
      </c>
      <c r="D287" s="26">
        <f>AVERAGE(C285:C287)</f>
        <v/>
      </c>
      <c r="E287" s="58">
        <f>VLOOKUP(Table1[[#This Row],[Date]],Database!A:D,4,)</f>
        <v/>
      </c>
      <c r="F287" s="58">
        <f>VLOOKUP(Table1[[#This Row],[Date]],Database!A:D,2,)</f>
        <v/>
      </c>
      <c r="G287" s="55" t="n"/>
    </row>
    <row r="288">
      <c r="A288" s="54" t="n">
        <v>22647</v>
      </c>
      <c r="B288" s="25">
        <f>VLOOKUP(Table1[[#This Row],[Date]],Database!A:D,3,)</f>
        <v/>
      </c>
      <c r="C288" s="26">
        <f>B288-B287</f>
        <v/>
      </c>
      <c r="D288" s="26">
        <f>AVERAGE(C286:C288)</f>
        <v/>
      </c>
      <c r="E288" s="58">
        <f>VLOOKUP(Table1[[#This Row],[Date]],Database!A:D,4,)</f>
        <v/>
      </c>
      <c r="F288" s="58">
        <f>VLOOKUP(Table1[[#This Row],[Date]],Database!A:D,2,)</f>
        <v/>
      </c>
      <c r="G288" s="55" t="n"/>
    </row>
    <row r="289">
      <c r="A289" s="54" t="n">
        <v>22678</v>
      </c>
      <c r="B289" s="25">
        <f>VLOOKUP(Table1[[#This Row],[Date]],Database!A:D,3,)</f>
        <v/>
      </c>
      <c r="C289" s="26">
        <f>B289-B288</f>
        <v/>
      </c>
      <c r="D289" s="26">
        <f>AVERAGE(C287:C289)</f>
        <v/>
      </c>
      <c r="E289" s="58">
        <f>VLOOKUP(Table1[[#This Row],[Date]],Database!A:D,4,)</f>
        <v/>
      </c>
      <c r="F289" s="58">
        <f>VLOOKUP(Table1[[#This Row],[Date]],Database!A:D,2,)</f>
        <v/>
      </c>
      <c r="G289" s="55" t="n"/>
    </row>
    <row r="290">
      <c r="A290" s="54" t="n">
        <v>22706</v>
      </c>
      <c r="B290" s="25">
        <f>VLOOKUP(Table1[[#This Row],[Date]],Database!A:D,3,)</f>
        <v/>
      </c>
      <c r="C290" s="26">
        <f>B290-B289</f>
        <v/>
      </c>
      <c r="D290" s="26">
        <f>AVERAGE(C288:C290)</f>
        <v/>
      </c>
      <c r="E290" s="58">
        <f>VLOOKUP(Table1[[#This Row],[Date]],Database!A:D,4,)</f>
        <v/>
      </c>
      <c r="F290" s="58">
        <f>VLOOKUP(Table1[[#This Row],[Date]],Database!A:D,2,)</f>
        <v/>
      </c>
      <c r="G290" s="55" t="n"/>
    </row>
    <row r="291">
      <c r="A291" s="54" t="n">
        <v>22737</v>
      </c>
      <c r="B291" s="25">
        <f>VLOOKUP(Table1[[#This Row],[Date]],Database!A:D,3,)</f>
        <v/>
      </c>
      <c r="C291" s="26">
        <f>B291-B290</f>
        <v/>
      </c>
      <c r="D291" s="26">
        <f>AVERAGE(C289:C291)</f>
        <v/>
      </c>
      <c r="E291" s="58">
        <f>VLOOKUP(Table1[[#This Row],[Date]],Database!A:D,4,)</f>
        <v/>
      </c>
      <c r="F291" s="58">
        <f>VLOOKUP(Table1[[#This Row],[Date]],Database!A:D,2,)</f>
        <v/>
      </c>
      <c r="G291" s="55" t="n"/>
    </row>
    <row r="292">
      <c r="A292" s="54" t="n">
        <v>22767</v>
      </c>
      <c r="B292" s="25">
        <f>VLOOKUP(Table1[[#This Row],[Date]],Database!A:D,3,)</f>
        <v/>
      </c>
      <c r="C292" s="26">
        <f>B292-B291</f>
        <v/>
      </c>
      <c r="D292" s="26">
        <f>AVERAGE(C290:C292)</f>
        <v/>
      </c>
      <c r="E292" s="58">
        <f>VLOOKUP(Table1[[#This Row],[Date]],Database!A:D,4,)</f>
        <v/>
      </c>
      <c r="F292" s="58">
        <f>VLOOKUP(Table1[[#This Row],[Date]],Database!A:D,2,)</f>
        <v/>
      </c>
      <c r="G292" s="55" t="n"/>
    </row>
    <row r="293">
      <c r="A293" s="54" t="n">
        <v>22798</v>
      </c>
      <c r="B293" s="25">
        <f>VLOOKUP(Table1[[#This Row],[Date]],Database!A:D,3,)</f>
        <v/>
      </c>
      <c r="C293" s="26">
        <f>B293-B292</f>
        <v/>
      </c>
      <c r="D293" s="26">
        <f>AVERAGE(C291:C293)</f>
        <v/>
      </c>
      <c r="E293" s="58">
        <f>VLOOKUP(Table1[[#This Row],[Date]],Database!A:D,4,)</f>
        <v/>
      </c>
      <c r="F293" s="58">
        <f>VLOOKUP(Table1[[#This Row],[Date]],Database!A:D,2,)</f>
        <v/>
      </c>
      <c r="G293" s="55" t="n"/>
    </row>
    <row r="294">
      <c r="A294" s="54" t="n">
        <v>22828</v>
      </c>
      <c r="B294" s="25">
        <f>VLOOKUP(Table1[[#This Row],[Date]],Database!A:D,3,)</f>
        <v/>
      </c>
      <c r="C294" s="26">
        <f>B294-B293</f>
        <v/>
      </c>
      <c r="D294" s="26">
        <f>AVERAGE(C292:C294)</f>
        <v/>
      </c>
      <c r="E294" s="58">
        <f>VLOOKUP(Table1[[#This Row],[Date]],Database!A:D,4,)</f>
        <v/>
      </c>
      <c r="F294" s="58">
        <f>VLOOKUP(Table1[[#This Row],[Date]],Database!A:D,2,)</f>
        <v/>
      </c>
      <c r="G294" s="55" t="n"/>
    </row>
    <row r="295">
      <c r="A295" s="54" t="n">
        <v>22859</v>
      </c>
      <c r="B295" s="25">
        <f>VLOOKUP(Table1[[#This Row],[Date]],Database!A:D,3,)</f>
        <v/>
      </c>
      <c r="C295" s="26">
        <f>B295-B294</f>
        <v/>
      </c>
      <c r="D295" s="26">
        <f>AVERAGE(C293:C295)</f>
        <v/>
      </c>
      <c r="E295" s="58">
        <f>VLOOKUP(Table1[[#This Row],[Date]],Database!A:D,4,)</f>
        <v/>
      </c>
      <c r="F295" s="58">
        <f>VLOOKUP(Table1[[#This Row],[Date]],Database!A:D,2,)</f>
        <v/>
      </c>
      <c r="G295" s="55" t="n"/>
    </row>
    <row r="296">
      <c r="A296" s="54" t="n">
        <v>22890</v>
      </c>
      <c r="B296" s="25">
        <f>VLOOKUP(Table1[[#This Row],[Date]],Database!A:D,3,)</f>
        <v/>
      </c>
      <c r="C296" s="26">
        <f>B296-B295</f>
        <v/>
      </c>
      <c r="D296" s="26">
        <f>AVERAGE(C294:C296)</f>
        <v/>
      </c>
      <c r="E296" s="58">
        <f>VLOOKUP(Table1[[#This Row],[Date]],Database!A:D,4,)</f>
        <v/>
      </c>
      <c r="F296" s="58">
        <f>VLOOKUP(Table1[[#This Row],[Date]],Database!A:D,2,)</f>
        <v/>
      </c>
      <c r="G296" s="55" t="n"/>
    </row>
    <row r="297">
      <c r="A297" s="54" t="n">
        <v>22920</v>
      </c>
      <c r="B297" s="25">
        <f>VLOOKUP(Table1[[#This Row],[Date]],Database!A:D,3,)</f>
        <v/>
      </c>
      <c r="C297" s="26">
        <f>B297-B296</f>
        <v/>
      </c>
      <c r="D297" s="26">
        <f>AVERAGE(C295:C297)</f>
        <v/>
      </c>
      <c r="E297" s="58">
        <f>VLOOKUP(Table1[[#This Row],[Date]],Database!A:D,4,)</f>
        <v/>
      </c>
      <c r="F297" s="58">
        <f>VLOOKUP(Table1[[#This Row],[Date]],Database!A:D,2,)</f>
        <v/>
      </c>
      <c r="G297" s="55" t="n"/>
    </row>
    <row r="298">
      <c r="A298" s="54" t="n">
        <v>22951</v>
      </c>
      <c r="B298" s="25">
        <f>VLOOKUP(Table1[[#This Row],[Date]],Database!A:D,3,)</f>
        <v/>
      </c>
      <c r="C298" s="26">
        <f>B298-B297</f>
        <v/>
      </c>
      <c r="D298" s="26">
        <f>AVERAGE(C296:C298)</f>
        <v/>
      </c>
      <c r="E298" s="58">
        <f>VLOOKUP(Table1[[#This Row],[Date]],Database!A:D,4,)</f>
        <v/>
      </c>
      <c r="F298" s="58">
        <f>VLOOKUP(Table1[[#This Row],[Date]],Database!A:D,2,)</f>
        <v/>
      </c>
      <c r="G298" s="55" t="n"/>
    </row>
    <row r="299">
      <c r="A299" s="54" t="n">
        <v>22981</v>
      </c>
      <c r="B299" s="25">
        <f>VLOOKUP(Table1[[#This Row],[Date]],Database!A:D,3,)</f>
        <v/>
      </c>
      <c r="C299" s="26">
        <f>B299-B298</f>
        <v/>
      </c>
      <c r="D299" s="26">
        <f>AVERAGE(C297:C299)</f>
        <v/>
      </c>
      <c r="E299" s="58">
        <f>VLOOKUP(Table1[[#This Row],[Date]],Database!A:D,4,)</f>
        <v/>
      </c>
      <c r="F299" s="58">
        <f>VLOOKUP(Table1[[#This Row],[Date]],Database!A:D,2,)</f>
        <v/>
      </c>
      <c r="G299" s="55" t="n"/>
    </row>
    <row r="300">
      <c r="A300" s="54" t="n">
        <v>23012</v>
      </c>
      <c r="B300" s="25">
        <f>VLOOKUP(Table1[[#This Row],[Date]],Database!A:D,3,)</f>
        <v/>
      </c>
      <c r="C300" s="26">
        <f>B300-B299</f>
        <v/>
      </c>
      <c r="D300" s="26">
        <f>AVERAGE(C298:C300)</f>
        <v/>
      </c>
      <c r="E300" s="58">
        <f>VLOOKUP(Table1[[#This Row],[Date]],Database!A:D,4,)</f>
        <v/>
      </c>
      <c r="F300" s="58">
        <f>VLOOKUP(Table1[[#This Row],[Date]],Database!A:D,2,)</f>
        <v/>
      </c>
      <c r="G300" s="55" t="n"/>
    </row>
    <row r="301">
      <c r="A301" s="54" t="n">
        <v>23043</v>
      </c>
      <c r="B301" s="25">
        <f>VLOOKUP(Table1[[#This Row],[Date]],Database!A:D,3,)</f>
        <v/>
      </c>
      <c r="C301" s="26">
        <f>B301-B300</f>
        <v/>
      </c>
      <c r="D301" s="26">
        <f>AVERAGE(C299:C301)</f>
        <v/>
      </c>
      <c r="E301" s="58">
        <f>VLOOKUP(Table1[[#This Row],[Date]],Database!A:D,4,)</f>
        <v/>
      </c>
      <c r="F301" s="58">
        <f>VLOOKUP(Table1[[#This Row],[Date]],Database!A:D,2,)</f>
        <v/>
      </c>
      <c r="G301" s="55" t="n"/>
    </row>
    <row r="302">
      <c r="A302" s="54" t="n">
        <v>23071</v>
      </c>
      <c r="B302" s="25">
        <f>VLOOKUP(Table1[[#This Row],[Date]],Database!A:D,3,)</f>
        <v/>
      </c>
      <c r="C302" s="26">
        <f>B302-B301</f>
        <v/>
      </c>
      <c r="D302" s="26">
        <f>AVERAGE(C300:C302)</f>
        <v/>
      </c>
      <c r="E302" s="58">
        <f>VLOOKUP(Table1[[#This Row],[Date]],Database!A:D,4,)</f>
        <v/>
      </c>
      <c r="F302" s="58">
        <f>VLOOKUP(Table1[[#This Row],[Date]],Database!A:D,2,)</f>
        <v/>
      </c>
      <c r="G302" s="55" t="n"/>
    </row>
    <row r="303">
      <c r="A303" s="54" t="n">
        <v>23102</v>
      </c>
      <c r="B303" s="25">
        <f>VLOOKUP(Table1[[#This Row],[Date]],Database!A:D,3,)</f>
        <v/>
      </c>
      <c r="C303" s="26">
        <f>B303-B302</f>
        <v/>
      </c>
      <c r="D303" s="26">
        <f>AVERAGE(C301:C303)</f>
        <v/>
      </c>
      <c r="E303" s="58">
        <f>VLOOKUP(Table1[[#This Row],[Date]],Database!A:D,4,)</f>
        <v/>
      </c>
      <c r="F303" s="58">
        <f>VLOOKUP(Table1[[#This Row],[Date]],Database!A:D,2,)</f>
        <v/>
      </c>
      <c r="G303" s="55" t="n"/>
    </row>
    <row r="304">
      <c r="A304" s="54" t="n">
        <v>23132</v>
      </c>
      <c r="B304" s="25">
        <f>VLOOKUP(Table1[[#This Row],[Date]],Database!A:D,3,)</f>
        <v/>
      </c>
      <c r="C304" s="26">
        <f>B304-B303</f>
        <v/>
      </c>
      <c r="D304" s="26">
        <f>AVERAGE(C302:C304)</f>
        <v/>
      </c>
      <c r="E304" s="58">
        <f>VLOOKUP(Table1[[#This Row],[Date]],Database!A:D,4,)</f>
        <v/>
      </c>
      <c r="F304" s="58">
        <f>VLOOKUP(Table1[[#This Row],[Date]],Database!A:D,2,)</f>
        <v/>
      </c>
      <c r="G304" s="55" t="n"/>
    </row>
    <row r="305">
      <c r="A305" s="54" t="n">
        <v>23163</v>
      </c>
      <c r="B305" s="25">
        <f>VLOOKUP(Table1[[#This Row],[Date]],Database!A:D,3,)</f>
        <v/>
      </c>
      <c r="C305" s="26">
        <f>B305-B304</f>
        <v/>
      </c>
      <c r="D305" s="26">
        <f>AVERAGE(C303:C305)</f>
        <v/>
      </c>
      <c r="E305" s="58">
        <f>VLOOKUP(Table1[[#This Row],[Date]],Database!A:D,4,)</f>
        <v/>
      </c>
      <c r="F305" s="58">
        <f>VLOOKUP(Table1[[#This Row],[Date]],Database!A:D,2,)</f>
        <v/>
      </c>
      <c r="G305" s="55" t="n"/>
    </row>
    <row r="306">
      <c r="A306" s="54" t="n">
        <v>23193</v>
      </c>
      <c r="B306" s="25">
        <f>VLOOKUP(Table1[[#This Row],[Date]],Database!A:D,3,)</f>
        <v/>
      </c>
      <c r="C306" s="26">
        <f>B306-B305</f>
        <v/>
      </c>
      <c r="D306" s="26">
        <f>AVERAGE(C304:C306)</f>
        <v/>
      </c>
      <c r="E306" s="58">
        <f>VLOOKUP(Table1[[#This Row],[Date]],Database!A:D,4,)</f>
        <v/>
      </c>
      <c r="F306" s="58">
        <f>VLOOKUP(Table1[[#This Row],[Date]],Database!A:D,2,)</f>
        <v/>
      </c>
      <c r="G306" s="55" t="n"/>
    </row>
    <row r="307">
      <c r="A307" s="54" t="n">
        <v>23224</v>
      </c>
      <c r="B307" s="25">
        <f>VLOOKUP(Table1[[#This Row],[Date]],Database!A:D,3,)</f>
        <v/>
      </c>
      <c r="C307" s="26">
        <f>B307-B306</f>
        <v/>
      </c>
      <c r="D307" s="26">
        <f>AVERAGE(C305:C307)</f>
        <v/>
      </c>
      <c r="E307" s="58">
        <f>VLOOKUP(Table1[[#This Row],[Date]],Database!A:D,4,)</f>
        <v/>
      </c>
      <c r="F307" s="58">
        <f>VLOOKUP(Table1[[#This Row],[Date]],Database!A:D,2,)</f>
        <v/>
      </c>
      <c r="G307" s="55" t="n"/>
    </row>
    <row r="308">
      <c r="A308" s="54" t="n">
        <v>23255</v>
      </c>
      <c r="B308" s="25">
        <f>VLOOKUP(Table1[[#This Row],[Date]],Database!A:D,3,)</f>
        <v/>
      </c>
      <c r="C308" s="26">
        <f>B308-B307</f>
        <v/>
      </c>
      <c r="D308" s="26">
        <f>AVERAGE(C306:C308)</f>
        <v/>
      </c>
      <c r="E308" s="58">
        <f>VLOOKUP(Table1[[#This Row],[Date]],Database!A:D,4,)</f>
        <v/>
      </c>
      <c r="F308" s="58">
        <f>VLOOKUP(Table1[[#This Row],[Date]],Database!A:D,2,)</f>
        <v/>
      </c>
      <c r="G308" s="55" t="n"/>
    </row>
    <row r="309">
      <c r="A309" s="54" t="n">
        <v>23285</v>
      </c>
      <c r="B309" s="25">
        <f>VLOOKUP(Table1[[#This Row],[Date]],Database!A:D,3,)</f>
        <v/>
      </c>
      <c r="C309" s="26">
        <f>B309-B308</f>
        <v/>
      </c>
      <c r="D309" s="26">
        <f>AVERAGE(C307:C309)</f>
        <v/>
      </c>
      <c r="E309" s="58">
        <f>VLOOKUP(Table1[[#This Row],[Date]],Database!A:D,4,)</f>
        <v/>
      </c>
      <c r="F309" s="58">
        <f>VLOOKUP(Table1[[#This Row],[Date]],Database!A:D,2,)</f>
        <v/>
      </c>
      <c r="G309" s="55" t="n"/>
    </row>
    <row r="310">
      <c r="A310" s="54" t="n">
        <v>23316</v>
      </c>
      <c r="B310" s="25">
        <f>VLOOKUP(Table1[[#This Row],[Date]],Database!A:D,3,)</f>
        <v/>
      </c>
      <c r="C310" s="26">
        <f>B310-B309</f>
        <v/>
      </c>
      <c r="D310" s="26">
        <f>AVERAGE(C308:C310)</f>
        <v/>
      </c>
      <c r="E310" s="58">
        <f>VLOOKUP(Table1[[#This Row],[Date]],Database!A:D,4,)</f>
        <v/>
      </c>
      <c r="F310" s="58">
        <f>VLOOKUP(Table1[[#This Row],[Date]],Database!A:D,2,)</f>
        <v/>
      </c>
      <c r="G310" s="55" t="n"/>
    </row>
    <row r="311">
      <c r="A311" s="54" t="n">
        <v>23346</v>
      </c>
      <c r="B311" s="25">
        <f>VLOOKUP(Table1[[#This Row],[Date]],Database!A:D,3,)</f>
        <v/>
      </c>
      <c r="C311" s="26">
        <f>B311-B310</f>
        <v/>
      </c>
      <c r="D311" s="26">
        <f>AVERAGE(C309:C311)</f>
        <v/>
      </c>
      <c r="E311" s="58">
        <f>VLOOKUP(Table1[[#This Row],[Date]],Database!A:D,4,)</f>
        <v/>
      </c>
      <c r="F311" s="58">
        <f>VLOOKUP(Table1[[#This Row],[Date]],Database!A:D,2,)</f>
        <v/>
      </c>
      <c r="G311" s="55" t="n"/>
    </row>
    <row r="312">
      <c r="A312" s="54" t="n">
        <v>23377</v>
      </c>
      <c r="B312" s="25">
        <f>VLOOKUP(Table1[[#This Row],[Date]],Database!A:D,3,)</f>
        <v/>
      </c>
      <c r="C312" s="26">
        <f>B312-B311</f>
        <v/>
      </c>
      <c r="D312" s="26">
        <f>AVERAGE(C310:C312)</f>
        <v/>
      </c>
      <c r="E312" s="58">
        <f>VLOOKUP(Table1[[#This Row],[Date]],Database!A:D,4,)</f>
        <v/>
      </c>
      <c r="F312" s="58">
        <f>VLOOKUP(Table1[[#This Row],[Date]],Database!A:D,2,)</f>
        <v/>
      </c>
      <c r="G312" s="55" t="n"/>
    </row>
    <row r="313">
      <c r="A313" s="54" t="n">
        <v>23408</v>
      </c>
      <c r="B313" s="25">
        <f>VLOOKUP(Table1[[#This Row],[Date]],Database!A:D,3,)</f>
        <v/>
      </c>
      <c r="C313" s="26">
        <f>B313-B312</f>
        <v/>
      </c>
      <c r="D313" s="26">
        <f>AVERAGE(C311:C313)</f>
        <v/>
      </c>
      <c r="E313" s="58">
        <f>VLOOKUP(Table1[[#This Row],[Date]],Database!A:D,4,)</f>
        <v/>
      </c>
      <c r="F313" s="58">
        <f>VLOOKUP(Table1[[#This Row],[Date]],Database!A:D,2,)</f>
        <v/>
      </c>
      <c r="G313" s="55" t="n"/>
    </row>
    <row r="314">
      <c r="A314" s="54" t="n">
        <v>23437</v>
      </c>
      <c r="B314" s="25">
        <f>VLOOKUP(Table1[[#This Row],[Date]],Database!A:D,3,)</f>
        <v/>
      </c>
      <c r="C314" s="26">
        <f>B314-B313</f>
        <v/>
      </c>
      <c r="D314" s="26">
        <f>AVERAGE(C312:C314)</f>
        <v/>
      </c>
      <c r="E314" s="58">
        <f>VLOOKUP(Table1[[#This Row],[Date]],Database!A:D,4,)</f>
        <v/>
      </c>
      <c r="F314" s="58">
        <f>VLOOKUP(Table1[[#This Row],[Date]],Database!A:D,2,)</f>
        <v/>
      </c>
      <c r="G314" s="55" t="n"/>
    </row>
    <row r="315">
      <c r="A315" s="54" t="n">
        <v>23468</v>
      </c>
      <c r="B315" s="25">
        <f>VLOOKUP(Table1[[#This Row],[Date]],Database!A:D,3,)</f>
        <v/>
      </c>
      <c r="C315" s="26">
        <f>B315-B314</f>
        <v/>
      </c>
      <c r="D315" s="26">
        <f>AVERAGE(C313:C315)</f>
        <v/>
      </c>
      <c r="E315" s="58">
        <f>VLOOKUP(Table1[[#This Row],[Date]],Database!A:D,4,)</f>
        <v/>
      </c>
      <c r="F315" s="58">
        <f>VLOOKUP(Table1[[#This Row],[Date]],Database!A:D,2,)</f>
        <v/>
      </c>
      <c r="G315" s="55" t="n"/>
    </row>
    <row r="316">
      <c r="A316" s="54" t="n">
        <v>23498</v>
      </c>
      <c r="B316" s="25">
        <f>VLOOKUP(Table1[[#This Row],[Date]],Database!A:D,3,)</f>
        <v/>
      </c>
      <c r="C316" s="26">
        <f>B316-B315</f>
        <v/>
      </c>
      <c r="D316" s="26">
        <f>AVERAGE(C314:C316)</f>
        <v/>
      </c>
      <c r="E316" s="58">
        <f>VLOOKUP(Table1[[#This Row],[Date]],Database!A:D,4,)</f>
        <v/>
      </c>
      <c r="F316" s="58">
        <f>VLOOKUP(Table1[[#This Row],[Date]],Database!A:D,2,)</f>
        <v/>
      </c>
      <c r="G316" s="55" t="n"/>
    </row>
    <row r="317">
      <c r="A317" s="54" t="n">
        <v>23529</v>
      </c>
      <c r="B317" s="25">
        <f>VLOOKUP(Table1[[#This Row],[Date]],Database!A:D,3,)</f>
        <v/>
      </c>
      <c r="C317" s="26">
        <f>B317-B316</f>
        <v/>
      </c>
      <c r="D317" s="26">
        <f>AVERAGE(C315:C317)</f>
        <v/>
      </c>
      <c r="E317" s="58">
        <f>VLOOKUP(Table1[[#This Row],[Date]],Database!A:D,4,)</f>
        <v/>
      </c>
      <c r="F317" s="58">
        <f>VLOOKUP(Table1[[#This Row],[Date]],Database!A:D,2,)</f>
        <v/>
      </c>
      <c r="G317" s="55" t="n"/>
    </row>
    <row r="318">
      <c r="A318" s="54" t="n">
        <v>23559</v>
      </c>
      <c r="B318" s="25">
        <f>VLOOKUP(Table1[[#This Row],[Date]],Database!A:D,3,)</f>
        <v/>
      </c>
      <c r="C318" s="26">
        <f>B318-B317</f>
        <v/>
      </c>
      <c r="D318" s="26">
        <f>AVERAGE(C316:C318)</f>
        <v/>
      </c>
      <c r="E318" s="58">
        <f>VLOOKUP(Table1[[#This Row],[Date]],Database!A:D,4,)</f>
        <v/>
      </c>
      <c r="F318" s="58">
        <f>VLOOKUP(Table1[[#This Row],[Date]],Database!A:D,2,)</f>
        <v/>
      </c>
      <c r="G318" s="55" t="n"/>
    </row>
    <row r="319">
      <c r="A319" s="54" t="n">
        <v>23590</v>
      </c>
      <c r="B319" s="25">
        <f>VLOOKUP(Table1[[#This Row],[Date]],Database!A:D,3,)</f>
        <v/>
      </c>
      <c r="C319" s="26">
        <f>B319-B318</f>
        <v/>
      </c>
      <c r="D319" s="26">
        <f>AVERAGE(C317:C319)</f>
        <v/>
      </c>
      <c r="E319" s="58">
        <f>VLOOKUP(Table1[[#This Row],[Date]],Database!A:D,4,)</f>
        <v/>
      </c>
      <c r="F319" s="58">
        <f>VLOOKUP(Table1[[#This Row],[Date]],Database!A:D,2,)</f>
        <v/>
      </c>
      <c r="G319" s="55" t="n"/>
    </row>
    <row r="320">
      <c r="A320" s="54" t="n">
        <v>23621</v>
      </c>
      <c r="B320" s="25">
        <f>VLOOKUP(Table1[[#This Row],[Date]],Database!A:D,3,)</f>
        <v/>
      </c>
      <c r="C320" s="26">
        <f>B320-B319</f>
        <v/>
      </c>
      <c r="D320" s="26">
        <f>AVERAGE(C318:C320)</f>
        <v/>
      </c>
      <c r="E320" s="58">
        <f>VLOOKUP(Table1[[#This Row],[Date]],Database!A:D,4,)</f>
        <v/>
      </c>
      <c r="F320" s="58">
        <f>VLOOKUP(Table1[[#This Row],[Date]],Database!A:D,2,)</f>
        <v/>
      </c>
      <c r="G320" s="55" t="n"/>
    </row>
    <row r="321">
      <c r="A321" s="54" t="n">
        <v>23651</v>
      </c>
      <c r="B321" s="25">
        <f>VLOOKUP(Table1[[#This Row],[Date]],Database!A:D,3,)</f>
        <v/>
      </c>
      <c r="C321" s="26">
        <f>B321-B320</f>
        <v/>
      </c>
      <c r="D321" s="26">
        <f>AVERAGE(C319:C321)</f>
        <v/>
      </c>
      <c r="E321" s="58">
        <f>VLOOKUP(Table1[[#This Row],[Date]],Database!A:D,4,)</f>
        <v/>
      </c>
      <c r="F321" s="58">
        <f>VLOOKUP(Table1[[#This Row],[Date]],Database!A:D,2,)</f>
        <v/>
      </c>
      <c r="G321" s="55" t="n"/>
    </row>
    <row r="322">
      <c r="A322" s="54" t="n">
        <v>23682</v>
      </c>
      <c r="B322" s="25">
        <f>VLOOKUP(Table1[[#This Row],[Date]],Database!A:D,3,)</f>
        <v/>
      </c>
      <c r="C322" s="26">
        <f>B322-B321</f>
        <v/>
      </c>
      <c r="D322" s="26">
        <f>AVERAGE(C320:C322)</f>
        <v/>
      </c>
      <c r="E322" s="58">
        <f>VLOOKUP(Table1[[#This Row],[Date]],Database!A:D,4,)</f>
        <v/>
      </c>
      <c r="F322" s="58">
        <f>VLOOKUP(Table1[[#This Row],[Date]],Database!A:D,2,)</f>
        <v/>
      </c>
      <c r="G322" s="55" t="n"/>
    </row>
    <row r="323">
      <c r="A323" s="54" t="n">
        <v>23712</v>
      </c>
      <c r="B323" s="25">
        <f>VLOOKUP(Table1[[#This Row],[Date]],Database!A:D,3,)</f>
        <v/>
      </c>
      <c r="C323" s="26">
        <f>B323-B322</f>
        <v/>
      </c>
      <c r="D323" s="26">
        <f>AVERAGE(C321:C323)</f>
        <v/>
      </c>
      <c r="E323" s="58">
        <f>VLOOKUP(Table1[[#This Row],[Date]],Database!A:D,4,)</f>
        <v/>
      </c>
      <c r="F323" s="58">
        <f>VLOOKUP(Table1[[#This Row],[Date]],Database!A:D,2,)</f>
        <v/>
      </c>
      <c r="G323" s="55" t="n"/>
    </row>
    <row r="324">
      <c r="A324" s="54" t="n">
        <v>23743</v>
      </c>
      <c r="B324" s="25">
        <f>VLOOKUP(Table1[[#This Row],[Date]],Database!A:D,3,)</f>
        <v/>
      </c>
      <c r="C324" s="26">
        <f>B324-B323</f>
        <v/>
      </c>
      <c r="D324" s="26">
        <f>AVERAGE(C322:C324)</f>
        <v/>
      </c>
      <c r="E324" s="58">
        <f>VLOOKUP(Table1[[#This Row],[Date]],Database!A:D,4,)</f>
        <v/>
      </c>
      <c r="F324" s="58">
        <f>VLOOKUP(Table1[[#This Row],[Date]],Database!A:D,2,)</f>
        <v/>
      </c>
      <c r="G324" s="55" t="n"/>
    </row>
    <row r="325">
      <c r="A325" s="54" t="n">
        <v>23774</v>
      </c>
      <c r="B325" s="25">
        <f>VLOOKUP(Table1[[#This Row],[Date]],Database!A:D,3,)</f>
        <v/>
      </c>
      <c r="C325" s="26">
        <f>B325-B324</f>
        <v/>
      </c>
      <c r="D325" s="26">
        <f>AVERAGE(C323:C325)</f>
        <v/>
      </c>
      <c r="E325" s="58">
        <f>VLOOKUP(Table1[[#This Row],[Date]],Database!A:D,4,)</f>
        <v/>
      </c>
      <c r="F325" s="58">
        <f>VLOOKUP(Table1[[#This Row],[Date]],Database!A:D,2,)</f>
        <v/>
      </c>
      <c r="G325" s="55" t="n"/>
    </row>
    <row r="326">
      <c r="A326" s="54" t="n">
        <v>23802</v>
      </c>
      <c r="B326" s="25">
        <f>VLOOKUP(Table1[[#This Row],[Date]],Database!A:D,3,)</f>
        <v/>
      </c>
      <c r="C326" s="26">
        <f>B326-B325</f>
        <v/>
      </c>
      <c r="D326" s="26">
        <f>AVERAGE(C324:C326)</f>
        <v/>
      </c>
      <c r="E326" s="58">
        <f>VLOOKUP(Table1[[#This Row],[Date]],Database!A:D,4,)</f>
        <v/>
      </c>
      <c r="F326" s="58">
        <f>VLOOKUP(Table1[[#This Row],[Date]],Database!A:D,2,)</f>
        <v/>
      </c>
      <c r="G326" s="55" t="n"/>
    </row>
    <row r="327">
      <c r="A327" s="54" t="n">
        <v>23833</v>
      </c>
      <c r="B327" s="25">
        <f>VLOOKUP(Table1[[#This Row],[Date]],Database!A:D,3,)</f>
        <v/>
      </c>
      <c r="C327" s="26">
        <f>B327-B326</f>
        <v/>
      </c>
      <c r="D327" s="26">
        <f>AVERAGE(C325:C327)</f>
        <v/>
      </c>
      <c r="E327" s="58">
        <f>VLOOKUP(Table1[[#This Row],[Date]],Database!A:D,4,)</f>
        <v/>
      </c>
      <c r="F327" s="58">
        <f>VLOOKUP(Table1[[#This Row],[Date]],Database!A:D,2,)</f>
        <v/>
      </c>
      <c r="G327" s="55" t="n"/>
    </row>
    <row r="328">
      <c r="A328" s="54" t="n">
        <v>23863</v>
      </c>
      <c r="B328" s="25">
        <f>VLOOKUP(Table1[[#This Row],[Date]],Database!A:D,3,)</f>
        <v/>
      </c>
      <c r="C328" s="26">
        <f>B328-B327</f>
        <v/>
      </c>
      <c r="D328" s="26">
        <f>AVERAGE(C326:C328)</f>
        <v/>
      </c>
      <c r="E328" s="58">
        <f>VLOOKUP(Table1[[#This Row],[Date]],Database!A:D,4,)</f>
        <v/>
      </c>
      <c r="F328" s="58">
        <f>VLOOKUP(Table1[[#This Row],[Date]],Database!A:D,2,)</f>
        <v/>
      </c>
      <c r="G328" s="55" t="n"/>
    </row>
    <row r="329">
      <c r="A329" s="54" t="n">
        <v>23894</v>
      </c>
      <c r="B329" s="25">
        <f>VLOOKUP(Table1[[#This Row],[Date]],Database!A:D,3,)</f>
        <v/>
      </c>
      <c r="C329" s="26">
        <f>B329-B328</f>
        <v/>
      </c>
      <c r="D329" s="26">
        <f>AVERAGE(C327:C329)</f>
        <v/>
      </c>
      <c r="E329" s="58">
        <f>VLOOKUP(Table1[[#This Row],[Date]],Database!A:D,4,)</f>
        <v/>
      </c>
      <c r="F329" s="58">
        <f>VLOOKUP(Table1[[#This Row],[Date]],Database!A:D,2,)</f>
        <v/>
      </c>
      <c r="G329" s="55" t="n"/>
    </row>
    <row r="330">
      <c r="A330" s="54" t="n">
        <v>23924</v>
      </c>
      <c r="B330" s="25">
        <f>VLOOKUP(Table1[[#This Row],[Date]],Database!A:D,3,)</f>
        <v/>
      </c>
      <c r="C330" s="26">
        <f>B330-B329</f>
        <v/>
      </c>
      <c r="D330" s="26">
        <f>AVERAGE(C328:C330)</f>
        <v/>
      </c>
      <c r="E330" s="58">
        <f>VLOOKUP(Table1[[#This Row],[Date]],Database!A:D,4,)</f>
        <v/>
      </c>
      <c r="F330" s="58">
        <f>VLOOKUP(Table1[[#This Row],[Date]],Database!A:D,2,)</f>
        <v/>
      </c>
      <c r="G330" s="55" t="n"/>
    </row>
    <row r="331">
      <c r="A331" s="54" t="n">
        <v>23955</v>
      </c>
      <c r="B331" s="25">
        <f>VLOOKUP(Table1[[#This Row],[Date]],Database!A:D,3,)</f>
        <v/>
      </c>
      <c r="C331" s="26">
        <f>B331-B330</f>
        <v/>
      </c>
      <c r="D331" s="26">
        <f>AVERAGE(C329:C331)</f>
        <v/>
      </c>
      <c r="E331" s="58">
        <f>VLOOKUP(Table1[[#This Row],[Date]],Database!A:D,4,)</f>
        <v/>
      </c>
      <c r="F331" s="58">
        <f>VLOOKUP(Table1[[#This Row],[Date]],Database!A:D,2,)</f>
        <v/>
      </c>
      <c r="G331" s="55" t="n"/>
    </row>
    <row r="332">
      <c r="A332" s="54" t="n">
        <v>23986</v>
      </c>
      <c r="B332" s="25">
        <f>VLOOKUP(Table1[[#This Row],[Date]],Database!A:D,3,)</f>
        <v/>
      </c>
      <c r="C332" s="26">
        <f>B332-B331</f>
        <v/>
      </c>
      <c r="D332" s="26">
        <f>AVERAGE(C330:C332)</f>
        <v/>
      </c>
      <c r="E332" s="58">
        <f>VLOOKUP(Table1[[#This Row],[Date]],Database!A:D,4,)</f>
        <v/>
      </c>
      <c r="F332" s="58">
        <f>VLOOKUP(Table1[[#This Row],[Date]],Database!A:D,2,)</f>
        <v/>
      </c>
      <c r="G332" s="55" t="n"/>
    </row>
    <row r="333">
      <c r="A333" s="54" t="n">
        <v>24016</v>
      </c>
      <c r="B333" s="25">
        <f>VLOOKUP(Table1[[#This Row],[Date]],Database!A:D,3,)</f>
        <v/>
      </c>
      <c r="C333" s="26">
        <f>B333-B332</f>
        <v/>
      </c>
      <c r="D333" s="26">
        <f>AVERAGE(C331:C333)</f>
        <v/>
      </c>
      <c r="E333" s="58">
        <f>VLOOKUP(Table1[[#This Row],[Date]],Database!A:D,4,)</f>
        <v/>
      </c>
      <c r="F333" s="58">
        <f>VLOOKUP(Table1[[#This Row],[Date]],Database!A:D,2,)</f>
        <v/>
      </c>
      <c r="G333" s="55" t="n"/>
    </row>
    <row r="334">
      <c r="A334" s="54" t="n">
        <v>24047</v>
      </c>
      <c r="B334" s="25">
        <f>VLOOKUP(Table1[[#This Row],[Date]],Database!A:D,3,)</f>
        <v/>
      </c>
      <c r="C334" s="26">
        <f>B334-B333</f>
        <v/>
      </c>
      <c r="D334" s="26">
        <f>AVERAGE(C332:C334)</f>
        <v/>
      </c>
      <c r="E334" s="58">
        <f>VLOOKUP(Table1[[#This Row],[Date]],Database!A:D,4,)</f>
        <v/>
      </c>
      <c r="F334" s="58">
        <f>VLOOKUP(Table1[[#This Row],[Date]],Database!A:D,2,)</f>
        <v/>
      </c>
      <c r="G334" s="55" t="n"/>
    </row>
    <row r="335">
      <c r="A335" s="54" t="n">
        <v>24077</v>
      </c>
      <c r="B335" s="25">
        <f>VLOOKUP(Table1[[#This Row],[Date]],Database!A:D,3,)</f>
        <v/>
      </c>
      <c r="C335" s="26">
        <f>B335-B334</f>
        <v/>
      </c>
      <c r="D335" s="26">
        <f>AVERAGE(C333:C335)</f>
        <v/>
      </c>
      <c r="E335" s="58">
        <f>VLOOKUP(Table1[[#This Row],[Date]],Database!A:D,4,)</f>
        <v/>
      </c>
      <c r="F335" s="58">
        <f>VLOOKUP(Table1[[#This Row],[Date]],Database!A:D,2,)</f>
        <v/>
      </c>
      <c r="G335" s="55" t="n"/>
    </row>
    <row r="336">
      <c r="A336" s="54" t="n">
        <v>24108</v>
      </c>
      <c r="B336" s="25">
        <f>VLOOKUP(Table1[[#This Row],[Date]],Database!A:D,3,)</f>
        <v/>
      </c>
      <c r="C336" s="26">
        <f>B336-B335</f>
        <v/>
      </c>
      <c r="D336" s="26">
        <f>AVERAGE(C334:C336)</f>
        <v/>
      </c>
      <c r="E336" s="58">
        <f>VLOOKUP(Table1[[#This Row],[Date]],Database!A:D,4,)</f>
        <v/>
      </c>
      <c r="F336" s="58">
        <f>VLOOKUP(Table1[[#This Row],[Date]],Database!A:D,2,)</f>
        <v/>
      </c>
      <c r="G336" s="55" t="n"/>
    </row>
    <row r="337">
      <c r="A337" s="54" t="n">
        <v>24139</v>
      </c>
      <c r="B337" s="25">
        <f>VLOOKUP(Table1[[#This Row],[Date]],Database!A:D,3,)</f>
        <v/>
      </c>
      <c r="C337" s="26">
        <f>B337-B336</f>
        <v/>
      </c>
      <c r="D337" s="26">
        <f>AVERAGE(C335:C337)</f>
        <v/>
      </c>
      <c r="E337" s="58">
        <f>VLOOKUP(Table1[[#This Row],[Date]],Database!A:D,4,)</f>
        <v/>
      </c>
      <c r="F337" s="58">
        <f>VLOOKUP(Table1[[#This Row],[Date]],Database!A:D,2,)</f>
        <v/>
      </c>
      <c r="G337" s="55" t="n"/>
    </row>
    <row r="338">
      <c r="A338" s="54" t="n">
        <v>24167</v>
      </c>
      <c r="B338" s="25">
        <f>VLOOKUP(Table1[[#This Row],[Date]],Database!A:D,3,)</f>
        <v/>
      </c>
      <c r="C338" s="26">
        <f>B338-B337</f>
        <v/>
      </c>
      <c r="D338" s="26">
        <f>AVERAGE(C336:C338)</f>
        <v/>
      </c>
      <c r="E338" s="58">
        <f>VLOOKUP(Table1[[#This Row],[Date]],Database!A:D,4,)</f>
        <v/>
      </c>
      <c r="F338" s="58">
        <f>VLOOKUP(Table1[[#This Row],[Date]],Database!A:D,2,)</f>
        <v/>
      </c>
      <c r="G338" s="55" t="n"/>
    </row>
    <row r="339">
      <c r="A339" s="54" t="n">
        <v>24198</v>
      </c>
      <c r="B339" s="25">
        <f>VLOOKUP(Table1[[#This Row],[Date]],Database!A:D,3,)</f>
        <v/>
      </c>
      <c r="C339" s="26">
        <f>B339-B338</f>
        <v/>
      </c>
      <c r="D339" s="26">
        <f>AVERAGE(C337:C339)</f>
        <v/>
      </c>
      <c r="E339" s="58">
        <f>VLOOKUP(Table1[[#This Row],[Date]],Database!A:D,4,)</f>
        <v/>
      </c>
      <c r="F339" s="58">
        <f>VLOOKUP(Table1[[#This Row],[Date]],Database!A:D,2,)</f>
        <v/>
      </c>
      <c r="G339" s="55" t="n"/>
    </row>
    <row r="340">
      <c r="A340" s="54" t="n">
        <v>24228</v>
      </c>
      <c r="B340" s="25">
        <f>VLOOKUP(Table1[[#This Row],[Date]],Database!A:D,3,)</f>
        <v/>
      </c>
      <c r="C340" s="26">
        <f>B340-B339</f>
        <v/>
      </c>
      <c r="D340" s="26">
        <f>AVERAGE(C338:C340)</f>
        <v/>
      </c>
      <c r="E340" s="58">
        <f>VLOOKUP(Table1[[#This Row],[Date]],Database!A:D,4,)</f>
        <v/>
      </c>
      <c r="F340" s="58">
        <f>VLOOKUP(Table1[[#This Row],[Date]],Database!A:D,2,)</f>
        <v/>
      </c>
      <c r="G340" s="55" t="n"/>
    </row>
    <row r="341">
      <c r="A341" s="54" t="n">
        <v>24259</v>
      </c>
      <c r="B341" s="25">
        <f>VLOOKUP(Table1[[#This Row],[Date]],Database!A:D,3,)</f>
        <v/>
      </c>
      <c r="C341" s="26">
        <f>B341-B340</f>
        <v/>
      </c>
      <c r="D341" s="26">
        <f>AVERAGE(C339:C341)</f>
        <v/>
      </c>
      <c r="E341" s="58">
        <f>VLOOKUP(Table1[[#This Row],[Date]],Database!A:D,4,)</f>
        <v/>
      </c>
      <c r="F341" s="58">
        <f>VLOOKUP(Table1[[#This Row],[Date]],Database!A:D,2,)</f>
        <v/>
      </c>
      <c r="G341" s="55" t="n"/>
    </row>
    <row r="342">
      <c r="A342" s="54" t="n">
        <v>24289</v>
      </c>
      <c r="B342" s="25">
        <f>VLOOKUP(Table1[[#This Row],[Date]],Database!A:D,3,)</f>
        <v/>
      </c>
      <c r="C342" s="26">
        <f>B342-B341</f>
        <v/>
      </c>
      <c r="D342" s="26">
        <f>AVERAGE(C340:C342)</f>
        <v/>
      </c>
      <c r="E342" s="58">
        <f>VLOOKUP(Table1[[#This Row],[Date]],Database!A:D,4,)</f>
        <v/>
      </c>
      <c r="F342" s="58">
        <f>VLOOKUP(Table1[[#This Row],[Date]],Database!A:D,2,)</f>
        <v/>
      </c>
      <c r="G342" s="55" t="n"/>
    </row>
    <row r="343">
      <c r="A343" s="54" t="n">
        <v>24320</v>
      </c>
      <c r="B343" s="25">
        <f>VLOOKUP(Table1[[#This Row],[Date]],Database!A:D,3,)</f>
        <v/>
      </c>
      <c r="C343" s="26">
        <f>B343-B342</f>
        <v/>
      </c>
      <c r="D343" s="26">
        <f>AVERAGE(C341:C343)</f>
        <v/>
      </c>
      <c r="E343" s="58">
        <f>VLOOKUP(Table1[[#This Row],[Date]],Database!A:D,4,)</f>
        <v/>
      </c>
      <c r="F343" s="58">
        <f>VLOOKUP(Table1[[#This Row],[Date]],Database!A:D,2,)</f>
        <v/>
      </c>
      <c r="G343" s="55" t="n"/>
    </row>
    <row r="344">
      <c r="A344" s="54" t="n">
        <v>24351</v>
      </c>
      <c r="B344" s="25">
        <f>VLOOKUP(Table1[[#This Row],[Date]],Database!A:D,3,)</f>
        <v/>
      </c>
      <c r="C344" s="26">
        <f>B344-B343</f>
        <v/>
      </c>
      <c r="D344" s="26">
        <f>AVERAGE(C342:C344)</f>
        <v/>
      </c>
      <c r="E344" s="58">
        <f>VLOOKUP(Table1[[#This Row],[Date]],Database!A:D,4,)</f>
        <v/>
      </c>
      <c r="F344" s="58">
        <f>VLOOKUP(Table1[[#This Row],[Date]],Database!A:D,2,)</f>
        <v/>
      </c>
      <c r="G344" s="55" t="n"/>
    </row>
    <row r="345">
      <c r="A345" s="54" t="n">
        <v>24381</v>
      </c>
      <c r="B345" s="25">
        <f>VLOOKUP(Table1[[#This Row],[Date]],Database!A:D,3,)</f>
        <v/>
      </c>
      <c r="C345" s="26">
        <f>B345-B344</f>
        <v/>
      </c>
      <c r="D345" s="26">
        <f>AVERAGE(C343:C345)</f>
        <v/>
      </c>
      <c r="E345" s="58">
        <f>VLOOKUP(Table1[[#This Row],[Date]],Database!A:D,4,)</f>
        <v/>
      </c>
      <c r="F345" s="58">
        <f>VLOOKUP(Table1[[#This Row],[Date]],Database!A:D,2,)</f>
        <v/>
      </c>
      <c r="G345" s="55" t="n"/>
    </row>
    <row r="346">
      <c r="A346" s="54" t="n">
        <v>24412</v>
      </c>
      <c r="B346" s="25">
        <f>VLOOKUP(Table1[[#This Row],[Date]],Database!A:D,3,)</f>
        <v/>
      </c>
      <c r="C346" s="26">
        <f>B346-B345</f>
        <v/>
      </c>
      <c r="D346" s="26">
        <f>AVERAGE(C344:C346)</f>
        <v/>
      </c>
      <c r="E346" s="58">
        <f>VLOOKUP(Table1[[#This Row],[Date]],Database!A:D,4,)</f>
        <v/>
      </c>
      <c r="F346" s="58">
        <f>VLOOKUP(Table1[[#This Row],[Date]],Database!A:D,2,)</f>
        <v/>
      </c>
      <c r="G346" s="55" t="n"/>
    </row>
    <row r="347">
      <c r="A347" s="54" t="n">
        <v>24442</v>
      </c>
      <c r="B347" s="25">
        <f>VLOOKUP(Table1[[#This Row],[Date]],Database!A:D,3,)</f>
        <v/>
      </c>
      <c r="C347" s="26">
        <f>B347-B346</f>
        <v/>
      </c>
      <c r="D347" s="26">
        <f>AVERAGE(C345:C347)</f>
        <v/>
      </c>
      <c r="E347" s="58">
        <f>VLOOKUP(Table1[[#This Row],[Date]],Database!A:D,4,)</f>
        <v/>
      </c>
      <c r="F347" s="58">
        <f>VLOOKUP(Table1[[#This Row],[Date]],Database!A:D,2,)</f>
        <v/>
      </c>
      <c r="G347" s="55" t="n"/>
    </row>
    <row r="348">
      <c r="A348" s="54" t="n">
        <v>24473</v>
      </c>
      <c r="B348" s="25">
        <f>VLOOKUP(Table1[[#This Row],[Date]],Database!A:D,3,)</f>
        <v/>
      </c>
      <c r="C348" s="26">
        <f>B348-B347</f>
        <v/>
      </c>
      <c r="D348" s="26">
        <f>AVERAGE(C346:C348)</f>
        <v/>
      </c>
      <c r="E348" s="58">
        <f>VLOOKUP(Table1[[#This Row],[Date]],Database!A:D,4,)</f>
        <v/>
      </c>
      <c r="F348" s="58">
        <f>VLOOKUP(Table1[[#This Row],[Date]],Database!A:D,2,)</f>
        <v/>
      </c>
      <c r="G348" s="55" t="n"/>
    </row>
    <row r="349">
      <c r="A349" s="54" t="n">
        <v>24504</v>
      </c>
      <c r="B349" s="25">
        <f>VLOOKUP(Table1[[#This Row],[Date]],Database!A:D,3,)</f>
        <v/>
      </c>
      <c r="C349" s="26">
        <f>B349-B348</f>
        <v/>
      </c>
      <c r="D349" s="26">
        <f>AVERAGE(C347:C349)</f>
        <v/>
      </c>
      <c r="E349" s="58">
        <f>VLOOKUP(Table1[[#This Row],[Date]],Database!A:D,4,)</f>
        <v/>
      </c>
      <c r="F349" s="58">
        <f>VLOOKUP(Table1[[#This Row],[Date]],Database!A:D,2,)</f>
        <v/>
      </c>
      <c r="G349" s="55" t="n"/>
    </row>
    <row r="350">
      <c r="A350" s="54" t="n">
        <v>24532</v>
      </c>
      <c r="B350" s="25">
        <f>VLOOKUP(Table1[[#This Row],[Date]],Database!A:D,3,)</f>
        <v/>
      </c>
      <c r="C350" s="26">
        <f>B350-B349</f>
        <v/>
      </c>
      <c r="D350" s="26">
        <f>AVERAGE(C348:C350)</f>
        <v/>
      </c>
      <c r="E350" s="58">
        <f>VLOOKUP(Table1[[#This Row],[Date]],Database!A:D,4,)</f>
        <v/>
      </c>
      <c r="F350" s="58">
        <f>VLOOKUP(Table1[[#This Row],[Date]],Database!A:D,2,)</f>
        <v/>
      </c>
      <c r="G350" s="55" t="n"/>
    </row>
    <row r="351">
      <c r="A351" s="54" t="n">
        <v>24563</v>
      </c>
      <c r="B351" s="25">
        <f>VLOOKUP(Table1[[#This Row],[Date]],Database!A:D,3,)</f>
        <v/>
      </c>
      <c r="C351" s="26">
        <f>B351-B350</f>
        <v/>
      </c>
      <c r="D351" s="26">
        <f>AVERAGE(C349:C351)</f>
        <v/>
      </c>
      <c r="E351" s="58">
        <f>VLOOKUP(Table1[[#This Row],[Date]],Database!A:D,4,)</f>
        <v/>
      </c>
      <c r="F351" s="58">
        <f>VLOOKUP(Table1[[#This Row],[Date]],Database!A:D,2,)</f>
        <v/>
      </c>
      <c r="G351" s="55" t="n"/>
    </row>
    <row r="352">
      <c r="A352" s="54" t="n">
        <v>24593</v>
      </c>
      <c r="B352" s="25">
        <f>VLOOKUP(Table1[[#This Row],[Date]],Database!A:D,3,)</f>
        <v/>
      </c>
      <c r="C352" s="26">
        <f>B352-B351</f>
        <v/>
      </c>
      <c r="D352" s="26">
        <f>AVERAGE(C350:C352)</f>
        <v/>
      </c>
      <c r="E352" s="58">
        <f>VLOOKUP(Table1[[#This Row],[Date]],Database!A:D,4,)</f>
        <v/>
      </c>
      <c r="F352" s="58">
        <f>VLOOKUP(Table1[[#This Row],[Date]],Database!A:D,2,)</f>
        <v/>
      </c>
      <c r="G352" s="55" t="n"/>
    </row>
    <row r="353">
      <c r="A353" s="54" t="n">
        <v>24624</v>
      </c>
      <c r="B353" s="25">
        <f>VLOOKUP(Table1[[#This Row],[Date]],Database!A:D,3,)</f>
        <v/>
      </c>
      <c r="C353" s="26">
        <f>B353-B352</f>
        <v/>
      </c>
      <c r="D353" s="26">
        <f>AVERAGE(C351:C353)</f>
        <v/>
      </c>
      <c r="E353" s="58">
        <f>VLOOKUP(Table1[[#This Row],[Date]],Database!A:D,4,)</f>
        <v/>
      </c>
      <c r="F353" s="58">
        <f>VLOOKUP(Table1[[#This Row],[Date]],Database!A:D,2,)</f>
        <v/>
      </c>
      <c r="G353" s="55" t="n"/>
    </row>
    <row r="354">
      <c r="A354" s="54" t="n">
        <v>24654</v>
      </c>
      <c r="B354" s="25">
        <f>VLOOKUP(Table1[[#This Row],[Date]],Database!A:D,3,)</f>
        <v/>
      </c>
      <c r="C354" s="26">
        <f>B354-B353</f>
        <v/>
      </c>
      <c r="D354" s="26">
        <f>AVERAGE(C352:C354)</f>
        <v/>
      </c>
      <c r="E354" s="58">
        <f>VLOOKUP(Table1[[#This Row],[Date]],Database!A:D,4,)</f>
        <v/>
      </c>
      <c r="F354" s="58">
        <f>VLOOKUP(Table1[[#This Row],[Date]],Database!A:D,2,)</f>
        <v/>
      </c>
      <c r="G354" s="55" t="n"/>
    </row>
    <row r="355">
      <c r="A355" s="54" t="n">
        <v>24685</v>
      </c>
      <c r="B355" s="25">
        <f>VLOOKUP(Table1[[#This Row],[Date]],Database!A:D,3,)</f>
        <v/>
      </c>
      <c r="C355" s="26">
        <f>B355-B354</f>
        <v/>
      </c>
      <c r="D355" s="26">
        <f>AVERAGE(C353:C355)</f>
        <v/>
      </c>
      <c r="E355" s="58">
        <f>VLOOKUP(Table1[[#This Row],[Date]],Database!A:D,4,)</f>
        <v/>
      </c>
      <c r="F355" s="58">
        <f>VLOOKUP(Table1[[#This Row],[Date]],Database!A:D,2,)</f>
        <v/>
      </c>
      <c r="G355" s="55" t="n"/>
    </row>
    <row r="356">
      <c r="A356" s="54" t="n">
        <v>24716</v>
      </c>
      <c r="B356" s="25">
        <f>VLOOKUP(Table1[[#This Row],[Date]],Database!A:D,3,)</f>
        <v/>
      </c>
      <c r="C356" s="26">
        <f>B356-B355</f>
        <v/>
      </c>
      <c r="D356" s="26">
        <f>AVERAGE(C354:C356)</f>
        <v/>
      </c>
      <c r="E356" s="58">
        <f>VLOOKUP(Table1[[#This Row],[Date]],Database!A:D,4,)</f>
        <v/>
      </c>
      <c r="F356" s="58">
        <f>VLOOKUP(Table1[[#This Row],[Date]],Database!A:D,2,)</f>
        <v/>
      </c>
      <c r="G356" s="55" t="n"/>
    </row>
    <row r="357">
      <c r="A357" s="54" t="n">
        <v>24746</v>
      </c>
      <c r="B357" s="25">
        <f>VLOOKUP(Table1[[#This Row],[Date]],Database!A:D,3,)</f>
        <v/>
      </c>
      <c r="C357" s="26">
        <f>B357-B356</f>
        <v/>
      </c>
      <c r="D357" s="26">
        <f>AVERAGE(C355:C357)</f>
        <v/>
      </c>
      <c r="E357" s="58">
        <f>VLOOKUP(Table1[[#This Row],[Date]],Database!A:D,4,)</f>
        <v/>
      </c>
      <c r="F357" s="58">
        <f>VLOOKUP(Table1[[#This Row],[Date]],Database!A:D,2,)</f>
        <v/>
      </c>
      <c r="G357" s="55" t="n"/>
    </row>
    <row r="358">
      <c r="A358" s="54" t="n">
        <v>24777</v>
      </c>
      <c r="B358" s="25">
        <f>VLOOKUP(Table1[[#This Row],[Date]],Database!A:D,3,)</f>
        <v/>
      </c>
      <c r="C358" s="26">
        <f>B358-B357</f>
        <v/>
      </c>
      <c r="D358" s="26">
        <f>AVERAGE(C356:C358)</f>
        <v/>
      </c>
      <c r="E358" s="58">
        <f>VLOOKUP(Table1[[#This Row],[Date]],Database!A:D,4,)</f>
        <v/>
      </c>
      <c r="F358" s="58">
        <f>VLOOKUP(Table1[[#This Row],[Date]],Database!A:D,2,)</f>
        <v/>
      </c>
      <c r="G358" s="55" t="n"/>
    </row>
    <row r="359">
      <c r="A359" s="54" t="n">
        <v>24807</v>
      </c>
      <c r="B359" s="25">
        <f>VLOOKUP(Table1[[#This Row],[Date]],Database!A:D,3,)</f>
        <v/>
      </c>
      <c r="C359" s="26">
        <f>B359-B358</f>
        <v/>
      </c>
      <c r="D359" s="26">
        <f>AVERAGE(C357:C359)</f>
        <v/>
      </c>
      <c r="E359" s="58">
        <f>VLOOKUP(Table1[[#This Row],[Date]],Database!A:D,4,)</f>
        <v/>
      </c>
      <c r="F359" s="58">
        <f>VLOOKUP(Table1[[#This Row],[Date]],Database!A:D,2,)</f>
        <v/>
      </c>
      <c r="G359" s="55" t="n"/>
    </row>
    <row r="360">
      <c r="A360" s="54" t="n">
        <v>24838</v>
      </c>
      <c r="B360" s="25">
        <f>VLOOKUP(Table1[[#This Row],[Date]],Database!A:D,3,)</f>
        <v/>
      </c>
      <c r="C360" s="26">
        <f>B360-B359</f>
        <v/>
      </c>
      <c r="D360" s="26">
        <f>AVERAGE(C358:C360)</f>
        <v/>
      </c>
      <c r="E360" s="58">
        <f>VLOOKUP(Table1[[#This Row],[Date]],Database!A:D,4,)</f>
        <v/>
      </c>
      <c r="F360" s="58">
        <f>VLOOKUP(Table1[[#This Row],[Date]],Database!A:D,2,)</f>
        <v/>
      </c>
      <c r="G360" s="55" t="n"/>
    </row>
    <row r="361">
      <c r="A361" s="54" t="n">
        <v>24869</v>
      </c>
      <c r="B361" s="25">
        <f>VLOOKUP(Table1[[#This Row],[Date]],Database!A:D,3,)</f>
        <v/>
      </c>
      <c r="C361" s="26">
        <f>B361-B360</f>
        <v/>
      </c>
      <c r="D361" s="26">
        <f>AVERAGE(C359:C361)</f>
        <v/>
      </c>
      <c r="E361" s="58">
        <f>VLOOKUP(Table1[[#This Row],[Date]],Database!A:D,4,)</f>
        <v/>
      </c>
      <c r="F361" s="58">
        <f>VLOOKUP(Table1[[#This Row],[Date]],Database!A:D,2,)</f>
        <v/>
      </c>
      <c r="G361" s="55" t="n"/>
    </row>
    <row r="362">
      <c r="A362" s="54" t="n">
        <v>24898</v>
      </c>
      <c r="B362" s="25">
        <f>VLOOKUP(Table1[[#This Row],[Date]],Database!A:D,3,)</f>
        <v/>
      </c>
      <c r="C362" s="26">
        <f>B362-B361</f>
        <v/>
      </c>
      <c r="D362" s="26">
        <f>AVERAGE(C360:C362)</f>
        <v/>
      </c>
      <c r="E362" s="58">
        <f>VLOOKUP(Table1[[#This Row],[Date]],Database!A:D,4,)</f>
        <v/>
      </c>
      <c r="F362" s="58">
        <f>VLOOKUP(Table1[[#This Row],[Date]],Database!A:D,2,)</f>
        <v/>
      </c>
      <c r="G362" s="55" t="n"/>
    </row>
    <row r="363">
      <c r="A363" s="54" t="n">
        <v>24929</v>
      </c>
      <c r="B363" s="25">
        <f>VLOOKUP(Table1[[#This Row],[Date]],Database!A:D,3,)</f>
        <v/>
      </c>
      <c r="C363" s="26">
        <f>B363-B362</f>
        <v/>
      </c>
      <c r="D363" s="26">
        <f>AVERAGE(C361:C363)</f>
        <v/>
      </c>
      <c r="E363" s="58">
        <f>VLOOKUP(Table1[[#This Row],[Date]],Database!A:D,4,)</f>
        <v/>
      </c>
      <c r="F363" s="58">
        <f>VLOOKUP(Table1[[#This Row],[Date]],Database!A:D,2,)</f>
        <v/>
      </c>
      <c r="G363" s="55" t="n"/>
    </row>
    <row r="364">
      <c r="A364" s="54" t="n">
        <v>24959</v>
      </c>
      <c r="B364" s="25">
        <f>VLOOKUP(Table1[[#This Row],[Date]],Database!A:D,3,)</f>
        <v/>
      </c>
      <c r="C364" s="26">
        <f>B364-B363</f>
        <v/>
      </c>
      <c r="D364" s="26">
        <f>AVERAGE(C362:C364)</f>
        <v/>
      </c>
      <c r="E364" s="58">
        <f>VLOOKUP(Table1[[#This Row],[Date]],Database!A:D,4,)</f>
        <v/>
      </c>
      <c r="F364" s="58">
        <f>VLOOKUP(Table1[[#This Row],[Date]],Database!A:D,2,)</f>
        <v/>
      </c>
      <c r="G364" s="55" t="n"/>
    </row>
    <row r="365">
      <c r="A365" s="54" t="n">
        <v>24990</v>
      </c>
      <c r="B365" s="25">
        <f>VLOOKUP(Table1[[#This Row],[Date]],Database!A:D,3,)</f>
        <v/>
      </c>
      <c r="C365" s="26">
        <f>B365-B364</f>
        <v/>
      </c>
      <c r="D365" s="26">
        <f>AVERAGE(C363:C365)</f>
        <v/>
      </c>
      <c r="E365" s="58">
        <f>VLOOKUP(Table1[[#This Row],[Date]],Database!A:D,4,)</f>
        <v/>
      </c>
      <c r="F365" s="58">
        <f>VLOOKUP(Table1[[#This Row],[Date]],Database!A:D,2,)</f>
        <v/>
      </c>
      <c r="G365" s="55" t="n"/>
    </row>
    <row r="366">
      <c r="A366" s="54" t="n">
        <v>25020</v>
      </c>
      <c r="B366" s="25">
        <f>VLOOKUP(Table1[[#This Row],[Date]],Database!A:D,3,)</f>
        <v/>
      </c>
      <c r="C366" s="26">
        <f>B366-B365</f>
        <v/>
      </c>
      <c r="D366" s="26">
        <f>AVERAGE(C364:C366)</f>
        <v/>
      </c>
      <c r="E366" s="58">
        <f>VLOOKUP(Table1[[#This Row],[Date]],Database!A:D,4,)</f>
        <v/>
      </c>
      <c r="F366" s="58">
        <f>VLOOKUP(Table1[[#This Row],[Date]],Database!A:D,2,)</f>
        <v/>
      </c>
      <c r="G366" s="55" t="n"/>
    </row>
    <row r="367">
      <c r="A367" s="54" t="n">
        <v>25051</v>
      </c>
      <c r="B367" s="25">
        <f>VLOOKUP(Table1[[#This Row],[Date]],Database!A:D,3,)</f>
        <v/>
      </c>
      <c r="C367" s="26">
        <f>B367-B366</f>
        <v/>
      </c>
      <c r="D367" s="26">
        <f>AVERAGE(C365:C367)</f>
        <v/>
      </c>
      <c r="E367" s="58">
        <f>VLOOKUP(Table1[[#This Row],[Date]],Database!A:D,4,)</f>
        <v/>
      </c>
      <c r="F367" s="58">
        <f>VLOOKUP(Table1[[#This Row],[Date]],Database!A:D,2,)</f>
        <v/>
      </c>
      <c r="G367" s="55" t="n"/>
    </row>
    <row r="368">
      <c r="A368" s="54" t="n">
        <v>25082</v>
      </c>
      <c r="B368" s="25">
        <f>VLOOKUP(Table1[[#This Row],[Date]],Database!A:D,3,)</f>
        <v/>
      </c>
      <c r="C368" s="26">
        <f>B368-B367</f>
        <v/>
      </c>
      <c r="D368" s="26">
        <f>AVERAGE(C366:C368)</f>
        <v/>
      </c>
      <c r="E368" s="58">
        <f>VLOOKUP(Table1[[#This Row],[Date]],Database!A:D,4,)</f>
        <v/>
      </c>
      <c r="F368" s="58">
        <f>VLOOKUP(Table1[[#This Row],[Date]],Database!A:D,2,)</f>
        <v/>
      </c>
      <c r="G368" s="55" t="n"/>
    </row>
    <row r="369">
      <c r="A369" s="54" t="n">
        <v>25112</v>
      </c>
      <c r="B369" s="25">
        <f>VLOOKUP(Table1[[#This Row],[Date]],Database!A:D,3,)</f>
        <v/>
      </c>
      <c r="C369" s="26">
        <f>B369-B368</f>
        <v/>
      </c>
      <c r="D369" s="26">
        <f>AVERAGE(C367:C369)</f>
        <v/>
      </c>
      <c r="E369" s="58">
        <f>VLOOKUP(Table1[[#This Row],[Date]],Database!A:D,4,)</f>
        <v/>
      </c>
      <c r="F369" s="58">
        <f>VLOOKUP(Table1[[#This Row],[Date]],Database!A:D,2,)</f>
        <v/>
      </c>
      <c r="G369" s="55" t="n"/>
    </row>
    <row r="370">
      <c r="A370" s="54" t="n">
        <v>25143</v>
      </c>
      <c r="B370" s="25">
        <f>VLOOKUP(Table1[[#This Row],[Date]],Database!A:D,3,)</f>
        <v/>
      </c>
      <c r="C370" s="26">
        <f>B370-B369</f>
        <v/>
      </c>
      <c r="D370" s="26">
        <f>AVERAGE(C368:C370)</f>
        <v/>
      </c>
      <c r="E370" s="58">
        <f>VLOOKUP(Table1[[#This Row],[Date]],Database!A:D,4,)</f>
        <v/>
      </c>
      <c r="F370" s="58">
        <f>VLOOKUP(Table1[[#This Row],[Date]],Database!A:D,2,)</f>
        <v/>
      </c>
      <c r="G370" s="55" t="n"/>
    </row>
    <row r="371">
      <c r="A371" s="54" t="n">
        <v>25173</v>
      </c>
      <c r="B371" s="25">
        <f>VLOOKUP(Table1[[#This Row],[Date]],Database!A:D,3,)</f>
        <v/>
      </c>
      <c r="C371" s="26">
        <f>B371-B370</f>
        <v/>
      </c>
      <c r="D371" s="26">
        <f>AVERAGE(C369:C371)</f>
        <v/>
      </c>
      <c r="E371" s="58">
        <f>VLOOKUP(Table1[[#This Row],[Date]],Database!A:D,4,)</f>
        <v/>
      </c>
      <c r="F371" s="58">
        <f>VLOOKUP(Table1[[#This Row],[Date]],Database!A:D,2,)</f>
        <v/>
      </c>
      <c r="G371" s="55" t="n"/>
    </row>
    <row r="372">
      <c r="A372" s="54" t="n">
        <v>25204</v>
      </c>
      <c r="B372" s="25">
        <f>VLOOKUP(Table1[[#This Row],[Date]],Database!A:D,3,)</f>
        <v/>
      </c>
      <c r="C372" s="26">
        <f>B372-B371</f>
        <v/>
      </c>
      <c r="D372" s="26">
        <f>AVERAGE(C370:C372)</f>
        <v/>
      </c>
      <c r="E372" s="58">
        <f>VLOOKUP(Table1[[#This Row],[Date]],Database!A:D,4,)</f>
        <v/>
      </c>
      <c r="F372" s="58">
        <f>VLOOKUP(Table1[[#This Row],[Date]],Database!A:D,2,)</f>
        <v/>
      </c>
      <c r="G372" s="55" t="n"/>
    </row>
    <row r="373">
      <c r="A373" s="54" t="n">
        <v>25235</v>
      </c>
      <c r="B373" s="25">
        <f>VLOOKUP(Table1[[#This Row],[Date]],Database!A:D,3,)</f>
        <v/>
      </c>
      <c r="C373" s="26">
        <f>B373-B372</f>
        <v/>
      </c>
      <c r="D373" s="26">
        <f>AVERAGE(C371:C373)</f>
        <v/>
      </c>
      <c r="E373" s="58">
        <f>VLOOKUP(Table1[[#This Row],[Date]],Database!A:D,4,)</f>
        <v/>
      </c>
      <c r="F373" s="58">
        <f>VLOOKUP(Table1[[#This Row],[Date]],Database!A:D,2,)</f>
        <v/>
      </c>
      <c r="G373" s="55" t="n"/>
    </row>
    <row r="374">
      <c r="A374" s="54" t="n">
        <v>25263</v>
      </c>
      <c r="B374" s="25">
        <f>VLOOKUP(Table1[[#This Row],[Date]],Database!A:D,3,)</f>
        <v/>
      </c>
      <c r="C374" s="26">
        <f>B374-B373</f>
        <v/>
      </c>
      <c r="D374" s="26">
        <f>AVERAGE(C372:C374)</f>
        <v/>
      </c>
      <c r="E374" s="58">
        <f>VLOOKUP(Table1[[#This Row],[Date]],Database!A:D,4,)</f>
        <v/>
      </c>
      <c r="F374" s="58">
        <f>VLOOKUP(Table1[[#This Row],[Date]],Database!A:D,2,)</f>
        <v/>
      </c>
      <c r="G374" s="55" t="n"/>
    </row>
    <row r="375">
      <c r="A375" s="54" t="n">
        <v>25294</v>
      </c>
      <c r="B375" s="25">
        <f>VLOOKUP(Table1[[#This Row],[Date]],Database!A:D,3,)</f>
        <v/>
      </c>
      <c r="C375" s="26">
        <f>B375-B374</f>
        <v/>
      </c>
      <c r="D375" s="26">
        <f>AVERAGE(C373:C375)</f>
        <v/>
      </c>
      <c r="E375" s="58">
        <f>VLOOKUP(Table1[[#This Row],[Date]],Database!A:D,4,)</f>
        <v/>
      </c>
      <c r="F375" s="58">
        <f>VLOOKUP(Table1[[#This Row],[Date]],Database!A:D,2,)</f>
        <v/>
      </c>
      <c r="G375" s="55" t="n"/>
    </row>
    <row r="376">
      <c r="A376" s="54" t="n">
        <v>25324</v>
      </c>
      <c r="B376" s="25">
        <f>VLOOKUP(Table1[[#This Row],[Date]],Database!A:D,3,)</f>
        <v/>
      </c>
      <c r="C376" s="26">
        <f>B376-B375</f>
        <v/>
      </c>
      <c r="D376" s="26">
        <f>AVERAGE(C374:C376)</f>
        <v/>
      </c>
      <c r="E376" s="58">
        <f>VLOOKUP(Table1[[#This Row],[Date]],Database!A:D,4,)</f>
        <v/>
      </c>
      <c r="F376" s="58">
        <f>VLOOKUP(Table1[[#This Row],[Date]],Database!A:D,2,)</f>
        <v/>
      </c>
      <c r="G376" s="55" t="n"/>
    </row>
    <row r="377">
      <c r="A377" s="54" t="n">
        <v>25355</v>
      </c>
      <c r="B377" s="25">
        <f>VLOOKUP(Table1[[#This Row],[Date]],Database!A:D,3,)</f>
        <v/>
      </c>
      <c r="C377" s="26">
        <f>B377-B376</f>
        <v/>
      </c>
      <c r="D377" s="26">
        <f>AVERAGE(C375:C377)</f>
        <v/>
      </c>
      <c r="E377" s="58">
        <f>VLOOKUP(Table1[[#This Row],[Date]],Database!A:D,4,)</f>
        <v/>
      </c>
      <c r="F377" s="58">
        <f>VLOOKUP(Table1[[#This Row],[Date]],Database!A:D,2,)</f>
        <v/>
      </c>
      <c r="G377" s="55" t="n"/>
    </row>
    <row r="378">
      <c r="A378" s="54" t="n">
        <v>25385</v>
      </c>
      <c r="B378" s="25">
        <f>VLOOKUP(Table1[[#This Row],[Date]],Database!A:D,3,)</f>
        <v/>
      </c>
      <c r="C378" s="26">
        <f>B378-B377</f>
        <v/>
      </c>
      <c r="D378" s="26">
        <f>AVERAGE(C376:C378)</f>
        <v/>
      </c>
      <c r="E378" s="58">
        <f>VLOOKUP(Table1[[#This Row],[Date]],Database!A:D,4,)</f>
        <v/>
      </c>
      <c r="F378" s="58">
        <f>VLOOKUP(Table1[[#This Row],[Date]],Database!A:D,2,)</f>
        <v/>
      </c>
      <c r="G378" s="55" t="n"/>
    </row>
    <row r="379">
      <c r="A379" s="54" t="n">
        <v>25416</v>
      </c>
      <c r="B379" s="25">
        <f>VLOOKUP(Table1[[#This Row],[Date]],Database!A:D,3,)</f>
        <v/>
      </c>
      <c r="C379" s="26">
        <f>B379-B378</f>
        <v/>
      </c>
      <c r="D379" s="26">
        <f>AVERAGE(C377:C379)</f>
        <v/>
      </c>
      <c r="E379" s="58">
        <f>VLOOKUP(Table1[[#This Row],[Date]],Database!A:D,4,)</f>
        <v/>
      </c>
      <c r="F379" s="58">
        <f>VLOOKUP(Table1[[#This Row],[Date]],Database!A:D,2,)</f>
        <v/>
      </c>
      <c r="G379" s="55" t="n"/>
    </row>
    <row r="380">
      <c r="A380" s="54" t="n">
        <v>25447</v>
      </c>
      <c r="B380" s="25">
        <f>VLOOKUP(Table1[[#This Row],[Date]],Database!A:D,3,)</f>
        <v/>
      </c>
      <c r="C380" s="26">
        <f>B380-B379</f>
        <v/>
      </c>
      <c r="D380" s="26">
        <f>AVERAGE(C378:C380)</f>
        <v/>
      </c>
      <c r="E380" s="58">
        <f>VLOOKUP(Table1[[#This Row],[Date]],Database!A:D,4,)</f>
        <v/>
      </c>
      <c r="F380" s="58">
        <f>VLOOKUP(Table1[[#This Row],[Date]],Database!A:D,2,)</f>
        <v/>
      </c>
      <c r="G380" s="55" t="n"/>
    </row>
    <row r="381">
      <c r="A381" s="54" t="n">
        <v>25477</v>
      </c>
      <c r="B381" s="25">
        <f>VLOOKUP(Table1[[#This Row],[Date]],Database!A:D,3,)</f>
        <v/>
      </c>
      <c r="C381" s="26">
        <f>B381-B380</f>
        <v/>
      </c>
      <c r="D381" s="26">
        <f>AVERAGE(C379:C381)</f>
        <v/>
      </c>
      <c r="E381" s="58">
        <f>VLOOKUP(Table1[[#This Row],[Date]],Database!A:D,4,)</f>
        <v/>
      </c>
      <c r="F381" s="58">
        <f>VLOOKUP(Table1[[#This Row],[Date]],Database!A:D,2,)</f>
        <v/>
      </c>
      <c r="G381" s="55" t="n"/>
    </row>
    <row r="382">
      <c r="A382" s="54" t="n">
        <v>25508</v>
      </c>
      <c r="B382" s="25">
        <f>VLOOKUP(Table1[[#This Row],[Date]],Database!A:D,3,)</f>
        <v/>
      </c>
      <c r="C382" s="26">
        <f>B382-B381</f>
        <v/>
      </c>
      <c r="D382" s="26">
        <f>AVERAGE(C380:C382)</f>
        <v/>
      </c>
      <c r="E382" s="58">
        <f>VLOOKUP(Table1[[#This Row],[Date]],Database!A:D,4,)</f>
        <v/>
      </c>
      <c r="F382" s="58">
        <f>VLOOKUP(Table1[[#This Row],[Date]],Database!A:D,2,)</f>
        <v/>
      </c>
      <c r="G382" s="55" t="n"/>
    </row>
    <row r="383">
      <c r="A383" s="54" t="n">
        <v>25538</v>
      </c>
      <c r="B383" s="25">
        <f>VLOOKUP(Table1[[#This Row],[Date]],Database!A:D,3,)</f>
        <v/>
      </c>
      <c r="C383" s="26">
        <f>B383-B382</f>
        <v/>
      </c>
      <c r="D383" s="26">
        <f>AVERAGE(C381:C383)</f>
        <v/>
      </c>
      <c r="E383" s="58">
        <f>VLOOKUP(Table1[[#This Row],[Date]],Database!A:D,4,)</f>
        <v/>
      </c>
      <c r="F383" s="58">
        <f>VLOOKUP(Table1[[#This Row],[Date]],Database!A:D,2,)</f>
        <v/>
      </c>
      <c r="G383" s="55" t="n"/>
    </row>
    <row r="384">
      <c r="A384" s="54" t="n">
        <v>25569</v>
      </c>
      <c r="B384" s="25">
        <f>VLOOKUP(Table1[[#This Row],[Date]],Database!A:D,3,)</f>
        <v/>
      </c>
      <c r="C384" s="26">
        <f>B384-B383</f>
        <v/>
      </c>
      <c r="D384" s="26">
        <f>AVERAGE(C382:C384)</f>
        <v/>
      </c>
      <c r="E384" s="58">
        <f>VLOOKUP(Table1[[#This Row],[Date]],Database!A:D,4,)</f>
        <v/>
      </c>
      <c r="F384" s="58">
        <f>VLOOKUP(Table1[[#This Row],[Date]],Database!A:D,2,)</f>
        <v/>
      </c>
      <c r="G384" s="55" t="n"/>
    </row>
    <row r="385">
      <c r="A385" s="54" t="n">
        <v>25600</v>
      </c>
      <c r="B385" s="25">
        <f>VLOOKUP(Table1[[#This Row],[Date]],Database!A:D,3,)</f>
        <v/>
      </c>
      <c r="C385" s="26">
        <f>B385-B384</f>
        <v/>
      </c>
      <c r="D385" s="26">
        <f>AVERAGE(C383:C385)</f>
        <v/>
      </c>
      <c r="E385" s="58">
        <f>VLOOKUP(Table1[[#This Row],[Date]],Database!A:D,4,)</f>
        <v/>
      </c>
      <c r="F385" s="58">
        <f>VLOOKUP(Table1[[#This Row],[Date]],Database!A:D,2,)</f>
        <v/>
      </c>
      <c r="G385" s="55" t="n"/>
    </row>
    <row r="386">
      <c r="A386" s="54" t="n">
        <v>25628</v>
      </c>
      <c r="B386" s="25">
        <f>VLOOKUP(Table1[[#This Row],[Date]],Database!A:D,3,)</f>
        <v/>
      </c>
      <c r="C386" s="26">
        <f>B386-B385</f>
        <v/>
      </c>
      <c r="D386" s="26">
        <f>AVERAGE(C384:C386)</f>
        <v/>
      </c>
      <c r="E386" s="58">
        <f>VLOOKUP(Table1[[#This Row],[Date]],Database!A:D,4,)</f>
        <v/>
      </c>
      <c r="F386" s="58">
        <f>VLOOKUP(Table1[[#This Row],[Date]],Database!A:D,2,)</f>
        <v/>
      </c>
      <c r="G386" s="55" t="n"/>
    </row>
    <row r="387">
      <c r="A387" s="54" t="n">
        <v>25659</v>
      </c>
      <c r="B387" s="25">
        <f>VLOOKUP(Table1[[#This Row],[Date]],Database!A:D,3,)</f>
        <v/>
      </c>
      <c r="C387" s="26">
        <f>B387-B386</f>
        <v/>
      </c>
      <c r="D387" s="26">
        <f>AVERAGE(C385:C387)</f>
        <v/>
      </c>
      <c r="E387" s="58">
        <f>VLOOKUP(Table1[[#This Row],[Date]],Database!A:D,4,)</f>
        <v/>
      </c>
      <c r="F387" s="58">
        <f>VLOOKUP(Table1[[#This Row],[Date]],Database!A:D,2,)</f>
        <v/>
      </c>
      <c r="G387" s="55" t="n"/>
    </row>
    <row r="388">
      <c r="A388" s="54" t="n">
        <v>25689</v>
      </c>
      <c r="B388" s="25">
        <f>VLOOKUP(Table1[[#This Row],[Date]],Database!A:D,3,)</f>
        <v/>
      </c>
      <c r="C388" s="26">
        <f>B388-B387</f>
        <v/>
      </c>
      <c r="D388" s="26">
        <f>AVERAGE(C386:C388)</f>
        <v/>
      </c>
      <c r="E388" s="58">
        <f>VLOOKUP(Table1[[#This Row],[Date]],Database!A:D,4,)</f>
        <v/>
      </c>
      <c r="F388" s="58">
        <f>VLOOKUP(Table1[[#This Row],[Date]],Database!A:D,2,)</f>
        <v/>
      </c>
      <c r="G388" s="55" t="n"/>
    </row>
    <row r="389">
      <c r="A389" s="54" t="n">
        <v>25720</v>
      </c>
      <c r="B389" s="25">
        <f>VLOOKUP(Table1[[#This Row],[Date]],Database!A:D,3,)</f>
        <v/>
      </c>
      <c r="C389" s="26">
        <f>B389-B388</f>
        <v/>
      </c>
      <c r="D389" s="26">
        <f>AVERAGE(C387:C389)</f>
        <v/>
      </c>
      <c r="E389" s="58">
        <f>VLOOKUP(Table1[[#This Row],[Date]],Database!A:D,4,)</f>
        <v/>
      </c>
      <c r="F389" s="58">
        <f>VLOOKUP(Table1[[#This Row],[Date]],Database!A:D,2,)</f>
        <v/>
      </c>
      <c r="G389" s="55" t="n"/>
    </row>
    <row r="390">
      <c r="A390" s="54" t="n">
        <v>25750</v>
      </c>
      <c r="B390" s="25">
        <f>VLOOKUP(Table1[[#This Row],[Date]],Database!A:D,3,)</f>
        <v/>
      </c>
      <c r="C390" s="26">
        <f>B390-B389</f>
        <v/>
      </c>
      <c r="D390" s="26">
        <f>AVERAGE(C388:C390)</f>
        <v/>
      </c>
      <c r="E390" s="58">
        <f>VLOOKUP(Table1[[#This Row],[Date]],Database!A:D,4,)</f>
        <v/>
      </c>
      <c r="F390" s="58">
        <f>VLOOKUP(Table1[[#This Row],[Date]],Database!A:D,2,)</f>
        <v/>
      </c>
      <c r="G390" s="55" t="n"/>
    </row>
    <row r="391">
      <c r="A391" s="54" t="n">
        <v>25781</v>
      </c>
      <c r="B391" s="25">
        <f>VLOOKUP(Table1[[#This Row],[Date]],Database!A:D,3,)</f>
        <v/>
      </c>
      <c r="C391" s="26">
        <f>B391-B390</f>
        <v/>
      </c>
      <c r="D391" s="26">
        <f>AVERAGE(C389:C391)</f>
        <v/>
      </c>
      <c r="E391" s="58">
        <f>VLOOKUP(Table1[[#This Row],[Date]],Database!A:D,4,)</f>
        <v/>
      </c>
      <c r="F391" s="58">
        <f>VLOOKUP(Table1[[#This Row],[Date]],Database!A:D,2,)</f>
        <v/>
      </c>
      <c r="G391" s="55" t="n"/>
    </row>
    <row r="392">
      <c r="A392" s="54" t="n">
        <v>25812</v>
      </c>
      <c r="B392" s="25">
        <f>VLOOKUP(Table1[[#This Row],[Date]],Database!A:D,3,)</f>
        <v/>
      </c>
      <c r="C392" s="26">
        <f>B392-B391</f>
        <v/>
      </c>
      <c r="D392" s="26">
        <f>AVERAGE(C390:C392)</f>
        <v/>
      </c>
      <c r="E392" s="58">
        <f>VLOOKUP(Table1[[#This Row],[Date]],Database!A:D,4,)</f>
        <v/>
      </c>
      <c r="F392" s="58">
        <f>VLOOKUP(Table1[[#This Row],[Date]],Database!A:D,2,)</f>
        <v/>
      </c>
      <c r="G392" s="55" t="n"/>
    </row>
    <row r="393">
      <c r="A393" s="54" t="n">
        <v>25842</v>
      </c>
      <c r="B393" s="25">
        <f>VLOOKUP(Table1[[#This Row],[Date]],Database!A:D,3,)</f>
        <v/>
      </c>
      <c r="C393" s="26">
        <f>B393-B392</f>
        <v/>
      </c>
      <c r="D393" s="26">
        <f>AVERAGE(C391:C393)</f>
        <v/>
      </c>
      <c r="E393" s="58">
        <f>VLOOKUP(Table1[[#This Row],[Date]],Database!A:D,4,)</f>
        <v/>
      </c>
      <c r="F393" s="58">
        <f>VLOOKUP(Table1[[#This Row],[Date]],Database!A:D,2,)</f>
        <v/>
      </c>
      <c r="G393" s="55" t="n"/>
    </row>
    <row r="394">
      <c r="A394" s="54" t="n">
        <v>25873</v>
      </c>
      <c r="B394" s="25">
        <f>VLOOKUP(Table1[[#This Row],[Date]],Database!A:D,3,)</f>
        <v/>
      </c>
      <c r="C394" s="26">
        <f>B394-B393</f>
        <v/>
      </c>
      <c r="D394" s="26">
        <f>AVERAGE(C392:C394)</f>
        <v/>
      </c>
      <c r="E394" s="58">
        <f>VLOOKUP(Table1[[#This Row],[Date]],Database!A:D,4,)</f>
        <v/>
      </c>
      <c r="F394" s="58">
        <f>VLOOKUP(Table1[[#This Row],[Date]],Database!A:D,2,)</f>
        <v/>
      </c>
      <c r="G394" s="55" t="n"/>
    </row>
    <row r="395">
      <c r="A395" s="54" t="n">
        <v>25903</v>
      </c>
      <c r="B395" s="25">
        <f>VLOOKUP(Table1[[#This Row],[Date]],Database!A:D,3,)</f>
        <v/>
      </c>
      <c r="C395" s="26">
        <f>B395-B394</f>
        <v/>
      </c>
      <c r="D395" s="26">
        <f>AVERAGE(C393:C395)</f>
        <v/>
      </c>
      <c r="E395" s="58">
        <f>VLOOKUP(Table1[[#This Row],[Date]],Database!A:D,4,)</f>
        <v/>
      </c>
      <c r="F395" s="58">
        <f>VLOOKUP(Table1[[#This Row],[Date]],Database!A:D,2,)</f>
        <v/>
      </c>
      <c r="G395" s="55" t="n"/>
    </row>
    <row r="396">
      <c r="A396" s="54" t="n">
        <v>25934</v>
      </c>
      <c r="B396" s="25">
        <f>VLOOKUP(Table1[[#This Row],[Date]],Database!A:D,3,)</f>
        <v/>
      </c>
      <c r="C396" s="26">
        <f>B396-B395</f>
        <v/>
      </c>
      <c r="D396" s="26">
        <f>AVERAGE(C394:C396)</f>
        <v/>
      </c>
      <c r="E396" s="58">
        <f>VLOOKUP(Table1[[#This Row],[Date]],Database!A:D,4,)</f>
        <v/>
      </c>
      <c r="F396" s="58">
        <f>VLOOKUP(Table1[[#This Row],[Date]],Database!A:D,2,)</f>
        <v/>
      </c>
      <c r="G396" s="55" t="n"/>
    </row>
    <row r="397">
      <c r="A397" s="54" t="n">
        <v>25965</v>
      </c>
      <c r="B397" s="25">
        <f>VLOOKUP(Table1[[#This Row],[Date]],Database!A:D,3,)</f>
        <v/>
      </c>
      <c r="C397" s="26">
        <f>B397-B396</f>
        <v/>
      </c>
      <c r="D397" s="26">
        <f>AVERAGE(C395:C397)</f>
        <v/>
      </c>
      <c r="E397" s="58">
        <f>VLOOKUP(Table1[[#This Row],[Date]],Database!A:D,4,)</f>
        <v/>
      </c>
      <c r="F397" s="58">
        <f>VLOOKUP(Table1[[#This Row],[Date]],Database!A:D,2,)</f>
        <v/>
      </c>
      <c r="G397" s="55" t="n"/>
    </row>
    <row r="398">
      <c r="A398" s="54" t="n">
        <v>25993</v>
      </c>
      <c r="B398" s="25">
        <f>VLOOKUP(Table1[[#This Row],[Date]],Database!A:D,3,)</f>
        <v/>
      </c>
      <c r="C398" s="26">
        <f>B398-B397</f>
        <v/>
      </c>
      <c r="D398" s="26">
        <f>AVERAGE(C396:C398)</f>
        <v/>
      </c>
      <c r="E398" s="58">
        <f>VLOOKUP(Table1[[#This Row],[Date]],Database!A:D,4,)</f>
        <v/>
      </c>
      <c r="F398" s="58">
        <f>VLOOKUP(Table1[[#This Row],[Date]],Database!A:D,2,)</f>
        <v/>
      </c>
      <c r="G398" s="55" t="n"/>
    </row>
    <row r="399">
      <c r="A399" s="54" t="n">
        <v>26024</v>
      </c>
      <c r="B399" s="25">
        <f>VLOOKUP(Table1[[#This Row],[Date]],Database!A:D,3,)</f>
        <v/>
      </c>
      <c r="C399" s="26">
        <f>B399-B398</f>
        <v/>
      </c>
      <c r="D399" s="26">
        <f>AVERAGE(C397:C399)</f>
        <v/>
      </c>
      <c r="E399" s="58">
        <f>VLOOKUP(Table1[[#This Row],[Date]],Database!A:D,4,)</f>
        <v/>
      </c>
      <c r="F399" s="58">
        <f>VLOOKUP(Table1[[#This Row],[Date]],Database!A:D,2,)</f>
        <v/>
      </c>
      <c r="G399" s="55" t="n"/>
    </row>
    <row r="400">
      <c r="A400" s="54" t="n">
        <v>26054</v>
      </c>
      <c r="B400" s="25">
        <f>VLOOKUP(Table1[[#This Row],[Date]],Database!A:D,3,)</f>
        <v/>
      </c>
      <c r="C400" s="26">
        <f>B400-B399</f>
        <v/>
      </c>
      <c r="D400" s="26">
        <f>AVERAGE(C398:C400)</f>
        <v/>
      </c>
      <c r="E400" s="58">
        <f>VLOOKUP(Table1[[#This Row],[Date]],Database!A:D,4,)</f>
        <v/>
      </c>
      <c r="F400" s="58">
        <f>VLOOKUP(Table1[[#This Row],[Date]],Database!A:D,2,)</f>
        <v/>
      </c>
      <c r="G400" s="55" t="n"/>
    </row>
    <row r="401">
      <c r="A401" s="54" t="n">
        <v>26085</v>
      </c>
      <c r="B401" s="25">
        <f>VLOOKUP(Table1[[#This Row],[Date]],Database!A:D,3,)</f>
        <v/>
      </c>
      <c r="C401" s="26">
        <f>B401-B400</f>
        <v/>
      </c>
      <c r="D401" s="26">
        <f>AVERAGE(C399:C401)</f>
        <v/>
      </c>
      <c r="E401" s="58">
        <f>VLOOKUP(Table1[[#This Row],[Date]],Database!A:D,4,)</f>
        <v/>
      </c>
      <c r="F401" s="58">
        <f>VLOOKUP(Table1[[#This Row],[Date]],Database!A:D,2,)</f>
        <v/>
      </c>
      <c r="G401" s="55" t="n"/>
    </row>
    <row r="402">
      <c r="A402" s="54" t="n">
        <v>26115</v>
      </c>
      <c r="B402" s="25">
        <f>VLOOKUP(Table1[[#This Row],[Date]],Database!A:D,3,)</f>
        <v/>
      </c>
      <c r="C402" s="26">
        <f>B402-B401</f>
        <v/>
      </c>
      <c r="D402" s="26">
        <f>AVERAGE(C400:C402)</f>
        <v/>
      </c>
      <c r="E402" s="58">
        <f>VLOOKUP(Table1[[#This Row],[Date]],Database!A:D,4,)</f>
        <v/>
      </c>
      <c r="F402" s="58">
        <f>VLOOKUP(Table1[[#This Row],[Date]],Database!A:D,2,)</f>
        <v/>
      </c>
      <c r="G402" s="55" t="n"/>
    </row>
    <row r="403">
      <c r="A403" s="54" t="n">
        <v>26146</v>
      </c>
      <c r="B403" s="25">
        <f>VLOOKUP(Table1[[#This Row],[Date]],Database!A:D,3,)</f>
        <v/>
      </c>
      <c r="C403" s="26">
        <f>B403-B402</f>
        <v/>
      </c>
      <c r="D403" s="26">
        <f>AVERAGE(C401:C403)</f>
        <v/>
      </c>
      <c r="E403" s="58">
        <f>VLOOKUP(Table1[[#This Row],[Date]],Database!A:D,4,)</f>
        <v/>
      </c>
      <c r="F403" s="58">
        <f>VLOOKUP(Table1[[#This Row],[Date]],Database!A:D,2,)</f>
        <v/>
      </c>
      <c r="G403" s="55" t="n"/>
    </row>
    <row r="404">
      <c r="A404" s="54" t="n">
        <v>26177</v>
      </c>
      <c r="B404" s="25">
        <f>VLOOKUP(Table1[[#This Row],[Date]],Database!A:D,3,)</f>
        <v/>
      </c>
      <c r="C404" s="26">
        <f>B404-B403</f>
        <v/>
      </c>
      <c r="D404" s="26">
        <f>AVERAGE(C402:C404)</f>
        <v/>
      </c>
      <c r="E404" s="58">
        <f>VLOOKUP(Table1[[#This Row],[Date]],Database!A:D,4,)</f>
        <v/>
      </c>
      <c r="F404" s="58">
        <f>VLOOKUP(Table1[[#This Row],[Date]],Database!A:D,2,)</f>
        <v/>
      </c>
      <c r="G404" s="55" t="n"/>
    </row>
    <row r="405">
      <c r="A405" s="54" t="n">
        <v>26207</v>
      </c>
      <c r="B405" s="25">
        <f>VLOOKUP(Table1[[#This Row],[Date]],Database!A:D,3,)</f>
        <v/>
      </c>
      <c r="C405" s="26">
        <f>B405-B404</f>
        <v/>
      </c>
      <c r="D405" s="26">
        <f>AVERAGE(C403:C405)</f>
        <v/>
      </c>
      <c r="E405" s="58">
        <f>VLOOKUP(Table1[[#This Row],[Date]],Database!A:D,4,)</f>
        <v/>
      </c>
      <c r="F405" s="58">
        <f>VLOOKUP(Table1[[#This Row],[Date]],Database!A:D,2,)</f>
        <v/>
      </c>
      <c r="G405" s="55" t="n"/>
    </row>
    <row r="406">
      <c r="A406" s="54" t="n">
        <v>26238</v>
      </c>
      <c r="B406" s="25">
        <f>VLOOKUP(Table1[[#This Row],[Date]],Database!A:D,3,)</f>
        <v/>
      </c>
      <c r="C406" s="26">
        <f>B406-B405</f>
        <v/>
      </c>
      <c r="D406" s="26">
        <f>AVERAGE(C404:C406)</f>
        <v/>
      </c>
      <c r="E406" s="58">
        <f>VLOOKUP(Table1[[#This Row],[Date]],Database!A:D,4,)</f>
        <v/>
      </c>
      <c r="F406" s="58">
        <f>VLOOKUP(Table1[[#This Row],[Date]],Database!A:D,2,)</f>
        <v/>
      </c>
      <c r="G406" s="55" t="n"/>
    </row>
    <row r="407">
      <c r="A407" s="54" t="n">
        <v>26268</v>
      </c>
      <c r="B407" s="25">
        <f>VLOOKUP(Table1[[#This Row],[Date]],Database!A:D,3,)</f>
        <v/>
      </c>
      <c r="C407" s="26">
        <f>B407-B406</f>
        <v/>
      </c>
      <c r="D407" s="26">
        <f>AVERAGE(C405:C407)</f>
        <v/>
      </c>
      <c r="E407" s="58">
        <f>VLOOKUP(Table1[[#This Row],[Date]],Database!A:D,4,)</f>
        <v/>
      </c>
      <c r="F407" s="58">
        <f>VLOOKUP(Table1[[#This Row],[Date]],Database!A:D,2,)</f>
        <v/>
      </c>
      <c r="G407" s="55" t="n"/>
    </row>
    <row r="408">
      <c r="A408" s="54" t="n">
        <v>26299</v>
      </c>
      <c r="B408" s="25">
        <f>VLOOKUP(Table1[[#This Row],[Date]],Database!A:D,3,)</f>
        <v/>
      </c>
      <c r="C408" s="26">
        <f>B408-B407</f>
        <v/>
      </c>
      <c r="D408" s="26">
        <f>AVERAGE(C406:C408)</f>
        <v/>
      </c>
      <c r="E408" s="58">
        <f>VLOOKUP(Table1[[#This Row],[Date]],Database!A:D,4,)</f>
        <v/>
      </c>
      <c r="F408" s="58">
        <f>VLOOKUP(Table1[[#This Row],[Date]],Database!A:D,2,)</f>
        <v/>
      </c>
      <c r="G408" s="55" t="n"/>
    </row>
    <row r="409">
      <c r="A409" s="54" t="n">
        <v>26330</v>
      </c>
      <c r="B409" s="25">
        <f>VLOOKUP(Table1[[#This Row],[Date]],Database!A:D,3,)</f>
        <v/>
      </c>
      <c r="C409" s="26">
        <f>B409-B408</f>
        <v/>
      </c>
      <c r="D409" s="26">
        <f>AVERAGE(C407:C409)</f>
        <v/>
      </c>
      <c r="E409" s="58">
        <f>VLOOKUP(Table1[[#This Row],[Date]],Database!A:D,4,)</f>
        <v/>
      </c>
      <c r="F409" s="58">
        <f>VLOOKUP(Table1[[#This Row],[Date]],Database!A:D,2,)</f>
        <v/>
      </c>
      <c r="G409" s="55" t="n"/>
    </row>
    <row r="410">
      <c r="A410" s="54" t="n">
        <v>26359</v>
      </c>
      <c r="B410" s="25">
        <f>VLOOKUP(Table1[[#This Row],[Date]],Database!A:D,3,)</f>
        <v/>
      </c>
      <c r="C410" s="26">
        <f>B410-B409</f>
        <v/>
      </c>
      <c r="D410" s="26">
        <f>AVERAGE(C408:C410)</f>
        <v/>
      </c>
      <c r="E410" s="58">
        <f>VLOOKUP(Table1[[#This Row],[Date]],Database!A:D,4,)</f>
        <v/>
      </c>
      <c r="F410" s="58">
        <f>VLOOKUP(Table1[[#This Row],[Date]],Database!A:D,2,)</f>
        <v/>
      </c>
      <c r="G410" s="55" t="n"/>
    </row>
    <row r="411">
      <c r="A411" s="54" t="n">
        <v>26390</v>
      </c>
      <c r="B411" s="25">
        <f>VLOOKUP(Table1[[#This Row],[Date]],Database!A:D,3,)</f>
        <v/>
      </c>
      <c r="C411" s="26">
        <f>B411-B410</f>
        <v/>
      </c>
      <c r="D411" s="26">
        <f>AVERAGE(C409:C411)</f>
        <v/>
      </c>
      <c r="E411" s="58">
        <f>VLOOKUP(Table1[[#This Row],[Date]],Database!A:D,4,)</f>
        <v/>
      </c>
      <c r="F411" s="58">
        <f>VLOOKUP(Table1[[#This Row],[Date]],Database!A:D,2,)</f>
        <v/>
      </c>
      <c r="G411" s="55" t="n"/>
    </row>
    <row r="412">
      <c r="A412" s="54" t="n">
        <v>26420</v>
      </c>
      <c r="B412" s="25">
        <f>VLOOKUP(Table1[[#This Row],[Date]],Database!A:D,3,)</f>
        <v/>
      </c>
      <c r="C412" s="26">
        <f>B412-B411</f>
        <v/>
      </c>
      <c r="D412" s="26">
        <f>AVERAGE(C410:C412)</f>
        <v/>
      </c>
      <c r="E412" s="58">
        <f>VLOOKUP(Table1[[#This Row],[Date]],Database!A:D,4,)</f>
        <v/>
      </c>
      <c r="F412" s="58">
        <f>VLOOKUP(Table1[[#This Row],[Date]],Database!A:D,2,)</f>
        <v/>
      </c>
      <c r="G412" s="55" t="n"/>
    </row>
    <row r="413">
      <c r="A413" s="54" t="n">
        <v>26451</v>
      </c>
      <c r="B413" s="25">
        <f>VLOOKUP(Table1[[#This Row],[Date]],Database!A:D,3,)</f>
        <v/>
      </c>
      <c r="C413" s="26">
        <f>B413-B412</f>
        <v/>
      </c>
      <c r="D413" s="26">
        <f>AVERAGE(C411:C413)</f>
        <v/>
      </c>
      <c r="E413" s="58">
        <f>VLOOKUP(Table1[[#This Row],[Date]],Database!A:D,4,)</f>
        <v/>
      </c>
      <c r="F413" s="58">
        <f>VLOOKUP(Table1[[#This Row],[Date]],Database!A:D,2,)</f>
        <v/>
      </c>
      <c r="G413" s="55" t="n"/>
    </row>
    <row r="414">
      <c r="A414" s="54" t="n">
        <v>26481</v>
      </c>
      <c r="B414" s="25">
        <f>VLOOKUP(Table1[[#This Row],[Date]],Database!A:D,3,)</f>
        <v/>
      </c>
      <c r="C414" s="26">
        <f>B414-B413</f>
        <v/>
      </c>
      <c r="D414" s="26">
        <f>AVERAGE(C412:C414)</f>
        <v/>
      </c>
      <c r="E414" s="58">
        <f>VLOOKUP(Table1[[#This Row],[Date]],Database!A:D,4,)</f>
        <v/>
      </c>
      <c r="F414" s="58">
        <f>VLOOKUP(Table1[[#This Row],[Date]],Database!A:D,2,)</f>
        <v/>
      </c>
      <c r="G414" s="55" t="n"/>
    </row>
    <row r="415">
      <c r="A415" s="54" t="n">
        <v>26512</v>
      </c>
      <c r="B415" s="25">
        <f>VLOOKUP(Table1[[#This Row],[Date]],Database!A:D,3,)</f>
        <v/>
      </c>
      <c r="C415" s="26">
        <f>B415-B414</f>
        <v/>
      </c>
      <c r="D415" s="26">
        <f>AVERAGE(C413:C415)</f>
        <v/>
      </c>
      <c r="E415" s="58">
        <f>VLOOKUP(Table1[[#This Row],[Date]],Database!A:D,4,)</f>
        <v/>
      </c>
      <c r="F415" s="58">
        <f>VLOOKUP(Table1[[#This Row],[Date]],Database!A:D,2,)</f>
        <v/>
      </c>
      <c r="G415" s="55" t="n"/>
    </row>
    <row r="416">
      <c r="A416" s="54" t="n">
        <v>26543</v>
      </c>
      <c r="B416" s="25">
        <f>VLOOKUP(Table1[[#This Row],[Date]],Database!A:D,3,)</f>
        <v/>
      </c>
      <c r="C416" s="26">
        <f>B416-B415</f>
        <v/>
      </c>
      <c r="D416" s="26">
        <f>AVERAGE(C414:C416)</f>
        <v/>
      </c>
      <c r="E416" s="58">
        <f>VLOOKUP(Table1[[#This Row],[Date]],Database!A:D,4,)</f>
        <v/>
      </c>
      <c r="F416" s="58">
        <f>VLOOKUP(Table1[[#This Row],[Date]],Database!A:D,2,)</f>
        <v/>
      </c>
      <c r="G416" s="55" t="n"/>
    </row>
    <row r="417">
      <c r="A417" s="54" t="n">
        <v>26573</v>
      </c>
      <c r="B417" s="25">
        <f>VLOOKUP(Table1[[#This Row],[Date]],Database!A:D,3,)</f>
        <v/>
      </c>
      <c r="C417" s="26">
        <f>B417-B416</f>
        <v/>
      </c>
      <c r="D417" s="26">
        <f>AVERAGE(C415:C417)</f>
        <v/>
      </c>
      <c r="E417" s="58">
        <f>VLOOKUP(Table1[[#This Row],[Date]],Database!A:D,4,)</f>
        <v/>
      </c>
      <c r="F417" s="58">
        <f>VLOOKUP(Table1[[#This Row],[Date]],Database!A:D,2,)</f>
        <v/>
      </c>
      <c r="G417" s="55" t="n"/>
    </row>
    <row r="418">
      <c r="A418" s="54" t="n">
        <v>26604</v>
      </c>
      <c r="B418" s="25">
        <f>VLOOKUP(Table1[[#This Row],[Date]],Database!A:D,3,)</f>
        <v/>
      </c>
      <c r="C418" s="26">
        <f>B418-B417</f>
        <v/>
      </c>
      <c r="D418" s="26">
        <f>AVERAGE(C416:C418)</f>
        <v/>
      </c>
      <c r="E418" s="58">
        <f>VLOOKUP(Table1[[#This Row],[Date]],Database!A:D,4,)</f>
        <v/>
      </c>
      <c r="F418" s="58">
        <f>VLOOKUP(Table1[[#This Row],[Date]],Database!A:D,2,)</f>
        <v/>
      </c>
      <c r="G418" s="55" t="n"/>
    </row>
    <row r="419">
      <c r="A419" s="54" t="n">
        <v>26634</v>
      </c>
      <c r="B419" s="25">
        <f>VLOOKUP(Table1[[#This Row],[Date]],Database!A:D,3,)</f>
        <v/>
      </c>
      <c r="C419" s="26">
        <f>B419-B418</f>
        <v/>
      </c>
      <c r="D419" s="26">
        <f>AVERAGE(C417:C419)</f>
        <v/>
      </c>
      <c r="E419" s="58">
        <f>VLOOKUP(Table1[[#This Row],[Date]],Database!A:D,4,)</f>
        <v/>
      </c>
      <c r="F419" s="58">
        <f>VLOOKUP(Table1[[#This Row],[Date]],Database!A:D,2,)</f>
        <v/>
      </c>
      <c r="G419" s="55" t="n"/>
    </row>
    <row r="420">
      <c r="A420" s="54" t="n">
        <v>26665</v>
      </c>
      <c r="B420" s="25">
        <f>VLOOKUP(Table1[[#This Row],[Date]],Database!A:D,3,)</f>
        <v/>
      </c>
      <c r="C420" s="26">
        <f>B420-B419</f>
        <v/>
      </c>
      <c r="D420" s="26">
        <f>AVERAGE(C418:C420)</f>
        <v/>
      </c>
      <c r="E420" s="58">
        <f>VLOOKUP(Table1[[#This Row],[Date]],Database!A:D,4,)</f>
        <v/>
      </c>
      <c r="F420" s="58">
        <f>VLOOKUP(Table1[[#This Row],[Date]],Database!A:D,2,)</f>
        <v/>
      </c>
      <c r="G420" s="55" t="n"/>
    </row>
    <row r="421">
      <c r="A421" s="54" t="n">
        <v>26696</v>
      </c>
      <c r="B421" s="25">
        <f>VLOOKUP(Table1[[#This Row],[Date]],Database!A:D,3,)</f>
        <v/>
      </c>
      <c r="C421" s="26">
        <f>B421-B420</f>
        <v/>
      </c>
      <c r="D421" s="26">
        <f>AVERAGE(C419:C421)</f>
        <v/>
      </c>
      <c r="E421" s="58">
        <f>VLOOKUP(Table1[[#This Row],[Date]],Database!A:D,4,)</f>
        <v/>
      </c>
      <c r="F421" s="58">
        <f>VLOOKUP(Table1[[#This Row],[Date]],Database!A:D,2,)</f>
        <v/>
      </c>
      <c r="G421" s="55" t="n"/>
    </row>
    <row r="422">
      <c r="A422" s="54" t="n">
        <v>26724</v>
      </c>
      <c r="B422" s="25">
        <f>VLOOKUP(Table1[[#This Row],[Date]],Database!A:D,3,)</f>
        <v/>
      </c>
      <c r="C422" s="26">
        <f>B422-B421</f>
        <v/>
      </c>
      <c r="D422" s="26">
        <f>AVERAGE(C420:C422)</f>
        <v/>
      </c>
      <c r="E422" s="58">
        <f>VLOOKUP(Table1[[#This Row],[Date]],Database!A:D,4,)</f>
        <v/>
      </c>
      <c r="F422" s="58">
        <f>VLOOKUP(Table1[[#This Row],[Date]],Database!A:D,2,)</f>
        <v/>
      </c>
      <c r="G422" s="55" t="n"/>
    </row>
    <row r="423">
      <c r="A423" s="54" t="n">
        <v>26755</v>
      </c>
      <c r="B423" s="25">
        <f>VLOOKUP(Table1[[#This Row],[Date]],Database!A:D,3,)</f>
        <v/>
      </c>
      <c r="C423" s="26">
        <f>B423-B422</f>
        <v/>
      </c>
      <c r="D423" s="26">
        <f>AVERAGE(C421:C423)</f>
        <v/>
      </c>
      <c r="E423" s="58">
        <f>VLOOKUP(Table1[[#This Row],[Date]],Database!A:D,4,)</f>
        <v/>
      </c>
      <c r="F423" s="58">
        <f>VLOOKUP(Table1[[#This Row],[Date]],Database!A:D,2,)</f>
        <v/>
      </c>
      <c r="G423" s="55" t="n"/>
    </row>
    <row r="424">
      <c r="A424" s="54" t="n">
        <v>26785</v>
      </c>
      <c r="B424" s="25">
        <f>VLOOKUP(Table1[[#This Row],[Date]],Database!A:D,3,)</f>
        <v/>
      </c>
      <c r="C424" s="26">
        <f>B424-B423</f>
        <v/>
      </c>
      <c r="D424" s="26">
        <f>AVERAGE(C422:C424)</f>
        <v/>
      </c>
      <c r="E424" s="58">
        <f>VLOOKUP(Table1[[#This Row],[Date]],Database!A:D,4,)</f>
        <v/>
      </c>
      <c r="F424" s="58">
        <f>VLOOKUP(Table1[[#This Row],[Date]],Database!A:D,2,)</f>
        <v/>
      </c>
      <c r="G424" s="55" t="n"/>
    </row>
    <row r="425">
      <c r="A425" s="54" t="n">
        <v>26816</v>
      </c>
      <c r="B425" s="25">
        <f>VLOOKUP(Table1[[#This Row],[Date]],Database!A:D,3,)</f>
        <v/>
      </c>
      <c r="C425" s="26">
        <f>B425-B424</f>
        <v/>
      </c>
      <c r="D425" s="26">
        <f>AVERAGE(C423:C425)</f>
        <v/>
      </c>
      <c r="E425" s="58">
        <f>VLOOKUP(Table1[[#This Row],[Date]],Database!A:D,4,)</f>
        <v/>
      </c>
      <c r="F425" s="58">
        <f>VLOOKUP(Table1[[#This Row],[Date]],Database!A:D,2,)</f>
        <v/>
      </c>
      <c r="G425" s="55" t="n"/>
    </row>
    <row r="426">
      <c r="A426" s="54" t="n">
        <v>26846</v>
      </c>
      <c r="B426" s="25">
        <f>VLOOKUP(Table1[[#This Row],[Date]],Database!A:D,3,)</f>
        <v/>
      </c>
      <c r="C426" s="26">
        <f>B426-B425</f>
        <v/>
      </c>
      <c r="D426" s="26">
        <f>AVERAGE(C424:C426)</f>
        <v/>
      </c>
      <c r="E426" s="58">
        <f>VLOOKUP(Table1[[#This Row],[Date]],Database!A:D,4,)</f>
        <v/>
      </c>
      <c r="F426" s="58">
        <f>VLOOKUP(Table1[[#This Row],[Date]],Database!A:D,2,)</f>
        <v/>
      </c>
      <c r="G426" s="55" t="n"/>
    </row>
    <row r="427">
      <c r="A427" s="54" t="n">
        <v>26877</v>
      </c>
      <c r="B427" s="25">
        <f>VLOOKUP(Table1[[#This Row],[Date]],Database!A:D,3,)</f>
        <v/>
      </c>
      <c r="C427" s="26">
        <f>B427-B426</f>
        <v/>
      </c>
      <c r="D427" s="26">
        <f>AVERAGE(C425:C427)</f>
        <v/>
      </c>
      <c r="E427" s="58">
        <f>VLOOKUP(Table1[[#This Row],[Date]],Database!A:D,4,)</f>
        <v/>
      </c>
      <c r="F427" s="58">
        <f>VLOOKUP(Table1[[#This Row],[Date]],Database!A:D,2,)</f>
        <v/>
      </c>
      <c r="G427" s="55" t="n"/>
    </row>
    <row r="428">
      <c r="A428" s="54" t="n">
        <v>26908</v>
      </c>
      <c r="B428" s="25">
        <f>VLOOKUP(Table1[[#This Row],[Date]],Database!A:D,3,)</f>
        <v/>
      </c>
      <c r="C428" s="26">
        <f>B428-B427</f>
        <v/>
      </c>
      <c r="D428" s="26">
        <f>AVERAGE(C426:C428)</f>
        <v/>
      </c>
      <c r="E428" s="58">
        <f>VLOOKUP(Table1[[#This Row],[Date]],Database!A:D,4,)</f>
        <v/>
      </c>
      <c r="F428" s="58">
        <f>VLOOKUP(Table1[[#This Row],[Date]],Database!A:D,2,)</f>
        <v/>
      </c>
      <c r="G428" s="55" t="n"/>
    </row>
    <row r="429">
      <c r="A429" s="54" t="n">
        <v>26938</v>
      </c>
      <c r="B429" s="25">
        <f>VLOOKUP(Table1[[#This Row],[Date]],Database!A:D,3,)</f>
        <v/>
      </c>
      <c r="C429" s="26">
        <f>B429-B428</f>
        <v/>
      </c>
      <c r="D429" s="26">
        <f>AVERAGE(C427:C429)</f>
        <v/>
      </c>
      <c r="E429" s="58">
        <f>VLOOKUP(Table1[[#This Row],[Date]],Database!A:D,4,)</f>
        <v/>
      </c>
      <c r="F429" s="58">
        <f>VLOOKUP(Table1[[#This Row],[Date]],Database!A:D,2,)</f>
        <v/>
      </c>
      <c r="G429" s="55" t="n"/>
    </row>
    <row r="430">
      <c r="A430" s="54" t="n">
        <v>26969</v>
      </c>
      <c r="B430" s="25">
        <f>VLOOKUP(Table1[[#This Row],[Date]],Database!A:D,3,)</f>
        <v/>
      </c>
      <c r="C430" s="26">
        <f>B430-B429</f>
        <v/>
      </c>
      <c r="D430" s="26">
        <f>AVERAGE(C428:C430)</f>
        <v/>
      </c>
      <c r="E430" s="58">
        <f>VLOOKUP(Table1[[#This Row],[Date]],Database!A:D,4,)</f>
        <v/>
      </c>
      <c r="F430" s="58">
        <f>VLOOKUP(Table1[[#This Row],[Date]],Database!A:D,2,)</f>
        <v/>
      </c>
      <c r="G430" s="55" t="n"/>
    </row>
    <row r="431">
      <c r="A431" s="54" t="n">
        <v>26999</v>
      </c>
      <c r="B431" s="25">
        <f>VLOOKUP(Table1[[#This Row],[Date]],Database!A:D,3,)</f>
        <v/>
      </c>
      <c r="C431" s="26">
        <f>B431-B430</f>
        <v/>
      </c>
      <c r="D431" s="26">
        <f>AVERAGE(C429:C431)</f>
        <v/>
      </c>
      <c r="E431" s="58">
        <f>VLOOKUP(Table1[[#This Row],[Date]],Database!A:D,4,)</f>
        <v/>
      </c>
      <c r="F431" s="58">
        <f>VLOOKUP(Table1[[#This Row],[Date]],Database!A:D,2,)</f>
        <v/>
      </c>
      <c r="G431" s="55" t="n"/>
    </row>
    <row r="432">
      <c r="A432" s="54" t="n">
        <v>27030</v>
      </c>
      <c r="B432" s="25">
        <f>VLOOKUP(Table1[[#This Row],[Date]],Database!A:D,3,)</f>
        <v/>
      </c>
      <c r="C432" s="26">
        <f>B432-B431</f>
        <v/>
      </c>
      <c r="D432" s="26">
        <f>AVERAGE(C430:C432)</f>
        <v/>
      </c>
      <c r="E432" s="58">
        <f>VLOOKUP(Table1[[#This Row],[Date]],Database!A:D,4,)</f>
        <v/>
      </c>
      <c r="F432" s="58">
        <f>VLOOKUP(Table1[[#This Row],[Date]],Database!A:D,2,)</f>
        <v/>
      </c>
      <c r="G432" s="55" t="n"/>
    </row>
    <row r="433">
      <c r="A433" s="54" t="n">
        <v>27061</v>
      </c>
      <c r="B433" s="25">
        <f>VLOOKUP(Table1[[#This Row],[Date]],Database!A:D,3,)</f>
        <v/>
      </c>
      <c r="C433" s="26">
        <f>B433-B432</f>
        <v/>
      </c>
      <c r="D433" s="26">
        <f>AVERAGE(C431:C433)</f>
        <v/>
      </c>
      <c r="E433" s="58">
        <f>VLOOKUP(Table1[[#This Row],[Date]],Database!A:D,4,)</f>
        <v/>
      </c>
      <c r="F433" s="58">
        <f>VLOOKUP(Table1[[#This Row],[Date]],Database!A:D,2,)</f>
        <v/>
      </c>
      <c r="G433" s="55" t="n"/>
    </row>
    <row r="434">
      <c r="A434" s="54" t="n">
        <v>27089</v>
      </c>
      <c r="B434" s="25">
        <f>VLOOKUP(Table1[[#This Row],[Date]],Database!A:D,3,)</f>
        <v/>
      </c>
      <c r="C434" s="26">
        <f>B434-B433</f>
        <v/>
      </c>
      <c r="D434" s="26">
        <f>AVERAGE(C432:C434)</f>
        <v/>
      </c>
      <c r="E434" s="58">
        <f>VLOOKUP(Table1[[#This Row],[Date]],Database!A:D,4,)</f>
        <v/>
      </c>
      <c r="F434" s="58">
        <f>VLOOKUP(Table1[[#This Row],[Date]],Database!A:D,2,)</f>
        <v/>
      </c>
      <c r="G434" s="55" t="n"/>
    </row>
    <row r="435">
      <c r="A435" s="54" t="n">
        <v>27120</v>
      </c>
      <c r="B435" s="25">
        <f>VLOOKUP(Table1[[#This Row],[Date]],Database!A:D,3,)</f>
        <v/>
      </c>
      <c r="C435" s="26">
        <f>B435-B434</f>
        <v/>
      </c>
      <c r="D435" s="26">
        <f>AVERAGE(C433:C435)</f>
        <v/>
      </c>
      <c r="E435" s="58">
        <f>VLOOKUP(Table1[[#This Row],[Date]],Database!A:D,4,)</f>
        <v/>
      </c>
      <c r="F435" s="58">
        <f>VLOOKUP(Table1[[#This Row],[Date]],Database!A:D,2,)</f>
        <v/>
      </c>
      <c r="G435" s="55" t="n"/>
    </row>
    <row r="436">
      <c r="A436" s="54" t="n">
        <v>27150</v>
      </c>
      <c r="B436" s="25">
        <f>VLOOKUP(Table1[[#This Row],[Date]],Database!A:D,3,)</f>
        <v/>
      </c>
      <c r="C436" s="26">
        <f>B436-B435</f>
        <v/>
      </c>
      <c r="D436" s="26">
        <f>AVERAGE(C434:C436)</f>
        <v/>
      </c>
      <c r="E436" s="58">
        <f>VLOOKUP(Table1[[#This Row],[Date]],Database!A:D,4,)</f>
        <v/>
      </c>
      <c r="F436" s="58">
        <f>VLOOKUP(Table1[[#This Row],[Date]],Database!A:D,2,)</f>
        <v/>
      </c>
      <c r="G436" s="55" t="n"/>
    </row>
    <row r="437">
      <c r="A437" s="54" t="n">
        <v>27181</v>
      </c>
      <c r="B437" s="25">
        <f>VLOOKUP(Table1[[#This Row],[Date]],Database!A:D,3,)</f>
        <v/>
      </c>
      <c r="C437" s="26">
        <f>B437-B436</f>
        <v/>
      </c>
      <c r="D437" s="26">
        <f>AVERAGE(C435:C437)</f>
        <v/>
      </c>
      <c r="E437" s="58">
        <f>VLOOKUP(Table1[[#This Row],[Date]],Database!A:D,4,)</f>
        <v/>
      </c>
      <c r="F437" s="58">
        <f>VLOOKUP(Table1[[#This Row],[Date]],Database!A:D,2,)</f>
        <v/>
      </c>
      <c r="G437" s="55" t="n"/>
    </row>
    <row r="438">
      <c r="A438" s="54" t="n">
        <v>27211</v>
      </c>
      <c r="B438" s="25">
        <f>VLOOKUP(Table1[[#This Row],[Date]],Database!A:D,3,)</f>
        <v/>
      </c>
      <c r="C438" s="26">
        <f>B438-B437</f>
        <v/>
      </c>
      <c r="D438" s="26">
        <f>AVERAGE(C436:C438)</f>
        <v/>
      </c>
      <c r="E438" s="58">
        <f>VLOOKUP(Table1[[#This Row],[Date]],Database!A:D,4,)</f>
        <v/>
      </c>
      <c r="F438" s="58">
        <f>VLOOKUP(Table1[[#This Row],[Date]],Database!A:D,2,)</f>
        <v/>
      </c>
      <c r="G438" s="55" t="n"/>
    </row>
    <row r="439">
      <c r="A439" s="54" t="n">
        <v>27242</v>
      </c>
      <c r="B439" s="25">
        <f>VLOOKUP(Table1[[#This Row],[Date]],Database!A:D,3,)</f>
        <v/>
      </c>
      <c r="C439" s="26">
        <f>B439-B438</f>
        <v/>
      </c>
      <c r="D439" s="26">
        <f>AVERAGE(C437:C439)</f>
        <v/>
      </c>
      <c r="E439" s="58">
        <f>VLOOKUP(Table1[[#This Row],[Date]],Database!A:D,4,)</f>
        <v/>
      </c>
      <c r="F439" s="58">
        <f>VLOOKUP(Table1[[#This Row],[Date]],Database!A:D,2,)</f>
        <v/>
      </c>
      <c r="G439" s="55" t="n"/>
    </row>
    <row r="440">
      <c r="A440" s="54" t="n">
        <v>27273</v>
      </c>
      <c r="B440" s="25">
        <f>VLOOKUP(Table1[[#This Row],[Date]],Database!A:D,3,)</f>
        <v/>
      </c>
      <c r="C440" s="26">
        <f>B440-B439</f>
        <v/>
      </c>
      <c r="D440" s="26">
        <f>AVERAGE(C438:C440)</f>
        <v/>
      </c>
      <c r="E440" s="58">
        <f>VLOOKUP(Table1[[#This Row],[Date]],Database!A:D,4,)</f>
        <v/>
      </c>
      <c r="F440" s="58">
        <f>VLOOKUP(Table1[[#This Row],[Date]],Database!A:D,2,)</f>
        <v/>
      </c>
      <c r="G440" s="55" t="n"/>
    </row>
    <row r="441">
      <c r="A441" s="54" t="n">
        <v>27303</v>
      </c>
      <c r="B441" s="25">
        <f>VLOOKUP(Table1[[#This Row],[Date]],Database!A:D,3,)</f>
        <v/>
      </c>
      <c r="C441" s="26">
        <f>B441-B440</f>
        <v/>
      </c>
      <c r="D441" s="26">
        <f>AVERAGE(C439:C441)</f>
        <v/>
      </c>
      <c r="E441" s="58">
        <f>VLOOKUP(Table1[[#This Row],[Date]],Database!A:D,4,)</f>
        <v/>
      </c>
      <c r="F441" s="58">
        <f>VLOOKUP(Table1[[#This Row],[Date]],Database!A:D,2,)</f>
        <v/>
      </c>
      <c r="G441" s="55" t="n"/>
    </row>
    <row r="442">
      <c r="A442" s="54" t="n">
        <v>27334</v>
      </c>
      <c r="B442" s="25">
        <f>VLOOKUP(Table1[[#This Row],[Date]],Database!A:D,3,)</f>
        <v/>
      </c>
      <c r="C442" s="26">
        <f>B442-B441</f>
        <v/>
      </c>
      <c r="D442" s="26">
        <f>AVERAGE(C440:C442)</f>
        <v/>
      </c>
      <c r="E442" s="58">
        <f>VLOOKUP(Table1[[#This Row],[Date]],Database!A:D,4,)</f>
        <v/>
      </c>
      <c r="F442" s="58">
        <f>VLOOKUP(Table1[[#This Row],[Date]],Database!A:D,2,)</f>
        <v/>
      </c>
      <c r="G442" s="55" t="n"/>
    </row>
    <row r="443">
      <c r="A443" s="54" t="n">
        <v>27364</v>
      </c>
      <c r="B443" s="25">
        <f>VLOOKUP(Table1[[#This Row],[Date]],Database!A:D,3,)</f>
        <v/>
      </c>
      <c r="C443" s="26">
        <f>B443-B442</f>
        <v/>
      </c>
      <c r="D443" s="26">
        <f>AVERAGE(C441:C443)</f>
        <v/>
      </c>
      <c r="E443" s="58">
        <f>VLOOKUP(Table1[[#This Row],[Date]],Database!A:D,4,)</f>
        <v/>
      </c>
      <c r="F443" s="58">
        <f>VLOOKUP(Table1[[#This Row],[Date]],Database!A:D,2,)</f>
        <v/>
      </c>
      <c r="G443" s="55" t="n"/>
    </row>
    <row r="444">
      <c r="A444" s="54" t="n">
        <v>27395</v>
      </c>
      <c r="B444" s="25">
        <f>VLOOKUP(Table1[[#This Row],[Date]],Database!A:D,3,)</f>
        <v/>
      </c>
      <c r="C444" s="26">
        <f>B444-B443</f>
        <v/>
      </c>
      <c r="D444" s="26">
        <f>AVERAGE(C442:C444)</f>
        <v/>
      </c>
      <c r="E444" s="58">
        <f>VLOOKUP(Table1[[#This Row],[Date]],Database!A:D,4,)</f>
        <v/>
      </c>
      <c r="F444" s="58">
        <f>VLOOKUP(Table1[[#This Row],[Date]],Database!A:D,2,)</f>
        <v/>
      </c>
      <c r="G444" s="55" t="n"/>
    </row>
    <row r="445">
      <c r="A445" s="54" t="n">
        <v>27426</v>
      </c>
      <c r="B445" s="25">
        <f>VLOOKUP(Table1[[#This Row],[Date]],Database!A:D,3,)</f>
        <v/>
      </c>
      <c r="C445" s="26">
        <f>B445-B444</f>
        <v/>
      </c>
      <c r="D445" s="26">
        <f>AVERAGE(C443:C445)</f>
        <v/>
      </c>
      <c r="E445" s="58">
        <f>VLOOKUP(Table1[[#This Row],[Date]],Database!A:D,4,)</f>
        <v/>
      </c>
      <c r="F445" s="58">
        <f>VLOOKUP(Table1[[#This Row],[Date]],Database!A:D,2,)</f>
        <v/>
      </c>
      <c r="G445" s="55" t="n"/>
    </row>
    <row r="446">
      <c r="A446" s="54" t="n">
        <v>27454</v>
      </c>
      <c r="B446" s="25">
        <f>VLOOKUP(Table1[[#This Row],[Date]],Database!A:D,3,)</f>
        <v/>
      </c>
      <c r="C446" s="26">
        <f>B446-B445</f>
        <v/>
      </c>
      <c r="D446" s="26">
        <f>AVERAGE(C444:C446)</f>
        <v/>
      </c>
      <c r="E446" s="58">
        <f>VLOOKUP(Table1[[#This Row],[Date]],Database!A:D,4,)</f>
        <v/>
      </c>
      <c r="F446" s="58">
        <f>VLOOKUP(Table1[[#This Row],[Date]],Database!A:D,2,)</f>
        <v/>
      </c>
      <c r="G446" s="55" t="n"/>
    </row>
    <row r="447">
      <c r="A447" s="54" t="n">
        <v>27485</v>
      </c>
      <c r="B447" s="25">
        <f>VLOOKUP(Table1[[#This Row],[Date]],Database!A:D,3,)</f>
        <v/>
      </c>
      <c r="C447" s="26">
        <f>B447-B446</f>
        <v/>
      </c>
      <c r="D447" s="26">
        <f>AVERAGE(C445:C447)</f>
        <v/>
      </c>
      <c r="E447" s="58">
        <f>VLOOKUP(Table1[[#This Row],[Date]],Database!A:D,4,)</f>
        <v/>
      </c>
      <c r="F447" s="58">
        <f>VLOOKUP(Table1[[#This Row],[Date]],Database!A:D,2,)</f>
        <v/>
      </c>
      <c r="G447" s="55" t="n"/>
    </row>
    <row r="448">
      <c r="A448" s="54" t="n">
        <v>27515</v>
      </c>
      <c r="B448" s="25">
        <f>VLOOKUP(Table1[[#This Row],[Date]],Database!A:D,3,)</f>
        <v/>
      </c>
      <c r="C448" s="26">
        <f>B448-B447</f>
        <v/>
      </c>
      <c r="D448" s="26">
        <f>AVERAGE(C446:C448)</f>
        <v/>
      </c>
      <c r="E448" s="58">
        <f>VLOOKUP(Table1[[#This Row],[Date]],Database!A:D,4,)</f>
        <v/>
      </c>
      <c r="F448" s="58">
        <f>VLOOKUP(Table1[[#This Row],[Date]],Database!A:D,2,)</f>
        <v/>
      </c>
      <c r="G448" s="55" t="n"/>
    </row>
    <row r="449">
      <c r="A449" s="54" t="n">
        <v>27546</v>
      </c>
      <c r="B449" s="25">
        <f>VLOOKUP(Table1[[#This Row],[Date]],Database!A:D,3,)</f>
        <v/>
      </c>
      <c r="C449" s="26">
        <f>B449-B448</f>
        <v/>
      </c>
      <c r="D449" s="26">
        <f>AVERAGE(C447:C449)</f>
        <v/>
      </c>
      <c r="E449" s="58">
        <f>VLOOKUP(Table1[[#This Row],[Date]],Database!A:D,4,)</f>
        <v/>
      </c>
      <c r="F449" s="58">
        <f>VLOOKUP(Table1[[#This Row],[Date]],Database!A:D,2,)</f>
        <v/>
      </c>
      <c r="G449" s="55" t="n"/>
    </row>
    <row r="450">
      <c r="A450" s="54" t="n">
        <v>27576</v>
      </c>
      <c r="B450" s="25">
        <f>VLOOKUP(Table1[[#This Row],[Date]],Database!A:D,3,)</f>
        <v/>
      </c>
      <c r="C450" s="26">
        <f>B450-B449</f>
        <v/>
      </c>
      <c r="D450" s="26">
        <f>AVERAGE(C448:C450)</f>
        <v/>
      </c>
      <c r="E450" s="58">
        <f>VLOOKUP(Table1[[#This Row],[Date]],Database!A:D,4,)</f>
        <v/>
      </c>
      <c r="F450" s="58">
        <f>VLOOKUP(Table1[[#This Row],[Date]],Database!A:D,2,)</f>
        <v/>
      </c>
      <c r="G450" s="55" t="n"/>
    </row>
    <row r="451">
      <c r="A451" s="54" t="n">
        <v>27607</v>
      </c>
      <c r="B451" s="25">
        <f>VLOOKUP(Table1[[#This Row],[Date]],Database!A:D,3,)</f>
        <v/>
      </c>
      <c r="C451" s="26">
        <f>B451-B450</f>
        <v/>
      </c>
      <c r="D451" s="26">
        <f>AVERAGE(C449:C451)</f>
        <v/>
      </c>
      <c r="E451" s="58">
        <f>VLOOKUP(Table1[[#This Row],[Date]],Database!A:D,4,)</f>
        <v/>
      </c>
      <c r="F451" s="58">
        <f>VLOOKUP(Table1[[#This Row],[Date]],Database!A:D,2,)</f>
        <v/>
      </c>
      <c r="G451" s="55" t="n"/>
    </row>
    <row r="452">
      <c r="A452" s="54" t="n">
        <v>27638</v>
      </c>
      <c r="B452" s="25">
        <f>VLOOKUP(Table1[[#This Row],[Date]],Database!A:D,3,)</f>
        <v/>
      </c>
      <c r="C452" s="26">
        <f>B452-B451</f>
        <v/>
      </c>
      <c r="D452" s="26">
        <f>AVERAGE(C450:C452)</f>
        <v/>
      </c>
      <c r="E452" s="58">
        <f>VLOOKUP(Table1[[#This Row],[Date]],Database!A:D,4,)</f>
        <v/>
      </c>
      <c r="F452" s="58">
        <f>VLOOKUP(Table1[[#This Row],[Date]],Database!A:D,2,)</f>
        <v/>
      </c>
      <c r="G452" s="55" t="n"/>
    </row>
    <row r="453">
      <c r="A453" s="54" t="n">
        <v>27668</v>
      </c>
      <c r="B453" s="25">
        <f>VLOOKUP(Table1[[#This Row],[Date]],Database!A:D,3,)</f>
        <v/>
      </c>
      <c r="C453" s="26">
        <f>B453-B452</f>
        <v/>
      </c>
      <c r="D453" s="26">
        <f>AVERAGE(C451:C453)</f>
        <v/>
      </c>
      <c r="E453" s="58">
        <f>VLOOKUP(Table1[[#This Row],[Date]],Database!A:D,4,)</f>
        <v/>
      </c>
      <c r="F453" s="58">
        <f>VLOOKUP(Table1[[#This Row],[Date]],Database!A:D,2,)</f>
        <v/>
      </c>
      <c r="G453" s="55" t="n"/>
    </row>
    <row r="454">
      <c r="A454" s="54" t="n">
        <v>27699</v>
      </c>
      <c r="B454" s="25">
        <f>VLOOKUP(Table1[[#This Row],[Date]],Database!A:D,3,)</f>
        <v/>
      </c>
      <c r="C454" s="26">
        <f>B454-B453</f>
        <v/>
      </c>
      <c r="D454" s="26">
        <f>AVERAGE(C452:C454)</f>
        <v/>
      </c>
      <c r="E454" s="58">
        <f>VLOOKUP(Table1[[#This Row],[Date]],Database!A:D,4,)</f>
        <v/>
      </c>
      <c r="F454" s="58">
        <f>VLOOKUP(Table1[[#This Row],[Date]],Database!A:D,2,)</f>
        <v/>
      </c>
      <c r="G454" s="55" t="n"/>
    </row>
    <row r="455">
      <c r="A455" s="54" t="n">
        <v>27729</v>
      </c>
      <c r="B455" s="25">
        <f>VLOOKUP(Table1[[#This Row],[Date]],Database!A:D,3,)</f>
        <v/>
      </c>
      <c r="C455" s="26">
        <f>B455-B454</f>
        <v/>
      </c>
      <c r="D455" s="26">
        <f>AVERAGE(C453:C455)</f>
        <v/>
      </c>
      <c r="E455" s="58">
        <f>VLOOKUP(Table1[[#This Row],[Date]],Database!A:D,4,)</f>
        <v/>
      </c>
      <c r="F455" s="58">
        <f>VLOOKUP(Table1[[#This Row],[Date]],Database!A:D,2,)</f>
        <v/>
      </c>
      <c r="G455" s="55" t="n"/>
    </row>
    <row r="456">
      <c r="A456" s="54" t="n">
        <v>27760</v>
      </c>
      <c r="B456" s="25">
        <f>VLOOKUP(Table1[[#This Row],[Date]],Database!A:D,3,)</f>
        <v/>
      </c>
      <c r="C456" s="26">
        <f>B456-B455</f>
        <v/>
      </c>
      <c r="D456" s="26">
        <f>AVERAGE(C454:C456)</f>
        <v/>
      </c>
      <c r="E456" s="58">
        <f>VLOOKUP(Table1[[#This Row],[Date]],Database!A:D,4,)</f>
        <v/>
      </c>
      <c r="F456" s="58">
        <f>VLOOKUP(Table1[[#This Row],[Date]],Database!A:D,2,)</f>
        <v/>
      </c>
      <c r="G456" s="55" t="n"/>
    </row>
    <row r="457">
      <c r="A457" s="54" t="n">
        <v>27791</v>
      </c>
      <c r="B457" s="25">
        <f>VLOOKUP(Table1[[#This Row],[Date]],Database!A:D,3,)</f>
        <v/>
      </c>
      <c r="C457" s="26">
        <f>B457-B456</f>
        <v/>
      </c>
      <c r="D457" s="26">
        <f>AVERAGE(C455:C457)</f>
        <v/>
      </c>
      <c r="E457" s="58">
        <f>VLOOKUP(Table1[[#This Row],[Date]],Database!A:D,4,)</f>
        <v/>
      </c>
      <c r="F457" s="58">
        <f>VLOOKUP(Table1[[#This Row],[Date]],Database!A:D,2,)</f>
        <v/>
      </c>
      <c r="G457" s="55" t="n"/>
    </row>
    <row r="458">
      <c r="A458" s="54" t="n">
        <v>27820</v>
      </c>
      <c r="B458" s="25">
        <f>VLOOKUP(Table1[[#This Row],[Date]],Database!A:D,3,)</f>
        <v/>
      </c>
      <c r="C458" s="26">
        <f>B458-B457</f>
        <v/>
      </c>
      <c r="D458" s="26">
        <f>AVERAGE(C456:C458)</f>
        <v/>
      </c>
      <c r="E458" s="58">
        <f>VLOOKUP(Table1[[#This Row],[Date]],Database!A:D,4,)</f>
        <v/>
      </c>
      <c r="F458" s="58">
        <f>VLOOKUP(Table1[[#This Row],[Date]],Database!A:D,2,)</f>
        <v/>
      </c>
      <c r="G458" s="55" t="n"/>
    </row>
    <row r="459">
      <c r="A459" s="54" t="n">
        <v>27851</v>
      </c>
      <c r="B459" s="25">
        <f>VLOOKUP(Table1[[#This Row],[Date]],Database!A:D,3,)</f>
        <v/>
      </c>
      <c r="C459" s="26">
        <f>B459-B458</f>
        <v/>
      </c>
      <c r="D459" s="26">
        <f>AVERAGE(C457:C459)</f>
        <v/>
      </c>
      <c r="E459" s="58">
        <f>VLOOKUP(Table1[[#This Row],[Date]],Database!A:D,4,)</f>
        <v/>
      </c>
      <c r="F459" s="58">
        <f>VLOOKUP(Table1[[#This Row],[Date]],Database!A:D,2,)</f>
        <v/>
      </c>
      <c r="G459" s="55" t="n"/>
    </row>
    <row r="460">
      <c r="A460" s="54" t="n">
        <v>27881</v>
      </c>
      <c r="B460" s="25">
        <f>VLOOKUP(Table1[[#This Row],[Date]],Database!A:D,3,)</f>
        <v/>
      </c>
      <c r="C460" s="26">
        <f>B460-B459</f>
        <v/>
      </c>
      <c r="D460" s="26">
        <f>AVERAGE(C458:C460)</f>
        <v/>
      </c>
      <c r="E460" s="58">
        <f>VLOOKUP(Table1[[#This Row],[Date]],Database!A:D,4,)</f>
        <v/>
      </c>
      <c r="F460" s="58">
        <f>VLOOKUP(Table1[[#This Row],[Date]],Database!A:D,2,)</f>
        <v/>
      </c>
      <c r="G460" s="55" t="n"/>
    </row>
    <row r="461">
      <c r="A461" s="54" t="n">
        <v>27912</v>
      </c>
      <c r="B461" s="25">
        <f>VLOOKUP(Table1[[#This Row],[Date]],Database!A:D,3,)</f>
        <v/>
      </c>
      <c r="C461" s="26">
        <f>B461-B460</f>
        <v/>
      </c>
      <c r="D461" s="26">
        <f>AVERAGE(C459:C461)</f>
        <v/>
      </c>
      <c r="E461" s="58">
        <f>VLOOKUP(Table1[[#This Row],[Date]],Database!A:D,4,)</f>
        <v/>
      </c>
      <c r="F461" s="58">
        <f>VLOOKUP(Table1[[#This Row],[Date]],Database!A:D,2,)</f>
        <v/>
      </c>
      <c r="G461" s="55" t="n"/>
    </row>
    <row r="462">
      <c r="A462" s="54" t="n">
        <v>27942</v>
      </c>
      <c r="B462" s="25">
        <f>VLOOKUP(Table1[[#This Row],[Date]],Database!A:D,3,)</f>
        <v/>
      </c>
      <c r="C462" s="26">
        <f>B462-B461</f>
        <v/>
      </c>
      <c r="D462" s="26">
        <f>AVERAGE(C460:C462)</f>
        <v/>
      </c>
      <c r="E462" s="58">
        <f>VLOOKUP(Table1[[#This Row],[Date]],Database!A:D,4,)</f>
        <v/>
      </c>
      <c r="F462" s="58">
        <f>VLOOKUP(Table1[[#This Row],[Date]],Database!A:D,2,)</f>
        <v/>
      </c>
      <c r="G462" s="55" t="n"/>
    </row>
    <row r="463">
      <c r="A463" s="54" t="n">
        <v>27973</v>
      </c>
      <c r="B463" s="25">
        <f>VLOOKUP(Table1[[#This Row],[Date]],Database!A:D,3,)</f>
        <v/>
      </c>
      <c r="C463" s="26">
        <f>B463-B462</f>
        <v/>
      </c>
      <c r="D463" s="26">
        <f>AVERAGE(C461:C463)</f>
        <v/>
      </c>
      <c r="E463" s="58">
        <f>VLOOKUP(Table1[[#This Row],[Date]],Database!A:D,4,)</f>
        <v/>
      </c>
      <c r="F463" s="58">
        <f>VLOOKUP(Table1[[#This Row],[Date]],Database!A:D,2,)</f>
        <v/>
      </c>
      <c r="G463" s="55" t="n"/>
    </row>
    <row r="464">
      <c r="A464" s="54" t="n">
        <v>28004</v>
      </c>
      <c r="B464" s="25">
        <f>VLOOKUP(Table1[[#This Row],[Date]],Database!A:D,3,)</f>
        <v/>
      </c>
      <c r="C464" s="26">
        <f>B464-B463</f>
        <v/>
      </c>
      <c r="D464" s="26">
        <f>AVERAGE(C462:C464)</f>
        <v/>
      </c>
      <c r="E464" s="58">
        <f>VLOOKUP(Table1[[#This Row],[Date]],Database!A:D,4,)</f>
        <v/>
      </c>
      <c r="F464" s="58">
        <f>VLOOKUP(Table1[[#This Row],[Date]],Database!A:D,2,)</f>
        <v/>
      </c>
      <c r="G464" s="55" t="n"/>
    </row>
    <row r="465">
      <c r="A465" s="54" t="n">
        <v>28034</v>
      </c>
      <c r="B465" s="25">
        <f>VLOOKUP(Table1[[#This Row],[Date]],Database!A:D,3,)</f>
        <v/>
      </c>
      <c r="C465" s="26">
        <f>B465-B464</f>
        <v/>
      </c>
      <c r="D465" s="26">
        <f>AVERAGE(C463:C465)</f>
        <v/>
      </c>
      <c r="E465" s="58">
        <f>VLOOKUP(Table1[[#This Row],[Date]],Database!A:D,4,)</f>
        <v/>
      </c>
      <c r="F465" s="58">
        <f>VLOOKUP(Table1[[#This Row],[Date]],Database!A:D,2,)</f>
        <v/>
      </c>
      <c r="G465" s="55" t="n"/>
    </row>
    <row r="466">
      <c r="A466" s="54" t="n">
        <v>28065</v>
      </c>
      <c r="B466" s="25">
        <f>VLOOKUP(Table1[[#This Row],[Date]],Database!A:D,3,)</f>
        <v/>
      </c>
      <c r="C466" s="26">
        <f>B466-B465</f>
        <v/>
      </c>
      <c r="D466" s="26">
        <f>AVERAGE(C464:C466)</f>
        <v/>
      </c>
      <c r="E466" s="58">
        <f>VLOOKUP(Table1[[#This Row],[Date]],Database!A:D,4,)</f>
        <v/>
      </c>
      <c r="F466" s="58">
        <f>VLOOKUP(Table1[[#This Row],[Date]],Database!A:D,2,)</f>
        <v/>
      </c>
      <c r="G466" s="55" t="n"/>
    </row>
    <row r="467">
      <c r="A467" s="54" t="n">
        <v>28095</v>
      </c>
      <c r="B467" s="25">
        <f>VLOOKUP(Table1[[#This Row],[Date]],Database!A:D,3,)</f>
        <v/>
      </c>
      <c r="C467" s="26">
        <f>B467-B466</f>
        <v/>
      </c>
      <c r="D467" s="26">
        <f>AVERAGE(C465:C467)</f>
        <v/>
      </c>
      <c r="E467" s="58">
        <f>VLOOKUP(Table1[[#This Row],[Date]],Database!A:D,4,)</f>
        <v/>
      </c>
      <c r="F467" s="58">
        <f>VLOOKUP(Table1[[#This Row],[Date]],Database!A:D,2,)</f>
        <v/>
      </c>
      <c r="G467" s="55" t="n"/>
    </row>
    <row r="468">
      <c r="A468" s="54" t="n">
        <v>28126</v>
      </c>
      <c r="B468" s="25">
        <f>VLOOKUP(Table1[[#This Row],[Date]],Database!A:D,3,)</f>
        <v/>
      </c>
      <c r="C468" s="26">
        <f>B468-B467</f>
        <v/>
      </c>
      <c r="D468" s="26">
        <f>AVERAGE(C466:C468)</f>
        <v/>
      </c>
      <c r="E468" s="58">
        <f>VLOOKUP(Table1[[#This Row],[Date]],Database!A:D,4,)</f>
        <v/>
      </c>
      <c r="F468" s="58">
        <f>VLOOKUP(Table1[[#This Row],[Date]],Database!A:D,2,)</f>
        <v/>
      </c>
      <c r="G468" s="55" t="n"/>
    </row>
    <row r="469">
      <c r="A469" s="54" t="n">
        <v>28157</v>
      </c>
      <c r="B469" s="25">
        <f>VLOOKUP(Table1[[#This Row],[Date]],Database!A:D,3,)</f>
        <v/>
      </c>
      <c r="C469" s="26">
        <f>B469-B468</f>
        <v/>
      </c>
      <c r="D469" s="26">
        <f>AVERAGE(C467:C469)</f>
        <v/>
      </c>
      <c r="E469" s="58">
        <f>VLOOKUP(Table1[[#This Row],[Date]],Database!A:D,4,)</f>
        <v/>
      </c>
      <c r="F469" s="58">
        <f>VLOOKUP(Table1[[#This Row],[Date]],Database!A:D,2,)</f>
        <v/>
      </c>
      <c r="G469" s="55" t="n"/>
    </row>
    <row r="470">
      <c r="A470" s="54" t="n">
        <v>28185</v>
      </c>
      <c r="B470" s="25">
        <f>VLOOKUP(Table1[[#This Row],[Date]],Database!A:D,3,)</f>
        <v/>
      </c>
      <c r="C470" s="26">
        <f>B470-B469</f>
        <v/>
      </c>
      <c r="D470" s="26">
        <f>AVERAGE(C468:C470)</f>
        <v/>
      </c>
      <c r="E470" s="58">
        <f>VLOOKUP(Table1[[#This Row],[Date]],Database!A:D,4,)</f>
        <v/>
      </c>
      <c r="F470" s="58">
        <f>VLOOKUP(Table1[[#This Row],[Date]],Database!A:D,2,)</f>
        <v/>
      </c>
      <c r="G470" s="55" t="n"/>
    </row>
    <row r="471">
      <c r="A471" s="54" t="n">
        <v>28216</v>
      </c>
      <c r="B471" s="25">
        <f>VLOOKUP(Table1[[#This Row],[Date]],Database!A:D,3,)</f>
        <v/>
      </c>
      <c r="C471" s="26">
        <f>B471-B470</f>
        <v/>
      </c>
      <c r="D471" s="26">
        <f>AVERAGE(C469:C471)</f>
        <v/>
      </c>
      <c r="E471" s="58">
        <f>VLOOKUP(Table1[[#This Row],[Date]],Database!A:D,4,)</f>
        <v/>
      </c>
      <c r="F471" s="58">
        <f>VLOOKUP(Table1[[#This Row],[Date]],Database!A:D,2,)</f>
        <v/>
      </c>
      <c r="G471" s="55" t="n"/>
    </row>
    <row r="472">
      <c r="A472" s="54" t="n">
        <v>28246</v>
      </c>
      <c r="B472" s="25">
        <f>VLOOKUP(Table1[[#This Row],[Date]],Database!A:D,3,)</f>
        <v/>
      </c>
      <c r="C472" s="26">
        <f>B472-B471</f>
        <v/>
      </c>
      <c r="D472" s="26">
        <f>AVERAGE(C470:C472)</f>
        <v/>
      </c>
      <c r="E472" s="58">
        <f>VLOOKUP(Table1[[#This Row],[Date]],Database!A:D,4,)</f>
        <v/>
      </c>
      <c r="F472" s="58">
        <f>VLOOKUP(Table1[[#This Row],[Date]],Database!A:D,2,)</f>
        <v/>
      </c>
      <c r="G472" s="55" t="n"/>
    </row>
    <row r="473">
      <c r="A473" s="54" t="n">
        <v>28277</v>
      </c>
      <c r="B473" s="25">
        <f>VLOOKUP(Table1[[#This Row],[Date]],Database!A:D,3,)</f>
        <v/>
      </c>
      <c r="C473" s="26">
        <f>B473-B472</f>
        <v/>
      </c>
      <c r="D473" s="26">
        <f>AVERAGE(C471:C473)</f>
        <v/>
      </c>
      <c r="E473" s="58">
        <f>VLOOKUP(Table1[[#This Row],[Date]],Database!A:D,4,)</f>
        <v/>
      </c>
      <c r="F473" s="58">
        <f>VLOOKUP(Table1[[#This Row],[Date]],Database!A:D,2,)</f>
        <v/>
      </c>
      <c r="G473" s="55" t="n"/>
    </row>
    <row r="474">
      <c r="A474" s="54" t="n">
        <v>28307</v>
      </c>
      <c r="B474" s="25">
        <f>VLOOKUP(Table1[[#This Row],[Date]],Database!A:D,3,)</f>
        <v/>
      </c>
      <c r="C474" s="26">
        <f>B474-B473</f>
        <v/>
      </c>
      <c r="D474" s="26">
        <f>AVERAGE(C472:C474)</f>
        <v/>
      </c>
      <c r="E474" s="58">
        <f>VLOOKUP(Table1[[#This Row],[Date]],Database!A:D,4,)</f>
        <v/>
      </c>
      <c r="F474" s="58">
        <f>VLOOKUP(Table1[[#This Row],[Date]],Database!A:D,2,)</f>
        <v/>
      </c>
      <c r="G474" s="55" t="n"/>
    </row>
    <row r="475">
      <c r="A475" s="54" t="n">
        <v>28338</v>
      </c>
      <c r="B475" s="25">
        <f>VLOOKUP(Table1[[#This Row],[Date]],Database!A:D,3,)</f>
        <v/>
      </c>
      <c r="C475" s="26">
        <f>B475-B474</f>
        <v/>
      </c>
      <c r="D475" s="26">
        <f>AVERAGE(C473:C475)</f>
        <v/>
      </c>
      <c r="E475" s="58">
        <f>VLOOKUP(Table1[[#This Row],[Date]],Database!A:D,4,)</f>
        <v/>
      </c>
      <c r="F475" s="58">
        <f>VLOOKUP(Table1[[#This Row],[Date]],Database!A:D,2,)</f>
        <v/>
      </c>
      <c r="G475" s="55" t="n"/>
    </row>
    <row r="476">
      <c r="A476" s="54" t="n">
        <v>28369</v>
      </c>
      <c r="B476" s="25">
        <f>VLOOKUP(Table1[[#This Row],[Date]],Database!A:D,3,)</f>
        <v/>
      </c>
      <c r="C476" s="26">
        <f>B476-B475</f>
        <v/>
      </c>
      <c r="D476" s="26">
        <f>AVERAGE(C474:C476)</f>
        <v/>
      </c>
      <c r="E476" s="58">
        <f>VLOOKUP(Table1[[#This Row],[Date]],Database!A:D,4,)</f>
        <v/>
      </c>
      <c r="F476" s="58">
        <f>VLOOKUP(Table1[[#This Row],[Date]],Database!A:D,2,)</f>
        <v/>
      </c>
      <c r="G476" s="55" t="n"/>
    </row>
    <row r="477">
      <c r="A477" s="54" t="n">
        <v>28399</v>
      </c>
      <c r="B477" s="25">
        <f>VLOOKUP(Table1[[#This Row],[Date]],Database!A:D,3,)</f>
        <v/>
      </c>
      <c r="C477" s="26">
        <f>B477-B476</f>
        <v/>
      </c>
      <c r="D477" s="26">
        <f>AVERAGE(C475:C477)</f>
        <v/>
      </c>
      <c r="E477" s="58">
        <f>VLOOKUP(Table1[[#This Row],[Date]],Database!A:D,4,)</f>
        <v/>
      </c>
      <c r="F477" s="58">
        <f>VLOOKUP(Table1[[#This Row],[Date]],Database!A:D,2,)</f>
        <v/>
      </c>
      <c r="G477" s="55" t="n"/>
    </row>
    <row r="478">
      <c r="A478" s="54" t="n">
        <v>28430</v>
      </c>
      <c r="B478" s="25">
        <f>VLOOKUP(Table1[[#This Row],[Date]],Database!A:D,3,)</f>
        <v/>
      </c>
      <c r="C478" s="26">
        <f>B478-B477</f>
        <v/>
      </c>
      <c r="D478" s="26">
        <f>AVERAGE(C476:C478)</f>
        <v/>
      </c>
      <c r="E478" s="58">
        <f>VLOOKUP(Table1[[#This Row],[Date]],Database!A:D,4,)</f>
        <v/>
      </c>
      <c r="F478" s="58">
        <f>VLOOKUP(Table1[[#This Row],[Date]],Database!A:D,2,)</f>
        <v/>
      </c>
      <c r="G478" s="55" t="n"/>
    </row>
    <row r="479">
      <c r="A479" s="54" t="n">
        <v>28460</v>
      </c>
      <c r="B479" s="25">
        <f>VLOOKUP(Table1[[#This Row],[Date]],Database!A:D,3,)</f>
        <v/>
      </c>
      <c r="C479" s="26">
        <f>B479-B478</f>
        <v/>
      </c>
      <c r="D479" s="26">
        <f>AVERAGE(C477:C479)</f>
        <v/>
      </c>
      <c r="E479" s="58">
        <f>VLOOKUP(Table1[[#This Row],[Date]],Database!A:D,4,)</f>
        <v/>
      </c>
      <c r="F479" s="58">
        <f>VLOOKUP(Table1[[#This Row],[Date]],Database!A:D,2,)</f>
        <v/>
      </c>
      <c r="G479" s="55" t="n"/>
    </row>
    <row r="480">
      <c r="A480" s="54" t="n">
        <v>28491</v>
      </c>
      <c r="B480" s="25">
        <f>VLOOKUP(Table1[[#This Row],[Date]],Database!A:D,3,)</f>
        <v/>
      </c>
      <c r="C480" s="26">
        <f>B480-B479</f>
        <v/>
      </c>
      <c r="D480" s="26">
        <f>AVERAGE(C478:C480)</f>
        <v/>
      </c>
      <c r="E480" s="58">
        <f>VLOOKUP(Table1[[#This Row],[Date]],Database!A:D,4,)</f>
        <v/>
      </c>
      <c r="F480" s="58">
        <f>VLOOKUP(Table1[[#This Row],[Date]],Database!A:D,2,)</f>
        <v/>
      </c>
      <c r="G480" s="55" t="n"/>
    </row>
    <row r="481">
      <c r="A481" s="54" t="n">
        <v>28522</v>
      </c>
      <c r="B481" s="25">
        <f>VLOOKUP(Table1[[#This Row],[Date]],Database!A:D,3,)</f>
        <v/>
      </c>
      <c r="C481" s="26">
        <f>B481-B480</f>
        <v/>
      </c>
      <c r="D481" s="26">
        <f>AVERAGE(C479:C481)</f>
        <v/>
      </c>
      <c r="E481" s="58">
        <f>VLOOKUP(Table1[[#This Row],[Date]],Database!A:D,4,)</f>
        <v/>
      </c>
      <c r="F481" s="58">
        <f>VLOOKUP(Table1[[#This Row],[Date]],Database!A:D,2,)</f>
        <v/>
      </c>
      <c r="G481" s="55" t="n"/>
    </row>
    <row r="482">
      <c r="A482" s="54" t="n">
        <v>28550</v>
      </c>
      <c r="B482" s="25">
        <f>VLOOKUP(Table1[[#This Row],[Date]],Database!A:D,3,)</f>
        <v/>
      </c>
      <c r="C482" s="26">
        <f>B482-B481</f>
        <v/>
      </c>
      <c r="D482" s="26">
        <f>AVERAGE(C480:C482)</f>
        <v/>
      </c>
      <c r="E482" s="58">
        <f>VLOOKUP(Table1[[#This Row],[Date]],Database!A:D,4,)</f>
        <v/>
      </c>
      <c r="F482" s="58">
        <f>VLOOKUP(Table1[[#This Row],[Date]],Database!A:D,2,)</f>
        <v/>
      </c>
      <c r="G482" s="55" t="n"/>
    </row>
    <row r="483">
      <c r="A483" s="54" t="n">
        <v>28581</v>
      </c>
      <c r="B483" s="25">
        <f>VLOOKUP(Table1[[#This Row],[Date]],Database!A:D,3,)</f>
        <v/>
      </c>
      <c r="C483" s="26">
        <f>B483-B482</f>
        <v/>
      </c>
      <c r="D483" s="26">
        <f>AVERAGE(C481:C483)</f>
        <v/>
      </c>
      <c r="E483" s="58">
        <f>VLOOKUP(Table1[[#This Row],[Date]],Database!A:D,4,)</f>
        <v/>
      </c>
      <c r="F483" s="58">
        <f>VLOOKUP(Table1[[#This Row],[Date]],Database!A:D,2,)</f>
        <v/>
      </c>
      <c r="G483" s="55" t="n"/>
    </row>
    <row r="484">
      <c r="A484" s="54" t="n">
        <v>28611</v>
      </c>
      <c r="B484" s="25">
        <f>VLOOKUP(Table1[[#This Row],[Date]],Database!A:D,3,)</f>
        <v/>
      </c>
      <c r="C484" s="26">
        <f>B484-B483</f>
        <v/>
      </c>
      <c r="D484" s="26">
        <f>AVERAGE(C482:C484)</f>
        <v/>
      </c>
      <c r="E484" s="58">
        <f>VLOOKUP(Table1[[#This Row],[Date]],Database!A:D,4,)</f>
        <v/>
      </c>
      <c r="F484" s="58">
        <f>VLOOKUP(Table1[[#This Row],[Date]],Database!A:D,2,)</f>
        <v/>
      </c>
      <c r="G484" s="55" t="n"/>
    </row>
    <row r="485">
      <c r="A485" s="54" t="n">
        <v>28642</v>
      </c>
      <c r="B485" s="25">
        <f>VLOOKUP(Table1[[#This Row],[Date]],Database!A:D,3,)</f>
        <v/>
      </c>
      <c r="C485" s="26">
        <f>B485-B484</f>
        <v/>
      </c>
      <c r="D485" s="26">
        <f>AVERAGE(C483:C485)</f>
        <v/>
      </c>
      <c r="E485" s="58">
        <f>VLOOKUP(Table1[[#This Row],[Date]],Database!A:D,4,)</f>
        <v/>
      </c>
      <c r="F485" s="58">
        <f>VLOOKUP(Table1[[#This Row],[Date]],Database!A:D,2,)</f>
        <v/>
      </c>
      <c r="G485" s="55" t="n"/>
    </row>
    <row r="486">
      <c r="A486" s="54" t="n">
        <v>28672</v>
      </c>
      <c r="B486" s="25">
        <f>VLOOKUP(Table1[[#This Row],[Date]],Database!A:D,3,)</f>
        <v/>
      </c>
      <c r="C486" s="26">
        <f>B486-B485</f>
        <v/>
      </c>
      <c r="D486" s="26">
        <f>AVERAGE(C484:C486)</f>
        <v/>
      </c>
      <c r="E486" s="58">
        <f>VLOOKUP(Table1[[#This Row],[Date]],Database!A:D,4,)</f>
        <v/>
      </c>
      <c r="F486" s="58">
        <f>VLOOKUP(Table1[[#This Row],[Date]],Database!A:D,2,)</f>
        <v/>
      </c>
      <c r="G486" s="55" t="n"/>
    </row>
    <row r="487">
      <c r="A487" s="54" t="n">
        <v>28703</v>
      </c>
      <c r="B487" s="25">
        <f>VLOOKUP(Table1[[#This Row],[Date]],Database!A:D,3,)</f>
        <v/>
      </c>
      <c r="C487" s="26">
        <f>B487-B486</f>
        <v/>
      </c>
      <c r="D487" s="26">
        <f>AVERAGE(C485:C487)</f>
        <v/>
      </c>
      <c r="E487" s="58">
        <f>VLOOKUP(Table1[[#This Row],[Date]],Database!A:D,4,)</f>
        <v/>
      </c>
      <c r="F487" s="58">
        <f>VLOOKUP(Table1[[#This Row],[Date]],Database!A:D,2,)</f>
        <v/>
      </c>
      <c r="G487" s="55" t="n"/>
    </row>
    <row r="488">
      <c r="A488" s="54" t="n">
        <v>28734</v>
      </c>
      <c r="B488" s="25">
        <f>VLOOKUP(Table1[[#This Row],[Date]],Database!A:D,3,)</f>
        <v/>
      </c>
      <c r="C488" s="26">
        <f>B488-B487</f>
        <v/>
      </c>
      <c r="D488" s="26">
        <f>AVERAGE(C486:C488)</f>
        <v/>
      </c>
      <c r="E488" s="58">
        <f>VLOOKUP(Table1[[#This Row],[Date]],Database!A:D,4,)</f>
        <v/>
      </c>
      <c r="F488" s="58">
        <f>VLOOKUP(Table1[[#This Row],[Date]],Database!A:D,2,)</f>
        <v/>
      </c>
      <c r="G488" s="55" t="n"/>
    </row>
    <row r="489">
      <c r="A489" s="54" t="n">
        <v>28764</v>
      </c>
      <c r="B489" s="25">
        <f>VLOOKUP(Table1[[#This Row],[Date]],Database!A:D,3,)</f>
        <v/>
      </c>
      <c r="C489" s="26">
        <f>B489-B488</f>
        <v/>
      </c>
      <c r="D489" s="26">
        <f>AVERAGE(C487:C489)</f>
        <v/>
      </c>
      <c r="E489" s="58">
        <f>VLOOKUP(Table1[[#This Row],[Date]],Database!A:D,4,)</f>
        <v/>
      </c>
      <c r="F489" s="58">
        <f>VLOOKUP(Table1[[#This Row],[Date]],Database!A:D,2,)</f>
        <v/>
      </c>
      <c r="G489" s="55" t="n"/>
    </row>
    <row r="490">
      <c r="A490" s="54" t="n">
        <v>28795</v>
      </c>
      <c r="B490" s="25">
        <f>VLOOKUP(Table1[[#This Row],[Date]],Database!A:D,3,)</f>
        <v/>
      </c>
      <c r="C490" s="26">
        <f>B490-B489</f>
        <v/>
      </c>
      <c r="D490" s="26">
        <f>AVERAGE(C488:C490)</f>
        <v/>
      </c>
      <c r="E490" s="58">
        <f>VLOOKUP(Table1[[#This Row],[Date]],Database!A:D,4,)</f>
        <v/>
      </c>
      <c r="F490" s="58">
        <f>VLOOKUP(Table1[[#This Row],[Date]],Database!A:D,2,)</f>
        <v/>
      </c>
      <c r="G490" s="55" t="n"/>
    </row>
    <row r="491">
      <c r="A491" s="54" t="n">
        <v>28825</v>
      </c>
      <c r="B491" s="25">
        <f>VLOOKUP(Table1[[#This Row],[Date]],Database!A:D,3,)</f>
        <v/>
      </c>
      <c r="C491" s="26">
        <f>B491-B490</f>
        <v/>
      </c>
      <c r="D491" s="26">
        <f>AVERAGE(C489:C491)</f>
        <v/>
      </c>
      <c r="E491" s="58">
        <f>VLOOKUP(Table1[[#This Row],[Date]],Database!A:D,4,)</f>
        <v/>
      </c>
      <c r="F491" s="58">
        <f>VLOOKUP(Table1[[#This Row],[Date]],Database!A:D,2,)</f>
        <v/>
      </c>
      <c r="G491" s="55" t="n"/>
    </row>
    <row r="492">
      <c r="A492" s="54" t="n">
        <v>28856</v>
      </c>
      <c r="B492" s="25">
        <f>VLOOKUP(Table1[[#This Row],[Date]],Database!A:D,3,)</f>
        <v/>
      </c>
      <c r="C492" s="26">
        <f>B492-B491</f>
        <v/>
      </c>
      <c r="D492" s="26">
        <f>AVERAGE(C490:C492)</f>
        <v/>
      </c>
      <c r="E492" s="58">
        <f>VLOOKUP(Table1[[#This Row],[Date]],Database!A:D,4,)</f>
        <v/>
      </c>
      <c r="F492" s="58">
        <f>VLOOKUP(Table1[[#This Row],[Date]],Database!A:D,2,)</f>
        <v/>
      </c>
      <c r="G492" s="55" t="n"/>
    </row>
    <row r="493">
      <c r="A493" s="54" t="n">
        <v>28887</v>
      </c>
      <c r="B493" s="25">
        <f>VLOOKUP(Table1[[#This Row],[Date]],Database!A:D,3,)</f>
        <v/>
      </c>
      <c r="C493" s="26">
        <f>B493-B492</f>
        <v/>
      </c>
      <c r="D493" s="26">
        <f>AVERAGE(C491:C493)</f>
        <v/>
      </c>
      <c r="E493" s="58">
        <f>VLOOKUP(Table1[[#This Row],[Date]],Database!A:D,4,)</f>
        <v/>
      </c>
      <c r="F493" s="58">
        <f>VLOOKUP(Table1[[#This Row],[Date]],Database!A:D,2,)</f>
        <v/>
      </c>
      <c r="G493" s="55" t="n"/>
    </row>
    <row r="494">
      <c r="A494" s="54" t="n">
        <v>28915</v>
      </c>
      <c r="B494" s="25">
        <f>VLOOKUP(Table1[[#This Row],[Date]],Database!A:D,3,)</f>
        <v/>
      </c>
      <c r="C494" s="26">
        <f>B494-B493</f>
        <v/>
      </c>
      <c r="D494" s="26">
        <f>AVERAGE(C492:C494)</f>
        <v/>
      </c>
      <c r="E494" s="58">
        <f>VLOOKUP(Table1[[#This Row],[Date]],Database!A:D,4,)</f>
        <v/>
      </c>
      <c r="F494" s="58">
        <f>VLOOKUP(Table1[[#This Row],[Date]],Database!A:D,2,)</f>
        <v/>
      </c>
      <c r="G494" s="55" t="n"/>
    </row>
    <row r="495">
      <c r="A495" s="54" t="n">
        <v>28946</v>
      </c>
      <c r="B495" s="25">
        <f>VLOOKUP(Table1[[#This Row],[Date]],Database!A:D,3,)</f>
        <v/>
      </c>
      <c r="C495" s="26">
        <f>B495-B494</f>
        <v/>
      </c>
      <c r="D495" s="26">
        <f>AVERAGE(C493:C495)</f>
        <v/>
      </c>
      <c r="E495" s="58">
        <f>VLOOKUP(Table1[[#This Row],[Date]],Database!A:D,4,)</f>
        <v/>
      </c>
      <c r="F495" s="58">
        <f>VLOOKUP(Table1[[#This Row],[Date]],Database!A:D,2,)</f>
        <v/>
      </c>
      <c r="G495" s="55" t="n"/>
    </row>
    <row r="496">
      <c r="A496" s="54" t="n">
        <v>28976</v>
      </c>
      <c r="B496" s="25">
        <f>VLOOKUP(Table1[[#This Row],[Date]],Database!A:D,3,)</f>
        <v/>
      </c>
      <c r="C496" s="26">
        <f>B496-B495</f>
        <v/>
      </c>
      <c r="D496" s="26">
        <f>AVERAGE(C494:C496)</f>
        <v/>
      </c>
      <c r="E496" s="58">
        <f>VLOOKUP(Table1[[#This Row],[Date]],Database!A:D,4,)</f>
        <v/>
      </c>
      <c r="F496" s="58">
        <f>VLOOKUP(Table1[[#This Row],[Date]],Database!A:D,2,)</f>
        <v/>
      </c>
      <c r="G496" s="55" t="n"/>
    </row>
    <row r="497">
      <c r="A497" s="54" t="n">
        <v>29007</v>
      </c>
      <c r="B497" s="25">
        <f>VLOOKUP(Table1[[#This Row],[Date]],Database!A:D,3,)</f>
        <v/>
      </c>
      <c r="C497" s="26">
        <f>B497-B496</f>
        <v/>
      </c>
      <c r="D497" s="26">
        <f>AVERAGE(C495:C497)</f>
        <v/>
      </c>
      <c r="E497" s="58">
        <f>VLOOKUP(Table1[[#This Row],[Date]],Database!A:D,4,)</f>
        <v/>
      </c>
      <c r="F497" s="58">
        <f>VLOOKUP(Table1[[#This Row],[Date]],Database!A:D,2,)</f>
        <v/>
      </c>
      <c r="G497" s="55" t="n"/>
    </row>
    <row r="498">
      <c r="A498" s="54" t="n">
        <v>29037</v>
      </c>
      <c r="B498" s="25">
        <f>VLOOKUP(Table1[[#This Row],[Date]],Database!A:D,3,)</f>
        <v/>
      </c>
      <c r="C498" s="26">
        <f>B498-B497</f>
        <v/>
      </c>
      <c r="D498" s="26">
        <f>AVERAGE(C496:C498)</f>
        <v/>
      </c>
      <c r="E498" s="58">
        <f>VLOOKUP(Table1[[#This Row],[Date]],Database!A:D,4,)</f>
        <v/>
      </c>
      <c r="F498" s="58">
        <f>VLOOKUP(Table1[[#This Row],[Date]],Database!A:D,2,)</f>
        <v/>
      </c>
      <c r="G498" s="55" t="n"/>
    </row>
    <row r="499">
      <c r="A499" s="54" t="n">
        <v>29068</v>
      </c>
      <c r="B499" s="25">
        <f>VLOOKUP(Table1[[#This Row],[Date]],Database!A:D,3,)</f>
        <v/>
      </c>
      <c r="C499" s="26">
        <f>B499-B498</f>
        <v/>
      </c>
      <c r="D499" s="26">
        <f>AVERAGE(C497:C499)</f>
        <v/>
      </c>
      <c r="E499" s="58">
        <f>VLOOKUP(Table1[[#This Row],[Date]],Database!A:D,4,)</f>
        <v/>
      </c>
      <c r="F499" s="58">
        <f>VLOOKUP(Table1[[#This Row],[Date]],Database!A:D,2,)</f>
        <v/>
      </c>
      <c r="G499" s="55" t="n"/>
    </row>
    <row r="500">
      <c r="A500" s="54" t="n">
        <v>29099</v>
      </c>
      <c r="B500" s="25">
        <f>VLOOKUP(Table1[[#This Row],[Date]],Database!A:D,3,)</f>
        <v/>
      </c>
      <c r="C500" s="26">
        <f>B500-B499</f>
        <v/>
      </c>
      <c r="D500" s="26">
        <f>AVERAGE(C498:C500)</f>
        <v/>
      </c>
      <c r="E500" s="58">
        <f>VLOOKUP(Table1[[#This Row],[Date]],Database!A:D,4,)</f>
        <v/>
      </c>
      <c r="F500" s="58">
        <f>VLOOKUP(Table1[[#This Row],[Date]],Database!A:D,2,)</f>
        <v/>
      </c>
      <c r="G500" s="55" t="n"/>
    </row>
    <row r="501">
      <c r="A501" s="54" t="n">
        <v>29129</v>
      </c>
      <c r="B501" s="25">
        <f>VLOOKUP(Table1[[#This Row],[Date]],Database!A:D,3,)</f>
        <v/>
      </c>
      <c r="C501" s="26">
        <f>B501-B500</f>
        <v/>
      </c>
      <c r="D501" s="26">
        <f>AVERAGE(C499:C501)</f>
        <v/>
      </c>
      <c r="E501" s="58">
        <f>VLOOKUP(Table1[[#This Row],[Date]],Database!A:D,4,)</f>
        <v/>
      </c>
      <c r="F501" s="58">
        <f>VLOOKUP(Table1[[#This Row],[Date]],Database!A:D,2,)</f>
        <v/>
      </c>
      <c r="G501" s="55" t="n"/>
    </row>
    <row r="502">
      <c r="A502" s="54" t="n">
        <v>29160</v>
      </c>
      <c r="B502" s="25">
        <f>VLOOKUP(Table1[[#This Row],[Date]],Database!A:D,3,)</f>
        <v/>
      </c>
      <c r="C502" s="26">
        <f>B502-B501</f>
        <v/>
      </c>
      <c r="D502" s="26">
        <f>AVERAGE(C500:C502)</f>
        <v/>
      </c>
      <c r="E502" s="58">
        <f>VLOOKUP(Table1[[#This Row],[Date]],Database!A:D,4,)</f>
        <v/>
      </c>
      <c r="F502" s="58">
        <f>VLOOKUP(Table1[[#This Row],[Date]],Database!A:D,2,)</f>
        <v/>
      </c>
      <c r="G502" s="55" t="n"/>
    </row>
    <row r="503">
      <c r="A503" s="54" t="n">
        <v>29190</v>
      </c>
      <c r="B503" s="25">
        <f>VLOOKUP(Table1[[#This Row],[Date]],Database!A:D,3,)</f>
        <v/>
      </c>
      <c r="C503" s="26">
        <f>B503-B502</f>
        <v/>
      </c>
      <c r="D503" s="26">
        <f>AVERAGE(C501:C503)</f>
        <v/>
      </c>
      <c r="E503" s="58">
        <f>VLOOKUP(Table1[[#This Row],[Date]],Database!A:D,4,)</f>
        <v/>
      </c>
      <c r="F503" s="58">
        <f>VLOOKUP(Table1[[#This Row],[Date]],Database!A:D,2,)</f>
        <v/>
      </c>
      <c r="G503" s="55" t="n"/>
    </row>
    <row r="504">
      <c r="A504" s="54" t="n">
        <v>29221</v>
      </c>
      <c r="B504" s="25">
        <f>VLOOKUP(Table1[[#This Row],[Date]],Database!A:D,3,)</f>
        <v/>
      </c>
      <c r="C504" s="26">
        <f>B504-B503</f>
        <v/>
      </c>
      <c r="D504" s="26">
        <f>AVERAGE(C502:C504)</f>
        <v/>
      </c>
      <c r="E504" s="58">
        <f>VLOOKUP(Table1[[#This Row],[Date]],Database!A:D,4,)</f>
        <v/>
      </c>
      <c r="F504" s="58">
        <f>VLOOKUP(Table1[[#This Row],[Date]],Database!A:D,2,)</f>
        <v/>
      </c>
      <c r="G504" s="55" t="n"/>
    </row>
    <row r="505">
      <c r="A505" s="54" t="n">
        <v>29252</v>
      </c>
      <c r="B505" s="25">
        <f>VLOOKUP(Table1[[#This Row],[Date]],Database!A:D,3,)</f>
        <v/>
      </c>
      <c r="C505" s="26">
        <f>B505-B504</f>
        <v/>
      </c>
      <c r="D505" s="26">
        <f>AVERAGE(C503:C505)</f>
        <v/>
      </c>
      <c r="E505" s="58">
        <f>VLOOKUP(Table1[[#This Row],[Date]],Database!A:D,4,)</f>
        <v/>
      </c>
      <c r="F505" s="58">
        <f>VLOOKUP(Table1[[#This Row],[Date]],Database!A:D,2,)</f>
        <v/>
      </c>
      <c r="G505" s="55" t="n"/>
    </row>
    <row r="506">
      <c r="A506" s="54" t="n">
        <v>29281</v>
      </c>
      <c r="B506" s="25">
        <f>VLOOKUP(Table1[[#This Row],[Date]],Database!A:D,3,)</f>
        <v/>
      </c>
      <c r="C506" s="26">
        <f>B506-B505</f>
        <v/>
      </c>
      <c r="D506" s="26">
        <f>AVERAGE(C504:C506)</f>
        <v/>
      </c>
      <c r="E506" s="58">
        <f>VLOOKUP(Table1[[#This Row],[Date]],Database!A:D,4,)</f>
        <v/>
      </c>
      <c r="F506" s="58">
        <f>VLOOKUP(Table1[[#This Row],[Date]],Database!A:D,2,)</f>
        <v/>
      </c>
      <c r="G506" s="55" t="n"/>
    </row>
    <row r="507">
      <c r="A507" s="54" t="n">
        <v>29312</v>
      </c>
      <c r="B507" s="25">
        <f>VLOOKUP(Table1[[#This Row],[Date]],Database!A:D,3,)</f>
        <v/>
      </c>
      <c r="C507" s="26">
        <f>B507-B506</f>
        <v/>
      </c>
      <c r="D507" s="26">
        <f>AVERAGE(C505:C507)</f>
        <v/>
      </c>
      <c r="E507" s="58">
        <f>VLOOKUP(Table1[[#This Row],[Date]],Database!A:D,4,)</f>
        <v/>
      </c>
      <c r="F507" s="58">
        <f>VLOOKUP(Table1[[#This Row],[Date]],Database!A:D,2,)</f>
        <v/>
      </c>
      <c r="G507" s="55" t="n"/>
    </row>
    <row r="508">
      <c r="A508" s="54" t="n">
        <v>29342</v>
      </c>
      <c r="B508" s="25">
        <f>VLOOKUP(Table1[[#This Row],[Date]],Database!A:D,3,)</f>
        <v/>
      </c>
      <c r="C508" s="26">
        <f>B508-B507</f>
        <v/>
      </c>
      <c r="D508" s="26">
        <f>AVERAGE(C506:C508)</f>
        <v/>
      </c>
      <c r="E508" s="58">
        <f>VLOOKUP(Table1[[#This Row],[Date]],Database!A:D,4,)</f>
        <v/>
      </c>
      <c r="F508" s="58">
        <f>VLOOKUP(Table1[[#This Row],[Date]],Database!A:D,2,)</f>
        <v/>
      </c>
      <c r="G508" s="55" t="n"/>
    </row>
    <row r="509">
      <c r="A509" s="54" t="n">
        <v>29373</v>
      </c>
      <c r="B509" s="25">
        <f>VLOOKUP(Table1[[#This Row],[Date]],Database!A:D,3,)</f>
        <v/>
      </c>
      <c r="C509" s="26">
        <f>B509-B508</f>
        <v/>
      </c>
      <c r="D509" s="26">
        <f>AVERAGE(C507:C509)</f>
        <v/>
      </c>
      <c r="E509" s="58">
        <f>VLOOKUP(Table1[[#This Row],[Date]],Database!A:D,4,)</f>
        <v/>
      </c>
      <c r="F509" s="58">
        <f>VLOOKUP(Table1[[#This Row],[Date]],Database!A:D,2,)</f>
        <v/>
      </c>
      <c r="G509" s="55" t="n"/>
    </row>
    <row r="510">
      <c r="A510" s="54" t="n">
        <v>29403</v>
      </c>
      <c r="B510" s="25">
        <f>VLOOKUP(Table1[[#This Row],[Date]],Database!A:D,3,)</f>
        <v/>
      </c>
      <c r="C510" s="26">
        <f>B510-B509</f>
        <v/>
      </c>
      <c r="D510" s="26">
        <f>AVERAGE(C508:C510)</f>
        <v/>
      </c>
      <c r="E510" s="58">
        <f>VLOOKUP(Table1[[#This Row],[Date]],Database!A:D,4,)</f>
        <v/>
      </c>
      <c r="F510" s="58">
        <f>VLOOKUP(Table1[[#This Row],[Date]],Database!A:D,2,)</f>
        <v/>
      </c>
      <c r="G510" s="55" t="n"/>
    </row>
    <row r="511">
      <c r="A511" s="54" t="n">
        <v>29434</v>
      </c>
      <c r="B511" s="25">
        <f>VLOOKUP(Table1[[#This Row],[Date]],Database!A:D,3,)</f>
        <v/>
      </c>
      <c r="C511" s="26">
        <f>B511-B510</f>
        <v/>
      </c>
      <c r="D511" s="26">
        <f>AVERAGE(C509:C511)</f>
        <v/>
      </c>
      <c r="E511" s="58">
        <f>VLOOKUP(Table1[[#This Row],[Date]],Database!A:D,4,)</f>
        <v/>
      </c>
      <c r="F511" s="58">
        <f>VLOOKUP(Table1[[#This Row],[Date]],Database!A:D,2,)</f>
        <v/>
      </c>
      <c r="G511" s="55" t="n"/>
    </row>
    <row r="512">
      <c r="A512" s="54" t="n">
        <v>29465</v>
      </c>
      <c r="B512" s="25">
        <f>VLOOKUP(Table1[[#This Row],[Date]],Database!A:D,3,)</f>
        <v/>
      </c>
      <c r="C512" s="26">
        <f>B512-B511</f>
        <v/>
      </c>
      <c r="D512" s="26">
        <f>AVERAGE(C510:C512)</f>
        <v/>
      </c>
      <c r="E512" s="58">
        <f>VLOOKUP(Table1[[#This Row],[Date]],Database!A:D,4,)</f>
        <v/>
      </c>
      <c r="F512" s="58">
        <f>VLOOKUP(Table1[[#This Row],[Date]],Database!A:D,2,)</f>
        <v/>
      </c>
      <c r="G512" s="55" t="n"/>
    </row>
    <row r="513">
      <c r="A513" s="54" t="n">
        <v>29495</v>
      </c>
      <c r="B513" s="25">
        <f>VLOOKUP(Table1[[#This Row],[Date]],Database!A:D,3,)</f>
        <v/>
      </c>
      <c r="C513" s="26">
        <f>B513-B512</f>
        <v/>
      </c>
      <c r="D513" s="26">
        <f>AVERAGE(C511:C513)</f>
        <v/>
      </c>
      <c r="E513" s="58">
        <f>VLOOKUP(Table1[[#This Row],[Date]],Database!A:D,4,)</f>
        <v/>
      </c>
      <c r="F513" s="58">
        <f>VLOOKUP(Table1[[#This Row],[Date]],Database!A:D,2,)</f>
        <v/>
      </c>
      <c r="G513" s="55" t="n"/>
    </row>
    <row r="514">
      <c r="A514" s="54" t="n">
        <v>29526</v>
      </c>
      <c r="B514" s="25">
        <f>VLOOKUP(Table1[[#This Row],[Date]],Database!A:D,3,)</f>
        <v/>
      </c>
      <c r="C514" s="26">
        <f>B514-B513</f>
        <v/>
      </c>
      <c r="D514" s="26">
        <f>AVERAGE(C512:C514)</f>
        <v/>
      </c>
      <c r="E514" s="58">
        <f>VLOOKUP(Table1[[#This Row],[Date]],Database!A:D,4,)</f>
        <v/>
      </c>
      <c r="F514" s="58">
        <f>VLOOKUP(Table1[[#This Row],[Date]],Database!A:D,2,)</f>
        <v/>
      </c>
      <c r="G514" s="55" t="n"/>
    </row>
    <row r="515">
      <c r="A515" s="54" t="n">
        <v>29556</v>
      </c>
      <c r="B515" s="25">
        <f>VLOOKUP(Table1[[#This Row],[Date]],Database!A:D,3,)</f>
        <v/>
      </c>
      <c r="C515" s="26">
        <f>B515-B514</f>
        <v/>
      </c>
      <c r="D515" s="26">
        <f>AVERAGE(C513:C515)</f>
        <v/>
      </c>
      <c r="E515" s="58">
        <f>VLOOKUP(Table1[[#This Row],[Date]],Database!A:D,4,)</f>
        <v/>
      </c>
      <c r="F515" s="58">
        <f>VLOOKUP(Table1[[#This Row],[Date]],Database!A:D,2,)</f>
        <v/>
      </c>
      <c r="G515" s="55" t="n"/>
    </row>
    <row r="516">
      <c r="A516" s="54" t="n">
        <v>29587</v>
      </c>
      <c r="B516" s="25">
        <f>VLOOKUP(Table1[[#This Row],[Date]],Database!A:D,3,)</f>
        <v/>
      </c>
      <c r="C516" s="26">
        <f>B516-B515</f>
        <v/>
      </c>
      <c r="D516" s="26">
        <f>AVERAGE(C514:C516)</f>
        <v/>
      </c>
      <c r="E516" s="58">
        <f>VLOOKUP(Table1[[#This Row],[Date]],Database!A:D,4,)</f>
        <v/>
      </c>
      <c r="F516" s="58">
        <f>VLOOKUP(Table1[[#This Row],[Date]],Database!A:D,2,)</f>
        <v/>
      </c>
      <c r="G516" s="55" t="n"/>
    </row>
    <row r="517">
      <c r="A517" s="54" t="n">
        <v>29618</v>
      </c>
      <c r="B517" s="25">
        <f>VLOOKUP(Table1[[#This Row],[Date]],Database!A:D,3,)</f>
        <v/>
      </c>
      <c r="C517" s="26">
        <f>B517-B516</f>
        <v/>
      </c>
      <c r="D517" s="26">
        <f>AVERAGE(C515:C517)</f>
        <v/>
      </c>
      <c r="E517" s="58">
        <f>VLOOKUP(Table1[[#This Row],[Date]],Database!A:D,4,)</f>
        <v/>
      </c>
      <c r="F517" s="58">
        <f>VLOOKUP(Table1[[#This Row],[Date]],Database!A:D,2,)</f>
        <v/>
      </c>
      <c r="G517" s="55" t="n"/>
    </row>
    <row r="518">
      <c r="A518" s="54" t="n">
        <v>29646</v>
      </c>
      <c r="B518" s="25">
        <f>VLOOKUP(Table1[[#This Row],[Date]],Database!A:D,3,)</f>
        <v/>
      </c>
      <c r="C518" s="26">
        <f>B518-B517</f>
        <v/>
      </c>
      <c r="D518" s="26">
        <f>AVERAGE(C516:C518)</f>
        <v/>
      </c>
      <c r="E518" s="58">
        <f>VLOOKUP(Table1[[#This Row],[Date]],Database!A:D,4,)</f>
        <v/>
      </c>
      <c r="F518" s="58">
        <f>VLOOKUP(Table1[[#This Row],[Date]],Database!A:D,2,)</f>
        <v/>
      </c>
      <c r="G518" s="55" t="n"/>
    </row>
    <row r="519">
      <c r="A519" s="54" t="n">
        <v>29677</v>
      </c>
      <c r="B519" s="25">
        <f>VLOOKUP(Table1[[#This Row],[Date]],Database!A:D,3,)</f>
        <v/>
      </c>
      <c r="C519" s="26">
        <f>B519-B518</f>
        <v/>
      </c>
      <c r="D519" s="26">
        <f>AVERAGE(C517:C519)</f>
        <v/>
      </c>
      <c r="E519" s="58">
        <f>VLOOKUP(Table1[[#This Row],[Date]],Database!A:D,4,)</f>
        <v/>
      </c>
      <c r="F519" s="58">
        <f>VLOOKUP(Table1[[#This Row],[Date]],Database!A:D,2,)</f>
        <v/>
      </c>
      <c r="G519" s="55" t="n"/>
    </row>
    <row r="520">
      <c r="A520" s="54" t="n">
        <v>29707</v>
      </c>
      <c r="B520" s="25">
        <f>VLOOKUP(Table1[[#This Row],[Date]],Database!A:D,3,)</f>
        <v/>
      </c>
      <c r="C520" s="26">
        <f>B520-B519</f>
        <v/>
      </c>
      <c r="D520" s="26">
        <f>AVERAGE(C518:C520)</f>
        <v/>
      </c>
      <c r="E520" s="58">
        <f>VLOOKUP(Table1[[#This Row],[Date]],Database!A:D,4,)</f>
        <v/>
      </c>
      <c r="F520" s="58">
        <f>VLOOKUP(Table1[[#This Row],[Date]],Database!A:D,2,)</f>
        <v/>
      </c>
      <c r="G520" s="55" t="n"/>
    </row>
    <row r="521">
      <c r="A521" s="54" t="n">
        <v>29738</v>
      </c>
      <c r="B521" s="25">
        <f>VLOOKUP(Table1[[#This Row],[Date]],Database!A:D,3,)</f>
        <v/>
      </c>
      <c r="C521" s="26">
        <f>B521-B520</f>
        <v/>
      </c>
      <c r="D521" s="26">
        <f>AVERAGE(C519:C521)</f>
        <v/>
      </c>
      <c r="E521" s="58">
        <f>VLOOKUP(Table1[[#This Row],[Date]],Database!A:D,4,)</f>
        <v/>
      </c>
      <c r="F521" s="58">
        <f>VLOOKUP(Table1[[#This Row],[Date]],Database!A:D,2,)</f>
        <v/>
      </c>
      <c r="G521" s="55" t="n"/>
    </row>
    <row r="522">
      <c r="A522" s="54" t="n">
        <v>29768</v>
      </c>
      <c r="B522" s="25">
        <f>VLOOKUP(Table1[[#This Row],[Date]],Database!A:D,3,)</f>
        <v/>
      </c>
      <c r="C522" s="26">
        <f>B522-B521</f>
        <v/>
      </c>
      <c r="D522" s="26">
        <f>AVERAGE(C520:C522)</f>
        <v/>
      </c>
      <c r="E522" s="58">
        <f>VLOOKUP(Table1[[#This Row],[Date]],Database!A:D,4,)</f>
        <v/>
      </c>
      <c r="F522" s="58">
        <f>VLOOKUP(Table1[[#This Row],[Date]],Database!A:D,2,)</f>
        <v/>
      </c>
      <c r="G522" s="55" t="n"/>
    </row>
    <row r="523">
      <c r="A523" s="54" t="n">
        <v>29799</v>
      </c>
      <c r="B523" s="25">
        <f>VLOOKUP(Table1[[#This Row],[Date]],Database!A:D,3,)</f>
        <v/>
      </c>
      <c r="C523" s="26">
        <f>B523-B522</f>
        <v/>
      </c>
      <c r="D523" s="26">
        <f>AVERAGE(C521:C523)</f>
        <v/>
      </c>
      <c r="E523" s="58">
        <f>VLOOKUP(Table1[[#This Row],[Date]],Database!A:D,4,)</f>
        <v/>
      </c>
      <c r="F523" s="58">
        <f>VLOOKUP(Table1[[#This Row],[Date]],Database!A:D,2,)</f>
        <v/>
      </c>
      <c r="G523" s="55" t="n"/>
    </row>
    <row r="524">
      <c r="A524" s="54" t="n">
        <v>29830</v>
      </c>
      <c r="B524" s="25">
        <f>VLOOKUP(Table1[[#This Row],[Date]],Database!A:D,3,)</f>
        <v/>
      </c>
      <c r="C524" s="26">
        <f>B524-B523</f>
        <v/>
      </c>
      <c r="D524" s="26">
        <f>AVERAGE(C522:C524)</f>
        <v/>
      </c>
      <c r="E524" s="58">
        <f>VLOOKUP(Table1[[#This Row],[Date]],Database!A:D,4,)</f>
        <v/>
      </c>
      <c r="F524" s="58">
        <f>VLOOKUP(Table1[[#This Row],[Date]],Database!A:D,2,)</f>
        <v/>
      </c>
      <c r="G524" s="55" t="n"/>
    </row>
    <row r="525">
      <c r="A525" s="54" t="n">
        <v>29860</v>
      </c>
      <c r="B525" s="25">
        <f>VLOOKUP(Table1[[#This Row],[Date]],Database!A:D,3,)</f>
        <v/>
      </c>
      <c r="C525" s="26">
        <f>B525-B524</f>
        <v/>
      </c>
      <c r="D525" s="26">
        <f>AVERAGE(C523:C525)</f>
        <v/>
      </c>
      <c r="E525" s="58">
        <f>VLOOKUP(Table1[[#This Row],[Date]],Database!A:D,4,)</f>
        <v/>
      </c>
      <c r="F525" s="58">
        <f>VLOOKUP(Table1[[#This Row],[Date]],Database!A:D,2,)</f>
        <v/>
      </c>
      <c r="G525" s="55" t="n"/>
    </row>
    <row r="526">
      <c r="A526" s="54" t="n">
        <v>29891</v>
      </c>
      <c r="B526" s="25">
        <f>VLOOKUP(Table1[[#This Row],[Date]],Database!A:D,3,)</f>
        <v/>
      </c>
      <c r="C526" s="26">
        <f>B526-B525</f>
        <v/>
      </c>
      <c r="D526" s="26">
        <f>AVERAGE(C524:C526)</f>
        <v/>
      </c>
      <c r="E526" s="58">
        <f>VLOOKUP(Table1[[#This Row],[Date]],Database!A:D,4,)</f>
        <v/>
      </c>
      <c r="F526" s="58">
        <f>VLOOKUP(Table1[[#This Row],[Date]],Database!A:D,2,)</f>
        <v/>
      </c>
      <c r="G526" s="55" t="n"/>
    </row>
    <row r="527">
      <c r="A527" s="54" t="n">
        <v>29921</v>
      </c>
      <c r="B527" s="25">
        <f>VLOOKUP(Table1[[#This Row],[Date]],Database!A:D,3,)</f>
        <v/>
      </c>
      <c r="C527" s="26">
        <f>B527-B526</f>
        <v/>
      </c>
      <c r="D527" s="26">
        <f>AVERAGE(C525:C527)</f>
        <v/>
      </c>
      <c r="E527" s="58">
        <f>VLOOKUP(Table1[[#This Row],[Date]],Database!A:D,4,)</f>
        <v/>
      </c>
      <c r="F527" s="58">
        <f>VLOOKUP(Table1[[#This Row],[Date]],Database!A:D,2,)</f>
        <v/>
      </c>
      <c r="G527" s="55" t="n"/>
    </row>
    <row r="528">
      <c r="A528" s="54" t="n">
        <v>29952</v>
      </c>
      <c r="B528" s="25">
        <f>VLOOKUP(Table1[[#This Row],[Date]],Database!A:D,3,)</f>
        <v/>
      </c>
      <c r="C528" s="26">
        <f>B528-B527</f>
        <v/>
      </c>
      <c r="D528" s="26">
        <f>AVERAGE(C526:C528)</f>
        <v/>
      </c>
      <c r="E528" s="58">
        <f>VLOOKUP(Table1[[#This Row],[Date]],Database!A:D,4,)</f>
        <v/>
      </c>
      <c r="F528" s="58">
        <f>VLOOKUP(Table1[[#This Row],[Date]],Database!A:D,2,)</f>
        <v/>
      </c>
      <c r="G528" s="55" t="n"/>
    </row>
    <row r="529">
      <c r="A529" s="54" t="n">
        <v>29983</v>
      </c>
      <c r="B529" s="25">
        <f>VLOOKUP(Table1[[#This Row],[Date]],Database!A:D,3,)</f>
        <v/>
      </c>
      <c r="C529" s="26">
        <f>B529-B528</f>
        <v/>
      </c>
      <c r="D529" s="26">
        <f>AVERAGE(C527:C529)</f>
        <v/>
      </c>
      <c r="E529" s="58">
        <f>VLOOKUP(Table1[[#This Row],[Date]],Database!A:D,4,)</f>
        <v/>
      </c>
      <c r="F529" s="58">
        <f>VLOOKUP(Table1[[#This Row],[Date]],Database!A:D,2,)</f>
        <v/>
      </c>
      <c r="G529" s="55" t="n"/>
    </row>
    <row r="530">
      <c r="A530" s="54" t="n">
        <v>30011</v>
      </c>
      <c r="B530" s="25">
        <f>VLOOKUP(Table1[[#This Row],[Date]],Database!A:D,3,)</f>
        <v/>
      </c>
      <c r="C530" s="26">
        <f>B530-B529</f>
        <v/>
      </c>
      <c r="D530" s="26">
        <f>AVERAGE(C528:C530)</f>
        <v/>
      </c>
      <c r="E530" s="58">
        <f>VLOOKUP(Table1[[#This Row],[Date]],Database!A:D,4,)</f>
        <v/>
      </c>
      <c r="F530" s="58">
        <f>VLOOKUP(Table1[[#This Row],[Date]],Database!A:D,2,)</f>
        <v/>
      </c>
      <c r="G530" s="55" t="n"/>
    </row>
    <row r="531">
      <c r="A531" s="54" t="n">
        <v>30042</v>
      </c>
      <c r="B531" s="25">
        <f>VLOOKUP(Table1[[#This Row],[Date]],Database!A:D,3,)</f>
        <v/>
      </c>
      <c r="C531" s="26">
        <f>B531-B530</f>
        <v/>
      </c>
      <c r="D531" s="26">
        <f>AVERAGE(C529:C531)</f>
        <v/>
      </c>
      <c r="E531" s="58">
        <f>VLOOKUP(Table1[[#This Row],[Date]],Database!A:D,4,)</f>
        <v/>
      </c>
      <c r="F531" s="58">
        <f>VLOOKUP(Table1[[#This Row],[Date]],Database!A:D,2,)</f>
        <v/>
      </c>
      <c r="G531" s="55" t="n"/>
    </row>
    <row r="532">
      <c r="A532" s="54" t="n">
        <v>30072</v>
      </c>
      <c r="B532" s="25">
        <f>VLOOKUP(Table1[[#This Row],[Date]],Database!A:D,3,)</f>
        <v/>
      </c>
      <c r="C532" s="26">
        <f>B532-B531</f>
        <v/>
      </c>
      <c r="D532" s="26">
        <f>AVERAGE(C530:C532)</f>
        <v/>
      </c>
      <c r="E532" s="58">
        <f>VLOOKUP(Table1[[#This Row],[Date]],Database!A:D,4,)</f>
        <v/>
      </c>
      <c r="F532" s="58">
        <f>VLOOKUP(Table1[[#This Row],[Date]],Database!A:D,2,)</f>
        <v/>
      </c>
      <c r="G532" s="55" t="n"/>
    </row>
    <row r="533">
      <c r="A533" s="54" t="n">
        <v>30103</v>
      </c>
      <c r="B533" s="25">
        <f>VLOOKUP(Table1[[#This Row],[Date]],Database!A:D,3,)</f>
        <v/>
      </c>
      <c r="C533" s="26">
        <f>B533-B532</f>
        <v/>
      </c>
      <c r="D533" s="26">
        <f>AVERAGE(C531:C533)</f>
        <v/>
      </c>
      <c r="E533" s="58">
        <f>VLOOKUP(Table1[[#This Row],[Date]],Database!A:D,4,)</f>
        <v/>
      </c>
      <c r="F533" s="58">
        <f>VLOOKUP(Table1[[#This Row],[Date]],Database!A:D,2,)</f>
        <v/>
      </c>
      <c r="G533" s="55" t="n"/>
    </row>
    <row r="534">
      <c r="A534" s="54" t="n">
        <v>30133</v>
      </c>
      <c r="B534" s="25">
        <f>VLOOKUP(Table1[[#This Row],[Date]],Database!A:D,3,)</f>
        <v/>
      </c>
      <c r="C534" s="26">
        <f>B534-B533</f>
        <v/>
      </c>
      <c r="D534" s="26">
        <f>AVERAGE(C532:C534)</f>
        <v/>
      </c>
      <c r="E534" s="58">
        <f>VLOOKUP(Table1[[#This Row],[Date]],Database!A:D,4,)</f>
        <v/>
      </c>
      <c r="F534" s="58">
        <f>VLOOKUP(Table1[[#This Row],[Date]],Database!A:D,2,)</f>
        <v/>
      </c>
      <c r="G534" s="55" t="n"/>
    </row>
    <row r="535">
      <c r="A535" s="54" t="n">
        <v>30164</v>
      </c>
      <c r="B535" s="25">
        <f>VLOOKUP(Table1[[#This Row],[Date]],Database!A:D,3,)</f>
        <v/>
      </c>
      <c r="C535" s="26">
        <f>B535-B534</f>
        <v/>
      </c>
      <c r="D535" s="26">
        <f>AVERAGE(C533:C535)</f>
        <v/>
      </c>
      <c r="E535" s="58">
        <f>VLOOKUP(Table1[[#This Row],[Date]],Database!A:D,4,)</f>
        <v/>
      </c>
      <c r="F535" s="58">
        <f>VLOOKUP(Table1[[#This Row],[Date]],Database!A:D,2,)</f>
        <v/>
      </c>
      <c r="G535" s="55" t="n"/>
    </row>
    <row r="536">
      <c r="A536" s="54" t="n">
        <v>30195</v>
      </c>
      <c r="B536" s="25">
        <f>VLOOKUP(Table1[[#This Row],[Date]],Database!A:D,3,)</f>
        <v/>
      </c>
      <c r="C536" s="26">
        <f>B536-B535</f>
        <v/>
      </c>
      <c r="D536" s="26">
        <f>AVERAGE(C534:C536)</f>
        <v/>
      </c>
      <c r="E536" s="58">
        <f>VLOOKUP(Table1[[#This Row],[Date]],Database!A:D,4,)</f>
        <v/>
      </c>
      <c r="F536" s="58">
        <f>VLOOKUP(Table1[[#This Row],[Date]],Database!A:D,2,)</f>
        <v/>
      </c>
      <c r="G536" s="55" t="n"/>
    </row>
    <row r="537">
      <c r="A537" s="54" t="n">
        <v>30225</v>
      </c>
      <c r="B537" s="25">
        <f>VLOOKUP(Table1[[#This Row],[Date]],Database!A:D,3,)</f>
        <v/>
      </c>
      <c r="C537" s="26">
        <f>B537-B536</f>
        <v/>
      </c>
      <c r="D537" s="26">
        <f>AVERAGE(C535:C537)</f>
        <v/>
      </c>
      <c r="E537" s="58">
        <f>VLOOKUP(Table1[[#This Row],[Date]],Database!A:D,4,)</f>
        <v/>
      </c>
      <c r="F537" s="58">
        <f>VLOOKUP(Table1[[#This Row],[Date]],Database!A:D,2,)</f>
        <v/>
      </c>
      <c r="G537" s="55" t="n"/>
    </row>
    <row r="538">
      <c r="A538" s="54" t="n">
        <v>30256</v>
      </c>
      <c r="B538" s="25">
        <f>VLOOKUP(Table1[[#This Row],[Date]],Database!A:D,3,)</f>
        <v/>
      </c>
      <c r="C538" s="26">
        <f>B538-B537</f>
        <v/>
      </c>
      <c r="D538" s="26">
        <f>AVERAGE(C536:C538)</f>
        <v/>
      </c>
      <c r="E538" s="58">
        <f>VLOOKUP(Table1[[#This Row],[Date]],Database!A:D,4,)</f>
        <v/>
      </c>
      <c r="F538" s="58">
        <f>VLOOKUP(Table1[[#This Row],[Date]],Database!A:D,2,)</f>
        <v/>
      </c>
      <c r="G538" s="55" t="n"/>
    </row>
    <row r="539">
      <c r="A539" s="54" t="n">
        <v>30286</v>
      </c>
      <c r="B539" s="25">
        <f>VLOOKUP(Table1[[#This Row],[Date]],Database!A:D,3,)</f>
        <v/>
      </c>
      <c r="C539" s="26">
        <f>B539-B538</f>
        <v/>
      </c>
      <c r="D539" s="26">
        <f>AVERAGE(C537:C539)</f>
        <v/>
      </c>
      <c r="E539" s="58">
        <f>VLOOKUP(Table1[[#This Row],[Date]],Database!A:D,4,)</f>
        <v/>
      </c>
      <c r="F539" s="58">
        <f>VLOOKUP(Table1[[#This Row],[Date]],Database!A:D,2,)</f>
        <v/>
      </c>
      <c r="G539" s="55" t="n"/>
    </row>
    <row r="540">
      <c r="A540" s="54" t="n">
        <v>30317</v>
      </c>
      <c r="B540" s="25">
        <f>VLOOKUP(Table1[[#This Row],[Date]],Database!A:D,3,)</f>
        <v/>
      </c>
      <c r="C540" s="26">
        <f>B540-B539</f>
        <v/>
      </c>
      <c r="D540" s="26">
        <f>AVERAGE(C538:C540)</f>
        <v/>
      </c>
      <c r="E540" s="58">
        <f>VLOOKUP(Table1[[#This Row],[Date]],Database!A:D,4,)</f>
        <v/>
      </c>
      <c r="F540" s="58">
        <f>VLOOKUP(Table1[[#This Row],[Date]],Database!A:D,2,)</f>
        <v/>
      </c>
      <c r="G540" s="55" t="n"/>
    </row>
    <row r="541">
      <c r="A541" s="54" t="n">
        <v>30348</v>
      </c>
      <c r="B541" s="25">
        <f>VLOOKUP(Table1[[#This Row],[Date]],Database!A:D,3,)</f>
        <v/>
      </c>
      <c r="C541" s="26">
        <f>B541-B540</f>
        <v/>
      </c>
      <c r="D541" s="26">
        <f>AVERAGE(C539:C541)</f>
        <v/>
      </c>
      <c r="E541" s="58">
        <f>VLOOKUP(Table1[[#This Row],[Date]],Database!A:D,4,)</f>
        <v/>
      </c>
      <c r="F541" s="58">
        <f>VLOOKUP(Table1[[#This Row],[Date]],Database!A:D,2,)</f>
        <v/>
      </c>
      <c r="G541" s="55" t="n"/>
    </row>
    <row r="542">
      <c r="A542" s="54" t="n">
        <v>30376</v>
      </c>
      <c r="B542" s="25">
        <f>VLOOKUP(Table1[[#This Row],[Date]],Database!A:D,3,)</f>
        <v/>
      </c>
      <c r="C542" s="26">
        <f>B542-B541</f>
        <v/>
      </c>
      <c r="D542" s="26">
        <f>AVERAGE(C540:C542)</f>
        <v/>
      </c>
      <c r="E542" s="58">
        <f>VLOOKUP(Table1[[#This Row],[Date]],Database!A:D,4,)</f>
        <v/>
      </c>
      <c r="F542" s="58">
        <f>VLOOKUP(Table1[[#This Row],[Date]],Database!A:D,2,)</f>
        <v/>
      </c>
      <c r="G542" s="55" t="n"/>
    </row>
    <row r="543">
      <c r="A543" s="54" t="n">
        <v>30407</v>
      </c>
      <c r="B543" s="25">
        <f>VLOOKUP(Table1[[#This Row],[Date]],Database!A:D,3,)</f>
        <v/>
      </c>
      <c r="C543" s="26">
        <f>B543-B542</f>
        <v/>
      </c>
      <c r="D543" s="26">
        <f>AVERAGE(C541:C543)</f>
        <v/>
      </c>
      <c r="E543" s="58">
        <f>VLOOKUP(Table1[[#This Row],[Date]],Database!A:D,4,)</f>
        <v/>
      </c>
      <c r="F543" s="58">
        <f>VLOOKUP(Table1[[#This Row],[Date]],Database!A:D,2,)</f>
        <v/>
      </c>
      <c r="G543" s="55" t="n"/>
    </row>
    <row r="544">
      <c r="A544" s="54" t="n">
        <v>30437</v>
      </c>
      <c r="B544" s="25">
        <f>VLOOKUP(Table1[[#This Row],[Date]],Database!A:D,3,)</f>
        <v/>
      </c>
      <c r="C544" s="26">
        <f>B544-B543</f>
        <v/>
      </c>
      <c r="D544" s="26">
        <f>AVERAGE(C542:C544)</f>
        <v/>
      </c>
      <c r="E544" s="58">
        <f>VLOOKUP(Table1[[#This Row],[Date]],Database!A:D,4,)</f>
        <v/>
      </c>
      <c r="F544" s="58">
        <f>VLOOKUP(Table1[[#This Row],[Date]],Database!A:D,2,)</f>
        <v/>
      </c>
      <c r="G544" s="55" t="n"/>
    </row>
    <row r="545">
      <c r="A545" s="54" t="n">
        <v>30468</v>
      </c>
      <c r="B545" s="25">
        <f>VLOOKUP(Table1[[#This Row],[Date]],Database!A:D,3,)</f>
        <v/>
      </c>
      <c r="C545" s="26">
        <f>B545-B544</f>
        <v/>
      </c>
      <c r="D545" s="26">
        <f>AVERAGE(C543:C545)</f>
        <v/>
      </c>
      <c r="E545" s="58">
        <f>VLOOKUP(Table1[[#This Row],[Date]],Database!A:D,4,)</f>
        <v/>
      </c>
      <c r="F545" s="58">
        <f>VLOOKUP(Table1[[#This Row],[Date]],Database!A:D,2,)</f>
        <v/>
      </c>
      <c r="G545" s="55" t="n"/>
    </row>
    <row r="546">
      <c r="A546" s="54" t="n">
        <v>30498</v>
      </c>
      <c r="B546" s="25">
        <f>VLOOKUP(Table1[[#This Row],[Date]],Database!A:D,3,)</f>
        <v/>
      </c>
      <c r="C546" s="26">
        <f>B546-B545</f>
        <v/>
      </c>
      <c r="D546" s="26">
        <f>AVERAGE(C544:C546)</f>
        <v/>
      </c>
      <c r="E546" s="58">
        <f>VLOOKUP(Table1[[#This Row],[Date]],Database!A:D,4,)</f>
        <v/>
      </c>
      <c r="F546" s="58">
        <f>VLOOKUP(Table1[[#This Row],[Date]],Database!A:D,2,)</f>
        <v/>
      </c>
      <c r="G546" s="55" t="n"/>
    </row>
    <row r="547">
      <c r="A547" s="54" t="n">
        <v>30529</v>
      </c>
      <c r="B547" s="25">
        <f>VLOOKUP(Table1[[#This Row],[Date]],Database!A:D,3,)</f>
        <v/>
      </c>
      <c r="C547" s="26">
        <f>B547-B546</f>
        <v/>
      </c>
      <c r="D547" s="26">
        <f>AVERAGE(C545:C547)</f>
        <v/>
      </c>
      <c r="E547" s="58">
        <f>VLOOKUP(Table1[[#This Row],[Date]],Database!A:D,4,)</f>
        <v/>
      </c>
      <c r="F547" s="58">
        <f>VLOOKUP(Table1[[#This Row],[Date]],Database!A:D,2,)</f>
        <v/>
      </c>
      <c r="G547" s="55" t="n"/>
    </row>
    <row r="548">
      <c r="A548" s="54" t="n">
        <v>30560</v>
      </c>
      <c r="B548" s="25">
        <f>VLOOKUP(Table1[[#This Row],[Date]],Database!A:D,3,)</f>
        <v/>
      </c>
      <c r="C548" s="26">
        <f>B548-B547</f>
        <v/>
      </c>
      <c r="D548" s="26">
        <f>AVERAGE(C546:C548)</f>
        <v/>
      </c>
      <c r="E548" s="58">
        <f>VLOOKUP(Table1[[#This Row],[Date]],Database!A:D,4,)</f>
        <v/>
      </c>
      <c r="F548" s="58">
        <f>VLOOKUP(Table1[[#This Row],[Date]],Database!A:D,2,)</f>
        <v/>
      </c>
      <c r="G548" s="55" t="n"/>
    </row>
    <row r="549">
      <c r="A549" s="54" t="n">
        <v>30590</v>
      </c>
      <c r="B549" s="25">
        <f>VLOOKUP(Table1[[#This Row],[Date]],Database!A:D,3,)</f>
        <v/>
      </c>
      <c r="C549" s="26">
        <f>B549-B548</f>
        <v/>
      </c>
      <c r="D549" s="26">
        <f>AVERAGE(C547:C549)</f>
        <v/>
      </c>
      <c r="E549" s="58">
        <f>VLOOKUP(Table1[[#This Row],[Date]],Database!A:D,4,)</f>
        <v/>
      </c>
      <c r="F549" s="58">
        <f>VLOOKUP(Table1[[#This Row],[Date]],Database!A:D,2,)</f>
        <v/>
      </c>
      <c r="G549" s="55" t="n"/>
    </row>
    <row r="550">
      <c r="A550" s="54" t="n">
        <v>30621</v>
      </c>
      <c r="B550" s="25">
        <f>VLOOKUP(Table1[[#This Row],[Date]],Database!A:D,3,)</f>
        <v/>
      </c>
      <c r="C550" s="26">
        <f>B550-B549</f>
        <v/>
      </c>
      <c r="D550" s="26">
        <f>AVERAGE(C548:C550)</f>
        <v/>
      </c>
      <c r="E550" s="58">
        <f>VLOOKUP(Table1[[#This Row],[Date]],Database!A:D,4,)</f>
        <v/>
      </c>
      <c r="F550" s="58">
        <f>VLOOKUP(Table1[[#This Row],[Date]],Database!A:D,2,)</f>
        <v/>
      </c>
      <c r="G550" s="55" t="n"/>
    </row>
    <row r="551">
      <c r="A551" s="54" t="n">
        <v>30651</v>
      </c>
      <c r="B551" s="25">
        <f>VLOOKUP(Table1[[#This Row],[Date]],Database!A:D,3,)</f>
        <v/>
      </c>
      <c r="C551" s="26">
        <f>B551-B550</f>
        <v/>
      </c>
      <c r="D551" s="26">
        <f>AVERAGE(C549:C551)</f>
        <v/>
      </c>
      <c r="E551" s="58">
        <f>VLOOKUP(Table1[[#This Row],[Date]],Database!A:D,4,)</f>
        <v/>
      </c>
      <c r="F551" s="58">
        <f>VLOOKUP(Table1[[#This Row],[Date]],Database!A:D,2,)</f>
        <v/>
      </c>
      <c r="G551" s="55" t="n"/>
    </row>
    <row r="552">
      <c r="A552" s="54" t="n">
        <v>30682</v>
      </c>
      <c r="B552" s="25">
        <f>VLOOKUP(Table1[[#This Row],[Date]],Database!A:D,3,)</f>
        <v/>
      </c>
      <c r="C552" s="26">
        <f>B552-B551</f>
        <v/>
      </c>
      <c r="D552" s="26">
        <f>AVERAGE(C550:C552)</f>
        <v/>
      </c>
      <c r="E552" s="58">
        <f>VLOOKUP(Table1[[#This Row],[Date]],Database!A:D,4,)</f>
        <v/>
      </c>
      <c r="F552" s="58">
        <f>VLOOKUP(Table1[[#This Row],[Date]],Database!A:D,2,)</f>
        <v/>
      </c>
      <c r="G552" s="55" t="n"/>
    </row>
    <row r="553">
      <c r="A553" s="54" t="n">
        <v>30713</v>
      </c>
      <c r="B553" s="25">
        <f>VLOOKUP(Table1[[#This Row],[Date]],Database!A:D,3,)</f>
        <v/>
      </c>
      <c r="C553" s="26">
        <f>B553-B552</f>
        <v/>
      </c>
      <c r="D553" s="26">
        <f>AVERAGE(C551:C553)</f>
        <v/>
      </c>
      <c r="E553" s="58">
        <f>VLOOKUP(Table1[[#This Row],[Date]],Database!A:D,4,)</f>
        <v/>
      </c>
      <c r="F553" s="58">
        <f>VLOOKUP(Table1[[#This Row],[Date]],Database!A:D,2,)</f>
        <v/>
      </c>
      <c r="G553" s="55" t="n"/>
    </row>
    <row r="554">
      <c r="A554" s="54" t="n">
        <v>30742</v>
      </c>
      <c r="B554" s="25">
        <f>VLOOKUP(Table1[[#This Row],[Date]],Database!A:D,3,)</f>
        <v/>
      </c>
      <c r="C554" s="26">
        <f>B554-B553</f>
        <v/>
      </c>
      <c r="D554" s="26">
        <f>AVERAGE(C552:C554)</f>
        <v/>
      </c>
      <c r="E554" s="58">
        <f>VLOOKUP(Table1[[#This Row],[Date]],Database!A:D,4,)</f>
        <v/>
      </c>
      <c r="F554" s="58">
        <f>VLOOKUP(Table1[[#This Row],[Date]],Database!A:D,2,)</f>
        <v/>
      </c>
      <c r="G554" s="55" t="n"/>
    </row>
    <row r="555">
      <c r="A555" s="54" t="n">
        <v>30773</v>
      </c>
      <c r="B555" s="25">
        <f>VLOOKUP(Table1[[#This Row],[Date]],Database!A:D,3,)</f>
        <v/>
      </c>
      <c r="C555" s="26">
        <f>B555-B554</f>
        <v/>
      </c>
      <c r="D555" s="26">
        <f>AVERAGE(C553:C555)</f>
        <v/>
      </c>
      <c r="E555" s="58">
        <f>VLOOKUP(Table1[[#This Row],[Date]],Database!A:D,4,)</f>
        <v/>
      </c>
      <c r="F555" s="58">
        <f>VLOOKUP(Table1[[#This Row],[Date]],Database!A:D,2,)</f>
        <v/>
      </c>
      <c r="G555" s="55" t="n"/>
    </row>
    <row r="556">
      <c r="A556" s="54" t="n">
        <v>30803</v>
      </c>
      <c r="B556" s="25">
        <f>VLOOKUP(Table1[[#This Row],[Date]],Database!A:D,3,)</f>
        <v/>
      </c>
      <c r="C556" s="26">
        <f>B556-B555</f>
        <v/>
      </c>
      <c r="D556" s="26">
        <f>AVERAGE(C554:C556)</f>
        <v/>
      </c>
      <c r="E556" s="58">
        <f>VLOOKUP(Table1[[#This Row],[Date]],Database!A:D,4,)</f>
        <v/>
      </c>
      <c r="F556" s="58">
        <f>VLOOKUP(Table1[[#This Row],[Date]],Database!A:D,2,)</f>
        <v/>
      </c>
      <c r="G556" s="55" t="n"/>
    </row>
    <row r="557">
      <c r="A557" s="54" t="n">
        <v>30834</v>
      </c>
      <c r="B557" s="25">
        <f>VLOOKUP(Table1[[#This Row],[Date]],Database!A:D,3,)</f>
        <v/>
      </c>
      <c r="C557" s="26">
        <f>B557-B556</f>
        <v/>
      </c>
      <c r="D557" s="26">
        <f>AVERAGE(C555:C557)</f>
        <v/>
      </c>
      <c r="E557" s="58">
        <f>VLOOKUP(Table1[[#This Row],[Date]],Database!A:D,4,)</f>
        <v/>
      </c>
      <c r="F557" s="58">
        <f>VLOOKUP(Table1[[#This Row],[Date]],Database!A:D,2,)</f>
        <v/>
      </c>
      <c r="G557" s="55" t="n"/>
    </row>
    <row r="558">
      <c r="A558" s="54" t="n">
        <v>30864</v>
      </c>
      <c r="B558" s="25">
        <f>VLOOKUP(Table1[[#This Row],[Date]],Database!A:D,3,)</f>
        <v/>
      </c>
      <c r="C558" s="26">
        <f>B558-B557</f>
        <v/>
      </c>
      <c r="D558" s="26">
        <f>AVERAGE(C556:C558)</f>
        <v/>
      </c>
      <c r="E558" s="58">
        <f>VLOOKUP(Table1[[#This Row],[Date]],Database!A:D,4,)</f>
        <v/>
      </c>
      <c r="F558" s="58">
        <f>VLOOKUP(Table1[[#This Row],[Date]],Database!A:D,2,)</f>
        <v/>
      </c>
      <c r="G558" s="55" t="n"/>
    </row>
    <row r="559">
      <c r="A559" s="54" t="n">
        <v>30895</v>
      </c>
      <c r="B559" s="25">
        <f>VLOOKUP(Table1[[#This Row],[Date]],Database!A:D,3,)</f>
        <v/>
      </c>
      <c r="C559" s="26">
        <f>B559-B558</f>
        <v/>
      </c>
      <c r="D559" s="26">
        <f>AVERAGE(C557:C559)</f>
        <v/>
      </c>
      <c r="E559" s="58">
        <f>VLOOKUP(Table1[[#This Row],[Date]],Database!A:D,4,)</f>
        <v/>
      </c>
      <c r="F559" s="58">
        <f>VLOOKUP(Table1[[#This Row],[Date]],Database!A:D,2,)</f>
        <v/>
      </c>
      <c r="G559" s="55" t="n"/>
    </row>
    <row r="560">
      <c r="A560" s="54" t="n">
        <v>30926</v>
      </c>
      <c r="B560" s="25">
        <f>VLOOKUP(Table1[[#This Row],[Date]],Database!A:D,3,)</f>
        <v/>
      </c>
      <c r="C560" s="26">
        <f>B560-B559</f>
        <v/>
      </c>
      <c r="D560" s="26">
        <f>AVERAGE(C558:C560)</f>
        <v/>
      </c>
      <c r="E560" s="58">
        <f>VLOOKUP(Table1[[#This Row],[Date]],Database!A:D,4,)</f>
        <v/>
      </c>
      <c r="F560" s="58">
        <f>VLOOKUP(Table1[[#This Row],[Date]],Database!A:D,2,)</f>
        <v/>
      </c>
      <c r="G560" s="55" t="n"/>
    </row>
    <row r="561">
      <c r="A561" s="54" t="n">
        <v>30956</v>
      </c>
      <c r="B561" s="25">
        <f>VLOOKUP(Table1[[#This Row],[Date]],Database!A:D,3,)</f>
        <v/>
      </c>
      <c r="C561" s="26">
        <f>B561-B560</f>
        <v/>
      </c>
      <c r="D561" s="26">
        <f>AVERAGE(C559:C561)</f>
        <v/>
      </c>
      <c r="E561" s="58">
        <f>VLOOKUP(Table1[[#This Row],[Date]],Database!A:D,4,)</f>
        <v/>
      </c>
      <c r="F561" s="58">
        <f>VLOOKUP(Table1[[#This Row],[Date]],Database!A:D,2,)</f>
        <v/>
      </c>
      <c r="G561" s="55" t="n"/>
    </row>
    <row r="562">
      <c r="A562" s="54" t="n">
        <v>30987</v>
      </c>
      <c r="B562" s="25">
        <f>VLOOKUP(Table1[[#This Row],[Date]],Database!A:D,3,)</f>
        <v/>
      </c>
      <c r="C562" s="26">
        <f>B562-B561</f>
        <v/>
      </c>
      <c r="D562" s="26">
        <f>AVERAGE(C560:C562)</f>
        <v/>
      </c>
      <c r="E562" s="58">
        <f>VLOOKUP(Table1[[#This Row],[Date]],Database!A:D,4,)</f>
        <v/>
      </c>
      <c r="F562" s="58">
        <f>VLOOKUP(Table1[[#This Row],[Date]],Database!A:D,2,)</f>
        <v/>
      </c>
      <c r="G562" s="55" t="n"/>
    </row>
    <row r="563">
      <c r="A563" s="54" t="n">
        <v>31017</v>
      </c>
      <c r="B563" s="25">
        <f>VLOOKUP(Table1[[#This Row],[Date]],Database!A:D,3,)</f>
        <v/>
      </c>
      <c r="C563" s="26">
        <f>B563-B562</f>
        <v/>
      </c>
      <c r="D563" s="26">
        <f>AVERAGE(C561:C563)</f>
        <v/>
      </c>
      <c r="E563" s="58">
        <f>VLOOKUP(Table1[[#This Row],[Date]],Database!A:D,4,)</f>
        <v/>
      </c>
      <c r="F563" s="58">
        <f>VLOOKUP(Table1[[#This Row],[Date]],Database!A:D,2,)</f>
        <v/>
      </c>
      <c r="G563" s="55" t="n"/>
    </row>
    <row r="564">
      <c r="A564" s="54" t="n">
        <v>31048</v>
      </c>
      <c r="B564" s="25">
        <f>VLOOKUP(Table1[[#This Row],[Date]],Database!A:D,3,)</f>
        <v/>
      </c>
      <c r="C564" s="26">
        <f>B564-B563</f>
        <v/>
      </c>
      <c r="D564" s="26">
        <f>AVERAGE(C562:C564)</f>
        <v/>
      </c>
      <c r="E564" s="58">
        <f>VLOOKUP(Table1[[#This Row],[Date]],Database!A:D,4,)</f>
        <v/>
      </c>
      <c r="F564" s="58">
        <f>VLOOKUP(Table1[[#This Row],[Date]],Database!A:D,2,)</f>
        <v/>
      </c>
      <c r="G564" s="55" t="n"/>
    </row>
    <row r="565">
      <c r="A565" s="54" t="n">
        <v>31079</v>
      </c>
      <c r="B565" s="25">
        <f>VLOOKUP(Table1[[#This Row],[Date]],Database!A:D,3,)</f>
        <v/>
      </c>
      <c r="C565" s="26">
        <f>B565-B564</f>
        <v/>
      </c>
      <c r="D565" s="26">
        <f>AVERAGE(C563:C565)</f>
        <v/>
      </c>
      <c r="E565" s="58">
        <f>VLOOKUP(Table1[[#This Row],[Date]],Database!A:D,4,)</f>
        <v/>
      </c>
      <c r="F565" s="58">
        <f>VLOOKUP(Table1[[#This Row],[Date]],Database!A:D,2,)</f>
        <v/>
      </c>
      <c r="G565" s="55" t="n"/>
    </row>
    <row r="566">
      <c r="A566" s="54" t="n">
        <v>31107</v>
      </c>
      <c r="B566" s="25">
        <f>VLOOKUP(Table1[[#This Row],[Date]],Database!A:D,3,)</f>
        <v/>
      </c>
      <c r="C566" s="26">
        <f>B566-B565</f>
        <v/>
      </c>
      <c r="D566" s="26">
        <f>AVERAGE(C564:C566)</f>
        <v/>
      </c>
      <c r="E566" s="58">
        <f>VLOOKUP(Table1[[#This Row],[Date]],Database!A:D,4,)</f>
        <v/>
      </c>
      <c r="F566" s="58">
        <f>VLOOKUP(Table1[[#This Row],[Date]],Database!A:D,2,)</f>
        <v/>
      </c>
      <c r="G566" s="55" t="n"/>
    </row>
    <row r="567">
      <c r="A567" s="54" t="n">
        <v>31138</v>
      </c>
      <c r="B567" s="25">
        <f>VLOOKUP(Table1[[#This Row],[Date]],Database!A:D,3,)</f>
        <v/>
      </c>
      <c r="C567" s="26">
        <f>B567-B566</f>
        <v/>
      </c>
      <c r="D567" s="26">
        <f>AVERAGE(C565:C567)</f>
        <v/>
      </c>
      <c r="E567" s="58">
        <f>VLOOKUP(Table1[[#This Row],[Date]],Database!A:D,4,)</f>
        <v/>
      </c>
      <c r="F567" s="58">
        <f>VLOOKUP(Table1[[#This Row],[Date]],Database!A:D,2,)</f>
        <v/>
      </c>
      <c r="G567" s="55" t="n"/>
    </row>
    <row r="568">
      <c r="A568" s="54" t="n">
        <v>31168</v>
      </c>
      <c r="B568" s="25">
        <f>VLOOKUP(Table1[[#This Row],[Date]],Database!A:D,3,)</f>
        <v/>
      </c>
      <c r="C568" s="26">
        <f>B568-B567</f>
        <v/>
      </c>
      <c r="D568" s="26">
        <f>AVERAGE(C566:C568)</f>
        <v/>
      </c>
      <c r="E568" s="58">
        <f>VLOOKUP(Table1[[#This Row],[Date]],Database!A:D,4,)</f>
        <v/>
      </c>
      <c r="F568" s="58">
        <f>VLOOKUP(Table1[[#This Row],[Date]],Database!A:D,2,)</f>
        <v/>
      </c>
      <c r="G568" s="55" t="n"/>
    </row>
    <row r="569">
      <c r="A569" s="54" t="n">
        <v>31199</v>
      </c>
      <c r="B569" s="25">
        <f>VLOOKUP(Table1[[#This Row],[Date]],Database!A:D,3,)</f>
        <v/>
      </c>
      <c r="C569" s="26">
        <f>B569-B568</f>
        <v/>
      </c>
      <c r="D569" s="26">
        <f>AVERAGE(C567:C569)</f>
        <v/>
      </c>
      <c r="E569" s="58">
        <f>VLOOKUP(Table1[[#This Row],[Date]],Database!A:D,4,)</f>
        <v/>
      </c>
      <c r="F569" s="58">
        <f>VLOOKUP(Table1[[#This Row],[Date]],Database!A:D,2,)</f>
        <v/>
      </c>
      <c r="G569" s="55" t="n"/>
    </row>
    <row r="570">
      <c r="A570" s="54" t="n">
        <v>31229</v>
      </c>
      <c r="B570" s="25">
        <f>VLOOKUP(Table1[[#This Row],[Date]],Database!A:D,3,)</f>
        <v/>
      </c>
      <c r="C570" s="26">
        <f>B570-B569</f>
        <v/>
      </c>
      <c r="D570" s="26">
        <f>AVERAGE(C568:C570)</f>
        <v/>
      </c>
      <c r="E570" s="58">
        <f>VLOOKUP(Table1[[#This Row],[Date]],Database!A:D,4,)</f>
        <v/>
      </c>
      <c r="F570" s="58">
        <f>VLOOKUP(Table1[[#This Row],[Date]],Database!A:D,2,)</f>
        <v/>
      </c>
      <c r="G570" s="55" t="n"/>
    </row>
    <row r="571">
      <c r="A571" s="54" t="n">
        <v>31260</v>
      </c>
      <c r="B571" s="25">
        <f>VLOOKUP(Table1[[#This Row],[Date]],Database!A:D,3,)</f>
        <v/>
      </c>
      <c r="C571" s="26">
        <f>B571-B570</f>
        <v/>
      </c>
      <c r="D571" s="26">
        <f>AVERAGE(C569:C571)</f>
        <v/>
      </c>
      <c r="E571" s="58">
        <f>VLOOKUP(Table1[[#This Row],[Date]],Database!A:D,4,)</f>
        <v/>
      </c>
      <c r="F571" s="58">
        <f>VLOOKUP(Table1[[#This Row],[Date]],Database!A:D,2,)</f>
        <v/>
      </c>
      <c r="G571" s="55" t="n"/>
    </row>
    <row r="572">
      <c r="A572" s="54" t="n">
        <v>31291</v>
      </c>
      <c r="B572" s="25">
        <f>VLOOKUP(Table1[[#This Row],[Date]],Database!A:D,3,)</f>
        <v/>
      </c>
      <c r="C572" s="26">
        <f>B572-B571</f>
        <v/>
      </c>
      <c r="D572" s="26">
        <f>AVERAGE(C570:C572)</f>
        <v/>
      </c>
      <c r="E572" s="58">
        <f>VLOOKUP(Table1[[#This Row],[Date]],Database!A:D,4,)</f>
        <v/>
      </c>
      <c r="F572" s="58">
        <f>VLOOKUP(Table1[[#This Row],[Date]],Database!A:D,2,)</f>
        <v/>
      </c>
      <c r="G572" s="55" t="n"/>
    </row>
    <row r="573">
      <c r="A573" s="54" t="n">
        <v>31321</v>
      </c>
      <c r="B573" s="25">
        <f>VLOOKUP(Table1[[#This Row],[Date]],Database!A:D,3,)</f>
        <v/>
      </c>
      <c r="C573" s="26">
        <f>B573-B572</f>
        <v/>
      </c>
      <c r="D573" s="26">
        <f>AVERAGE(C571:C573)</f>
        <v/>
      </c>
      <c r="E573" s="58">
        <f>VLOOKUP(Table1[[#This Row],[Date]],Database!A:D,4,)</f>
        <v/>
      </c>
      <c r="F573" s="58">
        <f>VLOOKUP(Table1[[#This Row],[Date]],Database!A:D,2,)</f>
        <v/>
      </c>
      <c r="G573" s="55" t="n"/>
    </row>
    <row r="574">
      <c r="A574" s="54" t="n">
        <v>31352</v>
      </c>
      <c r="B574" s="25">
        <f>VLOOKUP(Table1[[#This Row],[Date]],Database!A:D,3,)</f>
        <v/>
      </c>
      <c r="C574" s="26">
        <f>B574-B573</f>
        <v/>
      </c>
      <c r="D574" s="26">
        <f>AVERAGE(C572:C574)</f>
        <v/>
      </c>
      <c r="E574" s="58">
        <f>VLOOKUP(Table1[[#This Row],[Date]],Database!A:D,4,)</f>
        <v/>
      </c>
      <c r="F574" s="58">
        <f>VLOOKUP(Table1[[#This Row],[Date]],Database!A:D,2,)</f>
        <v/>
      </c>
      <c r="G574" s="55" t="n"/>
    </row>
    <row r="575">
      <c r="A575" s="54" t="n">
        <v>31382</v>
      </c>
      <c r="B575" s="25">
        <f>VLOOKUP(Table1[[#This Row],[Date]],Database!A:D,3,)</f>
        <v/>
      </c>
      <c r="C575" s="26">
        <f>B575-B574</f>
        <v/>
      </c>
      <c r="D575" s="26">
        <f>AVERAGE(C573:C575)</f>
        <v/>
      </c>
      <c r="E575" s="58">
        <f>VLOOKUP(Table1[[#This Row],[Date]],Database!A:D,4,)</f>
        <v/>
      </c>
      <c r="F575" s="58">
        <f>VLOOKUP(Table1[[#This Row],[Date]],Database!A:D,2,)</f>
        <v/>
      </c>
      <c r="G575" s="55" t="n"/>
    </row>
    <row r="576">
      <c r="A576" s="54" t="n">
        <v>31413</v>
      </c>
      <c r="B576" s="25">
        <f>VLOOKUP(Table1[[#This Row],[Date]],Database!A:D,3,)</f>
        <v/>
      </c>
      <c r="C576" s="26">
        <f>B576-B575</f>
        <v/>
      </c>
      <c r="D576" s="26">
        <f>AVERAGE(C574:C576)</f>
        <v/>
      </c>
      <c r="E576" s="58">
        <f>VLOOKUP(Table1[[#This Row],[Date]],Database!A:D,4,)</f>
        <v/>
      </c>
      <c r="F576" s="58">
        <f>VLOOKUP(Table1[[#This Row],[Date]],Database!A:D,2,)</f>
        <v/>
      </c>
      <c r="G576" s="55" t="n"/>
    </row>
    <row r="577">
      <c r="A577" s="54" t="n">
        <v>31444</v>
      </c>
      <c r="B577" s="25">
        <f>VLOOKUP(Table1[[#This Row],[Date]],Database!A:D,3,)</f>
        <v/>
      </c>
      <c r="C577" s="26">
        <f>B577-B576</f>
        <v/>
      </c>
      <c r="D577" s="26">
        <f>AVERAGE(C575:C577)</f>
        <v/>
      </c>
      <c r="E577" s="58">
        <f>VLOOKUP(Table1[[#This Row],[Date]],Database!A:D,4,)</f>
        <v/>
      </c>
      <c r="F577" s="58">
        <f>VLOOKUP(Table1[[#This Row],[Date]],Database!A:D,2,)</f>
        <v/>
      </c>
      <c r="G577" s="55" t="n"/>
    </row>
    <row r="578">
      <c r="A578" s="54" t="n">
        <v>31472</v>
      </c>
      <c r="B578" s="25">
        <f>VLOOKUP(Table1[[#This Row],[Date]],Database!A:D,3,)</f>
        <v/>
      </c>
      <c r="C578" s="26">
        <f>B578-B577</f>
        <v/>
      </c>
      <c r="D578" s="26">
        <f>AVERAGE(C576:C578)</f>
        <v/>
      </c>
      <c r="E578" s="58">
        <f>VLOOKUP(Table1[[#This Row],[Date]],Database!A:D,4,)</f>
        <v/>
      </c>
      <c r="F578" s="58">
        <f>VLOOKUP(Table1[[#This Row],[Date]],Database!A:D,2,)</f>
        <v/>
      </c>
      <c r="G578" s="55" t="n"/>
    </row>
    <row r="579">
      <c r="A579" s="54" t="n">
        <v>31503</v>
      </c>
      <c r="B579" s="25">
        <f>VLOOKUP(Table1[[#This Row],[Date]],Database!A:D,3,)</f>
        <v/>
      </c>
      <c r="C579" s="26">
        <f>B579-B578</f>
        <v/>
      </c>
      <c r="D579" s="26">
        <f>AVERAGE(C577:C579)</f>
        <v/>
      </c>
      <c r="E579" s="58">
        <f>VLOOKUP(Table1[[#This Row],[Date]],Database!A:D,4,)</f>
        <v/>
      </c>
      <c r="F579" s="58">
        <f>VLOOKUP(Table1[[#This Row],[Date]],Database!A:D,2,)</f>
        <v/>
      </c>
      <c r="G579" s="55" t="n"/>
    </row>
    <row r="580">
      <c r="A580" s="54" t="n">
        <v>31533</v>
      </c>
      <c r="B580" s="25">
        <f>VLOOKUP(Table1[[#This Row],[Date]],Database!A:D,3,)</f>
        <v/>
      </c>
      <c r="C580" s="26">
        <f>B580-B579</f>
        <v/>
      </c>
      <c r="D580" s="26">
        <f>AVERAGE(C578:C580)</f>
        <v/>
      </c>
      <c r="E580" s="58">
        <f>VLOOKUP(Table1[[#This Row],[Date]],Database!A:D,4,)</f>
        <v/>
      </c>
      <c r="F580" s="58">
        <f>VLOOKUP(Table1[[#This Row],[Date]],Database!A:D,2,)</f>
        <v/>
      </c>
      <c r="G580" s="55" t="n"/>
    </row>
    <row r="581">
      <c r="A581" s="54" t="n">
        <v>31564</v>
      </c>
      <c r="B581" s="25">
        <f>VLOOKUP(Table1[[#This Row],[Date]],Database!A:D,3,)</f>
        <v/>
      </c>
      <c r="C581" s="26">
        <f>B581-B580</f>
        <v/>
      </c>
      <c r="D581" s="26">
        <f>AVERAGE(C579:C581)</f>
        <v/>
      </c>
      <c r="E581" s="58">
        <f>VLOOKUP(Table1[[#This Row],[Date]],Database!A:D,4,)</f>
        <v/>
      </c>
      <c r="F581" s="58">
        <f>VLOOKUP(Table1[[#This Row],[Date]],Database!A:D,2,)</f>
        <v/>
      </c>
      <c r="G581" s="55" t="n"/>
    </row>
    <row r="582">
      <c r="A582" s="54" t="n">
        <v>31594</v>
      </c>
      <c r="B582" s="25">
        <f>VLOOKUP(Table1[[#This Row],[Date]],Database!A:D,3,)</f>
        <v/>
      </c>
      <c r="C582" s="26">
        <f>B582-B581</f>
        <v/>
      </c>
      <c r="D582" s="26">
        <f>AVERAGE(C580:C582)</f>
        <v/>
      </c>
      <c r="E582" s="58">
        <f>VLOOKUP(Table1[[#This Row],[Date]],Database!A:D,4,)</f>
        <v/>
      </c>
      <c r="F582" s="58">
        <f>VLOOKUP(Table1[[#This Row],[Date]],Database!A:D,2,)</f>
        <v/>
      </c>
      <c r="G582" s="55" t="n"/>
    </row>
    <row r="583">
      <c r="A583" s="54" t="n">
        <v>31625</v>
      </c>
      <c r="B583" s="25">
        <f>VLOOKUP(Table1[[#This Row],[Date]],Database!A:D,3,)</f>
        <v/>
      </c>
      <c r="C583" s="26">
        <f>B583-B582</f>
        <v/>
      </c>
      <c r="D583" s="26">
        <f>AVERAGE(C581:C583)</f>
        <v/>
      </c>
      <c r="E583" s="58">
        <f>VLOOKUP(Table1[[#This Row],[Date]],Database!A:D,4,)</f>
        <v/>
      </c>
      <c r="F583" s="58">
        <f>VLOOKUP(Table1[[#This Row],[Date]],Database!A:D,2,)</f>
        <v/>
      </c>
      <c r="G583" s="55" t="n"/>
    </row>
    <row r="584">
      <c r="A584" s="54" t="n">
        <v>31656</v>
      </c>
      <c r="B584" s="25">
        <f>VLOOKUP(Table1[[#This Row],[Date]],Database!A:D,3,)</f>
        <v/>
      </c>
      <c r="C584" s="26">
        <f>B584-B583</f>
        <v/>
      </c>
      <c r="D584" s="26">
        <f>AVERAGE(C582:C584)</f>
        <v/>
      </c>
      <c r="E584" s="58">
        <f>VLOOKUP(Table1[[#This Row],[Date]],Database!A:D,4,)</f>
        <v/>
      </c>
      <c r="F584" s="58">
        <f>VLOOKUP(Table1[[#This Row],[Date]],Database!A:D,2,)</f>
        <v/>
      </c>
      <c r="G584" s="55" t="n"/>
    </row>
    <row r="585">
      <c r="A585" s="54" t="n">
        <v>31686</v>
      </c>
      <c r="B585" s="25">
        <f>VLOOKUP(Table1[[#This Row],[Date]],Database!A:D,3,)</f>
        <v/>
      </c>
      <c r="C585" s="26">
        <f>B585-B584</f>
        <v/>
      </c>
      <c r="D585" s="26">
        <f>AVERAGE(C583:C585)</f>
        <v/>
      </c>
      <c r="E585" s="58">
        <f>VLOOKUP(Table1[[#This Row],[Date]],Database!A:D,4,)</f>
        <v/>
      </c>
      <c r="F585" s="58">
        <f>VLOOKUP(Table1[[#This Row],[Date]],Database!A:D,2,)</f>
        <v/>
      </c>
      <c r="G585" s="55" t="n"/>
    </row>
    <row r="586">
      <c r="A586" s="54" t="n">
        <v>31717</v>
      </c>
      <c r="B586" s="25">
        <f>VLOOKUP(Table1[[#This Row],[Date]],Database!A:D,3,)</f>
        <v/>
      </c>
      <c r="C586" s="26">
        <f>B586-B585</f>
        <v/>
      </c>
      <c r="D586" s="26">
        <f>AVERAGE(C584:C586)</f>
        <v/>
      </c>
      <c r="E586" s="58">
        <f>VLOOKUP(Table1[[#This Row],[Date]],Database!A:D,4,)</f>
        <v/>
      </c>
      <c r="F586" s="58">
        <f>VLOOKUP(Table1[[#This Row],[Date]],Database!A:D,2,)</f>
        <v/>
      </c>
      <c r="G586" s="55" t="n"/>
    </row>
    <row r="587">
      <c r="A587" s="54" t="n">
        <v>31747</v>
      </c>
      <c r="B587" s="25">
        <f>VLOOKUP(Table1[[#This Row],[Date]],Database!A:D,3,)</f>
        <v/>
      </c>
      <c r="C587" s="26">
        <f>B587-B586</f>
        <v/>
      </c>
      <c r="D587" s="26">
        <f>AVERAGE(C585:C587)</f>
        <v/>
      </c>
      <c r="E587" s="58">
        <f>VLOOKUP(Table1[[#This Row],[Date]],Database!A:D,4,)</f>
        <v/>
      </c>
      <c r="F587" s="58">
        <f>VLOOKUP(Table1[[#This Row],[Date]],Database!A:D,2,)</f>
        <v/>
      </c>
      <c r="G587" s="55" t="n"/>
    </row>
    <row r="588">
      <c r="A588" s="54" t="n">
        <v>31778</v>
      </c>
      <c r="B588" s="25">
        <f>VLOOKUP(Table1[[#This Row],[Date]],Database!A:D,3,)</f>
        <v/>
      </c>
      <c r="C588" s="26">
        <f>B588-B587</f>
        <v/>
      </c>
      <c r="D588" s="26">
        <f>AVERAGE(C586:C588)</f>
        <v/>
      </c>
      <c r="E588" s="58">
        <f>VLOOKUP(Table1[[#This Row],[Date]],Database!A:D,4,)</f>
        <v/>
      </c>
      <c r="F588" s="58">
        <f>VLOOKUP(Table1[[#This Row],[Date]],Database!A:D,2,)</f>
        <v/>
      </c>
      <c r="G588" s="55" t="n"/>
    </row>
    <row r="589">
      <c r="A589" s="54" t="n">
        <v>31809</v>
      </c>
      <c r="B589" s="25">
        <f>VLOOKUP(Table1[[#This Row],[Date]],Database!A:D,3,)</f>
        <v/>
      </c>
      <c r="C589" s="26">
        <f>B589-B588</f>
        <v/>
      </c>
      <c r="D589" s="26">
        <f>AVERAGE(C587:C589)</f>
        <v/>
      </c>
      <c r="E589" s="58">
        <f>VLOOKUP(Table1[[#This Row],[Date]],Database!A:D,4,)</f>
        <v/>
      </c>
      <c r="F589" s="58">
        <f>VLOOKUP(Table1[[#This Row],[Date]],Database!A:D,2,)</f>
        <v/>
      </c>
      <c r="G589" s="55" t="n"/>
    </row>
    <row r="590">
      <c r="A590" s="54" t="n">
        <v>31837</v>
      </c>
      <c r="B590" s="25">
        <f>VLOOKUP(Table1[[#This Row],[Date]],Database!A:D,3,)</f>
        <v/>
      </c>
      <c r="C590" s="26">
        <f>B590-B589</f>
        <v/>
      </c>
      <c r="D590" s="26">
        <f>AVERAGE(C588:C590)</f>
        <v/>
      </c>
      <c r="E590" s="58">
        <f>VLOOKUP(Table1[[#This Row],[Date]],Database!A:D,4,)</f>
        <v/>
      </c>
      <c r="F590" s="58">
        <f>VLOOKUP(Table1[[#This Row],[Date]],Database!A:D,2,)</f>
        <v/>
      </c>
      <c r="G590" s="55" t="n"/>
    </row>
    <row r="591">
      <c r="A591" s="54" t="n">
        <v>31868</v>
      </c>
      <c r="B591" s="25">
        <f>VLOOKUP(Table1[[#This Row],[Date]],Database!A:D,3,)</f>
        <v/>
      </c>
      <c r="C591" s="26">
        <f>B591-B590</f>
        <v/>
      </c>
      <c r="D591" s="26">
        <f>AVERAGE(C589:C591)</f>
        <v/>
      </c>
      <c r="E591" s="58">
        <f>VLOOKUP(Table1[[#This Row],[Date]],Database!A:D,4,)</f>
        <v/>
      </c>
      <c r="F591" s="58">
        <f>VLOOKUP(Table1[[#This Row],[Date]],Database!A:D,2,)</f>
        <v/>
      </c>
      <c r="G591" s="55" t="n"/>
    </row>
    <row r="592">
      <c r="A592" s="54" t="n">
        <v>31898</v>
      </c>
      <c r="B592" s="25">
        <f>VLOOKUP(Table1[[#This Row],[Date]],Database!A:D,3,)</f>
        <v/>
      </c>
      <c r="C592" s="26">
        <f>B592-B591</f>
        <v/>
      </c>
      <c r="D592" s="26">
        <f>AVERAGE(C590:C592)</f>
        <v/>
      </c>
      <c r="E592" s="58">
        <f>VLOOKUP(Table1[[#This Row],[Date]],Database!A:D,4,)</f>
        <v/>
      </c>
      <c r="F592" s="58">
        <f>VLOOKUP(Table1[[#This Row],[Date]],Database!A:D,2,)</f>
        <v/>
      </c>
      <c r="G592" s="55" t="n"/>
    </row>
    <row r="593">
      <c r="A593" s="54" t="n">
        <v>31929</v>
      </c>
      <c r="B593" s="25">
        <f>VLOOKUP(Table1[[#This Row],[Date]],Database!A:D,3,)</f>
        <v/>
      </c>
      <c r="C593" s="26">
        <f>B593-B592</f>
        <v/>
      </c>
      <c r="D593" s="26">
        <f>AVERAGE(C591:C593)</f>
        <v/>
      </c>
      <c r="E593" s="58">
        <f>VLOOKUP(Table1[[#This Row],[Date]],Database!A:D,4,)</f>
        <v/>
      </c>
      <c r="F593" s="58">
        <f>VLOOKUP(Table1[[#This Row],[Date]],Database!A:D,2,)</f>
        <v/>
      </c>
      <c r="G593" s="55" t="n"/>
    </row>
    <row r="594">
      <c r="A594" s="54" t="n">
        <v>31959</v>
      </c>
      <c r="B594" s="25">
        <f>VLOOKUP(Table1[[#This Row],[Date]],Database!A:D,3,)</f>
        <v/>
      </c>
      <c r="C594" s="26">
        <f>B594-B593</f>
        <v/>
      </c>
      <c r="D594" s="26">
        <f>AVERAGE(C592:C594)</f>
        <v/>
      </c>
      <c r="E594" s="58">
        <f>VLOOKUP(Table1[[#This Row],[Date]],Database!A:D,4,)</f>
        <v/>
      </c>
      <c r="F594" s="58">
        <f>VLOOKUP(Table1[[#This Row],[Date]],Database!A:D,2,)</f>
        <v/>
      </c>
      <c r="G594" s="55" t="n"/>
    </row>
    <row r="595">
      <c r="A595" s="54" t="n">
        <v>31990</v>
      </c>
      <c r="B595" s="25">
        <f>VLOOKUP(Table1[[#This Row],[Date]],Database!A:D,3,)</f>
        <v/>
      </c>
      <c r="C595" s="26">
        <f>B595-B594</f>
        <v/>
      </c>
      <c r="D595" s="26">
        <f>AVERAGE(C593:C595)</f>
        <v/>
      </c>
      <c r="E595" s="58">
        <f>VLOOKUP(Table1[[#This Row],[Date]],Database!A:D,4,)</f>
        <v/>
      </c>
      <c r="F595" s="58">
        <f>VLOOKUP(Table1[[#This Row],[Date]],Database!A:D,2,)</f>
        <v/>
      </c>
      <c r="G595" s="55" t="n"/>
    </row>
    <row r="596">
      <c r="A596" s="54" t="n">
        <v>32021</v>
      </c>
      <c r="B596" s="25">
        <f>VLOOKUP(Table1[[#This Row],[Date]],Database!A:D,3,)</f>
        <v/>
      </c>
      <c r="C596" s="26">
        <f>B596-B595</f>
        <v/>
      </c>
      <c r="D596" s="26">
        <f>AVERAGE(C594:C596)</f>
        <v/>
      </c>
      <c r="E596" s="58">
        <f>VLOOKUP(Table1[[#This Row],[Date]],Database!A:D,4,)</f>
        <v/>
      </c>
      <c r="F596" s="58">
        <f>VLOOKUP(Table1[[#This Row],[Date]],Database!A:D,2,)</f>
        <v/>
      </c>
      <c r="G596" s="55" t="n"/>
    </row>
    <row r="597">
      <c r="A597" s="54" t="n">
        <v>32051</v>
      </c>
      <c r="B597" s="25">
        <f>VLOOKUP(Table1[[#This Row],[Date]],Database!A:D,3,)</f>
        <v/>
      </c>
      <c r="C597" s="26">
        <f>B597-B596</f>
        <v/>
      </c>
      <c r="D597" s="26">
        <f>AVERAGE(C595:C597)</f>
        <v/>
      </c>
      <c r="E597" s="58">
        <f>VLOOKUP(Table1[[#This Row],[Date]],Database!A:D,4,)</f>
        <v/>
      </c>
      <c r="F597" s="58">
        <f>VLOOKUP(Table1[[#This Row],[Date]],Database!A:D,2,)</f>
        <v/>
      </c>
      <c r="G597" s="55" t="n"/>
    </row>
    <row r="598">
      <c r="A598" s="54" t="n">
        <v>32082</v>
      </c>
      <c r="B598" s="25">
        <f>VLOOKUP(Table1[[#This Row],[Date]],Database!A:D,3,)</f>
        <v/>
      </c>
      <c r="C598" s="26">
        <f>B598-B597</f>
        <v/>
      </c>
      <c r="D598" s="26">
        <f>AVERAGE(C596:C598)</f>
        <v/>
      </c>
      <c r="E598" s="58">
        <f>VLOOKUP(Table1[[#This Row],[Date]],Database!A:D,4,)</f>
        <v/>
      </c>
      <c r="F598" s="58">
        <f>VLOOKUP(Table1[[#This Row],[Date]],Database!A:D,2,)</f>
        <v/>
      </c>
      <c r="G598" s="55" t="n"/>
    </row>
    <row r="599">
      <c r="A599" s="54" t="n">
        <v>32112</v>
      </c>
      <c r="B599" s="25">
        <f>VLOOKUP(Table1[[#This Row],[Date]],Database!A:D,3,)</f>
        <v/>
      </c>
      <c r="C599" s="26">
        <f>B599-B598</f>
        <v/>
      </c>
      <c r="D599" s="26">
        <f>AVERAGE(C597:C599)</f>
        <v/>
      </c>
      <c r="E599" s="58">
        <f>VLOOKUP(Table1[[#This Row],[Date]],Database!A:D,4,)</f>
        <v/>
      </c>
      <c r="F599" s="58">
        <f>VLOOKUP(Table1[[#This Row],[Date]],Database!A:D,2,)</f>
        <v/>
      </c>
      <c r="G599" s="55" t="n"/>
    </row>
    <row r="600">
      <c r="A600" s="54" t="n">
        <v>32143</v>
      </c>
      <c r="B600" s="25">
        <f>VLOOKUP(Table1[[#This Row],[Date]],Database!A:D,3,)</f>
        <v/>
      </c>
      <c r="C600" s="26">
        <f>B600-B599</f>
        <v/>
      </c>
      <c r="D600" s="26">
        <f>AVERAGE(C598:C600)</f>
        <v/>
      </c>
      <c r="E600" s="58">
        <f>VLOOKUP(Table1[[#This Row],[Date]],Database!A:D,4,)</f>
        <v/>
      </c>
      <c r="F600" s="58">
        <f>VLOOKUP(Table1[[#This Row],[Date]],Database!A:D,2,)</f>
        <v/>
      </c>
      <c r="G600" s="55" t="n"/>
    </row>
    <row r="601">
      <c r="A601" s="54" t="n">
        <v>32174</v>
      </c>
      <c r="B601" s="25">
        <f>VLOOKUP(Table1[[#This Row],[Date]],Database!A:D,3,)</f>
        <v/>
      </c>
      <c r="C601" s="26">
        <f>B601-B600</f>
        <v/>
      </c>
      <c r="D601" s="26">
        <f>AVERAGE(C599:C601)</f>
        <v/>
      </c>
      <c r="E601" s="58">
        <f>VLOOKUP(Table1[[#This Row],[Date]],Database!A:D,4,)</f>
        <v/>
      </c>
      <c r="F601" s="58">
        <f>VLOOKUP(Table1[[#This Row],[Date]],Database!A:D,2,)</f>
        <v/>
      </c>
      <c r="G601" s="55" t="n"/>
    </row>
    <row r="602">
      <c r="A602" s="54" t="n">
        <v>32203</v>
      </c>
      <c r="B602" s="25">
        <f>VLOOKUP(Table1[[#This Row],[Date]],Database!A:D,3,)</f>
        <v/>
      </c>
      <c r="C602" s="26">
        <f>B602-B601</f>
        <v/>
      </c>
      <c r="D602" s="26">
        <f>AVERAGE(C600:C602)</f>
        <v/>
      </c>
      <c r="E602" s="58">
        <f>VLOOKUP(Table1[[#This Row],[Date]],Database!A:D,4,)</f>
        <v/>
      </c>
      <c r="F602" s="58">
        <f>VLOOKUP(Table1[[#This Row],[Date]],Database!A:D,2,)</f>
        <v/>
      </c>
      <c r="G602" s="55" t="n"/>
    </row>
    <row r="603">
      <c r="A603" s="54" t="n">
        <v>32234</v>
      </c>
      <c r="B603" s="25">
        <f>VLOOKUP(Table1[[#This Row],[Date]],Database!A:D,3,)</f>
        <v/>
      </c>
      <c r="C603" s="26">
        <f>B603-B602</f>
        <v/>
      </c>
      <c r="D603" s="26">
        <f>AVERAGE(C601:C603)</f>
        <v/>
      </c>
      <c r="E603" s="58">
        <f>VLOOKUP(Table1[[#This Row],[Date]],Database!A:D,4,)</f>
        <v/>
      </c>
      <c r="F603" s="58">
        <f>VLOOKUP(Table1[[#This Row],[Date]],Database!A:D,2,)</f>
        <v/>
      </c>
      <c r="G603" s="55" t="n"/>
    </row>
    <row r="604">
      <c r="A604" s="54" t="n">
        <v>32264</v>
      </c>
      <c r="B604" s="25">
        <f>VLOOKUP(Table1[[#This Row],[Date]],Database!A:D,3,)</f>
        <v/>
      </c>
      <c r="C604" s="26">
        <f>B604-B603</f>
        <v/>
      </c>
      <c r="D604" s="26">
        <f>AVERAGE(C602:C604)</f>
        <v/>
      </c>
      <c r="E604" s="58">
        <f>VLOOKUP(Table1[[#This Row],[Date]],Database!A:D,4,)</f>
        <v/>
      </c>
      <c r="F604" s="58">
        <f>VLOOKUP(Table1[[#This Row],[Date]],Database!A:D,2,)</f>
        <v/>
      </c>
      <c r="G604" s="55" t="n"/>
    </row>
    <row r="605">
      <c r="A605" s="54" t="n">
        <v>32295</v>
      </c>
      <c r="B605" s="25">
        <f>VLOOKUP(Table1[[#This Row],[Date]],Database!A:D,3,)</f>
        <v/>
      </c>
      <c r="C605" s="26">
        <f>B605-B604</f>
        <v/>
      </c>
      <c r="D605" s="26">
        <f>AVERAGE(C603:C605)</f>
        <v/>
      </c>
      <c r="E605" s="58">
        <f>VLOOKUP(Table1[[#This Row],[Date]],Database!A:D,4,)</f>
        <v/>
      </c>
      <c r="F605" s="58">
        <f>VLOOKUP(Table1[[#This Row],[Date]],Database!A:D,2,)</f>
        <v/>
      </c>
      <c r="G605" s="55" t="n"/>
    </row>
    <row r="606">
      <c r="A606" s="54" t="n">
        <v>32325</v>
      </c>
      <c r="B606" s="25">
        <f>VLOOKUP(Table1[[#This Row],[Date]],Database!A:D,3,)</f>
        <v/>
      </c>
      <c r="C606" s="26">
        <f>B606-B605</f>
        <v/>
      </c>
      <c r="D606" s="26">
        <f>AVERAGE(C604:C606)</f>
        <v/>
      </c>
      <c r="E606" s="58">
        <f>VLOOKUP(Table1[[#This Row],[Date]],Database!A:D,4,)</f>
        <v/>
      </c>
      <c r="F606" s="58">
        <f>VLOOKUP(Table1[[#This Row],[Date]],Database!A:D,2,)</f>
        <v/>
      </c>
      <c r="G606" s="55" t="n"/>
    </row>
    <row r="607">
      <c r="A607" s="54" t="n">
        <v>32356</v>
      </c>
      <c r="B607" s="25">
        <f>VLOOKUP(Table1[[#This Row],[Date]],Database!A:D,3,)</f>
        <v/>
      </c>
      <c r="C607" s="26">
        <f>B607-B606</f>
        <v/>
      </c>
      <c r="D607" s="26">
        <f>AVERAGE(C605:C607)</f>
        <v/>
      </c>
      <c r="E607" s="58">
        <f>VLOOKUP(Table1[[#This Row],[Date]],Database!A:D,4,)</f>
        <v/>
      </c>
      <c r="F607" s="58">
        <f>VLOOKUP(Table1[[#This Row],[Date]],Database!A:D,2,)</f>
        <v/>
      </c>
      <c r="G607" s="55" t="n"/>
    </row>
    <row r="608">
      <c r="A608" s="54" t="n">
        <v>32387</v>
      </c>
      <c r="B608" s="25">
        <f>VLOOKUP(Table1[[#This Row],[Date]],Database!A:D,3,)</f>
        <v/>
      </c>
      <c r="C608" s="26">
        <f>B608-B607</f>
        <v/>
      </c>
      <c r="D608" s="26">
        <f>AVERAGE(C606:C608)</f>
        <v/>
      </c>
      <c r="E608" s="58">
        <f>VLOOKUP(Table1[[#This Row],[Date]],Database!A:D,4,)</f>
        <v/>
      </c>
      <c r="F608" s="58">
        <f>VLOOKUP(Table1[[#This Row],[Date]],Database!A:D,2,)</f>
        <v/>
      </c>
      <c r="G608" s="55" t="n"/>
    </row>
    <row r="609">
      <c r="A609" s="54" t="n">
        <v>32417</v>
      </c>
      <c r="B609" s="25">
        <f>VLOOKUP(Table1[[#This Row],[Date]],Database!A:D,3,)</f>
        <v/>
      </c>
      <c r="C609" s="26">
        <f>B609-B608</f>
        <v/>
      </c>
      <c r="D609" s="26">
        <f>AVERAGE(C607:C609)</f>
        <v/>
      </c>
      <c r="E609" s="58">
        <f>VLOOKUP(Table1[[#This Row],[Date]],Database!A:D,4,)</f>
        <v/>
      </c>
      <c r="F609" s="58">
        <f>VLOOKUP(Table1[[#This Row],[Date]],Database!A:D,2,)</f>
        <v/>
      </c>
      <c r="G609" s="55" t="n"/>
    </row>
    <row r="610">
      <c r="A610" s="54" t="n">
        <v>32448</v>
      </c>
      <c r="B610" s="25">
        <f>VLOOKUP(Table1[[#This Row],[Date]],Database!A:D,3,)</f>
        <v/>
      </c>
      <c r="C610" s="26">
        <f>B610-B609</f>
        <v/>
      </c>
      <c r="D610" s="26">
        <f>AVERAGE(C608:C610)</f>
        <v/>
      </c>
      <c r="E610" s="58">
        <f>VLOOKUP(Table1[[#This Row],[Date]],Database!A:D,4,)</f>
        <v/>
      </c>
      <c r="F610" s="58">
        <f>VLOOKUP(Table1[[#This Row],[Date]],Database!A:D,2,)</f>
        <v/>
      </c>
      <c r="G610" s="55" t="n"/>
    </row>
    <row r="611">
      <c r="A611" s="54" t="n">
        <v>32478</v>
      </c>
      <c r="B611" s="25">
        <f>VLOOKUP(Table1[[#This Row],[Date]],Database!A:D,3,)</f>
        <v/>
      </c>
      <c r="C611" s="26">
        <f>B611-B610</f>
        <v/>
      </c>
      <c r="D611" s="26">
        <f>AVERAGE(C609:C611)</f>
        <v/>
      </c>
      <c r="E611" s="58">
        <f>VLOOKUP(Table1[[#This Row],[Date]],Database!A:D,4,)</f>
        <v/>
      </c>
      <c r="F611" s="58">
        <f>VLOOKUP(Table1[[#This Row],[Date]],Database!A:D,2,)</f>
        <v/>
      </c>
      <c r="G611" s="55" t="n"/>
    </row>
    <row r="612">
      <c r="A612" s="54" t="n">
        <v>32509</v>
      </c>
      <c r="B612" s="25">
        <f>VLOOKUP(Table1[[#This Row],[Date]],Database!A:D,3,)</f>
        <v/>
      </c>
      <c r="C612" s="26">
        <f>B612-B611</f>
        <v/>
      </c>
      <c r="D612" s="26">
        <f>AVERAGE(C610:C612)</f>
        <v/>
      </c>
      <c r="E612" s="58">
        <f>VLOOKUP(Table1[[#This Row],[Date]],Database!A:D,4,)</f>
        <v/>
      </c>
      <c r="F612" s="58">
        <f>VLOOKUP(Table1[[#This Row],[Date]],Database!A:D,2,)</f>
        <v/>
      </c>
      <c r="G612" s="55" t="n"/>
    </row>
    <row r="613">
      <c r="A613" s="54" t="n">
        <v>32540</v>
      </c>
      <c r="B613" s="25">
        <f>VLOOKUP(Table1[[#This Row],[Date]],Database!A:D,3,)</f>
        <v/>
      </c>
      <c r="C613" s="26">
        <f>B613-B612</f>
        <v/>
      </c>
      <c r="D613" s="26">
        <f>AVERAGE(C611:C613)</f>
        <v/>
      </c>
      <c r="E613" s="58">
        <f>VLOOKUP(Table1[[#This Row],[Date]],Database!A:D,4,)</f>
        <v/>
      </c>
      <c r="F613" s="58">
        <f>VLOOKUP(Table1[[#This Row],[Date]],Database!A:D,2,)</f>
        <v/>
      </c>
      <c r="G613" s="55" t="n"/>
    </row>
    <row r="614">
      <c r="A614" s="54" t="n">
        <v>32568</v>
      </c>
      <c r="B614" s="25">
        <f>VLOOKUP(Table1[[#This Row],[Date]],Database!A:D,3,)</f>
        <v/>
      </c>
      <c r="C614" s="26">
        <f>B614-B613</f>
        <v/>
      </c>
      <c r="D614" s="26">
        <f>AVERAGE(C612:C614)</f>
        <v/>
      </c>
      <c r="E614" s="58">
        <f>VLOOKUP(Table1[[#This Row],[Date]],Database!A:D,4,)</f>
        <v/>
      </c>
      <c r="F614" s="58">
        <f>VLOOKUP(Table1[[#This Row],[Date]],Database!A:D,2,)</f>
        <v/>
      </c>
      <c r="G614" s="55" t="n"/>
    </row>
    <row r="615">
      <c r="A615" s="54" t="n">
        <v>32599</v>
      </c>
      <c r="B615" s="25">
        <f>VLOOKUP(Table1[[#This Row],[Date]],Database!A:D,3,)</f>
        <v/>
      </c>
      <c r="C615" s="26">
        <f>B615-B614</f>
        <v/>
      </c>
      <c r="D615" s="26">
        <f>AVERAGE(C613:C615)</f>
        <v/>
      </c>
      <c r="E615" s="58">
        <f>VLOOKUP(Table1[[#This Row],[Date]],Database!A:D,4,)</f>
        <v/>
      </c>
      <c r="F615" s="58">
        <f>VLOOKUP(Table1[[#This Row],[Date]],Database!A:D,2,)</f>
        <v/>
      </c>
      <c r="G615" s="55" t="n"/>
    </row>
    <row r="616">
      <c r="A616" s="54" t="n">
        <v>32629</v>
      </c>
      <c r="B616" s="25">
        <f>VLOOKUP(Table1[[#This Row],[Date]],Database!A:D,3,)</f>
        <v/>
      </c>
      <c r="C616" s="26">
        <f>B616-B615</f>
        <v/>
      </c>
      <c r="D616" s="26">
        <f>AVERAGE(C614:C616)</f>
        <v/>
      </c>
      <c r="E616" s="58">
        <f>VLOOKUP(Table1[[#This Row],[Date]],Database!A:D,4,)</f>
        <v/>
      </c>
      <c r="F616" s="58">
        <f>VLOOKUP(Table1[[#This Row],[Date]],Database!A:D,2,)</f>
        <v/>
      </c>
      <c r="G616" s="55" t="n"/>
    </row>
    <row r="617">
      <c r="A617" s="54" t="n">
        <v>32660</v>
      </c>
      <c r="B617" s="25">
        <f>VLOOKUP(Table1[[#This Row],[Date]],Database!A:D,3,)</f>
        <v/>
      </c>
      <c r="C617" s="26">
        <f>B617-B616</f>
        <v/>
      </c>
      <c r="D617" s="26">
        <f>AVERAGE(C615:C617)</f>
        <v/>
      </c>
      <c r="E617" s="58">
        <f>VLOOKUP(Table1[[#This Row],[Date]],Database!A:D,4,)</f>
        <v/>
      </c>
      <c r="F617" s="58">
        <f>VLOOKUP(Table1[[#This Row],[Date]],Database!A:D,2,)</f>
        <v/>
      </c>
      <c r="G617" s="55" t="n"/>
    </row>
    <row r="618">
      <c r="A618" s="54" t="n">
        <v>32690</v>
      </c>
      <c r="B618" s="25">
        <f>VLOOKUP(Table1[[#This Row],[Date]],Database!A:D,3,)</f>
        <v/>
      </c>
      <c r="C618" s="26">
        <f>B618-B617</f>
        <v/>
      </c>
      <c r="D618" s="26">
        <f>AVERAGE(C616:C618)</f>
        <v/>
      </c>
      <c r="E618" s="58">
        <f>VLOOKUP(Table1[[#This Row],[Date]],Database!A:D,4,)</f>
        <v/>
      </c>
      <c r="F618" s="58">
        <f>VLOOKUP(Table1[[#This Row],[Date]],Database!A:D,2,)</f>
        <v/>
      </c>
      <c r="G618" s="55" t="n"/>
    </row>
    <row r="619">
      <c r="A619" s="54" t="n">
        <v>32721</v>
      </c>
      <c r="B619" s="25">
        <f>VLOOKUP(Table1[[#This Row],[Date]],Database!A:D,3,)</f>
        <v/>
      </c>
      <c r="C619" s="26">
        <f>B619-B618</f>
        <v/>
      </c>
      <c r="D619" s="26">
        <f>AVERAGE(C617:C619)</f>
        <v/>
      </c>
      <c r="E619" s="58">
        <f>VLOOKUP(Table1[[#This Row],[Date]],Database!A:D,4,)</f>
        <v/>
      </c>
      <c r="F619" s="58">
        <f>VLOOKUP(Table1[[#This Row],[Date]],Database!A:D,2,)</f>
        <v/>
      </c>
      <c r="G619" s="55" t="n"/>
    </row>
    <row r="620">
      <c r="A620" s="54" t="n">
        <v>32752</v>
      </c>
      <c r="B620" s="25">
        <f>VLOOKUP(Table1[[#This Row],[Date]],Database!A:D,3,)</f>
        <v/>
      </c>
      <c r="C620" s="26">
        <f>B620-B619</f>
        <v/>
      </c>
      <c r="D620" s="26">
        <f>AVERAGE(C618:C620)</f>
        <v/>
      </c>
      <c r="E620" s="58">
        <f>VLOOKUP(Table1[[#This Row],[Date]],Database!A:D,4,)</f>
        <v/>
      </c>
      <c r="F620" s="58">
        <f>VLOOKUP(Table1[[#This Row],[Date]],Database!A:D,2,)</f>
        <v/>
      </c>
      <c r="G620" s="55" t="n"/>
    </row>
    <row r="621">
      <c r="A621" s="54" t="n">
        <v>32782</v>
      </c>
      <c r="B621" s="25">
        <f>VLOOKUP(Table1[[#This Row],[Date]],Database!A:D,3,)</f>
        <v/>
      </c>
      <c r="C621" s="26">
        <f>B621-B620</f>
        <v/>
      </c>
      <c r="D621" s="26">
        <f>AVERAGE(C619:C621)</f>
        <v/>
      </c>
      <c r="E621" s="58">
        <f>VLOOKUP(Table1[[#This Row],[Date]],Database!A:D,4,)</f>
        <v/>
      </c>
      <c r="F621" s="58">
        <f>VLOOKUP(Table1[[#This Row],[Date]],Database!A:D,2,)</f>
        <v/>
      </c>
      <c r="G621" s="55" t="n"/>
    </row>
    <row r="622">
      <c r="A622" s="54" t="n">
        <v>32813</v>
      </c>
      <c r="B622" s="25">
        <f>VLOOKUP(Table1[[#This Row],[Date]],Database!A:D,3,)</f>
        <v/>
      </c>
      <c r="C622" s="26">
        <f>B622-B621</f>
        <v/>
      </c>
      <c r="D622" s="26">
        <f>AVERAGE(C620:C622)</f>
        <v/>
      </c>
      <c r="E622" s="58">
        <f>VLOOKUP(Table1[[#This Row],[Date]],Database!A:D,4,)</f>
        <v/>
      </c>
      <c r="F622" s="58">
        <f>VLOOKUP(Table1[[#This Row],[Date]],Database!A:D,2,)</f>
        <v/>
      </c>
      <c r="G622" s="55" t="n"/>
    </row>
    <row r="623">
      <c r="A623" s="54" t="n">
        <v>32843</v>
      </c>
      <c r="B623" s="25">
        <f>VLOOKUP(Table1[[#This Row],[Date]],Database!A:D,3,)</f>
        <v/>
      </c>
      <c r="C623" s="26">
        <f>B623-B622</f>
        <v/>
      </c>
      <c r="D623" s="26">
        <f>AVERAGE(C621:C623)</f>
        <v/>
      </c>
      <c r="E623" s="58">
        <f>VLOOKUP(Table1[[#This Row],[Date]],Database!A:D,4,)</f>
        <v/>
      </c>
      <c r="F623" s="58">
        <f>VLOOKUP(Table1[[#This Row],[Date]],Database!A:D,2,)</f>
        <v/>
      </c>
      <c r="G623" s="55" t="n"/>
    </row>
    <row r="624">
      <c r="A624" s="54" t="n">
        <v>32874</v>
      </c>
      <c r="B624" s="25">
        <f>VLOOKUP(Table1[[#This Row],[Date]],Database!A:D,3,)</f>
        <v/>
      </c>
      <c r="C624" s="26">
        <f>B624-B623</f>
        <v/>
      </c>
      <c r="D624" s="26">
        <f>AVERAGE(C622:C624)</f>
        <v/>
      </c>
      <c r="E624" s="58">
        <f>VLOOKUP(Table1[[#This Row],[Date]],Database!A:D,4,)</f>
        <v/>
      </c>
      <c r="F624" s="58">
        <f>VLOOKUP(Table1[[#This Row],[Date]],Database!A:D,2,)</f>
        <v/>
      </c>
      <c r="G624" s="55" t="n"/>
    </row>
    <row r="625">
      <c r="A625" s="54" t="n">
        <v>32905</v>
      </c>
      <c r="B625" s="25">
        <f>VLOOKUP(Table1[[#This Row],[Date]],Database!A:D,3,)</f>
        <v/>
      </c>
      <c r="C625" s="26">
        <f>B625-B624</f>
        <v/>
      </c>
      <c r="D625" s="26">
        <f>AVERAGE(C623:C625)</f>
        <v/>
      </c>
      <c r="E625" s="58">
        <f>VLOOKUP(Table1[[#This Row],[Date]],Database!A:D,4,)</f>
        <v/>
      </c>
      <c r="F625" s="58">
        <f>VLOOKUP(Table1[[#This Row],[Date]],Database!A:D,2,)</f>
        <v/>
      </c>
      <c r="G625" s="55" t="n"/>
    </row>
    <row r="626">
      <c r="A626" s="54" t="n">
        <v>32933</v>
      </c>
      <c r="B626" s="25">
        <f>VLOOKUP(Table1[[#This Row],[Date]],Database!A:D,3,)</f>
        <v/>
      </c>
      <c r="C626" s="26">
        <f>B626-B625</f>
        <v/>
      </c>
      <c r="D626" s="26">
        <f>AVERAGE(C624:C626)</f>
        <v/>
      </c>
      <c r="E626" s="58">
        <f>VLOOKUP(Table1[[#This Row],[Date]],Database!A:D,4,)</f>
        <v/>
      </c>
      <c r="F626" s="58">
        <f>VLOOKUP(Table1[[#This Row],[Date]],Database!A:D,2,)</f>
        <v/>
      </c>
      <c r="G626" s="55" t="n"/>
    </row>
    <row r="627">
      <c r="A627" s="54" t="n">
        <v>32964</v>
      </c>
      <c r="B627" s="25">
        <f>VLOOKUP(Table1[[#This Row],[Date]],Database!A:D,3,)</f>
        <v/>
      </c>
      <c r="C627" s="26">
        <f>B627-B626</f>
        <v/>
      </c>
      <c r="D627" s="26">
        <f>AVERAGE(C625:C627)</f>
        <v/>
      </c>
      <c r="E627" s="58">
        <f>VLOOKUP(Table1[[#This Row],[Date]],Database!A:D,4,)</f>
        <v/>
      </c>
      <c r="F627" s="58">
        <f>VLOOKUP(Table1[[#This Row],[Date]],Database!A:D,2,)</f>
        <v/>
      </c>
      <c r="G627" s="55" t="n"/>
    </row>
    <row r="628">
      <c r="A628" s="54" t="n">
        <v>32994</v>
      </c>
      <c r="B628" s="25">
        <f>VLOOKUP(Table1[[#This Row],[Date]],Database!A:D,3,)</f>
        <v/>
      </c>
      <c r="C628" s="26">
        <f>B628-B627</f>
        <v/>
      </c>
      <c r="D628" s="26">
        <f>AVERAGE(C626:C628)</f>
        <v/>
      </c>
      <c r="E628" s="58">
        <f>VLOOKUP(Table1[[#This Row],[Date]],Database!A:D,4,)</f>
        <v/>
      </c>
      <c r="F628" s="58">
        <f>VLOOKUP(Table1[[#This Row],[Date]],Database!A:D,2,)</f>
        <v/>
      </c>
      <c r="G628" s="55" t="n"/>
    </row>
    <row r="629">
      <c r="A629" s="54" t="n">
        <v>33025</v>
      </c>
      <c r="B629" s="25">
        <f>VLOOKUP(Table1[[#This Row],[Date]],Database!A:D,3,)</f>
        <v/>
      </c>
      <c r="C629" s="26">
        <f>B629-B628</f>
        <v/>
      </c>
      <c r="D629" s="26">
        <f>AVERAGE(C627:C629)</f>
        <v/>
      </c>
      <c r="E629" s="58">
        <f>VLOOKUP(Table1[[#This Row],[Date]],Database!A:D,4,)</f>
        <v/>
      </c>
      <c r="F629" s="58">
        <f>VLOOKUP(Table1[[#This Row],[Date]],Database!A:D,2,)</f>
        <v/>
      </c>
      <c r="G629" s="55" t="n"/>
    </row>
    <row r="630">
      <c r="A630" s="54" t="n">
        <v>33055</v>
      </c>
      <c r="B630" s="25">
        <f>VLOOKUP(Table1[[#This Row],[Date]],Database!A:D,3,)</f>
        <v/>
      </c>
      <c r="C630" s="26">
        <f>B630-B629</f>
        <v/>
      </c>
      <c r="D630" s="26">
        <f>AVERAGE(C628:C630)</f>
        <v/>
      </c>
      <c r="E630" s="58">
        <f>VLOOKUP(Table1[[#This Row],[Date]],Database!A:D,4,)</f>
        <v/>
      </c>
      <c r="F630" s="58">
        <f>VLOOKUP(Table1[[#This Row],[Date]],Database!A:D,2,)</f>
        <v/>
      </c>
      <c r="G630" s="55" t="n"/>
    </row>
    <row r="631">
      <c r="A631" s="54" t="n">
        <v>33086</v>
      </c>
      <c r="B631" s="25">
        <f>VLOOKUP(Table1[[#This Row],[Date]],Database!A:D,3,)</f>
        <v/>
      </c>
      <c r="C631" s="26">
        <f>B631-B630</f>
        <v/>
      </c>
      <c r="D631" s="26">
        <f>AVERAGE(C629:C631)</f>
        <v/>
      </c>
      <c r="E631" s="58">
        <f>VLOOKUP(Table1[[#This Row],[Date]],Database!A:D,4,)</f>
        <v/>
      </c>
      <c r="F631" s="58">
        <f>VLOOKUP(Table1[[#This Row],[Date]],Database!A:D,2,)</f>
        <v/>
      </c>
      <c r="G631" s="55" t="n"/>
    </row>
    <row r="632">
      <c r="A632" s="54" t="n">
        <v>33117</v>
      </c>
      <c r="B632" s="25">
        <f>VLOOKUP(Table1[[#This Row],[Date]],Database!A:D,3,)</f>
        <v/>
      </c>
      <c r="C632" s="26">
        <f>B632-B631</f>
        <v/>
      </c>
      <c r="D632" s="26">
        <f>AVERAGE(C630:C632)</f>
        <v/>
      </c>
      <c r="E632" s="58">
        <f>VLOOKUP(Table1[[#This Row],[Date]],Database!A:D,4,)</f>
        <v/>
      </c>
      <c r="F632" s="58">
        <f>VLOOKUP(Table1[[#This Row],[Date]],Database!A:D,2,)</f>
        <v/>
      </c>
      <c r="G632" s="55" t="n"/>
    </row>
    <row r="633">
      <c r="A633" s="54" t="n">
        <v>33147</v>
      </c>
      <c r="B633" s="25">
        <f>VLOOKUP(Table1[[#This Row],[Date]],Database!A:D,3,)</f>
        <v/>
      </c>
      <c r="C633" s="26">
        <f>B633-B632</f>
        <v/>
      </c>
      <c r="D633" s="26">
        <f>AVERAGE(C631:C633)</f>
        <v/>
      </c>
      <c r="E633" s="58">
        <f>VLOOKUP(Table1[[#This Row],[Date]],Database!A:D,4,)</f>
        <v/>
      </c>
      <c r="F633" s="58">
        <f>VLOOKUP(Table1[[#This Row],[Date]],Database!A:D,2,)</f>
        <v/>
      </c>
      <c r="G633" s="55" t="n"/>
    </row>
    <row r="634">
      <c r="A634" s="54" t="n">
        <v>33178</v>
      </c>
      <c r="B634" s="25">
        <f>VLOOKUP(Table1[[#This Row],[Date]],Database!A:D,3,)</f>
        <v/>
      </c>
      <c r="C634" s="26">
        <f>B634-B633</f>
        <v/>
      </c>
      <c r="D634" s="26">
        <f>AVERAGE(C632:C634)</f>
        <v/>
      </c>
      <c r="E634" s="58">
        <f>VLOOKUP(Table1[[#This Row],[Date]],Database!A:D,4,)</f>
        <v/>
      </c>
      <c r="F634" s="58">
        <f>VLOOKUP(Table1[[#This Row],[Date]],Database!A:D,2,)</f>
        <v/>
      </c>
      <c r="G634" s="55" t="n"/>
    </row>
    <row r="635">
      <c r="A635" s="54" t="n">
        <v>33208</v>
      </c>
      <c r="B635" s="25">
        <f>VLOOKUP(Table1[[#This Row],[Date]],Database!A:D,3,)</f>
        <v/>
      </c>
      <c r="C635" s="26">
        <f>B635-B634</f>
        <v/>
      </c>
      <c r="D635" s="26">
        <f>AVERAGE(C633:C635)</f>
        <v/>
      </c>
      <c r="E635" s="58">
        <f>VLOOKUP(Table1[[#This Row],[Date]],Database!A:D,4,)</f>
        <v/>
      </c>
      <c r="F635" s="58">
        <f>VLOOKUP(Table1[[#This Row],[Date]],Database!A:D,2,)</f>
        <v/>
      </c>
      <c r="G635" s="55" t="n"/>
    </row>
    <row r="636">
      <c r="A636" s="54" t="n">
        <v>33239</v>
      </c>
      <c r="B636" s="25">
        <f>VLOOKUP(Table1[[#This Row],[Date]],Database!A:D,3,)</f>
        <v/>
      </c>
      <c r="C636" s="26">
        <f>B636-B635</f>
        <v/>
      </c>
      <c r="D636" s="26">
        <f>AVERAGE(C634:C636)</f>
        <v/>
      </c>
      <c r="E636" s="58">
        <f>VLOOKUP(Table1[[#This Row],[Date]],Database!A:D,4,)</f>
        <v/>
      </c>
      <c r="F636" s="58">
        <f>VLOOKUP(Table1[[#This Row],[Date]],Database!A:D,2,)</f>
        <v/>
      </c>
      <c r="G636" s="55" t="n"/>
    </row>
    <row r="637">
      <c r="A637" s="54" t="n">
        <v>33270</v>
      </c>
      <c r="B637" s="25">
        <f>VLOOKUP(Table1[[#This Row],[Date]],Database!A:D,3,)</f>
        <v/>
      </c>
      <c r="C637" s="26">
        <f>B637-B636</f>
        <v/>
      </c>
      <c r="D637" s="26">
        <f>AVERAGE(C635:C637)</f>
        <v/>
      </c>
      <c r="E637" s="58">
        <f>VLOOKUP(Table1[[#This Row],[Date]],Database!A:D,4,)</f>
        <v/>
      </c>
      <c r="F637" s="58">
        <f>VLOOKUP(Table1[[#This Row],[Date]],Database!A:D,2,)</f>
        <v/>
      </c>
      <c r="G637" s="55" t="n"/>
    </row>
    <row r="638">
      <c r="A638" s="54" t="n">
        <v>33298</v>
      </c>
      <c r="B638" s="25">
        <f>VLOOKUP(Table1[[#This Row],[Date]],Database!A:D,3,)</f>
        <v/>
      </c>
      <c r="C638" s="26">
        <f>B638-B637</f>
        <v/>
      </c>
      <c r="D638" s="26">
        <f>AVERAGE(C636:C638)</f>
        <v/>
      </c>
      <c r="E638" s="58">
        <f>VLOOKUP(Table1[[#This Row],[Date]],Database!A:D,4,)</f>
        <v/>
      </c>
      <c r="F638" s="58">
        <f>VLOOKUP(Table1[[#This Row],[Date]],Database!A:D,2,)</f>
        <v/>
      </c>
      <c r="G638" s="55" t="n"/>
    </row>
    <row r="639">
      <c r="A639" s="54" t="n">
        <v>33329</v>
      </c>
      <c r="B639" s="25">
        <f>VLOOKUP(Table1[[#This Row],[Date]],Database!A:D,3,)</f>
        <v/>
      </c>
      <c r="C639" s="26">
        <f>B639-B638</f>
        <v/>
      </c>
      <c r="D639" s="26">
        <f>AVERAGE(C637:C639)</f>
        <v/>
      </c>
      <c r="E639" s="58">
        <f>VLOOKUP(Table1[[#This Row],[Date]],Database!A:D,4,)</f>
        <v/>
      </c>
      <c r="F639" s="58">
        <f>VLOOKUP(Table1[[#This Row],[Date]],Database!A:D,2,)</f>
        <v/>
      </c>
      <c r="G639" s="55" t="n"/>
    </row>
    <row r="640">
      <c r="A640" s="54" t="n">
        <v>33359</v>
      </c>
      <c r="B640" s="25">
        <f>VLOOKUP(Table1[[#This Row],[Date]],Database!A:D,3,)</f>
        <v/>
      </c>
      <c r="C640" s="26">
        <f>B640-B639</f>
        <v/>
      </c>
      <c r="D640" s="26">
        <f>AVERAGE(C638:C640)</f>
        <v/>
      </c>
      <c r="E640" s="58">
        <f>VLOOKUP(Table1[[#This Row],[Date]],Database!A:D,4,)</f>
        <v/>
      </c>
      <c r="F640" s="58">
        <f>VLOOKUP(Table1[[#This Row],[Date]],Database!A:D,2,)</f>
        <v/>
      </c>
      <c r="G640" s="55" t="n"/>
    </row>
    <row r="641">
      <c r="A641" s="54" t="n">
        <v>33390</v>
      </c>
      <c r="B641" s="25">
        <f>VLOOKUP(Table1[[#This Row],[Date]],Database!A:D,3,)</f>
        <v/>
      </c>
      <c r="C641" s="26">
        <f>B641-B640</f>
        <v/>
      </c>
      <c r="D641" s="26">
        <f>AVERAGE(C639:C641)</f>
        <v/>
      </c>
      <c r="E641" s="58">
        <f>VLOOKUP(Table1[[#This Row],[Date]],Database!A:D,4,)</f>
        <v/>
      </c>
      <c r="F641" s="58">
        <f>VLOOKUP(Table1[[#This Row],[Date]],Database!A:D,2,)</f>
        <v/>
      </c>
      <c r="G641" s="55" t="n"/>
    </row>
    <row r="642">
      <c r="A642" s="54" t="n">
        <v>33420</v>
      </c>
      <c r="B642" s="25">
        <f>VLOOKUP(Table1[[#This Row],[Date]],Database!A:D,3,)</f>
        <v/>
      </c>
      <c r="C642" s="26">
        <f>B642-B641</f>
        <v/>
      </c>
      <c r="D642" s="26">
        <f>AVERAGE(C640:C642)</f>
        <v/>
      </c>
      <c r="E642" s="58">
        <f>VLOOKUP(Table1[[#This Row],[Date]],Database!A:D,4,)</f>
        <v/>
      </c>
      <c r="F642" s="58">
        <f>VLOOKUP(Table1[[#This Row],[Date]],Database!A:D,2,)</f>
        <v/>
      </c>
      <c r="G642" s="55" t="n"/>
    </row>
    <row r="643">
      <c r="A643" s="54" t="n">
        <v>33451</v>
      </c>
      <c r="B643" s="25">
        <f>VLOOKUP(Table1[[#This Row],[Date]],Database!A:D,3,)</f>
        <v/>
      </c>
      <c r="C643" s="26">
        <f>B643-B642</f>
        <v/>
      </c>
      <c r="D643" s="26">
        <f>AVERAGE(C641:C643)</f>
        <v/>
      </c>
      <c r="E643" s="58">
        <f>VLOOKUP(Table1[[#This Row],[Date]],Database!A:D,4,)</f>
        <v/>
      </c>
      <c r="F643" s="58">
        <f>VLOOKUP(Table1[[#This Row],[Date]],Database!A:D,2,)</f>
        <v/>
      </c>
      <c r="G643" s="55" t="n"/>
    </row>
    <row r="644">
      <c r="A644" s="54" t="n">
        <v>33482</v>
      </c>
      <c r="B644" s="25">
        <f>VLOOKUP(Table1[[#This Row],[Date]],Database!A:D,3,)</f>
        <v/>
      </c>
      <c r="C644" s="26">
        <f>B644-B643</f>
        <v/>
      </c>
      <c r="D644" s="26">
        <f>AVERAGE(C642:C644)</f>
        <v/>
      </c>
      <c r="E644" s="58">
        <f>VLOOKUP(Table1[[#This Row],[Date]],Database!A:D,4,)</f>
        <v/>
      </c>
      <c r="F644" s="58">
        <f>VLOOKUP(Table1[[#This Row],[Date]],Database!A:D,2,)</f>
        <v/>
      </c>
      <c r="G644" s="55" t="n"/>
    </row>
    <row r="645">
      <c r="A645" s="54" t="n">
        <v>33512</v>
      </c>
      <c r="B645" s="25">
        <f>VLOOKUP(Table1[[#This Row],[Date]],Database!A:D,3,)</f>
        <v/>
      </c>
      <c r="C645" s="26">
        <f>B645-B644</f>
        <v/>
      </c>
      <c r="D645" s="26">
        <f>AVERAGE(C643:C645)</f>
        <v/>
      </c>
      <c r="E645" s="58">
        <f>VLOOKUP(Table1[[#This Row],[Date]],Database!A:D,4,)</f>
        <v/>
      </c>
      <c r="F645" s="58">
        <f>VLOOKUP(Table1[[#This Row],[Date]],Database!A:D,2,)</f>
        <v/>
      </c>
      <c r="G645" s="55" t="n"/>
    </row>
    <row r="646">
      <c r="A646" s="54" t="n">
        <v>33543</v>
      </c>
      <c r="B646" s="25">
        <f>VLOOKUP(Table1[[#This Row],[Date]],Database!A:D,3,)</f>
        <v/>
      </c>
      <c r="C646" s="26">
        <f>B646-B645</f>
        <v/>
      </c>
      <c r="D646" s="26">
        <f>AVERAGE(C644:C646)</f>
        <v/>
      </c>
      <c r="E646" s="58">
        <f>VLOOKUP(Table1[[#This Row],[Date]],Database!A:D,4,)</f>
        <v/>
      </c>
      <c r="F646" s="58">
        <f>VLOOKUP(Table1[[#This Row],[Date]],Database!A:D,2,)</f>
        <v/>
      </c>
      <c r="G646" s="55" t="n"/>
    </row>
    <row r="647">
      <c r="A647" s="54" t="n">
        <v>33573</v>
      </c>
      <c r="B647" s="25">
        <f>VLOOKUP(Table1[[#This Row],[Date]],Database!A:D,3,)</f>
        <v/>
      </c>
      <c r="C647" s="26">
        <f>B647-B646</f>
        <v/>
      </c>
      <c r="D647" s="26">
        <f>AVERAGE(C645:C647)</f>
        <v/>
      </c>
      <c r="E647" s="58">
        <f>VLOOKUP(Table1[[#This Row],[Date]],Database!A:D,4,)</f>
        <v/>
      </c>
      <c r="F647" s="58">
        <f>VLOOKUP(Table1[[#This Row],[Date]],Database!A:D,2,)</f>
        <v/>
      </c>
      <c r="G647" s="55" t="n"/>
    </row>
    <row r="648">
      <c r="A648" s="54" t="n">
        <v>33604</v>
      </c>
      <c r="B648" s="25">
        <f>VLOOKUP(Table1[[#This Row],[Date]],Database!A:D,3,)</f>
        <v/>
      </c>
      <c r="C648" s="26">
        <f>B648-B647</f>
        <v/>
      </c>
      <c r="D648" s="26">
        <f>AVERAGE(C646:C648)</f>
        <v/>
      </c>
      <c r="E648" s="58">
        <f>VLOOKUP(Table1[[#This Row],[Date]],Database!A:D,4,)</f>
        <v/>
      </c>
      <c r="F648" s="58">
        <f>VLOOKUP(Table1[[#This Row],[Date]],Database!A:D,2,)</f>
        <v/>
      </c>
      <c r="G648" s="55" t="n"/>
    </row>
    <row r="649">
      <c r="A649" s="54" t="n">
        <v>33635</v>
      </c>
      <c r="B649" s="25">
        <f>VLOOKUP(Table1[[#This Row],[Date]],Database!A:D,3,)</f>
        <v/>
      </c>
      <c r="C649" s="26">
        <f>B649-B648</f>
        <v/>
      </c>
      <c r="D649" s="26">
        <f>AVERAGE(C647:C649)</f>
        <v/>
      </c>
      <c r="E649" s="58">
        <f>VLOOKUP(Table1[[#This Row],[Date]],Database!A:D,4,)</f>
        <v/>
      </c>
      <c r="F649" s="58">
        <f>VLOOKUP(Table1[[#This Row],[Date]],Database!A:D,2,)</f>
        <v/>
      </c>
      <c r="G649" s="55" t="n"/>
    </row>
    <row r="650">
      <c r="A650" s="54" t="n">
        <v>33664</v>
      </c>
      <c r="B650" s="25">
        <f>VLOOKUP(Table1[[#This Row],[Date]],Database!A:D,3,)</f>
        <v/>
      </c>
      <c r="C650" s="26">
        <f>B650-B649</f>
        <v/>
      </c>
      <c r="D650" s="26">
        <f>AVERAGE(C648:C650)</f>
        <v/>
      </c>
      <c r="E650" s="58">
        <f>VLOOKUP(Table1[[#This Row],[Date]],Database!A:D,4,)</f>
        <v/>
      </c>
      <c r="F650" s="58">
        <f>VLOOKUP(Table1[[#This Row],[Date]],Database!A:D,2,)</f>
        <v/>
      </c>
      <c r="G650" s="55" t="n"/>
    </row>
    <row r="651">
      <c r="A651" s="54" t="n">
        <v>33695</v>
      </c>
      <c r="B651" s="25">
        <f>VLOOKUP(Table1[[#This Row],[Date]],Database!A:D,3,)</f>
        <v/>
      </c>
      <c r="C651" s="26">
        <f>B651-B650</f>
        <v/>
      </c>
      <c r="D651" s="26">
        <f>AVERAGE(C649:C651)</f>
        <v/>
      </c>
      <c r="E651" s="58">
        <f>VLOOKUP(Table1[[#This Row],[Date]],Database!A:D,4,)</f>
        <v/>
      </c>
      <c r="F651" s="58">
        <f>VLOOKUP(Table1[[#This Row],[Date]],Database!A:D,2,)</f>
        <v/>
      </c>
      <c r="G651" s="55" t="n"/>
    </row>
    <row r="652">
      <c r="A652" s="54" t="n">
        <v>33725</v>
      </c>
      <c r="B652" s="25">
        <f>VLOOKUP(Table1[[#This Row],[Date]],Database!A:D,3,)</f>
        <v/>
      </c>
      <c r="C652" s="26">
        <f>B652-B651</f>
        <v/>
      </c>
      <c r="D652" s="26">
        <f>AVERAGE(C650:C652)</f>
        <v/>
      </c>
      <c r="E652" s="58">
        <f>VLOOKUP(Table1[[#This Row],[Date]],Database!A:D,4,)</f>
        <v/>
      </c>
      <c r="F652" s="58">
        <f>VLOOKUP(Table1[[#This Row],[Date]],Database!A:D,2,)</f>
        <v/>
      </c>
      <c r="G652" s="55" t="n"/>
    </row>
    <row r="653">
      <c r="A653" s="54" t="n">
        <v>33756</v>
      </c>
      <c r="B653" s="25">
        <f>VLOOKUP(Table1[[#This Row],[Date]],Database!A:D,3,)</f>
        <v/>
      </c>
      <c r="C653" s="26">
        <f>B653-B652</f>
        <v/>
      </c>
      <c r="D653" s="26">
        <f>AVERAGE(C651:C653)</f>
        <v/>
      </c>
      <c r="E653" s="58">
        <f>VLOOKUP(Table1[[#This Row],[Date]],Database!A:D,4,)</f>
        <v/>
      </c>
      <c r="F653" s="58">
        <f>VLOOKUP(Table1[[#This Row],[Date]],Database!A:D,2,)</f>
        <v/>
      </c>
      <c r="G653" s="55" t="n"/>
    </row>
    <row r="654">
      <c r="A654" s="54" t="n">
        <v>33786</v>
      </c>
      <c r="B654" s="25">
        <f>VLOOKUP(Table1[[#This Row],[Date]],Database!A:D,3,)</f>
        <v/>
      </c>
      <c r="C654" s="26">
        <f>B654-B653</f>
        <v/>
      </c>
      <c r="D654" s="26">
        <f>AVERAGE(C652:C654)</f>
        <v/>
      </c>
      <c r="E654" s="58">
        <f>VLOOKUP(Table1[[#This Row],[Date]],Database!A:D,4,)</f>
        <v/>
      </c>
      <c r="F654" s="58">
        <f>VLOOKUP(Table1[[#This Row],[Date]],Database!A:D,2,)</f>
        <v/>
      </c>
      <c r="G654" s="55" t="n"/>
    </row>
    <row r="655">
      <c r="A655" s="54" t="n">
        <v>33817</v>
      </c>
      <c r="B655" s="25">
        <f>VLOOKUP(Table1[[#This Row],[Date]],Database!A:D,3,)</f>
        <v/>
      </c>
      <c r="C655" s="26">
        <f>B655-B654</f>
        <v/>
      </c>
      <c r="D655" s="26">
        <f>AVERAGE(C653:C655)</f>
        <v/>
      </c>
      <c r="E655" s="58">
        <f>VLOOKUP(Table1[[#This Row],[Date]],Database!A:D,4,)</f>
        <v/>
      </c>
      <c r="F655" s="58">
        <f>VLOOKUP(Table1[[#This Row],[Date]],Database!A:D,2,)</f>
        <v/>
      </c>
      <c r="G655" s="55" t="n"/>
    </row>
    <row r="656">
      <c r="A656" s="54" t="n">
        <v>33848</v>
      </c>
      <c r="B656" s="25">
        <f>VLOOKUP(Table1[[#This Row],[Date]],Database!A:D,3,)</f>
        <v/>
      </c>
      <c r="C656" s="26">
        <f>B656-B655</f>
        <v/>
      </c>
      <c r="D656" s="26">
        <f>AVERAGE(C654:C656)</f>
        <v/>
      </c>
      <c r="E656" s="58">
        <f>VLOOKUP(Table1[[#This Row],[Date]],Database!A:D,4,)</f>
        <v/>
      </c>
      <c r="F656" s="58">
        <f>VLOOKUP(Table1[[#This Row],[Date]],Database!A:D,2,)</f>
        <v/>
      </c>
      <c r="G656" s="55" t="n"/>
    </row>
    <row r="657">
      <c r="A657" s="54" t="n">
        <v>33878</v>
      </c>
      <c r="B657" s="25">
        <f>VLOOKUP(Table1[[#This Row],[Date]],Database!A:D,3,)</f>
        <v/>
      </c>
      <c r="C657" s="26">
        <f>B657-B656</f>
        <v/>
      </c>
      <c r="D657" s="26">
        <f>AVERAGE(C655:C657)</f>
        <v/>
      </c>
      <c r="E657" s="58">
        <f>VLOOKUP(Table1[[#This Row],[Date]],Database!A:D,4,)</f>
        <v/>
      </c>
      <c r="F657" s="58">
        <f>VLOOKUP(Table1[[#This Row],[Date]],Database!A:D,2,)</f>
        <v/>
      </c>
      <c r="G657" s="55" t="n"/>
    </row>
    <row r="658">
      <c r="A658" s="54" t="n">
        <v>33909</v>
      </c>
      <c r="B658" s="25">
        <f>VLOOKUP(Table1[[#This Row],[Date]],Database!A:D,3,)</f>
        <v/>
      </c>
      <c r="C658" s="26">
        <f>B658-B657</f>
        <v/>
      </c>
      <c r="D658" s="26">
        <f>AVERAGE(C656:C658)</f>
        <v/>
      </c>
      <c r="E658" s="58">
        <f>VLOOKUP(Table1[[#This Row],[Date]],Database!A:D,4,)</f>
        <v/>
      </c>
      <c r="F658" s="58">
        <f>VLOOKUP(Table1[[#This Row],[Date]],Database!A:D,2,)</f>
        <v/>
      </c>
      <c r="G658" s="55" t="n"/>
    </row>
    <row r="659">
      <c r="A659" s="54" t="n">
        <v>33939</v>
      </c>
      <c r="B659" s="25">
        <f>VLOOKUP(Table1[[#This Row],[Date]],Database!A:D,3,)</f>
        <v/>
      </c>
      <c r="C659" s="26">
        <f>B659-B658</f>
        <v/>
      </c>
      <c r="D659" s="26">
        <f>AVERAGE(C657:C659)</f>
        <v/>
      </c>
      <c r="E659" s="58">
        <f>VLOOKUP(Table1[[#This Row],[Date]],Database!A:D,4,)</f>
        <v/>
      </c>
      <c r="F659" s="58">
        <f>VLOOKUP(Table1[[#This Row],[Date]],Database!A:D,2,)</f>
        <v/>
      </c>
      <c r="G659" s="55" t="n"/>
    </row>
    <row r="660">
      <c r="A660" s="54" t="n">
        <v>33970</v>
      </c>
      <c r="B660" s="25">
        <f>VLOOKUP(Table1[[#This Row],[Date]],Database!A:D,3,)</f>
        <v/>
      </c>
      <c r="C660" s="26">
        <f>B660-B659</f>
        <v/>
      </c>
      <c r="D660" s="26">
        <f>AVERAGE(C658:C660)</f>
        <v/>
      </c>
      <c r="E660" s="58">
        <f>VLOOKUP(Table1[[#This Row],[Date]],Database!A:D,4,)</f>
        <v/>
      </c>
      <c r="F660" s="58">
        <f>VLOOKUP(Table1[[#This Row],[Date]],Database!A:D,2,)</f>
        <v/>
      </c>
      <c r="G660" s="55" t="n"/>
    </row>
    <row r="661">
      <c r="A661" s="54" t="n">
        <v>34001</v>
      </c>
      <c r="B661" s="25">
        <f>VLOOKUP(Table1[[#This Row],[Date]],Database!A:D,3,)</f>
        <v/>
      </c>
      <c r="C661" s="26">
        <f>B661-B660</f>
        <v/>
      </c>
      <c r="D661" s="26">
        <f>AVERAGE(C659:C661)</f>
        <v/>
      </c>
      <c r="E661" s="58">
        <f>VLOOKUP(Table1[[#This Row],[Date]],Database!A:D,4,)</f>
        <v/>
      </c>
      <c r="F661" s="58">
        <f>VLOOKUP(Table1[[#This Row],[Date]],Database!A:D,2,)</f>
        <v/>
      </c>
      <c r="G661" s="55" t="n"/>
    </row>
    <row r="662">
      <c r="A662" s="54" t="n">
        <v>34029</v>
      </c>
      <c r="B662" s="25">
        <f>VLOOKUP(Table1[[#This Row],[Date]],Database!A:D,3,)</f>
        <v/>
      </c>
      <c r="C662" s="26">
        <f>B662-B661</f>
        <v/>
      </c>
      <c r="D662" s="26">
        <f>AVERAGE(C660:C662)</f>
        <v/>
      </c>
      <c r="E662" s="58">
        <f>VLOOKUP(Table1[[#This Row],[Date]],Database!A:D,4,)</f>
        <v/>
      </c>
      <c r="F662" s="58">
        <f>VLOOKUP(Table1[[#This Row],[Date]],Database!A:D,2,)</f>
        <v/>
      </c>
      <c r="G662" s="55" t="n"/>
    </row>
    <row r="663">
      <c r="A663" s="54" t="n">
        <v>34060</v>
      </c>
      <c r="B663" s="25">
        <f>VLOOKUP(Table1[[#This Row],[Date]],Database!A:D,3,)</f>
        <v/>
      </c>
      <c r="C663" s="26">
        <f>B663-B662</f>
        <v/>
      </c>
      <c r="D663" s="26">
        <f>AVERAGE(C661:C663)</f>
        <v/>
      </c>
      <c r="E663" s="58">
        <f>VLOOKUP(Table1[[#This Row],[Date]],Database!A:D,4,)</f>
        <v/>
      </c>
      <c r="F663" s="58">
        <f>VLOOKUP(Table1[[#This Row],[Date]],Database!A:D,2,)</f>
        <v/>
      </c>
      <c r="G663" s="55" t="n"/>
    </row>
    <row r="664">
      <c r="A664" s="54" t="n">
        <v>34090</v>
      </c>
      <c r="B664" s="25">
        <f>VLOOKUP(Table1[[#This Row],[Date]],Database!A:D,3,)</f>
        <v/>
      </c>
      <c r="C664" s="26">
        <f>B664-B663</f>
        <v/>
      </c>
      <c r="D664" s="26">
        <f>AVERAGE(C662:C664)</f>
        <v/>
      </c>
      <c r="E664" s="58">
        <f>VLOOKUP(Table1[[#This Row],[Date]],Database!A:D,4,)</f>
        <v/>
      </c>
      <c r="F664" s="58">
        <f>VLOOKUP(Table1[[#This Row],[Date]],Database!A:D,2,)</f>
        <v/>
      </c>
      <c r="G664" s="55" t="n"/>
    </row>
    <row r="665">
      <c r="A665" s="54" t="n">
        <v>34121</v>
      </c>
      <c r="B665" s="25">
        <f>VLOOKUP(Table1[[#This Row],[Date]],Database!A:D,3,)</f>
        <v/>
      </c>
      <c r="C665" s="26">
        <f>B665-B664</f>
        <v/>
      </c>
      <c r="D665" s="26">
        <f>AVERAGE(C663:C665)</f>
        <v/>
      </c>
      <c r="E665" s="58">
        <f>VLOOKUP(Table1[[#This Row],[Date]],Database!A:D,4,)</f>
        <v/>
      </c>
      <c r="F665" s="58">
        <f>VLOOKUP(Table1[[#This Row],[Date]],Database!A:D,2,)</f>
        <v/>
      </c>
      <c r="G665" s="55" t="n"/>
    </row>
    <row r="666">
      <c r="A666" s="54" t="n">
        <v>34151</v>
      </c>
      <c r="B666" s="25">
        <f>VLOOKUP(Table1[[#This Row],[Date]],Database!A:D,3,)</f>
        <v/>
      </c>
      <c r="C666" s="26">
        <f>B666-B665</f>
        <v/>
      </c>
      <c r="D666" s="26">
        <f>AVERAGE(C664:C666)</f>
        <v/>
      </c>
      <c r="E666" s="58">
        <f>VLOOKUP(Table1[[#This Row],[Date]],Database!A:D,4,)</f>
        <v/>
      </c>
      <c r="F666" s="58">
        <f>VLOOKUP(Table1[[#This Row],[Date]],Database!A:D,2,)</f>
        <v/>
      </c>
      <c r="G666" s="55" t="n"/>
    </row>
    <row r="667">
      <c r="A667" s="54" t="n">
        <v>34182</v>
      </c>
      <c r="B667" s="25">
        <f>VLOOKUP(Table1[[#This Row],[Date]],Database!A:D,3,)</f>
        <v/>
      </c>
      <c r="C667" s="26">
        <f>B667-B666</f>
        <v/>
      </c>
      <c r="D667" s="26">
        <f>AVERAGE(C665:C667)</f>
        <v/>
      </c>
      <c r="E667" s="58">
        <f>VLOOKUP(Table1[[#This Row],[Date]],Database!A:D,4,)</f>
        <v/>
      </c>
      <c r="F667" s="58">
        <f>VLOOKUP(Table1[[#This Row],[Date]],Database!A:D,2,)</f>
        <v/>
      </c>
      <c r="G667" s="55" t="n"/>
    </row>
    <row r="668">
      <c r="A668" s="54" t="n">
        <v>34213</v>
      </c>
      <c r="B668" s="25">
        <f>VLOOKUP(Table1[[#This Row],[Date]],Database!A:D,3,)</f>
        <v/>
      </c>
      <c r="C668" s="26">
        <f>B668-B667</f>
        <v/>
      </c>
      <c r="D668" s="26">
        <f>AVERAGE(C666:C668)</f>
        <v/>
      </c>
      <c r="E668" s="58">
        <f>VLOOKUP(Table1[[#This Row],[Date]],Database!A:D,4,)</f>
        <v/>
      </c>
      <c r="F668" s="58">
        <f>VLOOKUP(Table1[[#This Row],[Date]],Database!A:D,2,)</f>
        <v/>
      </c>
      <c r="G668" s="55" t="n"/>
    </row>
    <row r="669">
      <c r="A669" s="54" t="n">
        <v>34243</v>
      </c>
      <c r="B669" s="25">
        <f>VLOOKUP(Table1[[#This Row],[Date]],Database!A:D,3,)</f>
        <v/>
      </c>
      <c r="C669" s="26">
        <f>B669-B668</f>
        <v/>
      </c>
      <c r="D669" s="26">
        <f>AVERAGE(C667:C669)</f>
        <v/>
      </c>
      <c r="E669" s="58">
        <f>VLOOKUP(Table1[[#This Row],[Date]],Database!A:D,4,)</f>
        <v/>
      </c>
      <c r="F669" s="58">
        <f>VLOOKUP(Table1[[#This Row],[Date]],Database!A:D,2,)</f>
        <v/>
      </c>
      <c r="G669" s="55" t="n"/>
    </row>
    <row r="670">
      <c r="A670" s="54" t="n">
        <v>34274</v>
      </c>
      <c r="B670" s="25">
        <f>VLOOKUP(Table1[[#This Row],[Date]],Database!A:D,3,)</f>
        <v/>
      </c>
      <c r="C670" s="26">
        <f>B670-B669</f>
        <v/>
      </c>
      <c r="D670" s="26">
        <f>AVERAGE(C668:C670)</f>
        <v/>
      </c>
      <c r="E670" s="58">
        <f>VLOOKUP(Table1[[#This Row],[Date]],Database!A:D,4,)</f>
        <v/>
      </c>
      <c r="F670" s="58">
        <f>VLOOKUP(Table1[[#This Row],[Date]],Database!A:D,2,)</f>
        <v/>
      </c>
      <c r="G670" s="55" t="n"/>
    </row>
    <row r="671">
      <c r="A671" s="54" t="n">
        <v>34304</v>
      </c>
      <c r="B671" s="25">
        <f>VLOOKUP(Table1[[#This Row],[Date]],Database!A:D,3,)</f>
        <v/>
      </c>
      <c r="C671" s="26">
        <f>B671-B670</f>
        <v/>
      </c>
      <c r="D671" s="26">
        <f>AVERAGE(C669:C671)</f>
        <v/>
      </c>
      <c r="E671" s="58">
        <f>VLOOKUP(Table1[[#This Row],[Date]],Database!A:D,4,)</f>
        <v/>
      </c>
      <c r="F671" s="58">
        <f>VLOOKUP(Table1[[#This Row],[Date]],Database!A:D,2,)</f>
        <v/>
      </c>
      <c r="G671" s="55" t="n"/>
    </row>
    <row r="672">
      <c r="A672" s="54" t="n">
        <v>34335</v>
      </c>
      <c r="B672" s="25">
        <f>VLOOKUP(Table1[[#This Row],[Date]],Database!A:D,3,)</f>
        <v/>
      </c>
      <c r="C672" s="26">
        <f>B672-B671</f>
        <v/>
      </c>
      <c r="D672" s="26">
        <f>AVERAGE(C670:C672)</f>
        <v/>
      </c>
      <c r="E672" s="58">
        <f>VLOOKUP(Table1[[#This Row],[Date]],Database!A:D,4,)</f>
        <v/>
      </c>
      <c r="F672" s="58">
        <f>VLOOKUP(Table1[[#This Row],[Date]],Database!A:D,2,)</f>
        <v/>
      </c>
      <c r="G672" s="55" t="n"/>
    </row>
    <row r="673">
      <c r="A673" s="54" t="n">
        <v>34366</v>
      </c>
      <c r="B673" s="25">
        <f>VLOOKUP(Table1[[#This Row],[Date]],Database!A:D,3,)</f>
        <v/>
      </c>
      <c r="C673" s="26">
        <f>B673-B672</f>
        <v/>
      </c>
      <c r="D673" s="26">
        <f>AVERAGE(C671:C673)</f>
        <v/>
      </c>
      <c r="E673" s="58">
        <f>VLOOKUP(Table1[[#This Row],[Date]],Database!A:D,4,)</f>
        <v/>
      </c>
      <c r="F673" s="58">
        <f>VLOOKUP(Table1[[#This Row],[Date]],Database!A:D,2,)</f>
        <v/>
      </c>
      <c r="G673" s="55" t="n"/>
    </row>
    <row r="674">
      <c r="A674" s="54" t="n">
        <v>34394</v>
      </c>
      <c r="B674" s="25">
        <f>VLOOKUP(Table1[[#This Row],[Date]],Database!A:D,3,)</f>
        <v/>
      </c>
      <c r="C674" s="26">
        <f>B674-B673</f>
        <v/>
      </c>
      <c r="D674" s="26">
        <f>AVERAGE(C672:C674)</f>
        <v/>
      </c>
      <c r="E674" s="58">
        <f>VLOOKUP(Table1[[#This Row],[Date]],Database!A:D,4,)</f>
        <v/>
      </c>
      <c r="F674" s="58">
        <f>VLOOKUP(Table1[[#This Row],[Date]],Database!A:D,2,)</f>
        <v/>
      </c>
      <c r="G674" s="55" t="n"/>
    </row>
    <row r="675">
      <c r="A675" s="54" t="n">
        <v>34425</v>
      </c>
      <c r="B675" s="25">
        <f>VLOOKUP(Table1[[#This Row],[Date]],Database!A:D,3,)</f>
        <v/>
      </c>
      <c r="C675" s="26">
        <f>B675-B674</f>
        <v/>
      </c>
      <c r="D675" s="26">
        <f>AVERAGE(C673:C675)</f>
        <v/>
      </c>
      <c r="E675" s="58">
        <f>VLOOKUP(Table1[[#This Row],[Date]],Database!A:D,4,)</f>
        <v/>
      </c>
      <c r="F675" s="58">
        <f>VLOOKUP(Table1[[#This Row],[Date]],Database!A:D,2,)</f>
        <v/>
      </c>
      <c r="G675" s="55" t="n"/>
    </row>
    <row r="676">
      <c r="A676" s="54" t="n">
        <v>34455</v>
      </c>
      <c r="B676" s="25">
        <f>VLOOKUP(Table1[[#This Row],[Date]],Database!A:D,3,)</f>
        <v/>
      </c>
      <c r="C676" s="26">
        <f>B676-B675</f>
        <v/>
      </c>
      <c r="D676" s="26">
        <f>AVERAGE(C674:C676)</f>
        <v/>
      </c>
      <c r="E676" s="58">
        <f>VLOOKUP(Table1[[#This Row],[Date]],Database!A:D,4,)</f>
        <v/>
      </c>
      <c r="F676" s="58">
        <f>VLOOKUP(Table1[[#This Row],[Date]],Database!A:D,2,)</f>
        <v/>
      </c>
      <c r="G676" s="55" t="n"/>
    </row>
    <row r="677">
      <c r="A677" s="54" t="n">
        <v>34486</v>
      </c>
      <c r="B677" s="25">
        <f>VLOOKUP(Table1[[#This Row],[Date]],Database!A:D,3,)</f>
        <v/>
      </c>
      <c r="C677" s="26">
        <f>B677-B676</f>
        <v/>
      </c>
      <c r="D677" s="26">
        <f>AVERAGE(C675:C677)</f>
        <v/>
      </c>
      <c r="E677" s="58">
        <f>VLOOKUP(Table1[[#This Row],[Date]],Database!A:D,4,)</f>
        <v/>
      </c>
      <c r="F677" s="58">
        <f>VLOOKUP(Table1[[#This Row],[Date]],Database!A:D,2,)</f>
        <v/>
      </c>
      <c r="G677" s="55" t="n"/>
    </row>
    <row r="678">
      <c r="A678" s="54" t="n">
        <v>34516</v>
      </c>
      <c r="B678" s="25">
        <f>VLOOKUP(Table1[[#This Row],[Date]],Database!A:D,3,)</f>
        <v/>
      </c>
      <c r="C678" s="26">
        <f>B678-B677</f>
        <v/>
      </c>
      <c r="D678" s="26">
        <f>AVERAGE(C676:C678)</f>
        <v/>
      </c>
      <c r="E678" s="58">
        <f>VLOOKUP(Table1[[#This Row],[Date]],Database!A:D,4,)</f>
        <v/>
      </c>
      <c r="F678" s="58">
        <f>VLOOKUP(Table1[[#This Row],[Date]],Database!A:D,2,)</f>
        <v/>
      </c>
      <c r="G678" s="55" t="n"/>
    </row>
    <row r="679">
      <c r="A679" s="54" t="n">
        <v>34547</v>
      </c>
      <c r="B679" s="25">
        <f>VLOOKUP(Table1[[#This Row],[Date]],Database!A:D,3,)</f>
        <v/>
      </c>
      <c r="C679" s="26">
        <f>B679-B678</f>
        <v/>
      </c>
      <c r="D679" s="26">
        <f>AVERAGE(C677:C679)</f>
        <v/>
      </c>
      <c r="E679" s="58">
        <f>VLOOKUP(Table1[[#This Row],[Date]],Database!A:D,4,)</f>
        <v/>
      </c>
      <c r="F679" s="58">
        <f>VLOOKUP(Table1[[#This Row],[Date]],Database!A:D,2,)</f>
        <v/>
      </c>
      <c r="G679" s="55" t="n"/>
    </row>
    <row r="680">
      <c r="A680" s="54" t="n">
        <v>34578</v>
      </c>
      <c r="B680" s="25">
        <f>VLOOKUP(Table1[[#This Row],[Date]],Database!A:D,3,)</f>
        <v/>
      </c>
      <c r="C680" s="26">
        <f>B680-B679</f>
        <v/>
      </c>
      <c r="D680" s="26">
        <f>AVERAGE(C678:C680)</f>
        <v/>
      </c>
      <c r="E680" s="58">
        <f>VLOOKUP(Table1[[#This Row],[Date]],Database!A:D,4,)</f>
        <v/>
      </c>
      <c r="F680" s="58">
        <f>VLOOKUP(Table1[[#This Row],[Date]],Database!A:D,2,)</f>
        <v/>
      </c>
      <c r="G680" s="55" t="n"/>
    </row>
    <row r="681">
      <c r="A681" s="54" t="n">
        <v>34608</v>
      </c>
      <c r="B681" s="25">
        <f>VLOOKUP(Table1[[#This Row],[Date]],Database!A:D,3,)</f>
        <v/>
      </c>
      <c r="C681" s="26">
        <f>B681-B680</f>
        <v/>
      </c>
      <c r="D681" s="26">
        <f>AVERAGE(C679:C681)</f>
        <v/>
      </c>
      <c r="E681" s="58">
        <f>VLOOKUP(Table1[[#This Row],[Date]],Database!A:D,4,)</f>
        <v/>
      </c>
      <c r="F681" s="58">
        <f>VLOOKUP(Table1[[#This Row],[Date]],Database!A:D,2,)</f>
        <v/>
      </c>
      <c r="G681" s="55" t="n"/>
    </row>
    <row r="682">
      <c r="A682" s="54" t="n">
        <v>34639</v>
      </c>
      <c r="B682" s="25">
        <f>VLOOKUP(Table1[[#This Row],[Date]],Database!A:D,3,)</f>
        <v/>
      </c>
      <c r="C682" s="26">
        <f>B682-B681</f>
        <v/>
      </c>
      <c r="D682" s="26">
        <f>AVERAGE(C680:C682)</f>
        <v/>
      </c>
      <c r="E682" s="58">
        <f>VLOOKUP(Table1[[#This Row],[Date]],Database!A:D,4,)</f>
        <v/>
      </c>
      <c r="F682" s="58">
        <f>VLOOKUP(Table1[[#This Row],[Date]],Database!A:D,2,)</f>
        <v/>
      </c>
      <c r="G682" s="55" t="n"/>
    </row>
    <row r="683">
      <c r="A683" s="54" t="n">
        <v>34669</v>
      </c>
      <c r="B683" s="25">
        <f>VLOOKUP(Table1[[#This Row],[Date]],Database!A:D,3,)</f>
        <v/>
      </c>
      <c r="C683" s="26">
        <f>B683-B682</f>
        <v/>
      </c>
      <c r="D683" s="26">
        <f>AVERAGE(C681:C683)</f>
        <v/>
      </c>
      <c r="E683" s="58">
        <f>VLOOKUP(Table1[[#This Row],[Date]],Database!A:D,4,)</f>
        <v/>
      </c>
      <c r="F683" s="58">
        <f>VLOOKUP(Table1[[#This Row],[Date]],Database!A:D,2,)</f>
        <v/>
      </c>
      <c r="G683" s="55" t="n"/>
    </row>
    <row r="684">
      <c r="A684" s="54" t="n">
        <v>34700</v>
      </c>
      <c r="B684" s="25">
        <f>VLOOKUP(Table1[[#This Row],[Date]],Database!A:D,3,)</f>
        <v/>
      </c>
      <c r="C684" s="26">
        <f>B684-B683</f>
        <v/>
      </c>
      <c r="D684" s="26">
        <f>AVERAGE(C682:C684)</f>
        <v/>
      </c>
      <c r="E684" s="58">
        <f>VLOOKUP(Table1[[#This Row],[Date]],Database!A:D,4,)</f>
        <v/>
      </c>
      <c r="F684" s="58">
        <f>VLOOKUP(Table1[[#This Row],[Date]],Database!A:D,2,)</f>
        <v/>
      </c>
      <c r="G684" s="55" t="n"/>
    </row>
    <row r="685">
      <c r="A685" s="54" t="n">
        <v>34731</v>
      </c>
      <c r="B685" s="25">
        <f>VLOOKUP(Table1[[#This Row],[Date]],Database!A:D,3,)</f>
        <v/>
      </c>
      <c r="C685" s="26">
        <f>B685-B684</f>
        <v/>
      </c>
      <c r="D685" s="26">
        <f>AVERAGE(C683:C685)</f>
        <v/>
      </c>
      <c r="E685" s="58">
        <f>VLOOKUP(Table1[[#This Row],[Date]],Database!A:D,4,)</f>
        <v/>
      </c>
      <c r="F685" s="58">
        <f>VLOOKUP(Table1[[#This Row],[Date]],Database!A:D,2,)</f>
        <v/>
      </c>
      <c r="G685" s="55" t="n"/>
    </row>
    <row r="686">
      <c r="A686" s="54" t="n">
        <v>34759</v>
      </c>
      <c r="B686" s="25">
        <f>VLOOKUP(Table1[[#This Row],[Date]],Database!A:D,3,)</f>
        <v/>
      </c>
      <c r="C686" s="26">
        <f>B686-B685</f>
        <v/>
      </c>
      <c r="D686" s="26">
        <f>AVERAGE(C684:C686)</f>
        <v/>
      </c>
      <c r="E686" s="58">
        <f>VLOOKUP(Table1[[#This Row],[Date]],Database!A:D,4,)</f>
        <v/>
      </c>
      <c r="F686" s="58">
        <f>VLOOKUP(Table1[[#This Row],[Date]],Database!A:D,2,)</f>
        <v/>
      </c>
      <c r="G686" s="55" t="n"/>
    </row>
    <row r="687">
      <c r="A687" s="54" t="n">
        <v>34790</v>
      </c>
      <c r="B687" s="25">
        <f>VLOOKUP(Table1[[#This Row],[Date]],Database!A:D,3,)</f>
        <v/>
      </c>
      <c r="C687" s="26">
        <f>B687-B686</f>
        <v/>
      </c>
      <c r="D687" s="26">
        <f>AVERAGE(C685:C687)</f>
        <v/>
      </c>
      <c r="E687" s="58">
        <f>VLOOKUP(Table1[[#This Row],[Date]],Database!A:D,4,)</f>
        <v/>
      </c>
      <c r="F687" s="58">
        <f>VLOOKUP(Table1[[#This Row],[Date]],Database!A:D,2,)</f>
        <v/>
      </c>
      <c r="G687" s="55" t="n"/>
    </row>
    <row r="688">
      <c r="A688" s="54" t="n">
        <v>34820</v>
      </c>
      <c r="B688" s="25">
        <f>VLOOKUP(Table1[[#This Row],[Date]],Database!A:D,3,)</f>
        <v/>
      </c>
      <c r="C688" s="26">
        <f>B688-B687</f>
        <v/>
      </c>
      <c r="D688" s="26">
        <f>AVERAGE(C686:C688)</f>
        <v/>
      </c>
      <c r="E688" s="58">
        <f>VLOOKUP(Table1[[#This Row],[Date]],Database!A:D,4,)</f>
        <v/>
      </c>
      <c r="F688" s="58">
        <f>VLOOKUP(Table1[[#This Row],[Date]],Database!A:D,2,)</f>
        <v/>
      </c>
      <c r="G688" s="55" t="n"/>
    </row>
    <row r="689">
      <c r="A689" s="54" t="n">
        <v>34851</v>
      </c>
      <c r="B689" s="25">
        <f>VLOOKUP(Table1[[#This Row],[Date]],Database!A:D,3,)</f>
        <v/>
      </c>
      <c r="C689" s="26">
        <f>B689-B688</f>
        <v/>
      </c>
      <c r="D689" s="26">
        <f>AVERAGE(C687:C689)</f>
        <v/>
      </c>
      <c r="E689" s="58">
        <f>VLOOKUP(Table1[[#This Row],[Date]],Database!A:D,4,)</f>
        <v/>
      </c>
      <c r="F689" s="58">
        <f>VLOOKUP(Table1[[#This Row],[Date]],Database!A:D,2,)</f>
        <v/>
      </c>
      <c r="G689" s="55" t="n"/>
    </row>
    <row r="690">
      <c r="A690" s="54" t="n">
        <v>34881</v>
      </c>
      <c r="B690" s="25">
        <f>VLOOKUP(Table1[[#This Row],[Date]],Database!A:D,3,)</f>
        <v/>
      </c>
      <c r="C690" s="26">
        <f>B690-B689</f>
        <v/>
      </c>
      <c r="D690" s="26">
        <f>AVERAGE(C688:C690)</f>
        <v/>
      </c>
      <c r="E690" s="58">
        <f>VLOOKUP(Table1[[#This Row],[Date]],Database!A:D,4,)</f>
        <v/>
      </c>
      <c r="F690" s="58">
        <f>VLOOKUP(Table1[[#This Row],[Date]],Database!A:D,2,)</f>
        <v/>
      </c>
      <c r="G690" s="55" t="n"/>
    </row>
    <row r="691">
      <c r="A691" s="54" t="n">
        <v>34912</v>
      </c>
      <c r="B691" s="25">
        <f>VLOOKUP(Table1[[#This Row],[Date]],Database!A:D,3,)</f>
        <v/>
      </c>
      <c r="C691" s="26">
        <f>B691-B690</f>
        <v/>
      </c>
      <c r="D691" s="26">
        <f>AVERAGE(C689:C691)</f>
        <v/>
      </c>
      <c r="E691" s="58">
        <f>VLOOKUP(Table1[[#This Row],[Date]],Database!A:D,4,)</f>
        <v/>
      </c>
      <c r="F691" s="58">
        <f>VLOOKUP(Table1[[#This Row],[Date]],Database!A:D,2,)</f>
        <v/>
      </c>
      <c r="G691" s="55" t="n"/>
    </row>
    <row r="692">
      <c r="A692" s="54" t="n">
        <v>34943</v>
      </c>
      <c r="B692" s="25">
        <f>VLOOKUP(Table1[[#This Row],[Date]],Database!A:D,3,)</f>
        <v/>
      </c>
      <c r="C692" s="26">
        <f>B692-B691</f>
        <v/>
      </c>
      <c r="D692" s="26">
        <f>AVERAGE(C690:C692)</f>
        <v/>
      </c>
      <c r="E692" s="58">
        <f>VLOOKUP(Table1[[#This Row],[Date]],Database!A:D,4,)</f>
        <v/>
      </c>
      <c r="F692" s="58">
        <f>VLOOKUP(Table1[[#This Row],[Date]],Database!A:D,2,)</f>
        <v/>
      </c>
      <c r="G692" s="55" t="n"/>
    </row>
    <row r="693">
      <c r="A693" s="54" t="n">
        <v>34973</v>
      </c>
      <c r="B693" s="25">
        <f>VLOOKUP(Table1[[#This Row],[Date]],Database!A:D,3,)</f>
        <v/>
      </c>
      <c r="C693" s="26">
        <f>B693-B692</f>
        <v/>
      </c>
      <c r="D693" s="26">
        <f>AVERAGE(C691:C693)</f>
        <v/>
      </c>
      <c r="E693" s="58">
        <f>VLOOKUP(Table1[[#This Row],[Date]],Database!A:D,4,)</f>
        <v/>
      </c>
      <c r="F693" s="58">
        <f>VLOOKUP(Table1[[#This Row],[Date]],Database!A:D,2,)</f>
        <v/>
      </c>
      <c r="G693" s="55" t="n"/>
    </row>
    <row r="694">
      <c r="A694" s="54" t="n">
        <v>35004</v>
      </c>
      <c r="B694" s="25">
        <f>VLOOKUP(Table1[[#This Row],[Date]],Database!A:D,3,)</f>
        <v/>
      </c>
      <c r="C694" s="26">
        <f>B694-B693</f>
        <v/>
      </c>
      <c r="D694" s="26">
        <f>AVERAGE(C692:C694)</f>
        <v/>
      </c>
      <c r="E694" s="58">
        <f>VLOOKUP(Table1[[#This Row],[Date]],Database!A:D,4,)</f>
        <v/>
      </c>
      <c r="F694" s="58">
        <f>VLOOKUP(Table1[[#This Row],[Date]],Database!A:D,2,)</f>
        <v/>
      </c>
      <c r="G694" s="55" t="n"/>
    </row>
    <row r="695">
      <c r="A695" s="54" t="n">
        <v>35034</v>
      </c>
      <c r="B695" s="25">
        <f>VLOOKUP(Table1[[#This Row],[Date]],Database!A:D,3,)</f>
        <v/>
      </c>
      <c r="C695" s="26">
        <f>B695-B694</f>
        <v/>
      </c>
      <c r="D695" s="26">
        <f>AVERAGE(C693:C695)</f>
        <v/>
      </c>
      <c r="E695" s="58">
        <f>VLOOKUP(Table1[[#This Row],[Date]],Database!A:D,4,)</f>
        <v/>
      </c>
      <c r="F695" s="58">
        <f>VLOOKUP(Table1[[#This Row],[Date]],Database!A:D,2,)</f>
        <v/>
      </c>
      <c r="G695" s="55" t="n"/>
    </row>
    <row r="696">
      <c r="A696" s="54" t="n">
        <v>35065</v>
      </c>
      <c r="B696" s="25">
        <f>VLOOKUP(Table1[[#This Row],[Date]],Database!A:D,3,)</f>
        <v/>
      </c>
      <c r="C696" s="26">
        <f>B696-B695</f>
        <v/>
      </c>
      <c r="D696" s="26">
        <f>AVERAGE(C694:C696)</f>
        <v/>
      </c>
      <c r="E696" s="58">
        <f>VLOOKUP(Table1[[#This Row],[Date]],Database!A:D,4,)</f>
        <v/>
      </c>
      <c r="F696" s="58">
        <f>VLOOKUP(Table1[[#This Row],[Date]],Database!A:D,2,)</f>
        <v/>
      </c>
      <c r="G696" s="55" t="n"/>
    </row>
    <row r="697">
      <c r="A697" s="54" t="n">
        <v>35096</v>
      </c>
      <c r="B697" s="25">
        <f>VLOOKUP(Table1[[#This Row],[Date]],Database!A:D,3,)</f>
        <v/>
      </c>
      <c r="C697" s="26">
        <f>B697-B696</f>
        <v/>
      </c>
      <c r="D697" s="26">
        <f>AVERAGE(C695:C697)</f>
        <v/>
      </c>
      <c r="E697" s="58">
        <f>VLOOKUP(Table1[[#This Row],[Date]],Database!A:D,4,)</f>
        <v/>
      </c>
      <c r="F697" s="58">
        <f>VLOOKUP(Table1[[#This Row],[Date]],Database!A:D,2,)</f>
        <v/>
      </c>
      <c r="G697" s="55" t="n"/>
    </row>
    <row r="698">
      <c r="A698" s="54" t="n">
        <v>35125</v>
      </c>
      <c r="B698" s="25">
        <f>VLOOKUP(Table1[[#This Row],[Date]],Database!A:D,3,)</f>
        <v/>
      </c>
      <c r="C698" s="26">
        <f>B698-B697</f>
        <v/>
      </c>
      <c r="D698" s="26">
        <f>AVERAGE(C696:C698)</f>
        <v/>
      </c>
      <c r="E698" s="58">
        <f>VLOOKUP(Table1[[#This Row],[Date]],Database!A:D,4,)</f>
        <v/>
      </c>
      <c r="F698" s="58">
        <f>VLOOKUP(Table1[[#This Row],[Date]],Database!A:D,2,)</f>
        <v/>
      </c>
      <c r="G698" s="55" t="n"/>
    </row>
    <row r="699">
      <c r="A699" s="54" t="n">
        <v>35156</v>
      </c>
      <c r="B699" s="25">
        <f>VLOOKUP(Table1[[#This Row],[Date]],Database!A:D,3,)</f>
        <v/>
      </c>
      <c r="C699" s="26">
        <f>B699-B698</f>
        <v/>
      </c>
      <c r="D699" s="26">
        <f>AVERAGE(C697:C699)</f>
        <v/>
      </c>
      <c r="E699" s="58">
        <f>VLOOKUP(Table1[[#This Row],[Date]],Database!A:D,4,)</f>
        <v/>
      </c>
      <c r="F699" s="58">
        <f>VLOOKUP(Table1[[#This Row],[Date]],Database!A:D,2,)</f>
        <v/>
      </c>
      <c r="G699" s="55" t="n"/>
    </row>
    <row r="700">
      <c r="A700" s="54" t="n">
        <v>35186</v>
      </c>
      <c r="B700" s="25">
        <f>VLOOKUP(Table1[[#This Row],[Date]],Database!A:D,3,)</f>
        <v/>
      </c>
      <c r="C700" s="26">
        <f>B700-B699</f>
        <v/>
      </c>
      <c r="D700" s="26">
        <f>AVERAGE(C698:C700)</f>
        <v/>
      </c>
      <c r="E700" s="58">
        <f>VLOOKUP(Table1[[#This Row],[Date]],Database!A:D,4,)</f>
        <v/>
      </c>
      <c r="F700" s="58">
        <f>VLOOKUP(Table1[[#This Row],[Date]],Database!A:D,2,)</f>
        <v/>
      </c>
      <c r="G700" s="55" t="n"/>
    </row>
    <row r="701">
      <c r="A701" s="54" t="n">
        <v>35217</v>
      </c>
      <c r="B701" s="25">
        <f>VLOOKUP(Table1[[#This Row],[Date]],Database!A:D,3,)</f>
        <v/>
      </c>
      <c r="C701" s="26">
        <f>B701-B700</f>
        <v/>
      </c>
      <c r="D701" s="26">
        <f>AVERAGE(C699:C701)</f>
        <v/>
      </c>
      <c r="E701" s="58">
        <f>VLOOKUP(Table1[[#This Row],[Date]],Database!A:D,4,)</f>
        <v/>
      </c>
      <c r="F701" s="58">
        <f>VLOOKUP(Table1[[#This Row],[Date]],Database!A:D,2,)</f>
        <v/>
      </c>
      <c r="G701" s="55" t="n"/>
    </row>
    <row r="702">
      <c r="A702" s="54" t="n">
        <v>35247</v>
      </c>
      <c r="B702" s="25">
        <f>VLOOKUP(Table1[[#This Row],[Date]],Database!A:D,3,)</f>
        <v/>
      </c>
      <c r="C702" s="26">
        <f>B702-B701</f>
        <v/>
      </c>
      <c r="D702" s="26">
        <f>AVERAGE(C700:C702)</f>
        <v/>
      </c>
      <c r="E702" s="58">
        <f>VLOOKUP(Table1[[#This Row],[Date]],Database!A:D,4,)</f>
        <v/>
      </c>
      <c r="F702" s="58">
        <f>VLOOKUP(Table1[[#This Row],[Date]],Database!A:D,2,)</f>
        <v/>
      </c>
      <c r="G702" s="55" t="n"/>
    </row>
    <row r="703">
      <c r="A703" s="54" t="n">
        <v>35278</v>
      </c>
      <c r="B703" s="25">
        <f>VLOOKUP(Table1[[#This Row],[Date]],Database!A:D,3,)</f>
        <v/>
      </c>
      <c r="C703" s="26">
        <f>B703-B702</f>
        <v/>
      </c>
      <c r="D703" s="26">
        <f>AVERAGE(C701:C703)</f>
        <v/>
      </c>
      <c r="E703" s="58">
        <f>VLOOKUP(Table1[[#This Row],[Date]],Database!A:D,4,)</f>
        <v/>
      </c>
      <c r="F703" s="58">
        <f>VLOOKUP(Table1[[#This Row],[Date]],Database!A:D,2,)</f>
        <v/>
      </c>
      <c r="G703" s="55" t="n"/>
    </row>
    <row r="704">
      <c r="A704" s="54" t="n">
        <v>35309</v>
      </c>
      <c r="B704" s="25">
        <f>VLOOKUP(Table1[[#This Row],[Date]],Database!A:D,3,)</f>
        <v/>
      </c>
      <c r="C704" s="26">
        <f>B704-B703</f>
        <v/>
      </c>
      <c r="D704" s="26">
        <f>AVERAGE(C702:C704)</f>
        <v/>
      </c>
      <c r="E704" s="58">
        <f>VLOOKUP(Table1[[#This Row],[Date]],Database!A:D,4,)</f>
        <v/>
      </c>
      <c r="F704" s="58">
        <f>VLOOKUP(Table1[[#This Row],[Date]],Database!A:D,2,)</f>
        <v/>
      </c>
      <c r="G704" s="55" t="n"/>
    </row>
    <row r="705">
      <c r="A705" s="54" t="n">
        <v>35339</v>
      </c>
      <c r="B705" s="25">
        <f>VLOOKUP(Table1[[#This Row],[Date]],Database!A:D,3,)</f>
        <v/>
      </c>
      <c r="C705" s="26">
        <f>B705-B704</f>
        <v/>
      </c>
      <c r="D705" s="26">
        <f>AVERAGE(C703:C705)</f>
        <v/>
      </c>
      <c r="E705" s="58">
        <f>VLOOKUP(Table1[[#This Row],[Date]],Database!A:D,4,)</f>
        <v/>
      </c>
      <c r="F705" s="58">
        <f>VLOOKUP(Table1[[#This Row],[Date]],Database!A:D,2,)</f>
        <v/>
      </c>
      <c r="G705" s="55" t="n"/>
    </row>
    <row r="706">
      <c r="A706" s="54" t="n">
        <v>35370</v>
      </c>
      <c r="B706" s="25">
        <f>VLOOKUP(Table1[[#This Row],[Date]],Database!A:D,3,)</f>
        <v/>
      </c>
      <c r="C706" s="26">
        <f>B706-B705</f>
        <v/>
      </c>
      <c r="D706" s="26">
        <f>AVERAGE(C704:C706)</f>
        <v/>
      </c>
      <c r="E706" s="58">
        <f>VLOOKUP(Table1[[#This Row],[Date]],Database!A:D,4,)</f>
        <v/>
      </c>
      <c r="F706" s="58">
        <f>VLOOKUP(Table1[[#This Row],[Date]],Database!A:D,2,)</f>
        <v/>
      </c>
      <c r="G706" s="55" t="n"/>
    </row>
    <row r="707">
      <c r="A707" s="54" t="n">
        <v>35400</v>
      </c>
      <c r="B707" s="25">
        <f>VLOOKUP(Table1[[#This Row],[Date]],Database!A:D,3,)</f>
        <v/>
      </c>
      <c r="C707" s="26">
        <f>B707-B706</f>
        <v/>
      </c>
      <c r="D707" s="26">
        <f>AVERAGE(C705:C707)</f>
        <v/>
      </c>
      <c r="E707" s="58">
        <f>VLOOKUP(Table1[[#This Row],[Date]],Database!A:D,4,)</f>
        <v/>
      </c>
      <c r="F707" s="58">
        <f>VLOOKUP(Table1[[#This Row],[Date]],Database!A:D,2,)</f>
        <v/>
      </c>
      <c r="G707" s="55" t="n"/>
    </row>
    <row r="708">
      <c r="A708" s="54" t="n">
        <v>35431</v>
      </c>
      <c r="B708" s="25">
        <f>VLOOKUP(Table1[[#This Row],[Date]],Database!A:D,3,)</f>
        <v/>
      </c>
      <c r="C708" s="26">
        <f>B708-B707</f>
        <v/>
      </c>
      <c r="D708" s="26">
        <f>AVERAGE(C706:C708)</f>
        <v/>
      </c>
      <c r="E708" s="58">
        <f>VLOOKUP(Table1[[#This Row],[Date]],Database!A:D,4,)</f>
        <v/>
      </c>
      <c r="F708" s="58">
        <f>VLOOKUP(Table1[[#This Row],[Date]],Database!A:D,2,)</f>
        <v/>
      </c>
      <c r="G708" s="55" t="n"/>
    </row>
    <row r="709">
      <c r="A709" s="54" t="n">
        <v>35462</v>
      </c>
      <c r="B709" s="25">
        <f>VLOOKUP(Table1[[#This Row],[Date]],Database!A:D,3,)</f>
        <v/>
      </c>
      <c r="C709" s="26">
        <f>B709-B708</f>
        <v/>
      </c>
      <c r="D709" s="26">
        <f>AVERAGE(C707:C709)</f>
        <v/>
      </c>
      <c r="E709" s="58">
        <f>VLOOKUP(Table1[[#This Row],[Date]],Database!A:D,4,)</f>
        <v/>
      </c>
      <c r="F709" s="58">
        <f>VLOOKUP(Table1[[#This Row],[Date]],Database!A:D,2,)</f>
        <v/>
      </c>
      <c r="G709" s="55" t="n"/>
    </row>
    <row r="710">
      <c r="A710" s="54" t="n">
        <v>35490</v>
      </c>
      <c r="B710" s="25">
        <f>VLOOKUP(Table1[[#This Row],[Date]],Database!A:D,3,)</f>
        <v/>
      </c>
      <c r="C710" s="26">
        <f>B710-B709</f>
        <v/>
      </c>
      <c r="D710" s="26">
        <f>AVERAGE(C708:C710)</f>
        <v/>
      </c>
      <c r="E710" s="58">
        <f>VLOOKUP(Table1[[#This Row],[Date]],Database!A:D,4,)</f>
        <v/>
      </c>
      <c r="F710" s="58">
        <f>VLOOKUP(Table1[[#This Row],[Date]],Database!A:D,2,)</f>
        <v/>
      </c>
      <c r="G710" s="55" t="n"/>
    </row>
    <row r="711">
      <c r="A711" s="54" t="n">
        <v>35521</v>
      </c>
      <c r="B711" s="25">
        <f>VLOOKUP(Table1[[#This Row],[Date]],Database!A:D,3,)</f>
        <v/>
      </c>
      <c r="C711" s="26">
        <f>B711-B710</f>
        <v/>
      </c>
      <c r="D711" s="26">
        <f>AVERAGE(C709:C711)</f>
        <v/>
      </c>
      <c r="E711" s="58">
        <f>VLOOKUP(Table1[[#This Row],[Date]],Database!A:D,4,)</f>
        <v/>
      </c>
      <c r="F711" s="58">
        <f>VLOOKUP(Table1[[#This Row],[Date]],Database!A:D,2,)</f>
        <v/>
      </c>
      <c r="G711" s="55" t="n"/>
    </row>
    <row r="712">
      <c r="A712" s="54" t="n">
        <v>35551</v>
      </c>
      <c r="B712" s="25">
        <f>VLOOKUP(Table1[[#This Row],[Date]],Database!A:D,3,)</f>
        <v/>
      </c>
      <c r="C712" s="26">
        <f>B712-B711</f>
        <v/>
      </c>
      <c r="D712" s="26">
        <f>AVERAGE(C710:C712)</f>
        <v/>
      </c>
      <c r="E712" s="58">
        <f>VLOOKUP(Table1[[#This Row],[Date]],Database!A:D,4,)</f>
        <v/>
      </c>
      <c r="F712" s="58">
        <f>VLOOKUP(Table1[[#This Row],[Date]],Database!A:D,2,)</f>
        <v/>
      </c>
      <c r="G712" s="55" t="n"/>
    </row>
    <row r="713">
      <c r="A713" s="54" t="n">
        <v>35582</v>
      </c>
      <c r="B713" s="25">
        <f>VLOOKUP(Table1[[#This Row],[Date]],Database!A:D,3,)</f>
        <v/>
      </c>
      <c r="C713" s="26">
        <f>B713-B712</f>
        <v/>
      </c>
      <c r="D713" s="26">
        <f>AVERAGE(C711:C713)</f>
        <v/>
      </c>
      <c r="E713" s="58">
        <f>VLOOKUP(Table1[[#This Row],[Date]],Database!A:D,4,)</f>
        <v/>
      </c>
      <c r="F713" s="58">
        <f>VLOOKUP(Table1[[#This Row],[Date]],Database!A:D,2,)</f>
        <v/>
      </c>
      <c r="G713" s="55" t="n"/>
    </row>
    <row r="714">
      <c r="A714" s="54" t="n">
        <v>35612</v>
      </c>
      <c r="B714" s="25">
        <f>VLOOKUP(Table1[[#This Row],[Date]],Database!A:D,3,)</f>
        <v/>
      </c>
      <c r="C714" s="26">
        <f>B714-B713</f>
        <v/>
      </c>
      <c r="D714" s="26">
        <f>AVERAGE(C712:C714)</f>
        <v/>
      </c>
      <c r="E714" s="58">
        <f>VLOOKUP(Table1[[#This Row],[Date]],Database!A:D,4,)</f>
        <v/>
      </c>
      <c r="F714" s="58">
        <f>VLOOKUP(Table1[[#This Row],[Date]],Database!A:D,2,)</f>
        <v/>
      </c>
      <c r="G714" s="55" t="n"/>
    </row>
    <row r="715">
      <c r="A715" s="54" t="n">
        <v>35643</v>
      </c>
      <c r="B715" s="25">
        <f>VLOOKUP(Table1[[#This Row],[Date]],Database!A:D,3,)</f>
        <v/>
      </c>
      <c r="C715" s="26">
        <f>B715-B714</f>
        <v/>
      </c>
      <c r="D715" s="26">
        <f>AVERAGE(C713:C715)</f>
        <v/>
      </c>
      <c r="E715" s="58">
        <f>VLOOKUP(Table1[[#This Row],[Date]],Database!A:D,4,)</f>
        <v/>
      </c>
      <c r="F715" s="58">
        <f>VLOOKUP(Table1[[#This Row],[Date]],Database!A:D,2,)</f>
        <v/>
      </c>
      <c r="G715" s="55" t="n"/>
    </row>
    <row r="716">
      <c r="A716" s="54" t="n">
        <v>35674</v>
      </c>
      <c r="B716" s="25">
        <f>VLOOKUP(Table1[[#This Row],[Date]],Database!A:D,3,)</f>
        <v/>
      </c>
      <c r="C716" s="26">
        <f>B716-B715</f>
        <v/>
      </c>
      <c r="D716" s="26">
        <f>AVERAGE(C714:C716)</f>
        <v/>
      </c>
      <c r="E716" s="58">
        <f>VLOOKUP(Table1[[#This Row],[Date]],Database!A:D,4,)</f>
        <v/>
      </c>
      <c r="F716" s="58">
        <f>VLOOKUP(Table1[[#This Row],[Date]],Database!A:D,2,)</f>
        <v/>
      </c>
      <c r="G716" s="55" t="n"/>
    </row>
    <row r="717">
      <c r="A717" s="54" t="n">
        <v>35704</v>
      </c>
      <c r="B717" s="25">
        <f>VLOOKUP(Table1[[#This Row],[Date]],Database!A:D,3,)</f>
        <v/>
      </c>
      <c r="C717" s="26">
        <f>B717-B716</f>
        <v/>
      </c>
      <c r="D717" s="26">
        <f>AVERAGE(C715:C717)</f>
        <v/>
      </c>
      <c r="E717" s="58">
        <f>VLOOKUP(Table1[[#This Row],[Date]],Database!A:D,4,)</f>
        <v/>
      </c>
      <c r="F717" s="58">
        <f>VLOOKUP(Table1[[#This Row],[Date]],Database!A:D,2,)</f>
        <v/>
      </c>
      <c r="G717" s="55" t="n"/>
    </row>
    <row r="718">
      <c r="A718" s="54" t="n">
        <v>35735</v>
      </c>
      <c r="B718" s="25">
        <f>VLOOKUP(Table1[[#This Row],[Date]],Database!A:D,3,)</f>
        <v/>
      </c>
      <c r="C718" s="26">
        <f>B718-B717</f>
        <v/>
      </c>
      <c r="D718" s="26">
        <f>AVERAGE(C716:C718)</f>
        <v/>
      </c>
      <c r="E718" s="58">
        <f>VLOOKUP(Table1[[#This Row],[Date]],Database!A:D,4,)</f>
        <v/>
      </c>
      <c r="F718" s="58">
        <f>VLOOKUP(Table1[[#This Row],[Date]],Database!A:D,2,)</f>
        <v/>
      </c>
      <c r="G718" s="55" t="n"/>
    </row>
    <row r="719">
      <c r="A719" s="54" t="n">
        <v>35765</v>
      </c>
      <c r="B719" s="25">
        <f>VLOOKUP(Table1[[#This Row],[Date]],Database!A:D,3,)</f>
        <v/>
      </c>
      <c r="C719" s="26">
        <f>B719-B718</f>
        <v/>
      </c>
      <c r="D719" s="26">
        <f>AVERAGE(C717:C719)</f>
        <v/>
      </c>
      <c r="E719" s="58">
        <f>VLOOKUP(Table1[[#This Row],[Date]],Database!A:D,4,)</f>
        <v/>
      </c>
      <c r="F719" s="58">
        <f>VLOOKUP(Table1[[#This Row],[Date]],Database!A:D,2,)</f>
        <v/>
      </c>
      <c r="G719" s="55" t="n"/>
    </row>
    <row r="720">
      <c r="A720" s="54" t="n">
        <v>35796</v>
      </c>
      <c r="B720" s="25">
        <f>VLOOKUP(Table1[[#This Row],[Date]],Database!A:D,3,)</f>
        <v/>
      </c>
      <c r="C720" s="26">
        <f>B720-B719</f>
        <v/>
      </c>
      <c r="D720" s="26">
        <f>AVERAGE(C718:C720)</f>
        <v/>
      </c>
      <c r="E720" s="58">
        <f>VLOOKUP(Table1[[#This Row],[Date]],Database!A:D,4,)</f>
        <v/>
      </c>
      <c r="F720" s="58">
        <f>VLOOKUP(Table1[[#This Row],[Date]],Database!A:D,2,)</f>
        <v/>
      </c>
      <c r="G720" s="55" t="n"/>
    </row>
    <row r="721">
      <c r="A721" s="54" t="n">
        <v>35827</v>
      </c>
      <c r="B721" s="25">
        <f>VLOOKUP(Table1[[#This Row],[Date]],Database!A:D,3,)</f>
        <v/>
      </c>
      <c r="C721" s="26">
        <f>B721-B720</f>
        <v/>
      </c>
      <c r="D721" s="26">
        <f>AVERAGE(C719:C721)</f>
        <v/>
      </c>
      <c r="E721" s="58">
        <f>VLOOKUP(Table1[[#This Row],[Date]],Database!A:D,4,)</f>
        <v/>
      </c>
      <c r="F721" s="58">
        <f>VLOOKUP(Table1[[#This Row],[Date]],Database!A:D,2,)</f>
        <v/>
      </c>
      <c r="G721" s="55" t="n"/>
    </row>
    <row r="722">
      <c r="A722" s="54" t="n">
        <v>35855</v>
      </c>
      <c r="B722" s="25">
        <f>VLOOKUP(Table1[[#This Row],[Date]],Database!A:D,3,)</f>
        <v/>
      </c>
      <c r="C722" s="26">
        <f>B722-B721</f>
        <v/>
      </c>
      <c r="D722" s="26">
        <f>AVERAGE(C720:C722)</f>
        <v/>
      </c>
      <c r="E722" s="58">
        <f>VLOOKUP(Table1[[#This Row],[Date]],Database!A:D,4,)</f>
        <v/>
      </c>
      <c r="F722" s="58">
        <f>VLOOKUP(Table1[[#This Row],[Date]],Database!A:D,2,)</f>
        <v/>
      </c>
      <c r="G722" s="55" t="n"/>
    </row>
    <row r="723">
      <c r="A723" s="54" t="n">
        <v>35886</v>
      </c>
      <c r="B723" s="25">
        <f>VLOOKUP(Table1[[#This Row],[Date]],Database!A:D,3,)</f>
        <v/>
      </c>
      <c r="C723" s="26">
        <f>B723-B722</f>
        <v/>
      </c>
      <c r="D723" s="26">
        <f>AVERAGE(C721:C723)</f>
        <v/>
      </c>
      <c r="E723" s="58">
        <f>VLOOKUP(Table1[[#This Row],[Date]],Database!A:D,4,)</f>
        <v/>
      </c>
      <c r="F723" s="58">
        <f>VLOOKUP(Table1[[#This Row],[Date]],Database!A:D,2,)</f>
        <v/>
      </c>
      <c r="G723" s="55" t="n"/>
    </row>
    <row r="724">
      <c r="A724" s="54" t="n">
        <v>35916</v>
      </c>
      <c r="B724" s="25">
        <f>VLOOKUP(Table1[[#This Row],[Date]],Database!A:D,3,)</f>
        <v/>
      </c>
      <c r="C724" s="26">
        <f>B724-B723</f>
        <v/>
      </c>
      <c r="D724" s="26">
        <f>AVERAGE(C722:C724)</f>
        <v/>
      </c>
      <c r="E724" s="58">
        <f>VLOOKUP(Table1[[#This Row],[Date]],Database!A:D,4,)</f>
        <v/>
      </c>
      <c r="F724" s="58">
        <f>VLOOKUP(Table1[[#This Row],[Date]],Database!A:D,2,)</f>
        <v/>
      </c>
      <c r="G724" s="55" t="n"/>
    </row>
    <row r="725">
      <c r="A725" s="54" t="n">
        <v>35947</v>
      </c>
      <c r="B725" s="25">
        <f>VLOOKUP(Table1[[#This Row],[Date]],Database!A:D,3,)</f>
        <v/>
      </c>
      <c r="C725" s="26">
        <f>B725-B724</f>
        <v/>
      </c>
      <c r="D725" s="26">
        <f>AVERAGE(C723:C725)</f>
        <v/>
      </c>
      <c r="E725" s="58">
        <f>VLOOKUP(Table1[[#This Row],[Date]],Database!A:D,4,)</f>
        <v/>
      </c>
      <c r="F725" s="58">
        <f>VLOOKUP(Table1[[#This Row],[Date]],Database!A:D,2,)</f>
        <v/>
      </c>
      <c r="G725" s="55" t="n"/>
    </row>
    <row r="726">
      <c r="A726" s="54" t="n">
        <v>35977</v>
      </c>
      <c r="B726" s="25">
        <f>VLOOKUP(Table1[[#This Row],[Date]],Database!A:D,3,)</f>
        <v/>
      </c>
      <c r="C726" s="26">
        <f>B726-B725</f>
        <v/>
      </c>
      <c r="D726" s="26">
        <f>AVERAGE(C724:C726)</f>
        <v/>
      </c>
      <c r="E726" s="58">
        <f>VLOOKUP(Table1[[#This Row],[Date]],Database!A:D,4,)</f>
        <v/>
      </c>
      <c r="F726" s="58">
        <f>VLOOKUP(Table1[[#This Row],[Date]],Database!A:D,2,)</f>
        <v/>
      </c>
      <c r="G726" s="55" t="n"/>
    </row>
    <row r="727">
      <c r="A727" s="54" t="n">
        <v>36008</v>
      </c>
      <c r="B727" s="25">
        <f>VLOOKUP(Table1[[#This Row],[Date]],Database!A:D,3,)</f>
        <v/>
      </c>
      <c r="C727" s="26">
        <f>B727-B726</f>
        <v/>
      </c>
      <c r="D727" s="26">
        <f>AVERAGE(C725:C727)</f>
        <v/>
      </c>
      <c r="E727" s="58">
        <f>VLOOKUP(Table1[[#This Row],[Date]],Database!A:D,4,)</f>
        <v/>
      </c>
      <c r="F727" s="58">
        <f>VLOOKUP(Table1[[#This Row],[Date]],Database!A:D,2,)</f>
        <v/>
      </c>
      <c r="G727" s="55" t="n"/>
    </row>
    <row r="728">
      <c r="A728" s="54" t="n">
        <v>36039</v>
      </c>
      <c r="B728" s="25">
        <f>VLOOKUP(Table1[[#This Row],[Date]],Database!A:D,3,)</f>
        <v/>
      </c>
      <c r="C728" s="26">
        <f>B728-B727</f>
        <v/>
      </c>
      <c r="D728" s="26">
        <f>AVERAGE(C726:C728)</f>
        <v/>
      </c>
      <c r="E728" s="58">
        <f>VLOOKUP(Table1[[#This Row],[Date]],Database!A:D,4,)</f>
        <v/>
      </c>
      <c r="F728" s="58">
        <f>VLOOKUP(Table1[[#This Row],[Date]],Database!A:D,2,)</f>
        <v/>
      </c>
      <c r="G728" s="55" t="n"/>
    </row>
    <row r="729">
      <c r="A729" s="54" t="n">
        <v>36069</v>
      </c>
      <c r="B729" s="25">
        <f>VLOOKUP(Table1[[#This Row],[Date]],Database!A:D,3,)</f>
        <v/>
      </c>
      <c r="C729" s="26">
        <f>B729-B728</f>
        <v/>
      </c>
      <c r="D729" s="26">
        <f>AVERAGE(C727:C729)</f>
        <v/>
      </c>
      <c r="E729" s="58">
        <f>VLOOKUP(Table1[[#This Row],[Date]],Database!A:D,4,)</f>
        <v/>
      </c>
      <c r="F729" s="58">
        <f>VLOOKUP(Table1[[#This Row],[Date]],Database!A:D,2,)</f>
        <v/>
      </c>
      <c r="G729" s="55" t="n"/>
    </row>
    <row r="730">
      <c r="A730" s="54" t="n">
        <v>36100</v>
      </c>
      <c r="B730" s="25">
        <f>VLOOKUP(Table1[[#This Row],[Date]],Database!A:D,3,)</f>
        <v/>
      </c>
      <c r="C730" s="26">
        <f>B730-B729</f>
        <v/>
      </c>
      <c r="D730" s="26">
        <f>AVERAGE(C728:C730)</f>
        <v/>
      </c>
      <c r="E730" s="58">
        <f>VLOOKUP(Table1[[#This Row],[Date]],Database!A:D,4,)</f>
        <v/>
      </c>
      <c r="F730" s="58">
        <f>VLOOKUP(Table1[[#This Row],[Date]],Database!A:D,2,)</f>
        <v/>
      </c>
      <c r="G730" s="55" t="n"/>
    </row>
    <row r="731">
      <c r="A731" s="54" t="n">
        <v>36130</v>
      </c>
      <c r="B731" s="25">
        <f>VLOOKUP(Table1[[#This Row],[Date]],Database!A:D,3,)</f>
        <v/>
      </c>
      <c r="C731" s="26">
        <f>B731-B730</f>
        <v/>
      </c>
      <c r="D731" s="26">
        <f>AVERAGE(C729:C731)</f>
        <v/>
      </c>
      <c r="E731" s="58">
        <f>VLOOKUP(Table1[[#This Row],[Date]],Database!A:D,4,)</f>
        <v/>
      </c>
      <c r="F731" s="58">
        <f>VLOOKUP(Table1[[#This Row],[Date]],Database!A:D,2,)</f>
        <v/>
      </c>
      <c r="G731" s="55" t="n"/>
    </row>
    <row r="732">
      <c r="A732" s="54" t="n">
        <v>36161</v>
      </c>
      <c r="B732" s="25">
        <f>VLOOKUP(Table1[[#This Row],[Date]],Database!A:D,3,)</f>
        <v/>
      </c>
      <c r="C732" s="26">
        <f>B732-B731</f>
        <v/>
      </c>
      <c r="D732" s="26">
        <f>AVERAGE(C730:C732)</f>
        <v/>
      </c>
      <c r="E732" s="58">
        <f>VLOOKUP(Table1[[#This Row],[Date]],Database!A:D,4,)</f>
        <v/>
      </c>
      <c r="F732" s="58">
        <f>VLOOKUP(Table1[[#This Row],[Date]],Database!A:D,2,)</f>
        <v/>
      </c>
      <c r="G732" s="55" t="n"/>
    </row>
    <row r="733">
      <c r="A733" s="54" t="n">
        <v>36192</v>
      </c>
      <c r="B733" s="25">
        <f>VLOOKUP(Table1[[#This Row],[Date]],Database!A:D,3,)</f>
        <v/>
      </c>
      <c r="C733" s="26">
        <f>B733-B732</f>
        <v/>
      </c>
      <c r="D733" s="26">
        <f>AVERAGE(C731:C733)</f>
        <v/>
      </c>
      <c r="E733" s="58">
        <f>VLOOKUP(Table1[[#This Row],[Date]],Database!A:D,4,)</f>
        <v/>
      </c>
      <c r="F733" s="58">
        <f>VLOOKUP(Table1[[#This Row],[Date]],Database!A:D,2,)</f>
        <v/>
      </c>
      <c r="G733" s="55" t="n"/>
    </row>
    <row r="734">
      <c r="A734" s="54" t="n">
        <v>36220</v>
      </c>
      <c r="B734" s="25">
        <f>VLOOKUP(Table1[[#This Row],[Date]],Database!A:D,3,)</f>
        <v/>
      </c>
      <c r="C734" s="26">
        <f>B734-B733</f>
        <v/>
      </c>
      <c r="D734" s="26">
        <f>AVERAGE(C732:C734)</f>
        <v/>
      </c>
      <c r="E734" s="58">
        <f>VLOOKUP(Table1[[#This Row],[Date]],Database!A:D,4,)</f>
        <v/>
      </c>
      <c r="F734" s="58">
        <f>VLOOKUP(Table1[[#This Row],[Date]],Database!A:D,2,)</f>
        <v/>
      </c>
      <c r="G734" s="55" t="n"/>
    </row>
    <row r="735">
      <c r="A735" s="54" t="n">
        <v>36251</v>
      </c>
      <c r="B735" s="25">
        <f>VLOOKUP(Table1[[#This Row],[Date]],Database!A:D,3,)</f>
        <v/>
      </c>
      <c r="C735" s="26">
        <f>B735-B734</f>
        <v/>
      </c>
      <c r="D735" s="26">
        <f>AVERAGE(C733:C735)</f>
        <v/>
      </c>
      <c r="E735" s="58">
        <f>VLOOKUP(Table1[[#This Row],[Date]],Database!A:D,4,)</f>
        <v/>
      </c>
      <c r="F735" s="58">
        <f>VLOOKUP(Table1[[#This Row],[Date]],Database!A:D,2,)</f>
        <v/>
      </c>
      <c r="G735" s="55" t="n"/>
    </row>
    <row r="736">
      <c r="A736" s="54" t="n">
        <v>36281</v>
      </c>
      <c r="B736" s="25">
        <f>VLOOKUP(Table1[[#This Row],[Date]],Database!A:D,3,)</f>
        <v/>
      </c>
      <c r="C736" s="26">
        <f>B736-B735</f>
        <v/>
      </c>
      <c r="D736" s="26">
        <f>AVERAGE(C734:C736)</f>
        <v/>
      </c>
      <c r="E736" s="58">
        <f>VLOOKUP(Table1[[#This Row],[Date]],Database!A:D,4,)</f>
        <v/>
      </c>
      <c r="F736" s="58">
        <f>VLOOKUP(Table1[[#This Row],[Date]],Database!A:D,2,)</f>
        <v/>
      </c>
      <c r="G736" s="55" t="n"/>
    </row>
    <row r="737">
      <c r="A737" s="54" t="n">
        <v>36312</v>
      </c>
      <c r="B737" s="25">
        <f>VLOOKUP(Table1[[#This Row],[Date]],Database!A:D,3,)</f>
        <v/>
      </c>
      <c r="C737" s="26">
        <f>B737-B736</f>
        <v/>
      </c>
      <c r="D737" s="26">
        <f>AVERAGE(C735:C737)</f>
        <v/>
      </c>
      <c r="E737" s="58">
        <f>VLOOKUP(Table1[[#This Row],[Date]],Database!A:D,4,)</f>
        <v/>
      </c>
      <c r="F737" s="58">
        <f>VLOOKUP(Table1[[#This Row],[Date]],Database!A:D,2,)</f>
        <v/>
      </c>
      <c r="G737" s="55" t="n"/>
    </row>
    <row r="738">
      <c r="A738" s="54" t="n">
        <v>36342</v>
      </c>
      <c r="B738" s="25">
        <f>VLOOKUP(Table1[[#This Row],[Date]],Database!A:D,3,)</f>
        <v/>
      </c>
      <c r="C738" s="26">
        <f>B738-B737</f>
        <v/>
      </c>
      <c r="D738" s="26">
        <f>AVERAGE(C736:C738)</f>
        <v/>
      </c>
      <c r="E738" s="58">
        <f>VLOOKUP(Table1[[#This Row],[Date]],Database!A:D,4,)</f>
        <v/>
      </c>
      <c r="F738" s="58">
        <f>VLOOKUP(Table1[[#This Row],[Date]],Database!A:D,2,)</f>
        <v/>
      </c>
      <c r="G738" s="55" t="n"/>
    </row>
    <row r="739">
      <c r="A739" s="54" t="n">
        <v>36373</v>
      </c>
      <c r="B739" s="25">
        <f>VLOOKUP(Table1[[#This Row],[Date]],Database!A:D,3,)</f>
        <v/>
      </c>
      <c r="C739" s="26">
        <f>B739-B738</f>
        <v/>
      </c>
      <c r="D739" s="26">
        <f>AVERAGE(C737:C739)</f>
        <v/>
      </c>
      <c r="E739" s="58">
        <f>VLOOKUP(Table1[[#This Row],[Date]],Database!A:D,4,)</f>
        <v/>
      </c>
      <c r="F739" s="58">
        <f>VLOOKUP(Table1[[#This Row],[Date]],Database!A:D,2,)</f>
        <v/>
      </c>
      <c r="G739" s="55" t="n"/>
    </row>
    <row r="740">
      <c r="A740" s="54" t="n">
        <v>36404</v>
      </c>
      <c r="B740" s="25">
        <f>VLOOKUP(Table1[[#This Row],[Date]],Database!A:D,3,)</f>
        <v/>
      </c>
      <c r="C740" s="26">
        <f>B740-B739</f>
        <v/>
      </c>
      <c r="D740" s="26">
        <f>AVERAGE(C738:C740)</f>
        <v/>
      </c>
      <c r="E740" s="58">
        <f>VLOOKUP(Table1[[#This Row],[Date]],Database!A:D,4,)</f>
        <v/>
      </c>
      <c r="F740" s="58">
        <f>VLOOKUP(Table1[[#This Row],[Date]],Database!A:D,2,)</f>
        <v/>
      </c>
      <c r="G740" s="55" t="n"/>
    </row>
    <row r="741">
      <c r="A741" s="54" t="n">
        <v>36434</v>
      </c>
      <c r="B741" s="25">
        <f>VLOOKUP(Table1[[#This Row],[Date]],Database!A:D,3,)</f>
        <v/>
      </c>
      <c r="C741" s="26">
        <f>B741-B740</f>
        <v/>
      </c>
      <c r="D741" s="26">
        <f>AVERAGE(C739:C741)</f>
        <v/>
      </c>
      <c r="E741" s="58">
        <f>VLOOKUP(Table1[[#This Row],[Date]],Database!A:D,4,)</f>
        <v/>
      </c>
      <c r="F741" s="58">
        <f>VLOOKUP(Table1[[#This Row],[Date]],Database!A:D,2,)</f>
        <v/>
      </c>
      <c r="G741" s="55" t="n"/>
    </row>
    <row r="742">
      <c r="A742" s="54" t="n">
        <v>36465</v>
      </c>
      <c r="B742" s="25">
        <f>VLOOKUP(Table1[[#This Row],[Date]],Database!A:D,3,)</f>
        <v/>
      </c>
      <c r="C742" s="26">
        <f>B742-B741</f>
        <v/>
      </c>
      <c r="D742" s="26">
        <f>AVERAGE(C740:C742)</f>
        <v/>
      </c>
      <c r="E742" s="58">
        <f>VLOOKUP(Table1[[#This Row],[Date]],Database!A:D,4,)</f>
        <v/>
      </c>
      <c r="F742" s="58">
        <f>VLOOKUP(Table1[[#This Row],[Date]],Database!A:D,2,)</f>
        <v/>
      </c>
      <c r="G742" s="55" t="n"/>
    </row>
    <row r="743">
      <c r="A743" s="54" t="n">
        <v>36495</v>
      </c>
      <c r="B743" s="25">
        <f>VLOOKUP(Table1[[#This Row],[Date]],Database!A:D,3,)</f>
        <v/>
      </c>
      <c r="C743" s="26">
        <f>B743-B742</f>
        <v/>
      </c>
      <c r="D743" s="26">
        <f>AVERAGE(C741:C743)</f>
        <v/>
      </c>
      <c r="E743" s="58">
        <f>VLOOKUP(Table1[[#This Row],[Date]],Database!A:D,4,)</f>
        <v/>
      </c>
      <c r="F743" s="58">
        <f>VLOOKUP(Table1[[#This Row],[Date]],Database!A:D,2,)</f>
        <v/>
      </c>
      <c r="G743" s="55" t="n"/>
    </row>
    <row r="744">
      <c r="A744" s="54" t="n">
        <v>36526</v>
      </c>
      <c r="B744" s="25">
        <f>VLOOKUP(Table1[[#This Row],[Date]],Database!A:D,3,)</f>
        <v/>
      </c>
      <c r="C744" s="26">
        <f>B744-B743</f>
        <v/>
      </c>
      <c r="D744" s="26">
        <f>AVERAGE(C742:C744)</f>
        <v/>
      </c>
      <c r="E744" s="58">
        <f>VLOOKUP(Table1[[#This Row],[Date]],Database!A:D,4,)</f>
        <v/>
      </c>
      <c r="F744" s="58">
        <f>VLOOKUP(Table1[[#This Row],[Date]],Database!A:D,2,)</f>
        <v/>
      </c>
      <c r="G744" s="55" t="n"/>
    </row>
    <row r="745">
      <c r="A745" s="54" t="n">
        <v>36557</v>
      </c>
      <c r="B745" s="25">
        <f>VLOOKUP(Table1[[#This Row],[Date]],Database!A:D,3,)</f>
        <v/>
      </c>
      <c r="C745" s="26">
        <f>B745-B744</f>
        <v/>
      </c>
      <c r="D745" s="26">
        <f>AVERAGE(C743:C745)</f>
        <v/>
      </c>
      <c r="E745" s="58">
        <f>VLOOKUP(Table1[[#This Row],[Date]],Database!A:D,4,)</f>
        <v/>
      </c>
      <c r="F745" s="58">
        <f>VLOOKUP(Table1[[#This Row],[Date]],Database!A:D,2,)</f>
        <v/>
      </c>
      <c r="G745" s="55" t="n"/>
    </row>
    <row r="746">
      <c r="A746" s="54" t="n">
        <v>36586</v>
      </c>
      <c r="B746" s="25">
        <f>VLOOKUP(Table1[[#This Row],[Date]],Database!A:D,3,)</f>
        <v/>
      </c>
      <c r="C746" s="26">
        <f>B746-B745</f>
        <v/>
      </c>
      <c r="D746" s="26">
        <f>AVERAGE(C744:C746)</f>
        <v/>
      </c>
      <c r="E746" s="58">
        <f>VLOOKUP(Table1[[#This Row],[Date]],Database!A:D,4,)</f>
        <v/>
      </c>
      <c r="F746" s="58">
        <f>VLOOKUP(Table1[[#This Row],[Date]],Database!A:D,2,)</f>
        <v/>
      </c>
      <c r="G746" s="55" t="n"/>
    </row>
    <row r="747">
      <c r="A747" s="54" t="n">
        <v>36617</v>
      </c>
      <c r="B747" s="25">
        <f>VLOOKUP(Table1[[#This Row],[Date]],Database!A:D,3,)</f>
        <v/>
      </c>
      <c r="C747" s="26">
        <f>B747-B746</f>
        <v/>
      </c>
      <c r="D747" s="26">
        <f>AVERAGE(C745:C747)</f>
        <v/>
      </c>
      <c r="E747" s="58">
        <f>VLOOKUP(Table1[[#This Row],[Date]],Database!A:D,4,)</f>
        <v/>
      </c>
      <c r="F747" s="58">
        <f>VLOOKUP(Table1[[#This Row],[Date]],Database!A:D,2,)</f>
        <v/>
      </c>
      <c r="G747" s="55" t="n"/>
    </row>
    <row r="748">
      <c r="A748" s="54" t="n">
        <v>36647</v>
      </c>
      <c r="B748" s="25">
        <f>VLOOKUP(Table1[[#This Row],[Date]],Database!A:D,3,)</f>
        <v/>
      </c>
      <c r="C748" s="26">
        <f>B748-B747</f>
        <v/>
      </c>
      <c r="D748" s="26">
        <f>AVERAGE(C746:C748)</f>
        <v/>
      </c>
      <c r="E748" s="58">
        <f>VLOOKUP(Table1[[#This Row],[Date]],Database!A:D,4,)</f>
        <v/>
      </c>
      <c r="F748" s="58">
        <f>VLOOKUP(Table1[[#This Row],[Date]],Database!A:D,2,)</f>
        <v/>
      </c>
      <c r="G748" s="55" t="n"/>
    </row>
    <row r="749">
      <c r="A749" s="54" t="n">
        <v>36678</v>
      </c>
      <c r="B749" s="25">
        <f>VLOOKUP(Table1[[#This Row],[Date]],Database!A:D,3,)</f>
        <v/>
      </c>
      <c r="C749" s="26">
        <f>B749-B748</f>
        <v/>
      </c>
      <c r="D749" s="26">
        <f>AVERAGE(C747:C749)</f>
        <v/>
      </c>
      <c r="E749" s="58">
        <f>VLOOKUP(Table1[[#This Row],[Date]],Database!A:D,4,)</f>
        <v/>
      </c>
      <c r="F749" s="58">
        <f>VLOOKUP(Table1[[#This Row],[Date]],Database!A:D,2,)</f>
        <v/>
      </c>
      <c r="G749" s="55" t="n"/>
    </row>
    <row r="750">
      <c r="A750" s="54" t="n">
        <v>36708</v>
      </c>
      <c r="B750" s="25">
        <f>VLOOKUP(Table1[[#This Row],[Date]],Database!A:D,3,)</f>
        <v/>
      </c>
      <c r="C750" s="26">
        <f>B750-B749</f>
        <v/>
      </c>
      <c r="D750" s="26">
        <f>AVERAGE(C748:C750)</f>
        <v/>
      </c>
      <c r="E750" s="58">
        <f>VLOOKUP(Table1[[#This Row],[Date]],Database!A:D,4,)</f>
        <v/>
      </c>
      <c r="F750" s="58">
        <f>VLOOKUP(Table1[[#This Row],[Date]],Database!A:D,2,)</f>
        <v/>
      </c>
      <c r="G750" s="55" t="n"/>
    </row>
    <row r="751">
      <c r="A751" s="54" t="n">
        <v>36739</v>
      </c>
      <c r="B751" s="25">
        <f>VLOOKUP(Table1[[#This Row],[Date]],Database!A:D,3,)</f>
        <v/>
      </c>
      <c r="C751" s="26">
        <f>B751-B750</f>
        <v/>
      </c>
      <c r="D751" s="26">
        <f>AVERAGE(C749:C751)</f>
        <v/>
      </c>
      <c r="E751" s="58">
        <f>VLOOKUP(Table1[[#This Row],[Date]],Database!A:D,4,)</f>
        <v/>
      </c>
      <c r="F751" s="58">
        <f>VLOOKUP(Table1[[#This Row],[Date]],Database!A:D,2,)</f>
        <v/>
      </c>
      <c r="G751" s="55" t="n"/>
    </row>
    <row r="752">
      <c r="A752" s="54" t="n">
        <v>36770</v>
      </c>
      <c r="B752" s="25">
        <f>VLOOKUP(Table1[[#This Row],[Date]],Database!A:D,3,)</f>
        <v/>
      </c>
      <c r="C752" s="26">
        <f>B752-B751</f>
        <v/>
      </c>
      <c r="D752" s="26">
        <f>AVERAGE(C750:C752)</f>
        <v/>
      </c>
      <c r="E752" s="58">
        <f>VLOOKUP(Table1[[#This Row],[Date]],Database!A:D,4,)</f>
        <v/>
      </c>
      <c r="F752" s="58">
        <f>VLOOKUP(Table1[[#This Row],[Date]],Database!A:D,2,)</f>
        <v/>
      </c>
      <c r="G752" s="55" t="n"/>
    </row>
    <row r="753">
      <c r="A753" s="54" t="n">
        <v>36800</v>
      </c>
      <c r="B753" s="25">
        <f>VLOOKUP(Table1[[#This Row],[Date]],Database!A:D,3,)</f>
        <v/>
      </c>
      <c r="C753" s="26">
        <f>B753-B752</f>
        <v/>
      </c>
      <c r="D753" s="26">
        <f>AVERAGE(C751:C753)</f>
        <v/>
      </c>
      <c r="E753" s="58">
        <f>VLOOKUP(Table1[[#This Row],[Date]],Database!A:D,4,)</f>
        <v/>
      </c>
      <c r="F753" s="58">
        <f>VLOOKUP(Table1[[#This Row],[Date]],Database!A:D,2,)</f>
        <v/>
      </c>
      <c r="G753" s="55" t="n"/>
    </row>
    <row r="754">
      <c r="A754" s="54" t="n">
        <v>36831</v>
      </c>
      <c r="B754" s="25">
        <f>VLOOKUP(Table1[[#This Row],[Date]],Database!A:D,3,)</f>
        <v/>
      </c>
      <c r="C754" s="26">
        <f>B754-B753</f>
        <v/>
      </c>
      <c r="D754" s="26">
        <f>AVERAGE(C752:C754)</f>
        <v/>
      </c>
      <c r="E754" s="58">
        <f>VLOOKUP(Table1[[#This Row],[Date]],Database!A:D,4,)</f>
        <v/>
      </c>
      <c r="F754" s="58">
        <f>VLOOKUP(Table1[[#This Row],[Date]],Database!A:D,2,)</f>
        <v/>
      </c>
      <c r="G754" s="55" t="n"/>
    </row>
    <row r="755">
      <c r="A755" s="54" t="n">
        <v>36861</v>
      </c>
      <c r="B755" s="25">
        <f>VLOOKUP(Table1[[#This Row],[Date]],Database!A:D,3,)</f>
        <v/>
      </c>
      <c r="C755" s="26">
        <f>B755-B754</f>
        <v/>
      </c>
      <c r="D755" s="26">
        <f>AVERAGE(C753:C755)</f>
        <v/>
      </c>
      <c r="E755" s="58">
        <f>VLOOKUP(Table1[[#This Row],[Date]],Database!A:D,4,)</f>
        <v/>
      </c>
      <c r="F755" s="58">
        <f>VLOOKUP(Table1[[#This Row],[Date]],Database!A:D,2,)</f>
        <v/>
      </c>
      <c r="G755" s="55" t="n"/>
    </row>
    <row r="756">
      <c r="A756" s="54" t="n">
        <v>36892</v>
      </c>
      <c r="B756" s="25">
        <f>VLOOKUP(Table1[[#This Row],[Date]],Database!A:D,3,)</f>
        <v/>
      </c>
      <c r="C756" s="26">
        <f>B756-B755</f>
        <v/>
      </c>
      <c r="D756" s="26">
        <f>AVERAGE(C754:C756)</f>
        <v/>
      </c>
      <c r="E756" s="58">
        <f>VLOOKUP(Table1[[#This Row],[Date]],Database!A:D,4,)</f>
        <v/>
      </c>
      <c r="F756" s="58">
        <f>VLOOKUP(Table1[[#This Row],[Date]],Database!A:D,2,)</f>
        <v/>
      </c>
      <c r="G756" s="55" t="n"/>
    </row>
    <row r="757">
      <c r="A757" s="54" t="n">
        <v>36923</v>
      </c>
      <c r="B757" s="25">
        <f>VLOOKUP(Table1[[#This Row],[Date]],Database!A:D,3,)</f>
        <v/>
      </c>
      <c r="C757" s="26">
        <f>B757-B756</f>
        <v/>
      </c>
      <c r="D757" s="26">
        <f>AVERAGE(C755:C757)</f>
        <v/>
      </c>
      <c r="E757" s="58">
        <f>VLOOKUP(Table1[[#This Row],[Date]],Database!A:D,4,)</f>
        <v/>
      </c>
      <c r="F757" s="58">
        <f>VLOOKUP(Table1[[#This Row],[Date]],Database!A:D,2,)</f>
        <v/>
      </c>
      <c r="G757" s="55" t="n"/>
    </row>
    <row r="758">
      <c r="A758" s="54" t="n">
        <v>36951</v>
      </c>
      <c r="B758" s="25">
        <f>VLOOKUP(Table1[[#This Row],[Date]],Database!A:D,3,)</f>
        <v/>
      </c>
      <c r="C758" s="26">
        <f>B758-B757</f>
        <v/>
      </c>
      <c r="D758" s="26">
        <f>AVERAGE(C756:C758)</f>
        <v/>
      </c>
      <c r="E758" s="58">
        <f>VLOOKUP(Table1[[#This Row],[Date]],Database!A:D,4,)</f>
        <v/>
      </c>
      <c r="F758" s="58">
        <f>VLOOKUP(Table1[[#This Row],[Date]],Database!A:D,2,)</f>
        <v/>
      </c>
      <c r="G758" s="55" t="n"/>
    </row>
    <row r="759">
      <c r="A759" s="54" t="n">
        <v>36982</v>
      </c>
      <c r="B759" s="25">
        <f>VLOOKUP(Table1[[#This Row],[Date]],Database!A:D,3,)</f>
        <v/>
      </c>
      <c r="C759" s="26">
        <f>B759-B758</f>
        <v/>
      </c>
      <c r="D759" s="26">
        <f>AVERAGE(C757:C759)</f>
        <v/>
      </c>
      <c r="E759" s="58">
        <f>VLOOKUP(Table1[[#This Row],[Date]],Database!A:D,4,)</f>
        <v/>
      </c>
      <c r="F759" s="58">
        <f>VLOOKUP(Table1[[#This Row],[Date]],Database!A:D,2,)</f>
        <v/>
      </c>
      <c r="G759" s="55" t="n"/>
    </row>
    <row r="760">
      <c r="A760" s="54" t="n">
        <v>37012</v>
      </c>
      <c r="B760" s="25">
        <f>VLOOKUP(Table1[[#This Row],[Date]],Database!A:D,3,)</f>
        <v/>
      </c>
      <c r="C760" s="26">
        <f>B760-B759</f>
        <v/>
      </c>
      <c r="D760" s="26">
        <f>AVERAGE(C758:C760)</f>
        <v/>
      </c>
      <c r="E760" s="58">
        <f>VLOOKUP(Table1[[#This Row],[Date]],Database!A:D,4,)</f>
        <v/>
      </c>
      <c r="F760" s="58">
        <f>VLOOKUP(Table1[[#This Row],[Date]],Database!A:D,2,)</f>
        <v/>
      </c>
      <c r="G760" s="55" t="n"/>
    </row>
    <row r="761">
      <c r="A761" s="54" t="n">
        <v>37043</v>
      </c>
      <c r="B761" s="25">
        <f>VLOOKUP(Table1[[#This Row],[Date]],Database!A:D,3,)</f>
        <v/>
      </c>
      <c r="C761" s="26">
        <f>B761-B760</f>
        <v/>
      </c>
      <c r="D761" s="26">
        <f>AVERAGE(C759:C761)</f>
        <v/>
      </c>
      <c r="E761" s="58">
        <f>VLOOKUP(Table1[[#This Row],[Date]],Database!A:D,4,)</f>
        <v/>
      </c>
      <c r="F761" s="58">
        <f>VLOOKUP(Table1[[#This Row],[Date]],Database!A:D,2,)</f>
        <v/>
      </c>
      <c r="G761" s="55" t="n"/>
    </row>
    <row r="762">
      <c r="A762" s="54" t="n">
        <v>37073</v>
      </c>
      <c r="B762" s="25">
        <f>VLOOKUP(Table1[[#This Row],[Date]],Database!A:D,3,)</f>
        <v/>
      </c>
      <c r="C762" s="26">
        <f>B762-B761</f>
        <v/>
      </c>
      <c r="D762" s="26">
        <f>AVERAGE(C760:C762)</f>
        <v/>
      </c>
      <c r="E762" s="58">
        <f>VLOOKUP(Table1[[#This Row],[Date]],Database!A:D,4,)</f>
        <v/>
      </c>
      <c r="F762" s="58">
        <f>VLOOKUP(Table1[[#This Row],[Date]],Database!A:D,2,)</f>
        <v/>
      </c>
      <c r="G762" s="55" t="n"/>
    </row>
    <row r="763">
      <c r="A763" s="54" t="n">
        <v>37104</v>
      </c>
      <c r="B763" s="25">
        <f>VLOOKUP(Table1[[#This Row],[Date]],Database!A:D,3,)</f>
        <v/>
      </c>
      <c r="C763" s="26">
        <f>B763-B762</f>
        <v/>
      </c>
      <c r="D763" s="26">
        <f>AVERAGE(C761:C763)</f>
        <v/>
      </c>
      <c r="E763" s="58">
        <f>VLOOKUP(Table1[[#This Row],[Date]],Database!A:D,4,)</f>
        <v/>
      </c>
      <c r="F763" s="58">
        <f>VLOOKUP(Table1[[#This Row],[Date]],Database!A:D,2,)</f>
        <v/>
      </c>
      <c r="G763" s="55" t="n"/>
    </row>
    <row r="764">
      <c r="A764" s="54" t="n">
        <v>37135</v>
      </c>
      <c r="B764" s="25">
        <f>VLOOKUP(Table1[[#This Row],[Date]],Database!A:D,3,)</f>
        <v/>
      </c>
      <c r="C764" s="26">
        <f>B764-B763</f>
        <v/>
      </c>
      <c r="D764" s="26">
        <f>AVERAGE(C762:C764)</f>
        <v/>
      </c>
      <c r="E764" s="58">
        <f>VLOOKUP(Table1[[#This Row],[Date]],Database!A:D,4,)</f>
        <v/>
      </c>
      <c r="F764" s="58">
        <f>VLOOKUP(Table1[[#This Row],[Date]],Database!A:D,2,)</f>
        <v/>
      </c>
      <c r="G764" s="55" t="n"/>
    </row>
    <row r="765">
      <c r="A765" s="54" t="n">
        <v>37165</v>
      </c>
      <c r="B765" s="25">
        <f>VLOOKUP(Table1[[#This Row],[Date]],Database!A:D,3,)</f>
        <v/>
      </c>
      <c r="C765" s="26">
        <f>B765-B764</f>
        <v/>
      </c>
      <c r="D765" s="26">
        <f>AVERAGE(C763:C765)</f>
        <v/>
      </c>
      <c r="E765" s="58">
        <f>VLOOKUP(Table1[[#This Row],[Date]],Database!A:D,4,)</f>
        <v/>
      </c>
      <c r="F765" s="58">
        <f>VLOOKUP(Table1[[#This Row],[Date]],Database!A:D,2,)</f>
        <v/>
      </c>
      <c r="G765" s="55" t="n"/>
    </row>
    <row r="766">
      <c r="A766" s="54" t="n">
        <v>37196</v>
      </c>
      <c r="B766" s="25">
        <f>VLOOKUP(Table1[[#This Row],[Date]],Database!A:D,3,)</f>
        <v/>
      </c>
      <c r="C766" s="26">
        <f>B766-B765</f>
        <v/>
      </c>
      <c r="D766" s="26">
        <f>AVERAGE(C764:C766)</f>
        <v/>
      </c>
      <c r="E766" s="58">
        <f>VLOOKUP(Table1[[#This Row],[Date]],Database!A:D,4,)</f>
        <v/>
      </c>
      <c r="F766" s="58">
        <f>VLOOKUP(Table1[[#This Row],[Date]],Database!A:D,2,)</f>
        <v/>
      </c>
      <c r="G766" s="55" t="n"/>
    </row>
    <row r="767">
      <c r="A767" s="54" t="n">
        <v>37226</v>
      </c>
      <c r="B767" s="25">
        <f>VLOOKUP(Table1[[#This Row],[Date]],Database!A:D,3,)</f>
        <v/>
      </c>
      <c r="C767" s="26">
        <f>B767-B766</f>
        <v/>
      </c>
      <c r="D767" s="26">
        <f>AVERAGE(C765:C767)</f>
        <v/>
      </c>
      <c r="E767" s="58">
        <f>VLOOKUP(Table1[[#This Row],[Date]],Database!A:D,4,)</f>
        <v/>
      </c>
      <c r="F767" s="58">
        <f>VLOOKUP(Table1[[#This Row],[Date]],Database!A:D,2,)</f>
        <v/>
      </c>
      <c r="G767" s="55" t="n"/>
    </row>
    <row r="768">
      <c r="A768" s="54" t="n">
        <v>37257</v>
      </c>
      <c r="B768" s="25">
        <f>VLOOKUP(Table1[[#This Row],[Date]],Database!A:D,3,)</f>
        <v/>
      </c>
      <c r="C768" s="26">
        <f>B768-B767</f>
        <v/>
      </c>
      <c r="D768" s="26">
        <f>AVERAGE(C766:C768)</f>
        <v/>
      </c>
      <c r="E768" s="58">
        <f>VLOOKUP(Table1[[#This Row],[Date]],Database!A:D,4,)</f>
        <v/>
      </c>
      <c r="F768" s="58">
        <f>VLOOKUP(Table1[[#This Row],[Date]],Database!A:D,2,)</f>
        <v/>
      </c>
      <c r="G768" s="55" t="n"/>
    </row>
    <row r="769">
      <c r="A769" s="54" t="n">
        <v>37288</v>
      </c>
      <c r="B769" s="25">
        <f>VLOOKUP(Table1[[#This Row],[Date]],Database!A:D,3,)</f>
        <v/>
      </c>
      <c r="C769" s="26">
        <f>B769-B768</f>
        <v/>
      </c>
      <c r="D769" s="26">
        <f>AVERAGE(C767:C769)</f>
        <v/>
      </c>
      <c r="E769" s="58">
        <f>VLOOKUP(Table1[[#This Row],[Date]],Database!A:D,4,)</f>
        <v/>
      </c>
      <c r="F769" s="58">
        <f>VLOOKUP(Table1[[#This Row],[Date]],Database!A:D,2,)</f>
        <v/>
      </c>
      <c r="G769" s="55" t="n"/>
    </row>
    <row r="770">
      <c r="A770" s="54" t="n">
        <v>37316</v>
      </c>
      <c r="B770" s="25">
        <f>VLOOKUP(Table1[[#This Row],[Date]],Database!A:D,3,)</f>
        <v/>
      </c>
      <c r="C770" s="26">
        <f>B770-B769</f>
        <v/>
      </c>
      <c r="D770" s="26">
        <f>AVERAGE(C768:C770)</f>
        <v/>
      </c>
      <c r="E770" s="58">
        <f>VLOOKUP(Table1[[#This Row],[Date]],Database!A:D,4,)</f>
        <v/>
      </c>
      <c r="F770" s="58">
        <f>VLOOKUP(Table1[[#This Row],[Date]],Database!A:D,2,)</f>
        <v/>
      </c>
      <c r="G770" s="55" t="n"/>
    </row>
    <row r="771">
      <c r="A771" s="54" t="n">
        <v>37347</v>
      </c>
      <c r="B771" s="25">
        <f>VLOOKUP(Table1[[#This Row],[Date]],Database!A:D,3,)</f>
        <v/>
      </c>
      <c r="C771" s="26">
        <f>B771-B770</f>
        <v/>
      </c>
      <c r="D771" s="26">
        <f>AVERAGE(C769:C771)</f>
        <v/>
      </c>
      <c r="E771" s="58">
        <f>VLOOKUP(Table1[[#This Row],[Date]],Database!A:D,4,)</f>
        <v/>
      </c>
      <c r="F771" s="58">
        <f>VLOOKUP(Table1[[#This Row],[Date]],Database!A:D,2,)</f>
        <v/>
      </c>
      <c r="G771" s="55" t="n"/>
    </row>
    <row r="772">
      <c r="A772" s="54" t="n">
        <v>37377</v>
      </c>
      <c r="B772" s="25">
        <f>VLOOKUP(Table1[[#This Row],[Date]],Database!A:D,3,)</f>
        <v/>
      </c>
      <c r="C772" s="26">
        <f>B772-B771</f>
        <v/>
      </c>
      <c r="D772" s="26">
        <f>AVERAGE(C770:C772)</f>
        <v/>
      </c>
      <c r="E772" s="58">
        <f>VLOOKUP(Table1[[#This Row],[Date]],Database!A:D,4,)</f>
        <v/>
      </c>
      <c r="F772" s="58">
        <f>VLOOKUP(Table1[[#This Row],[Date]],Database!A:D,2,)</f>
        <v/>
      </c>
      <c r="G772" s="55" t="n"/>
    </row>
    <row r="773">
      <c r="A773" s="54" t="n">
        <v>37408</v>
      </c>
      <c r="B773" s="25">
        <f>VLOOKUP(Table1[[#This Row],[Date]],Database!A:D,3,)</f>
        <v/>
      </c>
      <c r="C773" s="26">
        <f>B773-B772</f>
        <v/>
      </c>
      <c r="D773" s="26">
        <f>AVERAGE(C771:C773)</f>
        <v/>
      </c>
      <c r="E773" s="58">
        <f>VLOOKUP(Table1[[#This Row],[Date]],Database!A:D,4,)</f>
        <v/>
      </c>
      <c r="F773" s="58">
        <f>VLOOKUP(Table1[[#This Row],[Date]],Database!A:D,2,)</f>
        <v/>
      </c>
      <c r="G773" s="55" t="n"/>
    </row>
    <row r="774">
      <c r="A774" s="54" t="n">
        <v>37438</v>
      </c>
      <c r="B774" s="25">
        <f>VLOOKUP(Table1[[#This Row],[Date]],Database!A:D,3,)</f>
        <v/>
      </c>
      <c r="C774" s="26">
        <f>B774-B773</f>
        <v/>
      </c>
      <c r="D774" s="26">
        <f>AVERAGE(C772:C774)</f>
        <v/>
      </c>
      <c r="E774" s="58">
        <f>VLOOKUP(Table1[[#This Row],[Date]],Database!A:D,4,)</f>
        <v/>
      </c>
      <c r="F774" s="58">
        <f>VLOOKUP(Table1[[#This Row],[Date]],Database!A:D,2,)</f>
        <v/>
      </c>
      <c r="G774" s="55" t="n"/>
    </row>
    <row r="775">
      <c r="A775" s="54" t="n">
        <v>37469</v>
      </c>
      <c r="B775" s="25">
        <f>VLOOKUP(Table1[[#This Row],[Date]],Database!A:D,3,)</f>
        <v/>
      </c>
      <c r="C775" s="26">
        <f>B775-B774</f>
        <v/>
      </c>
      <c r="D775" s="26">
        <f>AVERAGE(C773:C775)</f>
        <v/>
      </c>
      <c r="E775" s="58">
        <f>VLOOKUP(Table1[[#This Row],[Date]],Database!A:D,4,)</f>
        <v/>
      </c>
      <c r="F775" s="58">
        <f>VLOOKUP(Table1[[#This Row],[Date]],Database!A:D,2,)</f>
        <v/>
      </c>
      <c r="G775" s="55" t="n"/>
    </row>
    <row r="776">
      <c r="A776" s="54" t="n">
        <v>37500</v>
      </c>
      <c r="B776" s="25">
        <f>VLOOKUP(Table1[[#This Row],[Date]],Database!A:D,3,)</f>
        <v/>
      </c>
      <c r="C776" s="26">
        <f>B776-B775</f>
        <v/>
      </c>
      <c r="D776" s="26">
        <f>AVERAGE(C774:C776)</f>
        <v/>
      </c>
      <c r="E776" s="58">
        <f>VLOOKUP(Table1[[#This Row],[Date]],Database!A:D,4,)</f>
        <v/>
      </c>
      <c r="F776" s="58">
        <f>VLOOKUP(Table1[[#This Row],[Date]],Database!A:D,2,)</f>
        <v/>
      </c>
      <c r="G776" s="55" t="n"/>
    </row>
    <row r="777">
      <c r="A777" s="54" t="n">
        <v>37530</v>
      </c>
      <c r="B777" s="25">
        <f>VLOOKUP(Table1[[#This Row],[Date]],Database!A:D,3,)</f>
        <v/>
      </c>
      <c r="C777" s="26">
        <f>B777-B776</f>
        <v/>
      </c>
      <c r="D777" s="26">
        <f>AVERAGE(C775:C777)</f>
        <v/>
      </c>
      <c r="E777" s="58">
        <f>VLOOKUP(Table1[[#This Row],[Date]],Database!A:D,4,)</f>
        <v/>
      </c>
      <c r="F777" s="58">
        <f>VLOOKUP(Table1[[#This Row],[Date]],Database!A:D,2,)</f>
        <v/>
      </c>
      <c r="G777" s="55" t="n"/>
    </row>
    <row r="778">
      <c r="A778" s="54" t="n">
        <v>37561</v>
      </c>
      <c r="B778" s="25">
        <f>VLOOKUP(Table1[[#This Row],[Date]],Database!A:D,3,)</f>
        <v/>
      </c>
      <c r="C778" s="26">
        <f>B778-B777</f>
        <v/>
      </c>
      <c r="D778" s="26">
        <f>AVERAGE(C776:C778)</f>
        <v/>
      </c>
      <c r="E778" s="58">
        <f>VLOOKUP(Table1[[#This Row],[Date]],Database!A:D,4,)</f>
        <v/>
      </c>
      <c r="F778" s="58">
        <f>VLOOKUP(Table1[[#This Row],[Date]],Database!A:D,2,)</f>
        <v/>
      </c>
      <c r="G778" s="55" t="n"/>
    </row>
    <row r="779">
      <c r="A779" s="54" t="n">
        <v>37591</v>
      </c>
      <c r="B779" s="25">
        <f>VLOOKUP(Table1[[#This Row],[Date]],Database!A:D,3,)</f>
        <v/>
      </c>
      <c r="C779" s="26">
        <f>B779-B778</f>
        <v/>
      </c>
      <c r="D779" s="26">
        <f>AVERAGE(C777:C779)</f>
        <v/>
      </c>
      <c r="E779" s="58">
        <f>VLOOKUP(Table1[[#This Row],[Date]],Database!A:D,4,)</f>
        <v/>
      </c>
      <c r="F779" s="58">
        <f>VLOOKUP(Table1[[#This Row],[Date]],Database!A:D,2,)</f>
        <v/>
      </c>
      <c r="G779" s="55" t="n"/>
    </row>
    <row r="780">
      <c r="A780" s="54" t="n">
        <v>37622</v>
      </c>
      <c r="B780" s="25">
        <f>VLOOKUP(Table1[[#This Row],[Date]],Database!A:D,3,)</f>
        <v/>
      </c>
      <c r="C780" s="26">
        <f>B780-B779</f>
        <v/>
      </c>
      <c r="D780" s="26">
        <f>AVERAGE(C778:C780)</f>
        <v/>
      </c>
      <c r="E780" s="58">
        <f>VLOOKUP(Table1[[#This Row],[Date]],Database!A:D,4,)</f>
        <v/>
      </c>
      <c r="F780" s="58">
        <f>VLOOKUP(Table1[[#This Row],[Date]],Database!A:D,2,)</f>
        <v/>
      </c>
      <c r="G780" s="55" t="n"/>
    </row>
    <row r="781">
      <c r="A781" s="54" t="n">
        <v>37653</v>
      </c>
      <c r="B781" s="25">
        <f>VLOOKUP(Table1[[#This Row],[Date]],Database!A:D,3,)</f>
        <v/>
      </c>
      <c r="C781" s="26">
        <f>B781-B780</f>
        <v/>
      </c>
      <c r="D781" s="26">
        <f>AVERAGE(C779:C781)</f>
        <v/>
      </c>
      <c r="E781" s="58">
        <f>VLOOKUP(Table1[[#This Row],[Date]],Database!A:D,4,)</f>
        <v/>
      </c>
      <c r="F781" s="58">
        <f>VLOOKUP(Table1[[#This Row],[Date]],Database!A:D,2,)</f>
        <v/>
      </c>
      <c r="G781" s="55" t="n"/>
    </row>
    <row r="782">
      <c r="A782" s="54" t="n">
        <v>37681</v>
      </c>
      <c r="B782" s="25">
        <f>VLOOKUP(Table1[[#This Row],[Date]],Database!A:D,3,)</f>
        <v/>
      </c>
      <c r="C782" s="26">
        <f>B782-B781</f>
        <v/>
      </c>
      <c r="D782" s="26">
        <f>AVERAGE(C780:C782)</f>
        <v/>
      </c>
      <c r="E782" s="58">
        <f>VLOOKUP(Table1[[#This Row],[Date]],Database!A:D,4,)</f>
        <v/>
      </c>
      <c r="F782" s="58">
        <f>VLOOKUP(Table1[[#This Row],[Date]],Database!A:D,2,)</f>
        <v/>
      </c>
      <c r="G782" s="55" t="n"/>
    </row>
    <row r="783">
      <c r="A783" s="54" t="n">
        <v>37712</v>
      </c>
      <c r="B783" s="25">
        <f>VLOOKUP(Table1[[#This Row],[Date]],Database!A:D,3,)</f>
        <v/>
      </c>
      <c r="C783" s="26">
        <f>B783-B782</f>
        <v/>
      </c>
      <c r="D783" s="26">
        <f>AVERAGE(C781:C783)</f>
        <v/>
      </c>
      <c r="E783" s="58">
        <f>VLOOKUP(Table1[[#This Row],[Date]],Database!A:D,4,)</f>
        <v/>
      </c>
      <c r="F783" s="58">
        <f>VLOOKUP(Table1[[#This Row],[Date]],Database!A:D,2,)</f>
        <v/>
      </c>
      <c r="G783" s="55" t="n"/>
    </row>
    <row r="784">
      <c r="A784" s="54" t="n">
        <v>37742</v>
      </c>
      <c r="B784" s="25">
        <f>VLOOKUP(Table1[[#This Row],[Date]],Database!A:D,3,)</f>
        <v/>
      </c>
      <c r="C784" s="26">
        <f>B784-B783</f>
        <v/>
      </c>
      <c r="D784" s="26">
        <f>AVERAGE(C782:C784)</f>
        <v/>
      </c>
      <c r="E784" s="58">
        <f>VLOOKUP(Table1[[#This Row],[Date]],Database!A:D,4,)</f>
        <v/>
      </c>
      <c r="F784" s="58">
        <f>VLOOKUP(Table1[[#This Row],[Date]],Database!A:D,2,)</f>
        <v/>
      </c>
      <c r="G784" s="55" t="n"/>
    </row>
    <row r="785">
      <c r="A785" s="54" t="n">
        <v>37773</v>
      </c>
      <c r="B785" s="25">
        <f>VLOOKUP(Table1[[#This Row],[Date]],Database!A:D,3,)</f>
        <v/>
      </c>
      <c r="C785" s="26">
        <f>B785-B784</f>
        <v/>
      </c>
      <c r="D785" s="26">
        <f>AVERAGE(C783:C785)</f>
        <v/>
      </c>
      <c r="E785" s="58">
        <f>VLOOKUP(Table1[[#This Row],[Date]],Database!A:D,4,)</f>
        <v/>
      </c>
      <c r="F785" s="58">
        <f>VLOOKUP(Table1[[#This Row],[Date]],Database!A:D,2,)</f>
        <v/>
      </c>
      <c r="G785" s="55" t="n"/>
    </row>
    <row r="786">
      <c r="A786" s="54" t="n">
        <v>37803</v>
      </c>
      <c r="B786" s="25">
        <f>VLOOKUP(Table1[[#This Row],[Date]],Database!A:D,3,)</f>
        <v/>
      </c>
      <c r="C786" s="26">
        <f>B786-B785</f>
        <v/>
      </c>
      <c r="D786" s="26">
        <f>AVERAGE(C784:C786)</f>
        <v/>
      </c>
      <c r="E786" s="58">
        <f>VLOOKUP(Table1[[#This Row],[Date]],Database!A:D,4,)</f>
        <v/>
      </c>
      <c r="F786" s="58">
        <f>VLOOKUP(Table1[[#This Row],[Date]],Database!A:D,2,)</f>
        <v/>
      </c>
      <c r="G786" s="55" t="n"/>
    </row>
    <row r="787">
      <c r="A787" s="54" t="n">
        <v>37834</v>
      </c>
      <c r="B787" s="25">
        <f>VLOOKUP(Table1[[#This Row],[Date]],Database!A:D,3,)</f>
        <v/>
      </c>
      <c r="C787" s="26">
        <f>B787-B786</f>
        <v/>
      </c>
      <c r="D787" s="26">
        <f>AVERAGE(C785:C787)</f>
        <v/>
      </c>
      <c r="E787" s="58">
        <f>VLOOKUP(Table1[[#This Row],[Date]],Database!A:D,4,)</f>
        <v/>
      </c>
      <c r="F787" s="58">
        <f>VLOOKUP(Table1[[#This Row],[Date]],Database!A:D,2,)</f>
        <v/>
      </c>
      <c r="G787" s="55" t="n"/>
    </row>
    <row r="788">
      <c r="A788" s="54" t="n">
        <v>37865</v>
      </c>
      <c r="B788" s="25">
        <f>VLOOKUP(Table1[[#This Row],[Date]],Database!A:D,3,)</f>
        <v/>
      </c>
      <c r="C788" s="26">
        <f>B788-B787</f>
        <v/>
      </c>
      <c r="D788" s="26">
        <f>AVERAGE(C786:C788)</f>
        <v/>
      </c>
      <c r="E788" s="58">
        <f>VLOOKUP(Table1[[#This Row],[Date]],Database!A:D,4,)</f>
        <v/>
      </c>
      <c r="F788" s="58">
        <f>VLOOKUP(Table1[[#This Row],[Date]],Database!A:D,2,)</f>
        <v/>
      </c>
      <c r="G788" s="55" t="n"/>
    </row>
    <row r="789">
      <c r="A789" s="54" t="n">
        <v>37895</v>
      </c>
      <c r="B789" s="25">
        <f>VLOOKUP(Table1[[#This Row],[Date]],Database!A:D,3,)</f>
        <v/>
      </c>
      <c r="C789" s="26">
        <f>B789-B788</f>
        <v/>
      </c>
      <c r="D789" s="26">
        <f>AVERAGE(C787:C789)</f>
        <v/>
      </c>
      <c r="E789" s="58">
        <f>VLOOKUP(Table1[[#This Row],[Date]],Database!A:D,4,)</f>
        <v/>
      </c>
      <c r="F789" s="58">
        <f>VLOOKUP(Table1[[#This Row],[Date]],Database!A:D,2,)</f>
        <v/>
      </c>
      <c r="G789" s="55" t="n"/>
    </row>
    <row r="790">
      <c r="A790" s="54" t="n">
        <v>37926</v>
      </c>
      <c r="B790" s="25">
        <f>VLOOKUP(Table1[[#This Row],[Date]],Database!A:D,3,)</f>
        <v/>
      </c>
      <c r="C790" s="26">
        <f>B790-B789</f>
        <v/>
      </c>
      <c r="D790" s="26">
        <f>AVERAGE(C788:C790)</f>
        <v/>
      </c>
      <c r="E790" s="58">
        <f>VLOOKUP(Table1[[#This Row],[Date]],Database!A:D,4,)</f>
        <v/>
      </c>
      <c r="F790" s="58">
        <f>VLOOKUP(Table1[[#This Row],[Date]],Database!A:D,2,)</f>
        <v/>
      </c>
      <c r="G790" s="55" t="n"/>
    </row>
    <row r="791">
      <c r="A791" s="54" t="n">
        <v>37956</v>
      </c>
      <c r="B791" s="25">
        <f>VLOOKUP(Table1[[#This Row],[Date]],Database!A:D,3,)</f>
        <v/>
      </c>
      <c r="C791" s="26">
        <f>B791-B790</f>
        <v/>
      </c>
      <c r="D791" s="26">
        <f>AVERAGE(C789:C791)</f>
        <v/>
      </c>
      <c r="E791" s="58">
        <f>VLOOKUP(Table1[[#This Row],[Date]],Database!A:D,4,)</f>
        <v/>
      </c>
      <c r="F791" s="58">
        <f>VLOOKUP(Table1[[#This Row],[Date]],Database!A:D,2,)</f>
        <v/>
      </c>
      <c r="G791" s="55" t="n"/>
    </row>
    <row r="792">
      <c r="A792" s="54" t="n">
        <v>37987</v>
      </c>
      <c r="B792" s="25">
        <f>VLOOKUP(Table1[[#This Row],[Date]],Database!A:D,3,)</f>
        <v/>
      </c>
      <c r="C792" s="26">
        <f>B792-B791</f>
        <v/>
      </c>
      <c r="D792" s="26">
        <f>AVERAGE(C790:C792)</f>
        <v/>
      </c>
      <c r="E792" s="58">
        <f>VLOOKUP(Table1[[#This Row],[Date]],Database!A:D,4,)</f>
        <v/>
      </c>
      <c r="F792" s="58">
        <f>VLOOKUP(Table1[[#This Row],[Date]],Database!A:D,2,)</f>
        <v/>
      </c>
      <c r="G792" s="55" t="n"/>
    </row>
    <row r="793">
      <c r="A793" s="54" t="n">
        <v>38018</v>
      </c>
      <c r="B793" s="25">
        <f>VLOOKUP(Table1[[#This Row],[Date]],Database!A:D,3,)</f>
        <v/>
      </c>
      <c r="C793" s="26">
        <f>B793-B792</f>
        <v/>
      </c>
      <c r="D793" s="26">
        <f>AVERAGE(C791:C793)</f>
        <v/>
      </c>
      <c r="E793" s="58">
        <f>VLOOKUP(Table1[[#This Row],[Date]],Database!A:D,4,)</f>
        <v/>
      </c>
      <c r="F793" s="58">
        <f>VLOOKUP(Table1[[#This Row],[Date]],Database!A:D,2,)</f>
        <v/>
      </c>
      <c r="G793" s="55" t="n"/>
    </row>
    <row r="794">
      <c r="A794" s="54" t="n">
        <v>38047</v>
      </c>
      <c r="B794" s="25">
        <f>VLOOKUP(Table1[[#This Row],[Date]],Database!A:D,3,)</f>
        <v/>
      </c>
      <c r="C794" s="26">
        <f>B794-B793</f>
        <v/>
      </c>
      <c r="D794" s="26">
        <f>AVERAGE(C792:C794)</f>
        <v/>
      </c>
      <c r="E794" s="58">
        <f>VLOOKUP(Table1[[#This Row],[Date]],Database!A:D,4,)</f>
        <v/>
      </c>
      <c r="F794" s="58">
        <f>VLOOKUP(Table1[[#This Row],[Date]],Database!A:D,2,)</f>
        <v/>
      </c>
      <c r="G794" s="55" t="n"/>
    </row>
    <row r="795">
      <c r="A795" s="54" t="n">
        <v>38078</v>
      </c>
      <c r="B795" s="25">
        <f>VLOOKUP(Table1[[#This Row],[Date]],Database!A:D,3,)</f>
        <v/>
      </c>
      <c r="C795" s="26">
        <f>B795-B794</f>
        <v/>
      </c>
      <c r="D795" s="26">
        <f>AVERAGE(C793:C795)</f>
        <v/>
      </c>
      <c r="E795" s="58">
        <f>VLOOKUP(Table1[[#This Row],[Date]],Database!A:D,4,)</f>
        <v/>
      </c>
      <c r="F795" s="58">
        <f>VLOOKUP(Table1[[#This Row],[Date]],Database!A:D,2,)</f>
        <v/>
      </c>
      <c r="G795" s="55" t="n"/>
    </row>
    <row r="796">
      <c r="A796" s="54" t="n">
        <v>38108</v>
      </c>
      <c r="B796" s="25">
        <f>VLOOKUP(Table1[[#This Row],[Date]],Database!A:D,3,)</f>
        <v/>
      </c>
      <c r="C796" s="26">
        <f>B796-B795</f>
        <v/>
      </c>
      <c r="D796" s="26">
        <f>AVERAGE(C794:C796)</f>
        <v/>
      </c>
      <c r="E796" s="58">
        <f>VLOOKUP(Table1[[#This Row],[Date]],Database!A:D,4,)</f>
        <v/>
      </c>
      <c r="F796" s="58">
        <f>VLOOKUP(Table1[[#This Row],[Date]],Database!A:D,2,)</f>
        <v/>
      </c>
      <c r="G796" s="55" t="n"/>
    </row>
    <row r="797">
      <c r="A797" s="54" t="n">
        <v>38139</v>
      </c>
      <c r="B797" s="25">
        <f>VLOOKUP(Table1[[#This Row],[Date]],Database!A:D,3,)</f>
        <v/>
      </c>
      <c r="C797" s="26">
        <f>B797-B796</f>
        <v/>
      </c>
      <c r="D797" s="26">
        <f>AVERAGE(C795:C797)</f>
        <v/>
      </c>
      <c r="E797" s="58">
        <f>VLOOKUP(Table1[[#This Row],[Date]],Database!A:D,4,)</f>
        <v/>
      </c>
      <c r="F797" s="58">
        <f>VLOOKUP(Table1[[#This Row],[Date]],Database!A:D,2,)</f>
        <v/>
      </c>
      <c r="G797" s="55" t="n"/>
    </row>
    <row r="798">
      <c r="A798" s="54" t="n">
        <v>38169</v>
      </c>
      <c r="B798" s="25">
        <f>VLOOKUP(Table1[[#This Row],[Date]],Database!A:D,3,)</f>
        <v/>
      </c>
      <c r="C798" s="26">
        <f>B798-B797</f>
        <v/>
      </c>
      <c r="D798" s="26">
        <f>AVERAGE(C796:C798)</f>
        <v/>
      </c>
      <c r="E798" s="58">
        <f>VLOOKUP(Table1[[#This Row],[Date]],Database!A:D,4,)</f>
        <v/>
      </c>
      <c r="F798" s="58">
        <f>VLOOKUP(Table1[[#This Row],[Date]],Database!A:D,2,)</f>
        <v/>
      </c>
      <c r="G798" s="55" t="n"/>
    </row>
    <row r="799">
      <c r="A799" s="54" t="n">
        <v>38200</v>
      </c>
      <c r="B799" s="25">
        <f>VLOOKUP(Table1[[#This Row],[Date]],Database!A:D,3,)</f>
        <v/>
      </c>
      <c r="C799" s="26">
        <f>B799-B798</f>
        <v/>
      </c>
      <c r="D799" s="26">
        <f>AVERAGE(C797:C799)</f>
        <v/>
      </c>
      <c r="E799" s="58">
        <f>VLOOKUP(Table1[[#This Row],[Date]],Database!A:D,4,)</f>
        <v/>
      </c>
      <c r="F799" s="58">
        <f>VLOOKUP(Table1[[#This Row],[Date]],Database!A:D,2,)</f>
        <v/>
      </c>
      <c r="G799" s="55" t="n"/>
    </row>
    <row r="800">
      <c r="A800" s="54" t="n">
        <v>38231</v>
      </c>
      <c r="B800" s="25">
        <f>VLOOKUP(Table1[[#This Row],[Date]],Database!A:D,3,)</f>
        <v/>
      </c>
      <c r="C800" s="26">
        <f>B800-B799</f>
        <v/>
      </c>
      <c r="D800" s="26">
        <f>AVERAGE(C798:C800)</f>
        <v/>
      </c>
      <c r="E800" s="58">
        <f>VLOOKUP(Table1[[#This Row],[Date]],Database!A:D,4,)</f>
        <v/>
      </c>
      <c r="F800" s="58">
        <f>VLOOKUP(Table1[[#This Row],[Date]],Database!A:D,2,)</f>
        <v/>
      </c>
      <c r="G800" s="55" t="n"/>
    </row>
    <row r="801">
      <c r="A801" s="54" t="n">
        <v>38261</v>
      </c>
      <c r="B801" s="25">
        <f>VLOOKUP(Table1[[#This Row],[Date]],Database!A:D,3,)</f>
        <v/>
      </c>
      <c r="C801" s="26">
        <f>B801-B800</f>
        <v/>
      </c>
      <c r="D801" s="26">
        <f>AVERAGE(C799:C801)</f>
        <v/>
      </c>
      <c r="E801" s="58">
        <f>VLOOKUP(Table1[[#This Row],[Date]],Database!A:D,4,)</f>
        <v/>
      </c>
      <c r="F801" s="58">
        <f>VLOOKUP(Table1[[#This Row],[Date]],Database!A:D,2,)</f>
        <v/>
      </c>
      <c r="G801" s="55" t="n"/>
    </row>
    <row r="802">
      <c r="A802" s="54" t="n">
        <v>38292</v>
      </c>
      <c r="B802" s="25">
        <f>VLOOKUP(Table1[[#This Row],[Date]],Database!A:D,3,)</f>
        <v/>
      </c>
      <c r="C802" s="26">
        <f>B802-B801</f>
        <v/>
      </c>
      <c r="D802" s="26">
        <f>AVERAGE(C800:C802)</f>
        <v/>
      </c>
      <c r="E802" s="58">
        <f>VLOOKUP(Table1[[#This Row],[Date]],Database!A:D,4,)</f>
        <v/>
      </c>
      <c r="F802" s="58">
        <f>VLOOKUP(Table1[[#This Row],[Date]],Database!A:D,2,)</f>
        <v/>
      </c>
      <c r="G802" s="55" t="n"/>
    </row>
    <row r="803">
      <c r="A803" s="54" t="n">
        <v>38322</v>
      </c>
      <c r="B803" s="25">
        <f>VLOOKUP(Table1[[#This Row],[Date]],Database!A:D,3,)</f>
        <v/>
      </c>
      <c r="C803" s="26">
        <f>B803-B802</f>
        <v/>
      </c>
      <c r="D803" s="26">
        <f>AVERAGE(C801:C803)</f>
        <v/>
      </c>
      <c r="E803" s="58">
        <f>VLOOKUP(Table1[[#This Row],[Date]],Database!A:D,4,)</f>
        <v/>
      </c>
      <c r="F803" s="58">
        <f>VLOOKUP(Table1[[#This Row],[Date]],Database!A:D,2,)</f>
        <v/>
      </c>
      <c r="G803" s="55" t="n"/>
    </row>
    <row r="804">
      <c r="A804" s="54" t="n">
        <v>38353</v>
      </c>
      <c r="B804" s="25">
        <f>VLOOKUP(Table1[[#This Row],[Date]],Database!A:D,3,)</f>
        <v/>
      </c>
      <c r="C804" s="26">
        <f>B804-B803</f>
        <v/>
      </c>
      <c r="D804" s="26">
        <f>AVERAGE(C802:C804)</f>
        <v/>
      </c>
      <c r="E804" s="58">
        <f>VLOOKUP(Table1[[#This Row],[Date]],Database!A:D,4,)</f>
        <v/>
      </c>
      <c r="F804" s="58">
        <f>VLOOKUP(Table1[[#This Row],[Date]],Database!A:D,2,)</f>
        <v/>
      </c>
      <c r="G804" s="55" t="n"/>
    </row>
    <row r="805">
      <c r="A805" s="54" t="n">
        <v>38384</v>
      </c>
      <c r="B805" s="25">
        <f>VLOOKUP(Table1[[#This Row],[Date]],Database!A:D,3,)</f>
        <v/>
      </c>
      <c r="C805" s="26">
        <f>B805-B804</f>
        <v/>
      </c>
      <c r="D805" s="26">
        <f>AVERAGE(C803:C805)</f>
        <v/>
      </c>
      <c r="E805" s="58">
        <f>VLOOKUP(Table1[[#This Row],[Date]],Database!A:D,4,)</f>
        <v/>
      </c>
      <c r="F805" s="58">
        <f>VLOOKUP(Table1[[#This Row],[Date]],Database!A:D,2,)</f>
        <v/>
      </c>
      <c r="G805" s="55" t="n"/>
    </row>
    <row r="806">
      <c r="A806" s="54" t="n">
        <v>38412</v>
      </c>
      <c r="B806" s="25">
        <f>VLOOKUP(Table1[[#This Row],[Date]],Database!A:D,3,)</f>
        <v/>
      </c>
      <c r="C806" s="26">
        <f>B806-B805</f>
        <v/>
      </c>
      <c r="D806" s="26">
        <f>AVERAGE(C804:C806)</f>
        <v/>
      </c>
      <c r="E806" s="58">
        <f>VLOOKUP(Table1[[#This Row],[Date]],Database!A:D,4,)</f>
        <v/>
      </c>
      <c r="F806" s="58">
        <f>VLOOKUP(Table1[[#This Row],[Date]],Database!A:D,2,)</f>
        <v/>
      </c>
      <c r="G806" s="55" t="n"/>
    </row>
    <row r="807">
      <c r="A807" s="54" t="n">
        <v>38443</v>
      </c>
      <c r="B807" s="25">
        <f>VLOOKUP(Table1[[#This Row],[Date]],Database!A:D,3,)</f>
        <v/>
      </c>
      <c r="C807" s="26">
        <f>B807-B806</f>
        <v/>
      </c>
      <c r="D807" s="26">
        <f>AVERAGE(C805:C807)</f>
        <v/>
      </c>
      <c r="E807" s="58">
        <f>VLOOKUP(Table1[[#This Row],[Date]],Database!A:D,4,)</f>
        <v/>
      </c>
      <c r="F807" s="58">
        <f>VLOOKUP(Table1[[#This Row],[Date]],Database!A:D,2,)</f>
        <v/>
      </c>
      <c r="G807" s="55" t="n"/>
    </row>
    <row r="808">
      <c r="A808" s="54" t="n">
        <v>38473</v>
      </c>
      <c r="B808" s="25">
        <f>VLOOKUP(Table1[[#This Row],[Date]],Database!A:D,3,)</f>
        <v/>
      </c>
      <c r="C808" s="26">
        <f>B808-B807</f>
        <v/>
      </c>
      <c r="D808" s="26">
        <f>AVERAGE(C806:C808)</f>
        <v/>
      </c>
      <c r="E808" s="58">
        <f>VLOOKUP(Table1[[#This Row],[Date]],Database!A:D,4,)</f>
        <v/>
      </c>
      <c r="F808" s="58">
        <f>VLOOKUP(Table1[[#This Row],[Date]],Database!A:D,2,)</f>
        <v/>
      </c>
      <c r="G808" s="55" t="n"/>
    </row>
    <row r="809">
      <c r="A809" s="54" t="n">
        <v>38504</v>
      </c>
      <c r="B809" s="25">
        <f>VLOOKUP(Table1[[#This Row],[Date]],Database!A:D,3,)</f>
        <v/>
      </c>
      <c r="C809" s="26">
        <f>B809-B808</f>
        <v/>
      </c>
      <c r="D809" s="26">
        <f>AVERAGE(C807:C809)</f>
        <v/>
      </c>
      <c r="E809" s="58">
        <f>VLOOKUP(Table1[[#This Row],[Date]],Database!A:D,4,)</f>
        <v/>
      </c>
      <c r="F809" s="58">
        <f>VLOOKUP(Table1[[#This Row],[Date]],Database!A:D,2,)</f>
        <v/>
      </c>
      <c r="G809" s="55" t="n"/>
    </row>
    <row r="810">
      <c r="A810" s="54" t="n">
        <v>38534</v>
      </c>
      <c r="B810" s="25">
        <f>VLOOKUP(Table1[[#This Row],[Date]],Database!A:D,3,)</f>
        <v/>
      </c>
      <c r="C810" s="26">
        <f>B810-B809</f>
        <v/>
      </c>
      <c r="D810" s="26">
        <f>AVERAGE(C808:C810)</f>
        <v/>
      </c>
      <c r="E810" s="58">
        <f>VLOOKUP(Table1[[#This Row],[Date]],Database!A:D,4,)</f>
        <v/>
      </c>
      <c r="F810" s="58">
        <f>VLOOKUP(Table1[[#This Row],[Date]],Database!A:D,2,)</f>
        <v/>
      </c>
      <c r="G810" s="55" t="n"/>
    </row>
    <row r="811">
      <c r="A811" s="54" t="n">
        <v>38565</v>
      </c>
      <c r="B811" s="25">
        <f>VLOOKUP(Table1[[#This Row],[Date]],Database!A:D,3,)</f>
        <v/>
      </c>
      <c r="C811" s="26">
        <f>B811-B810</f>
        <v/>
      </c>
      <c r="D811" s="26">
        <f>AVERAGE(C809:C811)</f>
        <v/>
      </c>
      <c r="E811" s="58">
        <f>VLOOKUP(Table1[[#This Row],[Date]],Database!A:D,4,)</f>
        <v/>
      </c>
      <c r="F811" s="58">
        <f>VLOOKUP(Table1[[#This Row],[Date]],Database!A:D,2,)</f>
        <v/>
      </c>
      <c r="G811" s="55" t="n"/>
    </row>
    <row r="812">
      <c r="A812" s="54" t="n">
        <v>38596</v>
      </c>
      <c r="B812" s="25">
        <f>VLOOKUP(Table1[[#This Row],[Date]],Database!A:D,3,)</f>
        <v/>
      </c>
      <c r="C812" s="26">
        <f>B812-B811</f>
        <v/>
      </c>
      <c r="D812" s="26">
        <f>AVERAGE(C810:C812)</f>
        <v/>
      </c>
      <c r="E812" s="58">
        <f>VLOOKUP(Table1[[#This Row],[Date]],Database!A:D,4,)</f>
        <v/>
      </c>
      <c r="F812" s="58">
        <f>VLOOKUP(Table1[[#This Row],[Date]],Database!A:D,2,)</f>
        <v/>
      </c>
      <c r="G812" s="55" t="n"/>
    </row>
    <row r="813">
      <c r="A813" s="54" t="n">
        <v>38626</v>
      </c>
      <c r="B813" s="25">
        <f>VLOOKUP(Table1[[#This Row],[Date]],Database!A:D,3,)</f>
        <v/>
      </c>
      <c r="C813" s="26">
        <f>B813-B812</f>
        <v/>
      </c>
      <c r="D813" s="26">
        <f>AVERAGE(C811:C813)</f>
        <v/>
      </c>
      <c r="E813" s="58">
        <f>VLOOKUP(Table1[[#This Row],[Date]],Database!A:D,4,)</f>
        <v/>
      </c>
      <c r="F813" s="58">
        <f>VLOOKUP(Table1[[#This Row],[Date]],Database!A:D,2,)</f>
        <v/>
      </c>
      <c r="G813" s="55" t="n"/>
    </row>
    <row r="814">
      <c r="A814" s="54" t="n">
        <v>38657</v>
      </c>
      <c r="B814" s="25">
        <f>VLOOKUP(Table1[[#This Row],[Date]],Database!A:D,3,)</f>
        <v/>
      </c>
      <c r="C814" s="26">
        <f>B814-B813</f>
        <v/>
      </c>
      <c r="D814" s="26">
        <f>AVERAGE(C812:C814)</f>
        <v/>
      </c>
      <c r="E814" s="58">
        <f>VLOOKUP(Table1[[#This Row],[Date]],Database!A:D,4,)</f>
        <v/>
      </c>
      <c r="F814" s="58">
        <f>VLOOKUP(Table1[[#This Row],[Date]],Database!A:D,2,)</f>
        <v/>
      </c>
      <c r="G814" s="55" t="n"/>
    </row>
    <row r="815">
      <c r="A815" s="54" t="n">
        <v>38687</v>
      </c>
      <c r="B815" s="25">
        <f>VLOOKUP(Table1[[#This Row],[Date]],Database!A:D,3,)</f>
        <v/>
      </c>
      <c r="C815" s="26">
        <f>B815-B814</f>
        <v/>
      </c>
      <c r="D815" s="26">
        <f>AVERAGE(C813:C815)</f>
        <v/>
      </c>
      <c r="E815" s="58">
        <f>VLOOKUP(Table1[[#This Row],[Date]],Database!A:D,4,)</f>
        <v/>
      </c>
      <c r="F815" s="58">
        <f>VLOOKUP(Table1[[#This Row],[Date]],Database!A:D,2,)</f>
        <v/>
      </c>
      <c r="G815" s="55" t="n"/>
    </row>
    <row r="816">
      <c r="A816" s="54" t="n">
        <v>38718</v>
      </c>
      <c r="B816" s="25">
        <f>VLOOKUP(Table1[[#This Row],[Date]],Database!A:D,3,)</f>
        <v/>
      </c>
      <c r="C816" s="26">
        <f>B816-B815</f>
        <v/>
      </c>
      <c r="D816" s="26">
        <f>AVERAGE(C814:C816)</f>
        <v/>
      </c>
      <c r="E816" s="58">
        <f>VLOOKUP(Table1[[#This Row],[Date]],Database!A:D,4,)</f>
        <v/>
      </c>
      <c r="F816" s="58">
        <f>VLOOKUP(Table1[[#This Row],[Date]],Database!A:D,2,)</f>
        <v/>
      </c>
      <c r="G816" s="55" t="n"/>
    </row>
    <row r="817">
      <c r="A817" s="54" t="n">
        <v>38749</v>
      </c>
      <c r="B817" s="25">
        <f>VLOOKUP(Table1[[#This Row],[Date]],Database!A:D,3,)</f>
        <v/>
      </c>
      <c r="C817" s="26">
        <f>B817-B816</f>
        <v/>
      </c>
      <c r="D817" s="26">
        <f>AVERAGE(C815:C817)</f>
        <v/>
      </c>
      <c r="E817" s="58">
        <f>VLOOKUP(Table1[[#This Row],[Date]],Database!A:D,4,)</f>
        <v/>
      </c>
      <c r="F817" s="58">
        <f>VLOOKUP(Table1[[#This Row],[Date]],Database!A:D,2,)</f>
        <v/>
      </c>
      <c r="G817" s="55" t="n"/>
    </row>
    <row r="818">
      <c r="A818" s="54" t="n">
        <v>38777</v>
      </c>
      <c r="B818" s="25">
        <f>VLOOKUP(Table1[[#This Row],[Date]],Database!A:D,3,)</f>
        <v/>
      </c>
      <c r="C818" s="26">
        <f>B818-B817</f>
        <v/>
      </c>
      <c r="D818" s="26">
        <f>AVERAGE(C816:C818)</f>
        <v/>
      </c>
      <c r="E818" s="58">
        <f>VLOOKUP(Table1[[#This Row],[Date]],Database!A:D,4,)</f>
        <v/>
      </c>
      <c r="F818" s="58">
        <f>VLOOKUP(Table1[[#This Row],[Date]],Database!A:D,2,)</f>
        <v/>
      </c>
      <c r="G818" s="55" t="n"/>
    </row>
    <row r="819">
      <c r="A819" s="54" t="n">
        <v>38808</v>
      </c>
      <c r="B819" s="25">
        <f>VLOOKUP(Table1[[#This Row],[Date]],Database!A:D,3,)</f>
        <v/>
      </c>
      <c r="C819" s="26">
        <f>B819-B818</f>
        <v/>
      </c>
      <c r="D819" s="26">
        <f>AVERAGE(C817:C819)</f>
        <v/>
      </c>
      <c r="E819" s="58">
        <f>VLOOKUP(Table1[[#This Row],[Date]],Database!A:D,4,)</f>
        <v/>
      </c>
      <c r="F819" s="58">
        <f>VLOOKUP(Table1[[#This Row],[Date]],Database!A:D,2,)</f>
        <v/>
      </c>
      <c r="G819" s="55" t="n"/>
    </row>
    <row r="820">
      <c r="A820" s="54" t="n">
        <v>38838</v>
      </c>
      <c r="B820" s="25">
        <f>VLOOKUP(Table1[[#This Row],[Date]],Database!A:D,3,)</f>
        <v/>
      </c>
      <c r="C820" s="26">
        <f>B820-B819</f>
        <v/>
      </c>
      <c r="D820" s="26">
        <f>AVERAGE(C818:C820)</f>
        <v/>
      </c>
      <c r="E820" s="58">
        <f>VLOOKUP(Table1[[#This Row],[Date]],Database!A:D,4,)</f>
        <v/>
      </c>
      <c r="F820" s="58">
        <f>VLOOKUP(Table1[[#This Row],[Date]],Database!A:D,2,)</f>
        <v/>
      </c>
      <c r="G820" s="55" t="n"/>
    </row>
    <row r="821">
      <c r="A821" s="54" t="n">
        <v>38869</v>
      </c>
      <c r="B821" s="25">
        <f>VLOOKUP(Table1[[#This Row],[Date]],Database!A:D,3,)</f>
        <v/>
      </c>
      <c r="C821" s="26">
        <f>B821-B820</f>
        <v/>
      </c>
      <c r="D821" s="26">
        <f>AVERAGE(C819:C821)</f>
        <v/>
      </c>
      <c r="E821" s="58">
        <f>VLOOKUP(Table1[[#This Row],[Date]],Database!A:D,4,)</f>
        <v/>
      </c>
      <c r="F821" s="58">
        <f>VLOOKUP(Table1[[#This Row],[Date]],Database!A:D,2,)</f>
        <v/>
      </c>
      <c r="G821" s="55" t="n"/>
    </row>
    <row r="822">
      <c r="A822" s="54" t="n">
        <v>38899</v>
      </c>
      <c r="B822" s="25">
        <f>VLOOKUP(Table1[[#This Row],[Date]],Database!A:D,3,)</f>
        <v/>
      </c>
      <c r="C822" s="26">
        <f>B822-B821</f>
        <v/>
      </c>
      <c r="D822" s="26">
        <f>AVERAGE(C820:C822)</f>
        <v/>
      </c>
      <c r="E822" s="58">
        <f>VLOOKUP(Table1[[#This Row],[Date]],Database!A:D,4,)</f>
        <v/>
      </c>
      <c r="F822" s="58">
        <f>VLOOKUP(Table1[[#This Row],[Date]],Database!A:D,2,)</f>
        <v/>
      </c>
      <c r="G822" s="55" t="n"/>
    </row>
    <row r="823">
      <c r="A823" s="54" t="n">
        <v>38930</v>
      </c>
      <c r="B823" s="25">
        <f>VLOOKUP(Table1[[#This Row],[Date]],Database!A:D,3,)</f>
        <v/>
      </c>
      <c r="C823" s="26">
        <f>B823-B822</f>
        <v/>
      </c>
      <c r="D823" s="26">
        <f>AVERAGE(C821:C823)</f>
        <v/>
      </c>
      <c r="E823" s="58">
        <f>VLOOKUP(Table1[[#This Row],[Date]],Database!A:D,4,)</f>
        <v/>
      </c>
      <c r="F823" s="58">
        <f>VLOOKUP(Table1[[#This Row],[Date]],Database!A:D,2,)</f>
        <v/>
      </c>
      <c r="G823" s="55" t="n"/>
    </row>
    <row r="824">
      <c r="A824" s="54" t="n">
        <v>38961</v>
      </c>
      <c r="B824" s="25">
        <f>VLOOKUP(Table1[[#This Row],[Date]],Database!A:D,3,)</f>
        <v/>
      </c>
      <c r="C824" s="26">
        <f>B824-B823</f>
        <v/>
      </c>
      <c r="D824" s="26">
        <f>AVERAGE(C822:C824)</f>
        <v/>
      </c>
      <c r="E824" s="58">
        <f>VLOOKUP(Table1[[#This Row],[Date]],Database!A:D,4,)</f>
        <v/>
      </c>
      <c r="F824" s="58">
        <f>VLOOKUP(Table1[[#This Row],[Date]],Database!A:D,2,)</f>
        <v/>
      </c>
      <c r="G824" s="55" t="n"/>
    </row>
    <row r="825">
      <c r="A825" s="54" t="n">
        <v>38991</v>
      </c>
      <c r="B825" s="25">
        <f>VLOOKUP(Table1[[#This Row],[Date]],Database!A:D,3,)</f>
        <v/>
      </c>
      <c r="C825" s="26">
        <f>B825-B824</f>
        <v/>
      </c>
      <c r="D825" s="26">
        <f>AVERAGE(C823:C825)</f>
        <v/>
      </c>
      <c r="E825" s="58">
        <f>VLOOKUP(Table1[[#This Row],[Date]],Database!A:D,4,)</f>
        <v/>
      </c>
      <c r="F825" s="58">
        <f>VLOOKUP(Table1[[#This Row],[Date]],Database!A:D,2,)</f>
        <v/>
      </c>
      <c r="G825" s="55" t="n"/>
    </row>
    <row r="826">
      <c r="A826" s="54" t="n">
        <v>39022</v>
      </c>
      <c r="B826" s="25">
        <f>VLOOKUP(Table1[[#This Row],[Date]],Database!A:D,3,)</f>
        <v/>
      </c>
      <c r="C826" s="26">
        <f>B826-B825</f>
        <v/>
      </c>
      <c r="D826" s="26">
        <f>AVERAGE(C824:C826)</f>
        <v/>
      </c>
      <c r="E826" s="58">
        <f>VLOOKUP(Table1[[#This Row],[Date]],Database!A:D,4,)</f>
        <v/>
      </c>
      <c r="F826" s="58">
        <f>VLOOKUP(Table1[[#This Row],[Date]],Database!A:D,2,)</f>
        <v/>
      </c>
      <c r="G826" s="55" t="n"/>
    </row>
    <row r="827">
      <c r="A827" s="54" t="n">
        <v>39052</v>
      </c>
      <c r="B827" s="25">
        <f>VLOOKUP(Table1[[#This Row],[Date]],Database!A:D,3,)</f>
        <v/>
      </c>
      <c r="C827" s="26">
        <f>B827-B826</f>
        <v/>
      </c>
      <c r="D827" s="26">
        <f>AVERAGE(C825:C827)</f>
        <v/>
      </c>
      <c r="E827" s="58">
        <f>VLOOKUP(Table1[[#This Row],[Date]],Database!A:D,4,)</f>
        <v/>
      </c>
      <c r="F827" s="58">
        <f>VLOOKUP(Table1[[#This Row],[Date]],Database!A:D,2,)</f>
        <v/>
      </c>
      <c r="G827" s="55" t="n"/>
    </row>
    <row r="828">
      <c r="A828" s="54" t="n">
        <v>39083</v>
      </c>
      <c r="B828" s="25">
        <f>VLOOKUP(Table1[[#This Row],[Date]],Database!A:D,3,)</f>
        <v/>
      </c>
      <c r="C828" s="26">
        <f>B828-B827</f>
        <v/>
      </c>
      <c r="D828" s="26">
        <f>AVERAGE(C826:C828)</f>
        <v/>
      </c>
      <c r="E828" s="58">
        <f>VLOOKUP(Table1[[#This Row],[Date]],Database!A:D,4,)</f>
        <v/>
      </c>
      <c r="F828" s="58">
        <f>VLOOKUP(Table1[[#This Row],[Date]],Database!A:D,2,)</f>
        <v/>
      </c>
      <c r="G828" s="55" t="n"/>
    </row>
    <row r="829">
      <c r="A829" s="54" t="n">
        <v>39114</v>
      </c>
      <c r="B829" s="25">
        <f>VLOOKUP(Table1[[#This Row],[Date]],Database!A:D,3,)</f>
        <v/>
      </c>
      <c r="C829" s="26">
        <f>B829-B828</f>
        <v/>
      </c>
      <c r="D829" s="26">
        <f>AVERAGE(C827:C829)</f>
        <v/>
      </c>
      <c r="E829" s="58">
        <f>VLOOKUP(Table1[[#This Row],[Date]],Database!A:D,4,)</f>
        <v/>
      </c>
      <c r="F829" s="58">
        <f>VLOOKUP(Table1[[#This Row],[Date]],Database!A:D,2,)</f>
        <v/>
      </c>
      <c r="G829" s="55" t="n"/>
    </row>
    <row r="830">
      <c r="A830" s="54" t="n">
        <v>39142</v>
      </c>
      <c r="B830" s="25">
        <f>VLOOKUP(Table1[[#This Row],[Date]],Database!A:D,3,)</f>
        <v/>
      </c>
      <c r="C830" s="26">
        <f>B830-B829</f>
        <v/>
      </c>
      <c r="D830" s="26">
        <f>AVERAGE(C828:C830)</f>
        <v/>
      </c>
      <c r="E830" s="58">
        <f>VLOOKUP(Table1[[#This Row],[Date]],Database!A:D,4,)</f>
        <v/>
      </c>
      <c r="F830" s="58">
        <f>VLOOKUP(Table1[[#This Row],[Date]],Database!A:D,2,)</f>
        <v/>
      </c>
      <c r="G830" s="55" t="n"/>
    </row>
    <row r="831">
      <c r="A831" s="54" t="n">
        <v>39173</v>
      </c>
      <c r="B831" s="25">
        <f>VLOOKUP(Table1[[#This Row],[Date]],Database!A:D,3,)</f>
        <v/>
      </c>
      <c r="C831" s="26">
        <f>B831-B830</f>
        <v/>
      </c>
      <c r="D831" s="26">
        <f>AVERAGE(C829:C831)</f>
        <v/>
      </c>
      <c r="E831" s="58">
        <f>VLOOKUP(Table1[[#This Row],[Date]],Database!A:D,4,)</f>
        <v/>
      </c>
      <c r="F831" s="58">
        <f>VLOOKUP(Table1[[#This Row],[Date]],Database!A:D,2,)</f>
        <v/>
      </c>
      <c r="G831" s="55" t="n"/>
    </row>
    <row r="832">
      <c r="A832" s="54" t="n">
        <v>39203</v>
      </c>
      <c r="B832" s="25">
        <f>VLOOKUP(Table1[[#This Row],[Date]],Database!A:D,3,)</f>
        <v/>
      </c>
      <c r="C832" s="26">
        <f>B832-B831</f>
        <v/>
      </c>
      <c r="D832" s="26">
        <f>AVERAGE(C830:C832)</f>
        <v/>
      </c>
      <c r="E832" s="58">
        <f>VLOOKUP(Table1[[#This Row],[Date]],Database!A:D,4,)</f>
        <v/>
      </c>
      <c r="F832" s="58">
        <f>VLOOKUP(Table1[[#This Row],[Date]],Database!A:D,2,)</f>
        <v/>
      </c>
      <c r="G832" s="55" t="n"/>
    </row>
    <row r="833">
      <c r="A833" s="54" t="n">
        <v>39234</v>
      </c>
      <c r="B833" s="25">
        <f>VLOOKUP(Table1[[#This Row],[Date]],Database!A:D,3,)</f>
        <v/>
      </c>
      <c r="C833" s="26">
        <f>B833-B832</f>
        <v/>
      </c>
      <c r="D833" s="26">
        <f>AVERAGE(C831:C833)</f>
        <v/>
      </c>
      <c r="E833" s="58">
        <f>VLOOKUP(Table1[[#This Row],[Date]],Database!A:D,4,)</f>
        <v/>
      </c>
      <c r="F833" s="58">
        <f>VLOOKUP(Table1[[#This Row],[Date]],Database!A:D,2,)</f>
        <v/>
      </c>
      <c r="G833" s="55" t="n"/>
    </row>
    <row r="834">
      <c r="A834" s="54" t="n">
        <v>39264</v>
      </c>
      <c r="B834" s="25">
        <f>VLOOKUP(Table1[[#This Row],[Date]],Database!A:D,3,)</f>
        <v/>
      </c>
      <c r="C834" s="26">
        <f>B834-B833</f>
        <v/>
      </c>
      <c r="D834" s="26">
        <f>AVERAGE(C832:C834)</f>
        <v/>
      </c>
      <c r="E834" s="58">
        <f>VLOOKUP(Table1[[#This Row],[Date]],Database!A:D,4,)</f>
        <v/>
      </c>
      <c r="F834" s="58">
        <f>VLOOKUP(Table1[[#This Row],[Date]],Database!A:D,2,)</f>
        <v/>
      </c>
      <c r="G834" s="55" t="n"/>
    </row>
    <row r="835">
      <c r="A835" s="54" t="n">
        <v>39295</v>
      </c>
      <c r="B835" s="25">
        <f>VLOOKUP(Table1[[#This Row],[Date]],Database!A:D,3,)</f>
        <v/>
      </c>
      <c r="C835" s="26">
        <f>B835-B834</f>
        <v/>
      </c>
      <c r="D835" s="26">
        <f>AVERAGE(C833:C835)</f>
        <v/>
      </c>
      <c r="E835" s="58">
        <f>VLOOKUP(Table1[[#This Row],[Date]],Database!A:D,4,)</f>
        <v/>
      </c>
      <c r="F835" s="58">
        <f>VLOOKUP(Table1[[#This Row],[Date]],Database!A:D,2,)</f>
        <v/>
      </c>
      <c r="G835" s="55" t="n"/>
    </row>
    <row r="836">
      <c r="A836" s="54" t="n">
        <v>39326</v>
      </c>
      <c r="B836" s="25">
        <f>VLOOKUP(Table1[[#This Row],[Date]],Database!A:D,3,)</f>
        <v/>
      </c>
      <c r="C836" s="26">
        <f>B836-B835</f>
        <v/>
      </c>
      <c r="D836" s="26">
        <f>AVERAGE(C834:C836)</f>
        <v/>
      </c>
      <c r="E836" s="58">
        <f>VLOOKUP(Table1[[#This Row],[Date]],Database!A:D,4,)</f>
        <v/>
      </c>
      <c r="F836" s="58">
        <f>VLOOKUP(Table1[[#This Row],[Date]],Database!A:D,2,)</f>
        <v/>
      </c>
      <c r="G836" s="55" t="n"/>
    </row>
    <row r="837">
      <c r="A837" s="54" t="n">
        <v>39356</v>
      </c>
      <c r="B837" s="25">
        <f>VLOOKUP(Table1[[#This Row],[Date]],Database!A:D,3,)</f>
        <v/>
      </c>
      <c r="C837" s="26">
        <f>B837-B836</f>
        <v/>
      </c>
      <c r="D837" s="26">
        <f>AVERAGE(C835:C837)</f>
        <v/>
      </c>
      <c r="E837" s="58">
        <f>VLOOKUP(Table1[[#This Row],[Date]],Database!A:D,4,)</f>
        <v/>
      </c>
      <c r="F837" s="58">
        <f>VLOOKUP(Table1[[#This Row],[Date]],Database!A:D,2,)</f>
        <v/>
      </c>
      <c r="G837" s="55" t="n"/>
    </row>
    <row r="838">
      <c r="A838" s="54" t="n">
        <v>39387</v>
      </c>
      <c r="B838" s="25">
        <f>VLOOKUP(Table1[[#This Row],[Date]],Database!A:D,3,)</f>
        <v/>
      </c>
      <c r="C838" s="26">
        <f>B838-B837</f>
        <v/>
      </c>
      <c r="D838" s="26">
        <f>AVERAGE(C836:C838)</f>
        <v/>
      </c>
      <c r="E838" s="58">
        <f>VLOOKUP(Table1[[#This Row],[Date]],Database!A:D,4,)</f>
        <v/>
      </c>
      <c r="F838" s="58">
        <f>VLOOKUP(Table1[[#This Row],[Date]],Database!A:D,2,)</f>
        <v/>
      </c>
      <c r="G838" s="55" t="n"/>
    </row>
    <row r="839">
      <c r="A839" s="54" t="n">
        <v>39417</v>
      </c>
      <c r="B839" s="25">
        <f>VLOOKUP(Table1[[#This Row],[Date]],Database!A:D,3,)</f>
        <v/>
      </c>
      <c r="C839" s="26">
        <f>B839-B838</f>
        <v/>
      </c>
      <c r="D839" s="26">
        <f>AVERAGE(C837:C839)</f>
        <v/>
      </c>
      <c r="E839" s="58">
        <f>VLOOKUP(Table1[[#This Row],[Date]],Database!A:D,4,)</f>
        <v/>
      </c>
      <c r="F839" s="58">
        <f>VLOOKUP(Table1[[#This Row],[Date]],Database!A:D,2,)</f>
        <v/>
      </c>
      <c r="G839" s="55" t="n"/>
    </row>
    <row r="840">
      <c r="A840" s="54" t="n">
        <v>39448</v>
      </c>
      <c r="B840" s="25">
        <f>VLOOKUP(Table1[[#This Row],[Date]],Database!A:D,3,)</f>
        <v/>
      </c>
      <c r="C840" s="26">
        <f>B840-B839</f>
        <v/>
      </c>
      <c r="D840" s="26">
        <f>AVERAGE(C838:C840)</f>
        <v/>
      </c>
      <c r="E840" s="58">
        <f>VLOOKUP(Table1[[#This Row],[Date]],Database!A:D,4,)</f>
        <v/>
      </c>
      <c r="F840" s="58">
        <f>VLOOKUP(Table1[[#This Row],[Date]],Database!A:D,2,)</f>
        <v/>
      </c>
      <c r="G840" s="55" t="n"/>
    </row>
    <row r="841">
      <c r="A841" s="54" t="n">
        <v>39479</v>
      </c>
      <c r="B841" s="25">
        <f>VLOOKUP(Table1[[#This Row],[Date]],Database!A:D,3,)</f>
        <v/>
      </c>
      <c r="C841" s="26">
        <f>B841-B840</f>
        <v/>
      </c>
      <c r="D841" s="26">
        <f>AVERAGE(C839:C841)</f>
        <v/>
      </c>
      <c r="E841" s="58">
        <f>VLOOKUP(Table1[[#This Row],[Date]],Database!A:D,4,)</f>
        <v/>
      </c>
      <c r="F841" s="58">
        <f>VLOOKUP(Table1[[#This Row],[Date]],Database!A:D,2,)</f>
        <v/>
      </c>
      <c r="G841" s="55" t="n"/>
    </row>
    <row r="842">
      <c r="A842" s="54" t="n">
        <v>39508</v>
      </c>
      <c r="B842" s="25">
        <f>VLOOKUP(Table1[[#This Row],[Date]],Database!A:D,3,)</f>
        <v/>
      </c>
      <c r="C842" s="26">
        <f>B842-B841</f>
        <v/>
      </c>
      <c r="D842" s="26">
        <f>AVERAGE(C840:C842)</f>
        <v/>
      </c>
      <c r="E842" s="58">
        <f>VLOOKUP(Table1[[#This Row],[Date]],Database!A:D,4,)</f>
        <v/>
      </c>
      <c r="F842" s="58">
        <f>VLOOKUP(Table1[[#This Row],[Date]],Database!A:D,2,)</f>
        <v/>
      </c>
      <c r="G842" s="55" t="n"/>
    </row>
    <row r="843">
      <c r="A843" s="54" t="n">
        <v>39539</v>
      </c>
      <c r="B843" s="25">
        <f>VLOOKUP(Table1[[#This Row],[Date]],Database!A:D,3,)</f>
        <v/>
      </c>
      <c r="C843" s="26">
        <f>B843-B842</f>
        <v/>
      </c>
      <c r="D843" s="26">
        <f>AVERAGE(C841:C843)</f>
        <v/>
      </c>
      <c r="E843" s="58">
        <f>VLOOKUP(Table1[[#This Row],[Date]],Database!A:D,4,)</f>
        <v/>
      </c>
      <c r="F843" s="58">
        <f>VLOOKUP(Table1[[#This Row],[Date]],Database!A:D,2,)</f>
        <v/>
      </c>
      <c r="G843" s="55" t="n"/>
    </row>
    <row r="844">
      <c r="A844" s="54" t="n">
        <v>39569</v>
      </c>
      <c r="B844" s="25">
        <f>VLOOKUP(Table1[[#This Row],[Date]],Database!A:D,3,)</f>
        <v/>
      </c>
      <c r="C844" s="26">
        <f>B844-B843</f>
        <v/>
      </c>
      <c r="D844" s="26">
        <f>AVERAGE(C842:C844)</f>
        <v/>
      </c>
      <c r="E844" s="58">
        <f>VLOOKUP(Table1[[#This Row],[Date]],Database!A:D,4,)</f>
        <v/>
      </c>
      <c r="F844" s="58">
        <f>VLOOKUP(Table1[[#This Row],[Date]],Database!A:D,2,)</f>
        <v/>
      </c>
      <c r="G844" s="55" t="n"/>
    </row>
    <row r="845">
      <c r="A845" s="54" t="n">
        <v>39600</v>
      </c>
      <c r="B845" s="25">
        <f>VLOOKUP(Table1[[#This Row],[Date]],Database!A:D,3,)</f>
        <v/>
      </c>
      <c r="C845" s="26">
        <f>B845-B844</f>
        <v/>
      </c>
      <c r="D845" s="26">
        <f>AVERAGE(C843:C845)</f>
        <v/>
      </c>
      <c r="E845" s="58">
        <f>VLOOKUP(Table1[[#This Row],[Date]],Database!A:D,4,)</f>
        <v/>
      </c>
      <c r="F845" s="58">
        <f>VLOOKUP(Table1[[#This Row],[Date]],Database!A:D,2,)</f>
        <v/>
      </c>
      <c r="G845" s="55" t="n"/>
    </row>
    <row r="846">
      <c r="A846" s="54" t="n">
        <v>39630</v>
      </c>
      <c r="B846" s="25">
        <f>VLOOKUP(Table1[[#This Row],[Date]],Database!A:D,3,)</f>
        <v/>
      </c>
      <c r="C846" s="26">
        <f>B846-B845</f>
        <v/>
      </c>
      <c r="D846" s="26">
        <f>AVERAGE(C844:C846)</f>
        <v/>
      </c>
      <c r="E846" s="58">
        <f>VLOOKUP(Table1[[#This Row],[Date]],Database!A:D,4,)</f>
        <v/>
      </c>
      <c r="F846" s="58">
        <f>VLOOKUP(Table1[[#This Row],[Date]],Database!A:D,2,)</f>
        <v/>
      </c>
      <c r="G846" s="55" t="n"/>
    </row>
    <row r="847">
      <c r="A847" s="54" t="n">
        <v>39661</v>
      </c>
      <c r="B847" s="25">
        <f>VLOOKUP(Table1[[#This Row],[Date]],Database!A:D,3,)</f>
        <v/>
      </c>
      <c r="C847" s="26">
        <f>B847-B846</f>
        <v/>
      </c>
      <c r="D847" s="26">
        <f>AVERAGE(C845:C847)</f>
        <v/>
      </c>
      <c r="E847" s="58">
        <f>VLOOKUP(Table1[[#This Row],[Date]],Database!A:D,4,)</f>
        <v/>
      </c>
      <c r="F847" s="58">
        <f>VLOOKUP(Table1[[#This Row],[Date]],Database!A:D,2,)</f>
        <v/>
      </c>
      <c r="G847" s="55" t="n"/>
    </row>
    <row r="848">
      <c r="A848" s="54" t="n">
        <v>39692</v>
      </c>
      <c r="B848" s="25">
        <f>VLOOKUP(Table1[[#This Row],[Date]],Database!A:D,3,)</f>
        <v/>
      </c>
      <c r="C848" s="26">
        <f>B848-B847</f>
        <v/>
      </c>
      <c r="D848" s="26">
        <f>AVERAGE(C846:C848)</f>
        <v/>
      </c>
      <c r="E848" s="58">
        <f>VLOOKUP(Table1[[#This Row],[Date]],Database!A:D,4,)</f>
        <v/>
      </c>
      <c r="F848" s="58">
        <f>VLOOKUP(Table1[[#This Row],[Date]],Database!A:D,2,)</f>
        <v/>
      </c>
      <c r="G848" s="55" t="n"/>
    </row>
    <row r="849">
      <c r="A849" s="54" t="n">
        <v>39722</v>
      </c>
      <c r="B849" s="25">
        <f>VLOOKUP(Table1[[#This Row],[Date]],Database!A:D,3,)</f>
        <v/>
      </c>
      <c r="C849" s="26">
        <f>B849-B848</f>
        <v/>
      </c>
      <c r="D849" s="26">
        <f>AVERAGE(C847:C849)</f>
        <v/>
      </c>
      <c r="E849" s="58">
        <f>VLOOKUP(Table1[[#This Row],[Date]],Database!A:D,4,)</f>
        <v/>
      </c>
      <c r="F849" s="58">
        <f>VLOOKUP(Table1[[#This Row],[Date]],Database!A:D,2,)</f>
        <v/>
      </c>
      <c r="G849" s="55" t="n"/>
    </row>
    <row r="850">
      <c r="A850" s="54" t="n">
        <v>39753</v>
      </c>
      <c r="B850" s="25">
        <f>VLOOKUP(Table1[[#This Row],[Date]],Database!A:D,3,)</f>
        <v/>
      </c>
      <c r="C850" s="26">
        <f>B850-B849</f>
        <v/>
      </c>
      <c r="D850" s="26">
        <f>AVERAGE(C848:C850)</f>
        <v/>
      </c>
      <c r="E850" s="58">
        <f>VLOOKUP(Table1[[#This Row],[Date]],Database!A:D,4,)</f>
        <v/>
      </c>
      <c r="F850" s="58">
        <f>VLOOKUP(Table1[[#This Row],[Date]],Database!A:D,2,)</f>
        <v/>
      </c>
      <c r="G850" s="55" t="n"/>
    </row>
    <row r="851">
      <c r="A851" s="54" t="n">
        <v>39783</v>
      </c>
      <c r="B851" s="25">
        <f>VLOOKUP(Table1[[#This Row],[Date]],Database!A:D,3,)</f>
        <v/>
      </c>
      <c r="C851" s="26">
        <f>B851-B850</f>
        <v/>
      </c>
      <c r="D851" s="26">
        <f>AVERAGE(C849:C851)</f>
        <v/>
      </c>
      <c r="E851" s="58">
        <f>VLOOKUP(Table1[[#This Row],[Date]],Database!A:D,4,)</f>
        <v/>
      </c>
      <c r="F851" s="58">
        <f>VLOOKUP(Table1[[#This Row],[Date]],Database!A:D,2,)</f>
        <v/>
      </c>
      <c r="G851" s="55" t="n"/>
    </row>
    <row r="852">
      <c r="A852" s="54" t="n">
        <v>39814</v>
      </c>
      <c r="B852" s="25">
        <f>VLOOKUP(Table1[[#This Row],[Date]],Database!A:D,3,)</f>
        <v/>
      </c>
      <c r="C852" s="26">
        <f>B852-B851</f>
        <v/>
      </c>
      <c r="D852" s="26">
        <f>AVERAGE(C850:C852)</f>
        <v/>
      </c>
      <c r="E852" s="58">
        <f>VLOOKUP(Table1[[#This Row],[Date]],Database!A:D,4,)</f>
        <v/>
      </c>
      <c r="F852" s="58">
        <f>VLOOKUP(Table1[[#This Row],[Date]],Database!A:D,2,)</f>
        <v/>
      </c>
      <c r="G852" s="55" t="n"/>
    </row>
    <row r="853">
      <c r="A853" s="54" t="n">
        <v>39845</v>
      </c>
      <c r="B853" s="25">
        <f>VLOOKUP(Table1[[#This Row],[Date]],Database!A:D,3,)</f>
        <v/>
      </c>
      <c r="C853" s="26">
        <f>B853-B852</f>
        <v/>
      </c>
      <c r="D853" s="26">
        <f>AVERAGE(C851:C853)</f>
        <v/>
      </c>
      <c r="E853" s="58">
        <f>VLOOKUP(Table1[[#This Row],[Date]],Database!A:D,4,)</f>
        <v/>
      </c>
      <c r="F853" s="58">
        <f>VLOOKUP(Table1[[#This Row],[Date]],Database!A:D,2,)</f>
        <v/>
      </c>
      <c r="G853" s="55" t="n"/>
    </row>
    <row r="854">
      <c r="A854" s="54" t="n">
        <v>39873</v>
      </c>
      <c r="B854" s="25">
        <f>VLOOKUP(Table1[[#This Row],[Date]],Database!A:D,3,)</f>
        <v/>
      </c>
      <c r="C854" s="26">
        <f>B854-B853</f>
        <v/>
      </c>
      <c r="D854" s="26">
        <f>AVERAGE(C852:C854)</f>
        <v/>
      </c>
      <c r="E854" s="58">
        <f>VLOOKUP(Table1[[#This Row],[Date]],Database!A:D,4,)</f>
        <v/>
      </c>
      <c r="F854" s="58">
        <f>VLOOKUP(Table1[[#This Row],[Date]],Database!A:D,2,)</f>
        <v/>
      </c>
      <c r="G854" s="55" t="n"/>
    </row>
    <row r="855">
      <c r="A855" s="54" t="n">
        <v>39904</v>
      </c>
      <c r="B855" s="25">
        <f>VLOOKUP(Table1[[#This Row],[Date]],Database!A:D,3,)</f>
        <v/>
      </c>
      <c r="C855" s="26">
        <f>B855-B854</f>
        <v/>
      </c>
      <c r="D855" s="26">
        <f>AVERAGE(C853:C855)</f>
        <v/>
      </c>
      <c r="E855" s="58">
        <f>VLOOKUP(Table1[[#This Row],[Date]],Database!A:D,4,)</f>
        <v/>
      </c>
      <c r="F855" s="58">
        <f>VLOOKUP(Table1[[#This Row],[Date]],Database!A:D,2,)</f>
        <v/>
      </c>
      <c r="G855" s="55" t="n"/>
    </row>
    <row r="856">
      <c r="A856" s="54" t="n">
        <v>39934</v>
      </c>
      <c r="B856" s="25">
        <f>VLOOKUP(Table1[[#This Row],[Date]],Database!A:D,3,)</f>
        <v/>
      </c>
      <c r="C856" s="26">
        <f>B856-B855</f>
        <v/>
      </c>
      <c r="D856" s="26">
        <f>AVERAGE(C854:C856)</f>
        <v/>
      </c>
      <c r="E856" s="58">
        <f>VLOOKUP(Table1[[#This Row],[Date]],Database!A:D,4,)</f>
        <v/>
      </c>
      <c r="F856" s="58">
        <f>VLOOKUP(Table1[[#This Row],[Date]],Database!A:D,2,)</f>
        <v/>
      </c>
      <c r="G856" s="55" t="n"/>
    </row>
    <row r="857">
      <c r="A857" s="54" t="n">
        <v>39965</v>
      </c>
      <c r="B857" s="25">
        <f>VLOOKUP(Table1[[#This Row],[Date]],Database!A:D,3,)</f>
        <v/>
      </c>
      <c r="C857" s="26">
        <f>B857-B856</f>
        <v/>
      </c>
      <c r="D857" s="26">
        <f>AVERAGE(C855:C857)</f>
        <v/>
      </c>
      <c r="E857" s="58">
        <f>VLOOKUP(Table1[[#This Row],[Date]],Database!A:D,4,)</f>
        <v/>
      </c>
      <c r="F857" s="58">
        <f>VLOOKUP(Table1[[#This Row],[Date]],Database!A:D,2,)</f>
        <v/>
      </c>
      <c r="G857" s="55" t="n"/>
    </row>
    <row r="858">
      <c r="A858" s="54" t="n">
        <v>39995</v>
      </c>
      <c r="B858" s="25">
        <f>VLOOKUP(Table1[[#This Row],[Date]],Database!A:D,3,)</f>
        <v/>
      </c>
      <c r="C858" s="26">
        <f>B858-B857</f>
        <v/>
      </c>
      <c r="D858" s="26">
        <f>AVERAGE(C856:C858)</f>
        <v/>
      </c>
      <c r="E858" s="58">
        <f>VLOOKUP(Table1[[#This Row],[Date]],Database!A:D,4,)</f>
        <v/>
      </c>
      <c r="F858" s="58">
        <f>VLOOKUP(Table1[[#This Row],[Date]],Database!A:D,2,)</f>
        <v/>
      </c>
      <c r="G858" s="55" t="n"/>
    </row>
    <row r="859">
      <c r="A859" s="54" t="n">
        <v>40026</v>
      </c>
      <c r="B859" s="25">
        <f>VLOOKUP(Table1[[#This Row],[Date]],Database!A:D,3,)</f>
        <v/>
      </c>
      <c r="C859" s="26">
        <f>B859-B858</f>
        <v/>
      </c>
      <c r="D859" s="26">
        <f>AVERAGE(C857:C859)</f>
        <v/>
      </c>
      <c r="E859" s="58">
        <f>VLOOKUP(Table1[[#This Row],[Date]],Database!A:D,4,)</f>
        <v/>
      </c>
      <c r="F859" s="58">
        <f>VLOOKUP(Table1[[#This Row],[Date]],Database!A:D,2,)</f>
        <v/>
      </c>
      <c r="G859" s="55" t="n"/>
    </row>
    <row r="860">
      <c r="A860" s="54" t="n">
        <v>40057</v>
      </c>
      <c r="B860" s="25">
        <f>VLOOKUP(Table1[[#This Row],[Date]],Database!A:D,3,)</f>
        <v/>
      </c>
      <c r="C860" s="26">
        <f>B860-B859</f>
        <v/>
      </c>
      <c r="D860" s="26">
        <f>AVERAGE(C858:C860)</f>
        <v/>
      </c>
      <c r="E860" s="58">
        <f>VLOOKUP(Table1[[#This Row],[Date]],Database!A:D,4,)</f>
        <v/>
      </c>
      <c r="F860" s="58">
        <f>VLOOKUP(Table1[[#This Row],[Date]],Database!A:D,2,)</f>
        <v/>
      </c>
      <c r="G860" s="55" t="n"/>
    </row>
    <row r="861">
      <c r="A861" s="54" t="n">
        <v>40087</v>
      </c>
      <c r="B861" s="25">
        <f>VLOOKUP(Table1[[#This Row],[Date]],Database!A:D,3,)</f>
        <v/>
      </c>
      <c r="C861" s="26">
        <f>B861-B860</f>
        <v/>
      </c>
      <c r="D861" s="26">
        <f>AVERAGE(C859:C861)</f>
        <v/>
      </c>
      <c r="E861" s="58">
        <f>VLOOKUP(Table1[[#This Row],[Date]],Database!A:D,4,)</f>
        <v/>
      </c>
      <c r="F861" s="58">
        <f>VLOOKUP(Table1[[#This Row],[Date]],Database!A:D,2,)</f>
        <v/>
      </c>
      <c r="G861" s="55" t="n"/>
    </row>
    <row r="862">
      <c r="A862" s="54" t="n">
        <v>40118</v>
      </c>
      <c r="B862" s="25">
        <f>VLOOKUP(Table1[[#This Row],[Date]],Database!A:D,3,)</f>
        <v/>
      </c>
      <c r="C862" s="26">
        <f>B862-B861</f>
        <v/>
      </c>
      <c r="D862" s="26">
        <f>AVERAGE(C860:C862)</f>
        <v/>
      </c>
      <c r="E862" s="58">
        <f>VLOOKUP(Table1[[#This Row],[Date]],Database!A:D,4,)</f>
        <v/>
      </c>
      <c r="F862" s="58">
        <f>VLOOKUP(Table1[[#This Row],[Date]],Database!A:D,2,)</f>
        <v/>
      </c>
      <c r="G862" s="55" t="n"/>
    </row>
    <row r="863">
      <c r="A863" s="54" t="n">
        <v>40148</v>
      </c>
      <c r="B863" s="25">
        <f>VLOOKUP(Table1[[#This Row],[Date]],Database!A:D,3,)</f>
        <v/>
      </c>
      <c r="C863" s="26">
        <f>B863-B862</f>
        <v/>
      </c>
      <c r="D863" s="26">
        <f>AVERAGE(C861:C863)</f>
        <v/>
      </c>
      <c r="E863" s="58">
        <f>VLOOKUP(Table1[[#This Row],[Date]],Database!A:D,4,)</f>
        <v/>
      </c>
      <c r="F863" s="58">
        <f>VLOOKUP(Table1[[#This Row],[Date]],Database!A:D,2,)</f>
        <v/>
      </c>
      <c r="G863" s="55" t="n"/>
    </row>
    <row r="864">
      <c r="A864" s="54" t="n">
        <v>40179</v>
      </c>
      <c r="B864" s="25">
        <f>VLOOKUP(Table1[[#This Row],[Date]],Database!A:D,3,)</f>
        <v/>
      </c>
      <c r="C864" s="26">
        <f>B864-B863</f>
        <v/>
      </c>
      <c r="D864" s="26">
        <f>AVERAGE(C862:C864)</f>
        <v/>
      </c>
      <c r="E864" s="58">
        <f>VLOOKUP(Table1[[#This Row],[Date]],Database!A:D,4,)</f>
        <v/>
      </c>
      <c r="F864" s="58">
        <f>VLOOKUP(Table1[[#This Row],[Date]],Database!A:D,2,)</f>
        <v/>
      </c>
      <c r="G864" s="55" t="n"/>
    </row>
    <row r="865">
      <c r="A865" s="54" t="n">
        <v>40210</v>
      </c>
      <c r="B865" s="25">
        <f>VLOOKUP(Table1[[#This Row],[Date]],Database!A:D,3,)</f>
        <v/>
      </c>
      <c r="C865" s="26">
        <f>B865-B864</f>
        <v/>
      </c>
      <c r="D865" s="26">
        <f>AVERAGE(C863:C865)</f>
        <v/>
      </c>
      <c r="E865" s="58">
        <f>VLOOKUP(Table1[[#This Row],[Date]],Database!A:D,4,)</f>
        <v/>
      </c>
      <c r="F865" s="58">
        <f>VLOOKUP(Table1[[#This Row],[Date]],Database!A:D,2,)</f>
        <v/>
      </c>
      <c r="G865" s="55" t="n"/>
    </row>
    <row r="866">
      <c r="A866" s="54" t="n">
        <v>40238</v>
      </c>
      <c r="B866" s="25">
        <f>VLOOKUP(Table1[[#This Row],[Date]],Database!A:D,3,)</f>
        <v/>
      </c>
      <c r="C866" s="26">
        <f>B866-B865</f>
        <v/>
      </c>
      <c r="D866" s="26">
        <f>AVERAGE(C864:C866)</f>
        <v/>
      </c>
      <c r="E866" s="58">
        <f>VLOOKUP(Table1[[#This Row],[Date]],Database!A:D,4,)</f>
        <v/>
      </c>
      <c r="F866" s="58">
        <f>VLOOKUP(Table1[[#This Row],[Date]],Database!A:D,2,)</f>
        <v/>
      </c>
      <c r="G866" s="55" t="n"/>
    </row>
    <row r="867">
      <c r="A867" s="54" t="n">
        <v>40269</v>
      </c>
      <c r="B867" s="25">
        <f>VLOOKUP(Table1[[#This Row],[Date]],Database!A:D,3,)</f>
        <v/>
      </c>
      <c r="C867" s="26">
        <f>B867-B866</f>
        <v/>
      </c>
      <c r="D867" s="26">
        <f>AVERAGE(C865:C867)</f>
        <v/>
      </c>
      <c r="E867" s="58">
        <f>VLOOKUP(Table1[[#This Row],[Date]],Database!A:D,4,)</f>
        <v/>
      </c>
      <c r="F867" s="58">
        <f>VLOOKUP(Table1[[#This Row],[Date]],Database!A:D,2,)</f>
        <v/>
      </c>
      <c r="G867" s="55" t="n"/>
    </row>
    <row r="868">
      <c r="A868" s="54" t="n">
        <v>40299</v>
      </c>
      <c r="B868" s="25">
        <f>VLOOKUP(Table1[[#This Row],[Date]],Database!A:D,3,)</f>
        <v/>
      </c>
      <c r="C868" s="26">
        <f>B868-B867</f>
        <v/>
      </c>
      <c r="D868" s="26">
        <f>AVERAGE(C866:C868)</f>
        <v/>
      </c>
      <c r="E868" s="58">
        <f>VLOOKUP(Table1[[#This Row],[Date]],Database!A:D,4,)</f>
        <v/>
      </c>
      <c r="F868" s="58">
        <f>VLOOKUP(Table1[[#This Row],[Date]],Database!A:D,2,)</f>
        <v/>
      </c>
      <c r="G868" s="55" t="n"/>
    </row>
    <row r="869">
      <c r="A869" s="54" t="n">
        <v>40330</v>
      </c>
      <c r="B869" s="25">
        <f>VLOOKUP(Table1[[#This Row],[Date]],Database!A:D,3,)</f>
        <v/>
      </c>
      <c r="C869" s="26">
        <f>B869-B868</f>
        <v/>
      </c>
      <c r="D869" s="26">
        <f>AVERAGE(C867:C869)</f>
        <v/>
      </c>
      <c r="E869" s="58">
        <f>VLOOKUP(Table1[[#This Row],[Date]],Database!A:D,4,)</f>
        <v/>
      </c>
      <c r="F869" s="58">
        <f>VLOOKUP(Table1[[#This Row],[Date]],Database!A:D,2,)</f>
        <v/>
      </c>
      <c r="G869" s="55" t="n"/>
    </row>
    <row r="870">
      <c r="A870" s="54" t="n">
        <v>40360</v>
      </c>
      <c r="B870" s="25">
        <f>VLOOKUP(Table1[[#This Row],[Date]],Database!A:D,3,)</f>
        <v/>
      </c>
      <c r="C870" s="26">
        <f>B870-B869</f>
        <v/>
      </c>
      <c r="D870" s="26">
        <f>AVERAGE(C868:C870)</f>
        <v/>
      </c>
      <c r="E870" s="58">
        <f>VLOOKUP(Table1[[#This Row],[Date]],Database!A:D,4,)</f>
        <v/>
      </c>
      <c r="F870" s="58">
        <f>VLOOKUP(Table1[[#This Row],[Date]],Database!A:D,2,)</f>
        <v/>
      </c>
      <c r="G870" s="55" t="n"/>
    </row>
    <row r="871">
      <c r="A871" s="54" t="n">
        <v>40391</v>
      </c>
      <c r="B871" s="25">
        <f>VLOOKUP(Table1[[#This Row],[Date]],Database!A:D,3,)</f>
        <v/>
      </c>
      <c r="C871" s="26">
        <f>B871-B870</f>
        <v/>
      </c>
      <c r="D871" s="26">
        <f>AVERAGE(C869:C871)</f>
        <v/>
      </c>
      <c r="E871" s="58">
        <f>VLOOKUP(Table1[[#This Row],[Date]],Database!A:D,4,)</f>
        <v/>
      </c>
      <c r="F871" s="58">
        <f>VLOOKUP(Table1[[#This Row],[Date]],Database!A:D,2,)</f>
        <v/>
      </c>
      <c r="G871" s="55" t="n"/>
    </row>
    <row r="872">
      <c r="A872" s="54" t="n">
        <v>40422</v>
      </c>
      <c r="B872" s="25">
        <f>VLOOKUP(Table1[[#This Row],[Date]],Database!A:D,3,)</f>
        <v/>
      </c>
      <c r="C872" s="26">
        <f>B872-B871</f>
        <v/>
      </c>
      <c r="D872" s="26">
        <f>AVERAGE(C870:C872)</f>
        <v/>
      </c>
      <c r="E872" s="58">
        <f>VLOOKUP(Table1[[#This Row],[Date]],Database!A:D,4,)</f>
        <v/>
      </c>
      <c r="F872" s="58">
        <f>VLOOKUP(Table1[[#This Row],[Date]],Database!A:D,2,)</f>
        <v/>
      </c>
      <c r="G872" s="55" t="n"/>
    </row>
    <row r="873">
      <c r="A873" s="54" t="n">
        <v>40452</v>
      </c>
      <c r="B873" s="25">
        <f>VLOOKUP(Table1[[#This Row],[Date]],Database!A:D,3,)</f>
        <v/>
      </c>
      <c r="C873" s="26">
        <f>B873-B872</f>
        <v/>
      </c>
      <c r="D873" s="26">
        <f>AVERAGE(C871:C873)</f>
        <v/>
      </c>
      <c r="E873" s="58">
        <f>VLOOKUP(Table1[[#This Row],[Date]],Database!A:D,4,)</f>
        <v/>
      </c>
      <c r="F873" s="58">
        <f>VLOOKUP(Table1[[#This Row],[Date]],Database!A:D,2,)</f>
        <v/>
      </c>
      <c r="G873" s="55" t="n"/>
    </row>
    <row r="874">
      <c r="A874" s="54" t="n">
        <v>40483</v>
      </c>
      <c r="B874" s="25">
        <f>VLOOKUP(Table1[[#This Row],[Date]],Database!A:D,3,)</f>
        <v/>
      </c>
      <c r="C874" s="26">
        <f>B874-B873</f>
        <v/>
      </c>
      <c r="D874" s="26">
        <f>AVERAGE(C872:C874)</f>
        <v/>
      </c>
      <c r="E874" s="58">
        <f>VLOOKUP(Table1[[#This Row],[Date]],Database!A:D,4,)</f>
        <v/>
      </c>
      <c r="F874" s="58">
        <f>VLOOKUP(Table1[[#This Row],[Date]],Database!A:D,2,)</f>
        <v/>
      </c>
      <c r="G874" s="55" t="n"/>
    </row>
    <row r="875">
      <c r="A875" s="54" t="n">
        <v>40513</v>
      </c>
      <c r="B875" s="25">
        <f>VLOOKUP(Table1[[#This Row],[Date]],Database!A:D,3,)</f>
        <v/>
      </c>
      <c r="C875" s="26">
        <f>B875-B874</f>
        <v/>
      </c>
      <c r="D875" s="26">
        <f>AVERAGE(C873:C875)</f>
        <v/>
      </c>
      <c r="E875" s="58">
        <f>VLOOKUP(Table1[[#This Row],[Date]],Database!A:D,4,)</f>
        <v/>
      </c>
      <c r="F875" s="58">
        <f>VLOOKUP(Table1[[#This Row],[Date]],Database!A:D,2,)</f>
        <v/>
      </c>
      <c r="G875" s="55" t="n"/>
    </row>
    <row r="876">
      <c r="A876" s="54" t="n">
        <v>40544</v>
      </c>
      <c r="B876" s="25">
        <f>VLOOKUP(Table1[[#This Row],[Date]],Database!A:D,3,)</f>
        <v/>
      </c>
      <c r="C876" s="26">
        <f>B876-B875</f>
        <v/>
      </c>
      <c r="D876" s="26">
        <f>AVERAGE(C874:C876)</f>
        <v/>
      </c>
      <c r="E876" s="58">
        <f>VLOOKUP(Table1[[#This Row],[Date]],Database!A:D,4,)</f>
        <v/>
      </c>
      <c r="F876" s="58">
        <f>VLOOKUP(Table1[[#This Row],[Date]],Database!A:D,2,)</f>
        <v/>
      </c>
      <c r="G876" s="55" t="n"/>
    </row>
    <row r="877">
      <c r="A877" s="54" t="n">
        <v>40575</v>
      </c>
      <c r="B877" s="25">
        <f>VLOOKUP(Table1[[#This Row],[Date]],Database!A:D,3,)</f>
        <v/>
      </c>
      <c r="C877" s="26">
        <f>B877-B876</f>
        <v/>
      </c>
      <c r="D877" s="26">
        <f>AVERAGE(C875:C877)</f>
        <v/>
      </c>
      <c r="E877" s="58">
        <f>VLOOKUP(Table1[[#This Row],[Date]],Database!A:D,4,)</f>
        <v/>
      </c>
      <c r="F877" s="58">
        <f>VLOOKUP(Table1[[#This Row],[Date]],Database!A:D,2,)</f>
        <v/>
      </c>
      <c r="G877" s="55" t="n"/>
    </row>
    <row r="878">
      <c r="A878" s="54" t="n">
        <v>40603</v>
      </c>
      <c r="B878" s="25">
        <f>VLOOKUP(Table1[[#This Row],[Date]],Database!A:D,3,)</f>
        <v/>
      </c>
      <c r="C878" s="26">
        <f>B878-B877</f>
        <v/>
      </c>
      <c r="D878" s="26">
        <f>AVERAGE(C876:C878)</f>
        <v/>
      </c>
      <c r="E878" s="58">
        <f>VLOOKUP(Table1[[#This Row],[Date]],Database!A:D,4,)</f>
        <v/>
      </c>
      <c r="F878" s="58">
        <f>VLOOKUP(Table1[[#This Row],[Date]],Database!A:D,2,)</f>
        <v/>
      </c>
      <c r="G878" s="55" t="n"/>
    </row>
    <row r="879">
      <c r="A879" s="54" t="n">
        <v>40634</v>
      </c>
      <c r="B879" s="25">
        <f>VLOOKUP(Table1[[#This Row],[Date]],Database!A:D,3,)</f>
        <v/>
      </c>
      <c r="C879" s="26">
        <f>B879-B878</f>
        <v/>
      </c>
      <c r="D879" s="26">
        <f>AVERAGE(C877:C879)</f>
        <v/>
      </c>
      <c r="E879" s="58">
        <f>VLOOKUP(Table1[[#This Row],[Date]],Database!A:D,4,)</f>
        <v/>
      </c>
      <c r="F879" s="58">
        <f>VLOOKUP(Table1[[#This Row],[Date]],Database!A:D,2,)</f>
        <v/>
      </c>
      <c r="G879" s="55" t="n"/>
    </row>
    <row r="880">
      <c r="A880" s="54" t="n">
        <v>40664</v>
      </c>
      <c r="B880" s="25">
        <f>VLOOKUP(Table1[[#This Row],[Date]],Database!A:D,3,)</f>
        <v/>
      </c>
      <c r="C880" s="26">
        <f>B880-B879</f>
        <v/>
      </c>
      <c r="D880" s="26">
        <f>AVERAGE(C878:C880)</f>
        <v/>
      </c>
      <c r="E880" s="58">
        <f>VLOOKUP(Table1[[#This Row],[Date]],Database!A:D,4,)</f>
        <v/>
      </c>
      <c r="F880" s="58">
        <f>VLOOKUP(Table1[[#This Row],[Date]],Database!A:D,2,)</f>
        <v/>
      </c>
      <c r="G880" s="55" t="n"/>
    </row>
    <row r="881">
      <c r="A881" s="54" t="n">
        <v>40695</v>
      </c>
      <c r="B881" s="25">
        <f>VLOOKUP(Table1[[#This Row],[Date]],Database!A:D,3,)</f>
        <v/>
      </c>
      <c r="C881" s="26">
        <f>B881-B880</f>
        <v/>
      </c>
      <c r="D881" s="26">
        <f>AVERAGE(C879:C881)</f>
        <v/>
      </c>
      <c r="E881" s="58">
        <f>VLOOKUP(Table1[[#This Row],[Date]],Database!A:D,4,)</f>
        <v/>
      </c>
      <c r="F881" s="58">
        <f>VLOOKUP(Table1[[#This Row],[Date]],Database!A:D,2,)</f>
        <v/>
      </c>
      <c r="G881" s="55" t="n"/>
    </row>
    <row r="882">
      <c r="A882" s="54" t="n">
        <v>40725</v>
      </c>
      <c r="B882" s="25">
        <f>VLOOKUP(Table1[[#This Row],[Date]],Database!A:D,3,)</f>
        <v/>
      </c>
      <c r="C882" s="26">
        <f>B882-B881</f>
        <v/>
      </c>
      <c r="D882" s="26">
        <f>AVERAGE(C880:C882)</f>
        <v/>
      </c>
      <c r="E882" s="58">
        <f>VLOOKUP(Table1[[#This Row],[Date]],Database!A:D,4,)</f>
        <v/>
      </c>
      <c r="F882" s="58">
        <f>VLOOKUP(Table1[[#This Row],[Date]],Database!A:D,2,)</f>
        <v/>
      </c>
      <c r="G882" s="55" t="n"/>
    </row>
    <row r="883">
      <c r="A883" s="54" t="n">
        <v>40756</v>
      </c>
      <c r="B883" s="25">
        <f>VLOOKUP(Table1[[#This Row],[Date]],Database!A:D,3,)</f>
        <v/>
      </c>
      <c r="C883" s="26">
        <f>B883-B882</f>
        <v/>
      </c>
      <c r="D883" s="26">
        <f>AVERAGE(C881:C883)</f>
        <v/>
      </c>
      <c r="E883" s="58">
        <f>VLOOKUP(Table1[[#This Row],[Date]],Database!A:D,4,)</f>
        <v/>
      </c>
      <c r="F883" s="58">
        <f>VLOOKUP(Table1[[#This Row],[Date]],Database!A:D,2,)</f>
        <v/>
      </c>
      <c r="G883" s="55" t="n"/>
    </row>
    <row r="884">
      <c r="A884" s="54" t="n">
        <v>40787</v>
      </c>
      <c r="B884" s="25">
        <f>VLOOKUP(Table1[[#This Row],[Date]],Database!A:D,3,)</f>
        <v/>
      </c>
      <c r="C884" s="26">
        <f>B884-B883</f>
        <v/>
      </c>
      <c r="D884" s="26">
        <f>AVERAGE(C882:C884)</f>
        <v/>
      </c>
      <c r="E884" s="58">
        <f>VLOOKUP(Table1[[#This Row],[Date]],Database!A:D,4,)</f>
        <v/>
      </c>
      <c r="F884" s="58">
        <f>VLOOKUP(Table1[[#This Row],[Date]],Database!A:D,2,)</f>
        <v/>
      </c>
      <c r="G884" s="55" t="n"/>
    </row>
    <row r="885">
      <c r="A885" s="54" t="n">
        <v>40817</v>
      </c>
      <c r="B885" s="25">
        <f>VLOOKUP(Table1[[#This Row],[Date]],Database!A:D,3,)</f>
        <v/>
      </c>
      <c r="C885" s="26">
        <f>B885-B884</f>
        <v/>
      </c>
      <c r="D885" s="26">
        <f>AVERAGE(C883:C885)</f>
        <v/>
      </c>
      <c r="E885" s="58">
        <f>VLOOKUP(Table1[[#This Row],[Date]],Database!A:D,4,)</f>
        <v/>
      </c>
      <c r="F885" s="58">
        <f>VLOOKUP(Table1[[#This Row],[Date]],Database!A:D,2,)</f>
        <v/>
      </c>
      <c r="G885" s="55" t="n"/>
    </row>
    <row r="886">
      <c r="A886" s="54" t="n">
        <v>40848</v>
      </c>
      <c r="B886" s="25">
        <f>VLOOKUP(Table1[[#This Row],[Date]],Database!A:D,3,)</f>
        <v/>
      </c>
      <c r="C886" s="26">
        <f>B886-B885</f>
        <v/>
      </c>
      <c r="D886" s="26">
        <f>AVERAGE(C884:C886)</f>
        <v/>
      </c>
      <c r="E886" s="58">
        <f>VLOOKUP(Table1[[#This Row],[Date]],Database!A:D,4,)</f>
        <v/>
      </c>
      <c r="F886" s="58">
        <f>VLOOKUP(Table1[[#This Row],[Date]],Database!A:D,2,)</f>
        <v/>
      </c>
      <c r="G886" s="55" t="n"/>
    </row>
    <row r="887">
      <c r="A887" s="54" t="n">
        <v>40878</v>
      </c>
      <c r="B887" s="25">
        <f>VLOOKUP(Table1[[#This Row],[Date]],Database!A:D,3,)</f>
        <v/>
      </c>
      <c r="C887" s="26">
        <f>B887-B886</f>
        <v/>
      </c>
      <c r="D887" s="26">
        <f>AVERAGE(C885:C887)</f>
        <v/>
      </c>
      <c r="E887" s="58">
        <f>VLOOKUP(Table1[[#This Row],[Date]],Database!A:D,4,)</f>
        <v/>
      </c>
      <c r="F887" s="58">
        <f>VLOOKUP(Table1[[#This Row],[Date]],Database!A:D,2,)</f>
        <v/>
      </c>
      <c r="G887" s="55" t="n"/>
    </row>
    <row r="888">
      <c r="A888" s="54" t="n">
        <v>40909</v>
      </c>
      <c r="B888" s="25">
        <f>VLOOKUP(Table1[[#This Row],[Date]],Database!A:D,3,)</f>
        <v/>
      </c>
      <c r="C888" s="26">
        <f>B888-B887</f>
        <v/>
      </c>
      <c r="D888" s="26">
        <f>AVERAGE(C886:C888)</f>
        <v/>
      </c>
      <c r="E888" s="58">
        <f>VLOOKUP(Table1[[#This Row],[Date]],Database!A:D,4,)</f>
        <v/>
      </c>
      <c r="F888" s="58">
        <f>VLOOKUP(Table1[[#This Row],[Date]],Database!A:D,2,)</f>
        <v/>
      </c>
      <c r="G888" s="55" t="n"/>
    </row>
    <row r="889">
      <c r="A889" s="54" t="n">
        <v>40940</v>
      </c>
      <c r="B889" s="25">
        <f>VLOOKUP(Table1[[#This Row],[Date]],Database!A:D,3,)</f>
        <v/>
      </c>
      <c r="C889" s="26">
        <f>B889-B888</f>
        <v/>
      </c>
      <c r="D889" s="26">
        <f>AVERAGE(C887:C889)</f>
        <v/>
      </c>
      <c r="E889" s="58">
        <f>VLOOKUP(Table1[[#This Row],[Date]],Database!A:D,4,)</f>
        <v/>
      </c>
      <c r="F889" s="58">
        <f>VLOOKUP(Table1[[#This Row],[Date]],Database!A:D,2,)</f>
        <v/>
      </c>
      <c r="G889" s="55" t="n"/>
    </row>
    <row r="890">
      <c r="A890" s="54" t="n">
        <v>40969</v>
      </c>
      <c r="B890" s="25">
        <f>VLOOKUP(Table1[[#This Row],[Date]],Database!A:D,3,)</f>
        <v/>
      </c>
      <c r="C890" s="26">
        <f>B890-B889</f>
        <v/>
      </c>
      <c r="D890" s="26">
        <f>AVERAGE(C888:C890)</f>
        <v/>
      </c>
      <c r="E890" s="58">
        <f>VLOOKUP(Table1[[#This Row],[Date]],Database!A:D,4,)</f>
        <v/>
      </c>
      <c r="F890" s="58">
        <f>VLOOKUP(Table1[[#This Row],[Date]],Database!A:D,2,)</f>
        <v/>
      </c>
      <c r="G890" s="55" t="n"/>
    </row>
    <row r="891">
      <c r="A891" s="54" t="n">
        <v>41000</v>
      </c>
      <c r="B891" s="25">
        <f>VLOOKUP(Table1[[#This Row],[Date]],Database!A:D,3,)</f>
        <v/>
      </c>
      <c r="C891" s="26">
        <f>B891-B890</f>
        <v/>
      </c>
      <c r="D891" s="26">
        <f>AVERAGE(C889:C891)</f>
        <v/>
      </c>
      <c r="E891" s="58">
        <f>VLOOKUP(Table1[[#This Row],[Date]],Database!A:D,4,)</f>
        <v/>
      </c>
      <c r="F891" s="58">
        <f>VLOOKUP(Table1[[#This Row],[Date]],Database!A:D,2,)</f>
        <v/>
      </c>
      <c r="G891" s="55" t="n"/>
    </row>
    <row r="892">
      <c r="A892" s="54" t="n">
        <v>41030</v>
      </c>
      <c r="B892" s="25">
        <f>VLOOKUP(Table1[[#This Row],[Date]],Database!A:D,3,)</f>
        <v/>
      </c>
      <c r="C892" s="26">
        <f>B892-B891</f>
        <v/>
      </c>
      <c r="D892" s="26">
        <f>AVERAGE(C890:C892)</f>
        <v/>
      </c>
      <c r="E892" s="58">
        <f>VLOOKUP(Table1[[#This Row],[Date]],Database!A:D,4,)</f>
        <v/>
      </c>
      <c r="F892" s="58">
        <f>VLOOKUP(Table1[[#This Row],[Date]],Database!A:D,2,)</f>
        <v/>
      </c>
      <c r="G892" s="55" t="n"/>
    </row>
    <row r="893">
      <c r="A893" s="54" t="n">
        <v>41061</v>
      </c>
      <c r="B893" s="25">
        <f>VLOOKUP(Table1[[#This Row],[Date]],Database!A:D,3,)</f>
        <v/>
      </c>
      <c r="C893" s="26">
        <f>B893-B892</f>
        <v/>
      </c>
      <c r="D893" s="26">
        <f>AVERAGE(C891:C893)</f>
        <v/>
      </c>
      <c r="E893" s="58">
        <f>VLOOKUP(Table1[[#This Row],[Date]],Database!A:D,4,)</f>
        <v/>
      </c>
      <c r="F893" s="58">
        <f>VLOOKUP(Table1[[#This Row],[Date]],Database!A:D,2,)</f>
        <v/>
      </c>
      <c r="G893" s="55" t="n"/>
    </row>
    <row r="894">
      <c r="A894" s="54" t="n">
        <v>41091</v>
      </c>
      <c r="B894" s="25">
        <f>VLOOKUP(Table1[[#This Row],[Date]],Database!A:D,3,)</f>
        <v/>
      </c>
      <c r="C894" s="26">
        <f>B894-B893</f>
        <v/>
      </c>
      <c r="D894" s="26">
        <f>AVERAGE(C892:C894)</f>
        <v/>
      </c>
      <c r="E894" s="58">
        <f>VLOOKUP(Table1[[#This Row],[Date]],Database!A:D,4,)</f>
        <v/>
      </c>
      <c r="F894" s="58">
        <f>VLOOKUP(Table1[[#This Row],[Date]],Database!A:D,2,)</f>
        <v/>
      </c>
      <c r="G894" s="55" t="n"/>
    </row>
    <row r="895">
      <c r="A895" s="54" t="n">
        <v>41122</v>
      </c>
      <c r="B895" s="25">
        <f>VLOOKUP(Table1[[#This Row],[Date]],Database!A:D,3,)</f>
        <v/>
      </c>
      <c r="C895" s="26">
        <f>B895-B894</f>
        <v/>
      </c>
      <c r="D895" s="26">
        <f>AVERAGE(C893:C895)</f>
        <v/>
      </c>
      <c r="E895" s="58">
        <f>VLOOKUP(Table1[[#This Row],[Date]],Database!A:D,4,)</f>
        <v/>
      </c>
      <c r="F895" s="58">
        <f>VLOOKUP(Table1[[#This Row],[Date]],Database!A:D,2,)</f>
        <v/>
      </c>
      <c r="G895" s="55" t="n"/>
    </row>
    <row r="896">
      <c r="A896" s="54" t="n">
        <v>41153</v>
      </c>
      <c r="B896" s="25">
        <f>VLOOKUP(Table1[[#This Row],[Date]],Database!A:D,3,)</f>
        <v/>
      </c>
      <c r="C896" s="26">
        <f>B896-B895</f>
        <v/>
      </c>
      <c r="D896" s="26">
        <f>AVERAGE(C894:C896)</f>
        <v/>
      </c>
      <c r="E896" s="58">
        <f>VLOOKUP(Table1[[#This Row],[Date]],Database!A:D,4,)</f>
        <v/>
      </c>
      <c r="F896" s="58">
        <f>VLOOKUP(Table1[[#This Row],[Date]],Database!A:D,2,)</f>
        <v/>
      </c>
      <c r="G896" s="55" t="n"/>
    </row>
    <row r="897">
      <c r="A897" s="54" t="n">
        <v>41183</v>
      </c>
      <c r="B897" s="25">
        <f>VLOOKUP(Table1[[#This Row],[Date]],Database!A:D,3,)</f>
        <v/>
      </c>
      <c r="C897" s="26">
        <f>B897-B896</f>
        <v/>
      </c>
      <c r="D897" s="26">
        <f>AVERAGE(C895:C897)</f>
        <v/>
      </c>
      <c r="E897" s="58">
        <f>VLOOKUP(Table1[[#This Row],[Date]],Database!A:D,4,)</f>
        <v/>
      </c>
      <c r="F897" s="58">
        <f>VLOOKUP(Table1[[#This Row],[Date]],Database!A:D,2,)</f>
        <v/>
      </c>
      <c r="G897" s="55" t="n"/>
    </row>
    <row r="898">
      <c r="A898" s="54" t="n">
        <v>41214</v>
      </c>
      <c r="B898" s="25">
        <f>VLOOKUP(Table1[[#This Row],[Date]],Database!A:D,3,)</f>
        <v/>
      </c>
      <c r="C898" s="26">
        <f>B898-B897</f>
        <v/>
      </c>
      <c r="D898" s="26">
        <f>AVERAGE(C896:C898)</f>
        <v/>
      </c>
      <c r="E898" s="58">
        <f>VLOOKUP(Table1[[#This Row],[Date]],Database!A:D,4,)</f>
        <v/>
      </c>
      <c r="F898" s="58">
        <f>VLOOKUP(Table1[[#This Row],[Date]],Database!A:D,2,)</f>
        <v/>
      </c>
      <c r="G898" s="55" t="n"/>
    </row>
    <row r="899">
      <c r="A899" s="54" t="n">
        <v>41244</v>
      </c>
      <c r="B899" s="25">
        <f>VLOOKUP(Table1[[#This Row],[Date]],Database!A:D,3,)</f>
        <v/>
      </c>
      <c r="C899" s="26">
        <f>B899-B898</f>
        <v/>
      </c>
      <c r="D899" s="26">
        <f>AVERAGE(C897:C899)</f>
        <v/>
      </c>
      <c r="E899" s="58">
        <f>VLOOKUP(Table1[[#This Row],[Date]],Database!A:D,4,)</f>
        <v/>
      </c>
      <c r="F899" s="58">
        <f>VLOOKUP(Table1[[#This Row],[Date]],Database!A:D,2,)</f>
        <v/>
      </c>
      <c r="G899" s="55" t="n"/>
    </row>
    <row r="900">
      <c r="A900" s="54" t="n">
        <v>41275</v>
      </c>
      <c r="B900" s="25">
        <f>VLOOKUP(Table1[[#This Row],[Date]],Database!A:D,3,)</f>
        <v/>
      </c>
      <c r="C900" s="26">
        <f>B900-B899</f>
        <v/>
      </c>
      <c r="D900" s="26">
        <f>AVERAGE(C898:C900)</f>
        <v/>
      </c>
      <c r="E900" s="58">
        <f>VLOOKUP(Table1[[#This Row],[Date]],Database!A:D,4,)</f>
        <v/>
      </c>
      <c r="F900" s="58">
        <f>VLOOKUP(Table1[[#This Row],[Date]],Database!A:D,2,)</f>
        <v/>
      </c>
      <c r="G900" s="55" t="n"/>
    </row>
    <row r="901">
      <c r="A901" s="54" t="n">
        <v>41306</v>
      </c>
      <c r="B901" s="25">
        <f>VLOOKUP(Table1[[#This Row],[Date]],Database!A:D,3,)</f>
        <v/>
      </c>
      <c r="C901" s="26">
        <f>B901-B900</f>
        <v/>
      </c>
      <c r="D901" s="26">
        <f>AVERAGE(C899:C901)</f>
        <v/>
      </c>
      <c r="E901" s="58">
        <f>VLOOKUP(Table1[[#This Row],[Date]],Database!A:D,4,)</f>
        <v/>
      </c>
      <c r="F901" s="58">
        <f>VLOOKUP(Table1[[#This Row],[Date]],Database!A:D,2,)</f>
        <v/>
      </c>
      <c r="G901" s="55" t="n"/>
    </row>
    <row r="902">
      <c r="A902" s="54" t="n">
        <v>41334</v>
      </c>
      <c r="B902" s="25">
        <f>VLOOKUP(Table1[[#This Row],[Date]],Database!A:D,3,)</f>
        <v/>
      </c>
      <c r="C902" s="26">
        <f>B902-B901</f>
        <v/>
      </c>
      <c r="D902" s="26">
        <f>AVERAGE(C900:C902)</f>
        <v/>
      </c>
      <c r="E902" s="58">
        <f>VLOOKUP(Table1[[#This Row],[Date]],Database!A:D,4,)</f>
        <v/>
      </c>
      <c r="F902" s="58">
        <f>VLOOKUP(Table1[[#This Row],[Date]],Database!A:D,2,)</f>
        <v/>
      </c>
      <c r="G902" s="55" t="n"/>
    </row>
    <row r="903">
      <c r="A903" s="54" t="n">
        <v>41365</v>
      </c>
      <c r="B903" s="25">
        <f>VLOOKUP(Table1[[#This Row],[Date]],Database!A:D,3,)</f>
        <v/>
      </c>
      <c r="C903" s="26">
        <f>B903-B902</f>
        <v/>
      </c>
      <c r="D903" s="26">
        <f>AVERAGE(C901:C903)</f>
        <v/>
      </c>
      <c r="E903" s="58">
        <f>VLOOKUP(Table1[[#This Row],[Date]],Database!A:D,4,)</f>
        <v/>
      </c>
      <c r="F903" s="58">
        <f>VLOOKUP(Table1[[#This Row],[Date]],Database!A:D,2,)</f>
        <v/>
      </c>
      <c r="G903" s="55" t="n"/>
    </row>
    <row r="904">
      <c r="A904" s="54" t="n">
        <v>41395</v>
      </c>
      <c r="B904" s="25">
        <f>VLOOKUP(Table1[[#This Row],[Date]],Database!A:D,3,)</f>
        <v/>
      </c>
      <c r="C904" s="26">
        <f>B904-B903</f>
        <v/>
      </c>
      <c r="D904" s="26">
        <f>AVERAGE(C902:C904)</f>
        <v/>
      </c>
      <c r="E904" s="58">
        <f>VLOOKUP(Table1[[#This Row],[Date]],Database!A:D,4,)</f>
        <v/>
      </c>
      <c r="F904" s="58">
        <f>VLOOKUP(Table1[[#This Row],[Date]],Database!A:D,2,)</f>
        <v/>
      </c>
      <c r="G904" s="55" t="n"/>
    </row>
    <row r="905">
      <c r="A905" s="54" t="n">
        <v>41426</v>
      </c>
      <c r="B905" s="25">
        <f>VLOOKUP(Table1[[#This Row],[Date]],Database!A:D,3,)</f>
        <v/>
      </c>
      <c r="C905" s="26">
        <f>B905-B904</f>
        <v/>
      </c>
      <c r="D905" s="26">
        <f>AVERAGE(C903:C905)</f>
        <v/>
      </c>
      <c r="E905" s="58">
        <f>VLOOKUP(Table1[[#This Row],[Date]],Database!A:D,4,)</f>
        <v/>
      </c>
      <c r="F905" s="58">
        <f>VLOOKUP(Table1[[#This Row],[Date]],Database!A:D,2,)</f>
        <v/>
      </c>
      <c r="G905" s="55" t="n"/>
    </row>
    <row r="906">
      <c r="A906" s="54" t="n">
        <v>41456</v>
      </c>
      <c r="B906" s="25">
        <f>VLOOKUP(Table1[[#This Row],[Date]],Database!A:D,3,)</f>
        <v/>
      </c>
      <c r="C906" s="26">
        <f>B906-B905</f>
        <v/>
      </c>
      <c r="D906" s="26">
        <f>AVERAGE(C904:C906)</f>
        <v/>
      </c>
      <c r="E906" s="58">
        <f>VLOOKUP(Table1[[#This Row],[Date]],Database!A:D,4,)</f>
        <v/>
      </c>
      <c r="F906" s="58">
        <f>VLOOKUP(Table1[[#This Row],[Date]],Database!A:D,2,)</f>
        <v/>
      </c>
      <c r="G906" s="55" t="n"/>
    </row>
    <row r="907">
      <c r="A907" s="54" t="n">
        <v>41487</v>
      </c>
      <c r="B907" s="25">
        <f>VLOOKUP(Table1[[#This Row],[Date]],Database!A:D,3,)</f>
        <v/>
      </c>
      <c r="C907" s="26">
        <f>B907-B906</f>
        <v/>
      </c>
      <c r="D907" s="26">
        <f>AVERAGE(C905:C907)</f>
        <v/>
      </c>
      <c r="E907" s="58">
        <f>VLOOKUP(Table1[[#This Row],[Date]],Database!A:D,4,)</f>
        <v/>
      </c>
      <c r="F907" s="58">
        <f>VLOOKUP(Table1[[#This Row],[Date]],Database!A:D,2,)</f>
        <v/>
      </c>
      <c r="G907" s="55" t="n"/>
    </row>
    <row r="908">
      <c r="A908" s="54" t="n">
        <v>41518</v>
      </c>
      <c r="B908" s="25">
        <f>VLOOKUP(Table1[[#This Row],[Date]],Database!A:D,3,)</f>
        <v/>
      </c>
      <c r="C908" s="26">
        <f>B908-B907</f>
        <v/>
      </c>
      <c r="D908" s="26">
        <f>AVERAGE(C906:C908)</f>
        <v/>
      </c>
      <c r="E908" s="58">
        <f>VLOOKUP(Table1[[#This Row],[Date]],Database!A:D,4,)</f>
        <v/>
      </c>
      <c r="F908" s="58">
        <f>VLOOKUP(Table1[[#This Row],[Date]],Database!A:D,2,)</f>
        <v/>
      </c>
      <c r="G908" s="55" t="n"/>
    </row>
    <row r="909">
      <c r="A909" s="54" t="n">
        <v>41548</v>
      </c>
      <c r="B909" s="25">
        <f>VLOOKUP(Table1[[#This Row],[Date]],Database!A:D,3,)</f>
        <v/>
      </c>
      <c r="C909" s="26">
        <f>B909-B908</f>
        <v/>
      </c>
      <c r="D909" s="26">
        <f>AVERAGE(C907:C909)</f>
        <v/>
      </c>
      <c r="E909" s="58">
        <f>VLOOKUP(Table1[[#This Row],[Date]],Database!A:D,4,)</f>
        <v/>
      </c>
      <c r="F909" s="58">
        <f>VLOOKUP(Table1[[#This Row],[Date]],Database!A:D,2,)</f>
        <v/>
      </c>
      <c r="G909" s="55" t="n"/>
    </row>
    <row r="910">
      <c r="A910" s="54" t="n">
        <v>41579</v>
      </c>
      <c r="B910" s="25">
        <f>VLOOKUP(Table1[[#This Row],[Date]],Database!A:D,3,)</f>
        <v/>
      </c>
      <c r="C910" s="26">
        <f>B910-B909</f>
        <v/>
      </c>
      <c r="D910" s="26">
        <f>AVERAGE(C908:C910)</f>
        <v/>
      </c>
      <c r="E910" s="58">
        <f>VLOOKUP(Table1[[#This Row],[Date]],Database!A:D,4,)</f>
        <v/>
      </c>
      <c r="F910" s="58">
        <f>VLOOKUP(Table1[[#This Row],[Date]],Database!A:D,2,)</f>
        <v/>
      </c>
      <c r="G910" s="55" t="n"/>
    </row>
    <row r="911">
      <c r="A911" s="54" t="n">
        <v>41609</v>
      </c>
      <c r="B911" s="25">
        <f>VLOOKUP(Table1[[#This Row],[Date]],Database!A:D,3,)</f>
        <v/>
      </c>
      <c r="C911" s="26">
        <f>B911-B910</f>
        <v/>
      </c>
      <c r="D911" s="26">
        <f>AVERAGE(C909:C911)</f>
        <v/>
      </c>
      <c r="E911" s="58">
        <f>VLOOKUP(Table1[[#This Row],[Date]],Database!A:D,4,)</f>
        <v/>
      </c>
      <c r="F911" s="58">
        <f>VLOOKUP(Table1[[#This Row],[Date]],Database!A:D,2,)</f>
        <v/>
      </c>
      <c r="G911" s="55" t="n"/>
    </row>
    <row r="912">
      <c r="A912" s="54" t="n">
        <v>41640</v>
      </c>
      <c r="B912" s="25">
        <f>VLOOKUP(Table1[[#This Row],[Date]],Database!A:D,3,)</f>
        <v/>
      </c>
      <c r="C912" s="26">
        <f>B912-B911</f>
        <v/>
      </c>
      <c r="D912" s="26">
        <f>AVERAGE(C910:C912)</f>
        <v/>
      </c>
      <c r="E912" s="58">
        <f>VLOOKUP(Table1[[#This Row],[Date]],Database!A:D,4,)</f>
        <v/>
      </c>
      <c r="F912" s="58">
        <f>VLOOKUP(Table1[[#This Row],[Date]],Database!A:D,2,)</f>
        <v/>
      </c>
      <c r="G912" s="55" t="n"/>
    </row>
    <row r="913">
      <c r="A913" s="54" t="n">
        <v>41671</v>
      </c>
      <c r="B913" s="25">
        <f>VLOOKUP(Table1[[#This Row],[Date]],Database!A:D,3,)</f>
        <v/>
      </c>
      <c r="C913" s="26">
        <f>B913-B912</f>
        <v/>
      </c>
      <c r="D913" s="26">
        <f>AVERAGE(C911:C913)</f>
        <v/>
      </c>
      <c r="E913" s="58">
        <f>VLOOKUP(Table1[[#This Row],[Date]],Database!A:D,4,)</f>
        <v/>
      </c>
      <c r="F913" s="58">
        <f>VLOOKUP(Table1[[#This Row],[Date]],Database!A:D,2,)</f>
        <v/>
      </c>
      <c r="G913" s="55" t="n"/>
    </row>
    <row r="914">
      <c r="A914" s="54" t="n">
        <v>41699</v>
      </c>
      <c r="B914" s="25">
        <f>VLOOKUP(Table1[[#This Row],[Date]],Database!A:D,3,)</f>
        <v/>
      </c>
      <c r="C914" s="26">
        <f>B914-B913</f>
        <v/>
      </c>
      <c r="D914" s="26">
        <f>AVERAGE(C912:C914)</f>
        <v/>
      </c>
      <c r="E914" s="58">
        <f>VLOOKUP(Table1[[#This Row],[Date]],Database!A:D,4,)</f>
        <v/>
      </c>
      <c r="F914" s="58">
        <f>VLOOKUP(Table1[[#This Row],[Date]],Database!A:D,2,)</f>
        <v/>
      </c>
      <c r="G914" s="55" t="n"/>
    </row>
    <row r="915">
      <c r="A915" s="54" t="n">
        <v>41730</v>
      </c>
      <c r="B915" s="25">
        <f>VLOOKUP(Table1[[#This Row],[Date]],Database!A:D,3,)</f>
        <v/>
      </c>
      <c r="C915" s="26">
        <f>B915-B914</f>
        <v/>
      </c>
      <c r="D915" s="26">
        <f>AVERAGE(C913:C915)</f>
        <v/>
      </c>
      <c r="E915" s="58">
        <f>VLOOKUP(Table1[[#This Row],[Date]],Database!A:D,4,)</f>
        <v/>
      </c>
      <c r="F915" s="58">
        <f>VLOOKUP(Table1[[#This Row],[Date]],Database!A:D,2,)</f>
        <v/>
      </c>
      <c r="G915" s="55" t="n"/>
    </row>
    <row r="916">
      <c r="A916" s="54" t="n">
        <v>41760</v>
      </c>
      <c r="B916" s="25">
        <f>VLOOKUP(Table1[[#This Row],[Date]],Database!A:D,3,)</f>
        <v/>
      </c>
      <c r="C916" s="26">
        <f>B916-B915</f>
        <v/>
      </c>
      <c r="D916" s="26">
        <f>AVERAGE(C914:C916)</f>
        <v/>
      </c>
      <c r="E916" s="58">
        <f>VLOOKUP(Table1[[#This Row],[Date]],Database!A:D,4,)</f>
        <v/>
      </c>
      <c r="F916" s="58">
        <f>VLOOKUP(Table1[[#This Row],[Date]],Database!A:D,2,)</f>
        <v/>
      </c>
      <c r="G916" s="55" t="n"/>
    </row>
    <row r="917">
      <c r="A917" s="54" t="n">
        <v>41791</v>
      </c>
      <c r="B917" s="25">
        <f>VLOOKUP(Table1[[#This Row],[Date]],Database!A:D,3,)</f>
        <v/>
      </c>
      <c r="C917" s="26">
        <f>B917-B916</f>
        <v/>
      </c>
      <c r="D917" s="26">
        <f>AVERAGE(C915:C917)</f>
        <v/>
      </c>
      <c r="E917" s="58">
        <f>VLOOKUP(Table1[[#This Row],[Date]],Database!A:D,4,)</f>
        <v/>
      </c>
      <c r="F917" s="58">
        <f>VLOOKUP(Table1[[#This Row],[Date]],Database!A:D,2,)</f>
        <v/>
      </c>
      <c r="G917" s="55" t="n"/>
    </row>
    <row r="918">
      <c r="A918" s="54" t="n">
        <v>41821</v>
      </c>
      <c r="B918" s="25">
        <f>VLOOKUP(Table1[[#This Row],[Date]],Database!A:D,3,)</f>
        <v/>
      </c>
      <c r="C918" s="26">
        <f>B918-B917</f>
        <v/>
      </c>
      <c r="D918" s="26">
        <f>AVERAGE(C916:C918)</f>
        <v/>
      </c>
      <c r="E918" s="58">
        <f>VLOOKUP(Table1[[#This Row],[Date]],Database!A:D,4,)</f>
        <v/>
      </c>
      <c r="F918" s="58">
        <f>VLOOKUP(Table1[[#This Row],[Date]],Database!A:D,2,)</f>
        <v/>
      </c>
      <c r="G918" s="55" t="n"/>
    </row>
    <row r="919">
      <c r="A919" s="54" t="n">
        <v>41852</v>
      </c>
      <c r="B919" s="25">
        <f>VLOOKUP(Table1[[#This Row],[Date]],Database!A:D,3,)</f>
        <v/>
      </c>
      <c r="C919" s="26">
        <f>B919-B918</f>
        <v/>
      </c>
      <c r="D919" s="26">
        <f>AVERAGE(C917:C919)</f>
        <v/>
      </c>
      <c r="E919" s="58">
        <f>VLOOKUP(Table1[[#This Row],[Date]],Database!A:D,4,)</f>
        <v/>
      </c>
      <c r="F919" s="58">
        <f>VLOOKUP(Table1[[#This Row],[Date]],Database!A:D,2,)</f>
        <v/>
      </c>
      <c r="G919" s="55" t="n"/>
    </row>
    <row r="920">
      <c r="A920" s="54" t="n">
        <v>41883</v>
      </c>
      <c r="B920" s="25">
        <f>VLOOKUP(Table1[[#This Row],[Date]],Database!A:D,3,)</f>
        <v/>
      </c>
      <c r="C920" s="26">
        <f>B920-B919</f>
        <v/>
      </c>
      <c r="D920" s="26">
        <f>AVERAGE(C918:C920)</f>
        <v/>
      </c>
      <c r="E920" s="58">
        <f>VLOOKUP(Table1[[#This Row],[Date]],Database!A:D,4,)</f>
        <v/>
      </c>
      <c r="F920" s="58">
        <f>VLOOKUP(Table1[[#This Row],[Date]],Database!A:D,2,)</f>
        <v/>
      </c>
      <c r="G920" s="55" t="n"/>
    </row>
    <row r="921">
      <c r="A921" s="54" t="n">
        <v>41913</v>
      </c>
      <c r="B921" s="25">
        <f>VLOOKUP(Table1[[#This Row],[Date]],Database!A:D,3,)</f>
        <v/>
      </c>
      <c r="C921" s="26">
        <f>B921-B920</f>
        <v/>
      </c>
      <c r="D921" s="26">
        <f>AVERAGE(C919:C921)</f>
        <v/>
      </c>
      <c r="E921" s="58">
        <f>VLOOKUP(Table1[[#This Row],[Date]],Database!A:D,4,)</f>
        <v/>
      </c>
      <c r="F921" s="58">
        <f>VLOOKUP(Table1[[#This Row],[Date]],Database!A:D,2,)</f>
        <v/>
      </c>
      <c r="G921" s="55" t="n"/>
    </row>
    <row r="922">
      <c r="A922" s="54" t="n">
        <v>41944</v>
      </c>
      <c r="B922" s="25">
        <f>VLOOKUP(Table1[[#This Row],[Date]],Database!A:D,3,)</f>
        <v/>
      </c>
      <c r="C922" s="26">
        <f>B922-B921</f>
        <v/>
      </c>
      <c r="D922" s="26">
        <f>AVERAGE(C920:C922)</f>
        <v/>
      </c>
      <c r="E922" s="58">
        <f>VLOOKUP(Table1[[#This Row],[Date]],Database!A:D,4,)</f>
        <v/>
      </c>
      <c r="F922" s="58">
        <f>VLOOKUP(Table1[[#This Row],[Date]],Database!A:D,2,)</f>
        <v/>
      </c>
      <c r="G922" s="55" t="n"/>
    </row>
    <row r="923">
      <c r="A923" s="54" t="n">
        <v>41974</v>
      </c>
      <c r="B923" s="25">
        <f>VLOOKUP(Table1[[#This Row],[Date]],Database!A:D,3,)</f>
        <v/>
      </c>
      <c r="C923" s="26">
        <f>B923-B922</f>
        <v/>
      </c>
      <c r="D923" s="26">
        <f>AVERAGE(C921:C923)</f>
        <v/>
      </c>
      <c r="E923" s="58">
        <f>VLOOKUP(Table1[[#This Row],[Date]],Database!A:D,4,)</f>
        <v/>
      </c>
      <c r="F923" s="58">
        <f>VLOOKUP(Table1[[#This Row],[Date]],Database!A:D,2,)</f>
        <v/>
      </c>
      <c r="G923" s="55" t="n"/>
    </row>
    <row r="924">
      <c r="A924" s="54" t="n">
        <v>42005</v>
      </c>
      <c r="B924" s="25">
        <f>VLOOKUP(Table1[[#This Row],[Date]],Database!A:D,3,)</f>
        <v/>
      </c>
      <c r="C924" s="26">
        <f>B924-B923</f>
        <v/>
      </c>
      <c r="D924" s="26">
        <f>AVERAGE(C922:C924)</f>
        <v/>
      </c>
      <c r="E924" s="58">
        <f>VLOOKUP(Table1[[#This Row],[Date]],Database!A:D,4,)</f>
        <v/>
      </c>
      <c r="F924" s="58">
        <f>VLOOKUP(Table1[[#This Row],[Date]],Database!A:D,2,)</f>
        <v/>
      </c>
      <c r="G924" s="55" t="n"/>
    </row>
    <row r="925">
      <c r="A925" s="54" t="n">
        <v>42036</v>
      </c>
      <c r="B925" s="25">
        <f>VLOOKUP(Table1[[#This Row],[Date]],Database!A:D,3,)</f>
        <v/>
      </c>
      <c r="C925" s="26">
        <f>B925-B924</f>
        <v/>
      </c>
      <c r="D925" s="26">
        <f>AVERAGE(C923:C925)</f>
        <v/>
      </c>
      <c r="E925" s="58">
        <f>VLOOKUP(Table1[[#This Row],[Date]],Database!A:D,4,)</f>
        <v/>
      </c>
      <c r="F925" s="58">
        <f>VLOOKUP(Table1[[#This Row],[Date]],Database!A:D,2,)</f>
        <v/>
      </c>
      <c r="G925" s="55" t="n"/>
    </row>
    <row r="926">
      <c r="A926" s="54" t="n">
        <v>42064</v>
      </c>
      <c r="B926" s="25">
        <f>VLOOKUP(Table1[[#This Row],[Date]],Database!A:D,3,)</f>
        <v/>
      </c>
      <c r="C926" s="26">
        <f>B926-B925</f>
        <v/>
      </c>
      <c r="D926" s="26">
        <f>AVERAGE(C924:C926)</f>
        <v/>
      </c>
      <c r="E926" s="58">
        <f>VLOOKUP(Table1[[#This Row],[Date]],Database!A:D,4,)</f>
        <v/>
      </c>
      <c r="F926" s="58">
        <f>VLOOKUP(Table1[[#This Row],[Date]],Database!A:D,2,)</f>
        <v/>
      </c>
      <c r="G926" s="55" t="n"/>
    </row>
    <row r="927">
      <c r="A927" s="54" t="n">
        <v>42095</v>
      </c>
      <c r="B927" s="25">
        <f>VLOOKUP(Table1[[#This Row],[Date]],Database!A:D,3,)</f>
        <v/>
      </c>
      <c r="C927" s="26">
        <f>B927-B926</f>
        <v/>
      </c>
      <c r="D927" s="26">
        <f>AVERAGE(C925:C927)</f>
        <v/>
      </c>
      <c r="E927" s="58">
        <f>VLOOKUP(Table1[[#This Row],[Date]],Database!A:D,4,)</f>
        <v/>
      </c>
      <c r="F927" s="58">
        <f>VLOOKUP(Table1[[#This Row],[Date]],Database!A:D,2,)</f>
        <v/>
      </c>
      <c r="G927" s="55" t="n"/>
    </row>
    <row r="928">
      <c r="A928" s="54" t="n">
        <v>42125</v>
      </c>
      <c r="B928" s="25">
        <f>VLOOKUP(Table1[[#This Row],[Date]],Database!A:D,3,)</f>
        <v/>
      </c>
      <c r="C928" s="26">
        <f>B928-B927</f>
        <v/>
      </c>
      <c r="D928" s="26">
        <f>AVERAGE(C926:C928)</f>
        <v/>
      </c>
      <c r="E928" s="58">
        <f>VLOOKUP(Table1[[#This Row],[Date]],Database!A:D,4,)</f>
        <v/>
      </c>
      <c r="F928" s="58">
        <f>VLOOKUP(Table1[[#This Row],[Date]],Database!A:D,2,)</f>
        <v/>
      </c>
      <c r="G928" s="55" t="n"/>
    </row>
    <row r="929">
      <c r="A929" s="54" t="n">
        <v>42156</v>
      </c>
      <c r="B929" s="25">
        <f>VLOOKUP(Table1[[#This Row],[Date]],Database!A:D,3,)</f>
        <v/>
      </c>
      <c r="C929" s="26">
        <f>B929-B928</f>
        <v/>
      </c>
      <c r="D929" s="26">
        <f>AVERAGE(C927:C929)</f>
        <v/>
      </c>
      <c r="E929" s="58">
        <f>VLOOKUP(Table1[[#This Row],[Date]],Database!A:D,4,)</f>
        <v/>
      </c>
      <c r="F929" s="58">
        <f>VLOOKUP(Table1[[#This Row],[Date]],Database!A:D,2,)</f>
        <v/>
      </c>
      <c r="G929" s="55" t="n"/>
    </row>
    <row r="930">
      <c r="A930" s="54" t="n">
        <v>42186</v>
      </c>
      <c r="B930" s="25">
        <f>VLOOKUP(Table1[[#This Row],[Date]],Database!A:D,3,)</f>
        <v/>
      </c>
      <c r="C930" s="26">
        <f>B930-B929</f>
        <v/>
      </c>
      <c r="D930" s="26">
        <f>AVERAGE(C928:C930)</f>
        <v/>
      </c>
      <c r="E930" s="58">
        <f>VLOOKUP(Table1[[#This Row],[Date]],Database!A:D,4,)</f>
        <v/>
      </c>
      <c r="F930" s="58">
        <f>VLOOKUP(Table1[[#This Row],[Date]],Database!A:D,2,)</f>
        <v/>
      </c>
      <c r="G930" s="55" t="n"/>
    </row>
    <row r="931">
      <c r="A931" s="54" t="n">
        <v>42217</v>
      </c>
      <c r="B931" s="25">
        <f>VLOOKUP(Table1[[#This Row],[Date]],Database!A:D,3,)</f>
        <v/>
      </c>
      <c r="C931" s="26">
        <f>B931-B930</f>
        <v/>
      </c>
      <c r="D931" s="26">
        <f>AVERAGE(C929:C931)</f>
        <v/>
      </c>
      <c r="E931" s="58">
        <f>VLOOKUP(Table1[[#This Row],[Date]],Database!A:D,4,)</f>
        <v/>
      </c>
      <c r="F931" s="58">
        <f>VLOOKUP(Table1[[#This Row],[Date]],Database!A:D,2,)</f>
        <v/>
      </c>
      <c r="G931" s="55" t="n"/>
    </row>
    <row r="932">
      <c r="A932" s="54" t="n">
        <v>42248</v>
      </c>
      <c r="B932" s="25">
        <f>VLOOKUP(Table1[[#This Row],[Date]],Database!A:D,3,)</f>
        <v/>
      </c>
      <c r="C932" s="26">
        <f>B932-B931</f>
        <v/>
      </c>
      <c r="D932" s="26">
        <f>AVERAGE(C930:C932)</f>
        <v/>
      </c>
      <c r="E932" s="58">
        <f>VLOOKUP(Table1[[#This Row],[Date]],Database!A:D,4,)</f>
        <v/>
      </c>
      <c r="F932" s="58">
        <f>VLOOKUP(Table1[[#This Row],[Date]],Database!A:D,2,)</f>
        <v/>
      </c>
      <c r="G932" s="55" t="n"/>
    </row>
    <row r="933">
      <c r="A933" s="54" t="n">
        <v>42278</v>
      </c>
      <c r="B933" s="25">
        <f>VLOOKUP(Table1[[#This Row],[Date]],Database!A:D,3,)</f>
        <v/>
      </c>
      <c r="C933" s="26">
        <f>B933-B932</f>
        <v/>
      </c>
      <c r="D933" s="26">
        <f>AVERAGE(C931:C933)</f>
        <v/>
      </c>
      <c r="E933" s="58">
        <f>VLOOKUP(Table1[[#This Row],[Date]],Database!A:D,4,)</f>
        <v/>
      </c>
      <c r="F933" s="58">
        <f>VLOOKUP(Table1[[#This Row],[Date]],Database!A:D,2,)</f>
        <v/>
      </c>
      <c r="G933" s="55" t="n"/>
    </row>
    <row r="934">
      <c r="A934" s="54" t="n">
        <v>42309</v>
      </c>
      <c r="B934" s="25">
        <f>VLOOKUP(Table1[[#This Row],[Date]],Database!A:D,3,)</f>
        <v/>
      </c>
      <c r="C934" s="26">
        <f>B934-B933</f>
        <v/>
      </c>
      <c r="D934" s="26">
        <f>AVERAGE(C932:C934)</f>
        <v/>
      </c>
      <c r="E934" s="58">
        <f>VLOOKUP(Table1[[#This Row],[Date]],Database!A:D,4,)</f>
        <v/>
      </c>
      <c r="F934" s="58">
        <f>VLOOKUP(Table1[[#This Row],[Date]],Database!A:D,2,)</f>
        <v/>
      </c>
      <c r="G934" s="55" t="n"/>
    </row>
    <row r="935">
      <c r="A935" s="54" t="n">
        <v>42339</v>
      </c>
      <c r="B935" s="25">
        <f>VLOOKUP(Table1[[#This Row],[Date]],Database!A:D,3,)</f>
        <v/>
      </c>
      <c r="C935" s="26">
        <f>B935-B934</f>
        <v/>
      </c>
      <c r="D935" s="26">
        <f>AVERAGE(C933:C935)</f>
        <v/>
      </c>
      <c r="E935" s="58">
        <f>VLOOKUP(Table1[[#This Row],[Date]],Database!A:D,4,)</f>
        <v/>
      </c>
      <c r="F935" s="58">
        <f>VLOOKUP(Table1[[#This Row],[Date]],Database!A:D,2,)</f>
        <v/>
      </c>
      <c r="G935" s="55" t="n"/>
    </row>
    <row r="936">
      <c r="A936" s="54" t="n">
        <v>42370</v>
      </c>
      <c r="B936" s="25">
        <f>VLOOKUP(Table1[[#This Row],[Date]],Database!A:D,3,)</f>
        <v/>
      </c>
      <c r="C936" s="26">
        <f>B936-B935</f>
        <v/>
      </c>
      <c r="D936" s="26">
        <f>AVERAGE(C934:C936)</f>
        <v/>
      </c>
      <c r="E936" s="58">
        <f>VLOOKUP(Table1[[#This Row],[Date]],Database!A:D,4,)</f>
        <v/>
      </c>
      <c r="F936" s="58">
        <f>VLOOKUP(Table1[[#This Row],[Date]],Database!A:D,2,)</f>
        <v/>
      </c>
      <c r="G936" s="55" t="n"/>
    </row>
    <row r="937">
      <c r="A937" s="54" t="n">
        <v>42401</v>
      </c>
      <c r="B937" s="25">
        <f>VLOOKUP(Table1[[#This Row],[Date]],Database!A:D,3,)</f>
        <v/>
      </c>
      <c r="C937" s="26">
        <f>B937-B936</f>
        <v/>
      </c>
      <c r="D937" s="26">
        <f>AVERAGE(C935:C937)</f>
        <v/>
      </c>
      <c r="E937" s="58">
        <f>VLOOKUP(Table1[[#This Row],[Date]],Database!A:D,4,)</f>
        <v/>
      </c>
      <c r="F937" s="58">
        <f>VLOOKUP(Table1[[#This Row],[Date]],Database!A:D,2,)</f>
        <v/>
      </c>
      <c r="G937" s="55" t="n"/>
    </row>
    <row r="938">
      <c r="A938" s="54" t="n">
        <v>42430</v>
      </c>
      <c r="B938" s="25">
        <f>VLOOKUP(Table1[[#This Row],[Date]],Database!A:D,3,)</f>
        <v/>
      </c>
      <c r="C938" s="26">
        <f>B938-B937</f>
        <v/>
      </c>
      <c r="D938" s="26">
        <f>AVERAGE(C936:C938)</f>
        <v/>
      </c>
      <c r="E938" s="58">
        <f>VLOOKUP(Table1[[#This Row],[Date]],Database!A:D,4,)</f>
        <v/>
      </c>
      <c r="F938" s="58">
        <f>VLOOKUP(Table1[[#This Row],[Date]],Database!A:D,2,)</f>
        <v/>
      </c>
      <c r="G938" s="55" t="n"/>
    </row>
    <row r="939">
      <c r="A939" s="54" t="n">
        <v>42461</v>
      </c>
      <c r="B939" s="25">
        <f>VLOOKUP(Table1[[#This Row],[Date]],Database!A:D,3,)</f>
        <v/>
      </c>
      <c r="C939" s="26">
        <f>B939-B938</f>
        <v/>
      </c>
      <c r="D939" s="26">
        <f>AVERAGE(C937:C939)</f>
        <v/>
      </c>
      <c r="E939" s="58">
        <f>VLOOKUP(Table1[[#This Row],[Date]],Database!A:D,4,)</f>
        <v/>
      </c>
      <c r="F939" s="58">
        <f>VLOOKUP(Table1[[#This Row],[Date]],Database!A:D,2,)</f>
        <v/>
      </c>
      <c r="G939" s="55" t="n"/>
      <c r="H939" s="63" t="n">
        <v>1</v>
      </c>
    </row>
    <row r="940">
      <c r="A940" s="54" t="n">
        <v>42491</v>
      </c>
      <c r="B940" s="25">
        <f>VLOOKUP(Table1[[#This Row],[Date]],Database!A:D,3,)</f>
        <v/>
      </c>
      <c r="C940" s="26">
        <f>B940-B939</f>
        <v/>
      </c>
      <c r="D940" s="26">
        <f>AVERAGE(C938:C940)</f>
        <v/>
      </c>
      <c r="E940" s="58">
        <f>VLOOKUP(Table1[[#This Row],[Date]],Database!A:D,4,)</f>
        <v/>
      </c>
      <c r="F940" s="58">
        <f>VLOOKUP(Table1[[#This Row],[Date]],Database!A:D,2,)</f>
        <v/>
      </c>
      <c r="G940" s="55" t="n"/>
      <c r="H940" s="63" t="n">
        <v>2</v>
      </c>
    </row>
    <row r="941">
      <c r="A941" s="54" t="n">
        <v>42522</v>
      </c>
      <c r="B941" s="25">
        <f>VLOOKUP(Table1[[#This Row],[Date]],Database!A:D,3,)</f>
        <v/>
      </c>
      <c r="C941" s="26">
        <f>B941-B940</f>
        <v/>
      </c>
      <c r="D941" s="26">
        <f>AVERAGE(C939:C941)</f>
        <v/>
      </c>
      <c r="E941" s="58">
        <f>VLOOKUP(Table1[[#This Row],[Date]],Database!A:D,4,)</f>
        <v/>
      </c>
      <c r="F941" s="58">
        <f>VLOOKUP(Table1[[#This Row],[Date]],Database!A:D,2,)</f>
        <v/>
      </c>
      <c r="G941" s="55" t="n"/>
      <c r="H941" s="63" t="n">
        <v>3</v>
      </c>
    </row>
    <row r="942">
      <c r="A942" s="54" t="n">
        <v>42552</v>
      </c>
      <c r="B942" s="25">
        <f>VLOOKUP(Table1[[#This Row],[Date]],Database!A:D,3,)</f>
        <v/>
      </c>
      <c r="C942" s="26">
        <f>B942-B941</f>
        <v/>
      </c>
      <c r="D942" s="26">
        <f>AVERAGE(C940:C942)</f>
        <v/>
      </c>
      <c r="E942" s="58">
        <f>VLOOKUP(Table1[[#This Row],[Date]],Database!A:D,4,)</f>
        <v/>
      </c>
      <c r="F942" s="58">
        <f>VLOOKUP(Table1[[#This Row],[Date]],Database!A:D,2,)</f>
        <v/>
      </c>
      <c r="G942" s="55" t="n"/>
      <c r="H942" s="63" t="n">
        <v>4</v>
      </c>
    </row>
    <row r="943">
      <c r="A943" s="54" t="n">
        <v>42583</v>
      </c>
      <c r="B943" s="25">
        <f>VLOOKUP(Table1[[#This Row],[Date]],Database!A:D,3,)</f>
        <v/>
      </c>
      <c r="C943" s="26">
        <f>B943-B942</f>
        <v/>
      </c>
      <c r="D943" s="26">
        <f>AVERAGE(C941:C943)</f>
        <v/>
      </c>
      <c r="E943" s="58">
        <f>VLOOKUP(Table1[[#This Row],[Date]],Database!A:D,4,)</f>
        <v/>
      </c>
      <c r="F943" s="58">
        <f>VLOOKUP(Table1[[#This Row],[Date]],Database!A:D,2,)</f>
        <v/>
      </c>
      <c r="G943" s="55" t="n"/>
      <c r="H943" s="63" t="n">
        <v>5</v>
      </c>
    </row>
    <row r="944">
      <c r="A944" s="54" t="n">
        <v>42614</v>
      </c>
      <c r="B944" s="25">
        <f>VLOOKUP(Table1[[#This Row],[Date]],Database!A:D,3,)</f>
        <v/>
      </c>
      <c r="C944" s="26">
        <f>B944-B943</f>
        <v/>
      </c>
      <c r="D944" s="26">
        <f>AVERAGE(C942:C944)</f>
        <v/>
      </c>
      <c r="E944" s="58">
        <f>VLOOKUP(Table1[[#This Row],[Date]],Database!A:D,4,)</f>
        <v/>
      </c>
      <c r="F944" s="58">
        <f>VLOOKUP(Table1[[#This Row],[Date]],Database!A:D,2,)</f>
        <v/>
      </c>
      <c r="G944" s="55" t="n"/>
      <c r="H944" s="63" t="n">
        <v>6</v>
      </c>
    </row>
    <row r="945">
      <c r="A945" s="54" t="n">
        <v>42644</v>
      </c>
      <c r="B945" s="25">
        <f>VLOOKUP(Table1[[#This Row],[Date]],Database!A:D,3,)</f>
        <v/>
      </c>
      <c r="C945" s="26">
        <f>B945-B944</f>
        <v/>
      </c>
      <c r="D945" s="26">
        <f>AVERAGE(C943:C945)</f>
        <v/>
      </c>
      <c r="E945" s="58">
        <f>VLOOKUP(Table1[[#This Row],[Date]],Database!A:D,4,)</f>
        <v/>
      </c>
      <c r="F945" s="58">
        <f>VLOOKUP(Table1[[#This Row],[Date]],Database!A:D,2,)</f>
        <v/>
      </c>
      <c r="G945" s="55" t="n"/>
      <c r="H945" s="63" t="n">
        <v>7</v>
      </c>
    </row>
    <row r="946">
      <c r="A946" s="54" t="n">
        <v>42675</v>
      </c>
      <c r="B946" s="25">
        <f>VLOOKUP(Table1[[#This Row],[Date]],Database!A:D,3,)</f>
        <v/>
      </c>
      <c r="C946" s="26">
        <f>B946-B945</f>
        <v/>
      </c>
      <c r="D946" s="26">
        <f>AVERAGE(C944:C946)</f>
        <v/>
      </c>
      <c r="E946" s="58">
        <f>VLOOKUP(Table1[[#This Row],[Date]],Database!A:D,4,)</f>
        <v/>
      </c>
      <c r="F946" s="58">
        <f>VLOOKUP(Table1[[#This Row],[Date]],Database!A:D,2,)</f>
        <v/>
      </c>
      <c r="G946" s="55" t="n"/>
      <c r="H946" s="63" t="n">
        <v>8</v>
      </c>
    </row>
    <row r="947">
      <c r="A947" s="54" t="n">
        <v>42705</v>
      </c>
      <c r="B947" s="25">
        <f>VLOOKUP(Table1[[#This Row],[Date]],Database!A:D,3,)</f>
        <v/>
      </c>
      <c r="C947" s="26">
        <f>B947-B946</f>
        <v/>
      </c>
      <c r="D947" s="26">
        <f>AVERAGE(C945:C947)</f>
        <v/>
      </c>
      <c r="E947" s="58">
        <f>VLOOKUP(Table1[[#This Row],[Date]],Database!A:D,4,)</f>
        <v/>
      </c>
      <c r="F947" s="58">
        <f>VLOOKUP(Table1[[#This Row],[Date]],Database!A:D,2,)</f>
        <v/>
      </c>
      <c r="G947" s="55" t="n"/>
      <c r="H947" s="63" t="n">
        <v>9</v>
      </c>
    </row>
    <row r="948">
      <c r="A948" s="54" t="n">
        <v>42736</v>
      </c>
      <c r="B948" s="25">
        <f>VLOOKUP(Table1[[#This Row],[Date]],Database!A:D,3,)</f>
        <v/>
      </c>
      <c r="C948" s="26">
        <f>B948-B947</f>
        <v/>
      </c>
      <c r="D948" s="26">
        <f>AVERAGE(C946:C948)</f>
        <v/>
      </c>
      <c r="E948" s="58">
        <f>VLOOKUP(Table1[[#This Row],[Date]],Database!A:D,4,)</f>
        <v/>
      </c>
      <c r="F948" s="58">
        <f>VLOOKUP(Table1[[#This Row],[Date]],Database!A:D,2,)</f>
        <v/>
      </c>
      <c r="G948" s="55" t="n"/>
      <c r="H948" s="63" t="n">
        <v>10</v>
      </c>
    </row>
    <row r="949">
      <c r="A949" s="54" t="n">
        <v>42767</v>
      </c>
      <c r="B949" s="25">
        <f>VLOOKUP(Table1[[#This Row],[Date]],Database!A:D,3,)</f>
        <v/>
      </c>
      <c r="C949" s="26">
        <f>B949-B948</f>
        <v/>
      </c>
      <c r="D949" s="26">
        <f>AVERAGE(C947:C949)</f>
        <v/>
      </c>
      <c r="E949" s="58">
        <f>VLOOKUP(Table1[[#This Row],[Date]],Database!A:D,4,)</f>
        <v/>
      </c>
      <c r="F949" s="58">
        <f>VLOOKUP(Table1[[#This Row],[Date]],Database!A:D,2,)</f>
        <v/>
      </c>
      <c r="G949" s="55" t="n"/>
      <c r="H949" s="63" t="n">
        <v>11</v>
      </c>
    </row>
    <row r="950">
      <c r="A950" s="54" t="n">
        <v>42795</v>
      </c>
      <c r="B950" s="25">
        <f>VLOOKUP(Table1[[#This Row],[Date]],Database!A:D,3,)</f>
        <v/>
      </c>
      <c r="C950" s="26">
        <f>B950-B949</f>
        <v/>
      </c>
      <c r="D950" s="26">
        <f>AVERAGE(C948:C950)</f>
        <v/>
      </c>
      <c r="E950" s="58">
        <f>VLOOKUP(Table1[[#This Row],[Date]],Database!A:D,4,)</f>
        <v/>
      </c>
      <c r="F950" s="58">
        <f>VLOOKUP(Table1[[#This Row],[Date]],Database!A:D,2,)</f>
        <v/>
      </c>
      <c r="G950" s="55" t="n"/>
      <c r="H950" s="63" t="n">
        <v>12</v>
      </c>
    </row>
    <row r="951">
      <c r="A951" s="54" t="n">
        <v>42826</v>
      </c>
      <c r="B951" s="25">
        <f>VLOOKUP(Table1[[#This Row],[Date]],Database!A:D,3,)</f>
        <v/>
      </c>
      <c r="C951" s="26">
        <f>B951-B950</f>
        <v/>
      </c>
      <c r="D951" s="26">
        <f>AVERAGE(C949:C951)</f>
        <v/>
      </c>
      <c r="E951" s="58">
        <f>VLOOKUP(Table1[[#This Row],[Date]],Database!A:D,4,)</f>
        <v/>
      </c>
      <c r="F951" s="58">
        <f>VLOOKUP(Table1[[#This Row],[Date]],Database!A:D,2,)</f>
        <v/>
      </c>
      <c r="G951" s="55" t="n"/>
      <c r="H951" s="63" t="n">
        <v>13</v>
      </c>
    </row>
    <row r="952">
      <c r="A952" s="54" t="n">
        <v>42856</v>
      </c>
      <c r="B952" s="25">
        <f>VLOOKUP(Table1[[#This Row],[Date]],Database!A:D,3,)</f>
        <v/>
      </c>
      <c r="C952" s="26">
        <f>B952-B951</f>
        <v/>
      </c>
      <c r="D952" s="26">
        <f>AVERAGE(C950:C952)</f>
        <v/>
      </c>
      <c r="E952" s="58">
        <f>VLOOKUP(Table1[[#This Row],[Date]],Database!A:D,4,)</f>
        <v/>
      </c>
      <c r="F952" s="58">
        <f>VLOOKUP(Table1[[#This Row],[Date]],Database!A:D,2,)</f>
        <v/>
      </c>
      <c r="G952" s="55" t="n"/>
      <c r="H952" s="63" t="n">
        <v>14</v>
      </c>
    </row>
    <row r="953">
      <c r="A953" s="54" t="n">
        <v>42887</v>
      </c>
      <c r="B953" s="25">
        <f>VLOOKUP(Table1[[#This Row],[Date]],Database!A:D,3,)</f>
        <v/>
      </c>
      <c r="C953" s="26">
        <f>B953-B952</f>
        <v/>
      </c>
      <c r="D953" s="26">
        <f>AVERAGE(C951:C953)</f>
        <v/>
      </c>
      <c r="E953" s="58">
        <f>VLOOKUP(Table1[[#This Row],[Date]],Database!A:D,4,)</f>
        <v/>
      </c>
      <c r="F953" s="58">
        <f>VLOOKUP(Table1[[#This Row],[Date]],Database!A:D,2,)</f>
        <v/>
      </c>
      <c r="G953" s="55" t="n"/>
      <c r="H953" s="63" t="n">
        <v>15</v>
      </c>
    </row>
    <row r="954">
      <c r="A954" s="54" t="n">
        <v>42917</v>
      </c>
      <c r="B954" s="25">
        <f>VLOOKUP(Table1[[#This Row],[Date]],Database!A:D,3,)</f>
        <v/>
      </c>
      <c r="C954" s="26">
        <f>B954-B953</f>
        <v/>
      </c>
      <c r="D954" s="26">
        <f>AVERAGE(C952:C954)</f>
        <v/>
      </c>
      <c r="E954" s="58">
        <f>VLOOKUP(Table1[[#This Row],[Date]],Database!A:D,4,)</f>
        <v/>
      </c>
      <c r="F954" s="58">
        <f>VLOOKUP(Table1[[#This Row],[Date]],Database!A:D,2,)</f>
        <v/>
      </c>
      <c r="G954" s="55" t="n"/>
      <c r="H954" s="63" t="n">
        <v>16</v>
      </c>
    </row>
    <row r="955">
      <c r="A955" s="54" t="n">
        <v>42948</v>
      </c>
      <c r="B955" s="25">
        <f>VLOOKUP(Table1[[#This Row],[Date]],Database!A:D,3,)</f>
        <v/>
      </c>
      <c r="C955" s="26">
        <f>B955-B954</f>
        <v/>
      </c>
      <c r="D955" s="26">
        <f>AVERAGE(C953:C955)</f>
        <v/>
      </c>
      <c r="E955" s="58">
        <f>VLOOKUP(Table1[[#This Row],[Date]],Database!A:D,4,)</f>
        <v/>
      </c>
      <c r="F955" s="58">
        <f>VLOOKUP(Table1[[#This Row],[Date]],Database!A:D,2,)</f>
        <v/>
      </c>
      <c r="G955" s="55" t="n"/>
      <c r="H955" s="63" t="n">
        <v>17</v>
      </c>
    </row>
    <row r="956">
      <c r="A956" s="54" t="n">
        <v>42979</v>
      </c>
      <c r="B956" s="25">
        <f>VLOOKUP(Table1[[#This Row],[Date]],Database!A:D,3,)</f>
        <v/>
      </c>
      <c r="C956" s="26">
        <f>B956-B955</f>
        <v/>
      </c>
      <c r="D956" s="26">
        <f>AVERAGE(C954:C956)</f>
        <v/>
      </c>
      <c r="E956" s="58">
        <f>VLOOKUP(Table1[[#This Row],[Date]],Database!A:D,4,)</f>
        <v/>
      </c>
      <c r="F956" s="58">
        <f>VLOOKUP(Table1[[#This Row],[Date]],Database!A:D,2,)</f>
        <v/>
      </c>
      <c r="G956" s="55" t="n"/>
      <c r="H956" s="63" t="n">
        <v>18</v>
      </c>
    </row>
    <row r="957">
      <c r="A957" s="54" t="n">
        <v>43009</v>
      </c>
      <c r="B957" s="25">
        <f>VLOOKUP(Table1[[#This Row],[Date]],Database!A:D,3,)</f>
        <v/>
      </c>
      <c r="C957" s="26">
        <f>B957-B956</f>
        <v/>
      </c>
      <c r="D957" s="26">
        <f>AVERAGE(C955:C957)</f>
        <v/>
      </c>
      <c r="E957" s="58">
        <f>VLOOKUP(Table1[[#This Row],[Date]],Database!A:D,4,)</f>
        <v/>
      </c>
      <c r="F957" s="58">
        <f>VLOOKUP(Table1[[#This Row],[Date]],Database!A:D,2,)</f>
        <v/>
      </c>
      <c r="G957" s="55" t="n"/>
      <c r="H957" s="63" t="n">
        <v>19</v>
      </c>
    </row>
    <row r="958">
      <c r="A958" s="54" t="n">
        <v>43040</v>
      </c>
      <c r="B958" s="25">
        <f>VLOOKUP(Table1[[#This Row],[Date]],Database!A:D,3,)</f>
        <v/>
      </c>
      <c r="C958" s="26">
        <f>B958-B957</f>
        <v/>
      </c>
      <c r="D958" s="26">
        <f>AVERAGE(C956:C958)</f>
        <v/>
      </c>
      <c r="E958" s="58">
        <f>VLOOKUP(Table1[[#This Row],[Date]],Database!A:D,4,)</f>
        <v/>
      </c>
      <c r="F958" s="58">
        <f>VLOOKUP(Table1[[#This Row],[Date]],Database!A:D,2,)</f>
        <v/>
      </c>
      <c r="G958" s="55" t="n"/>
      <c r="H958" s="63" t="n">
        <v>20</v>
      </c>
    </row>
    <row r="959">
      <c r="A959" s="54" t="n">
        <v>43070</v>
      </c>
      <c r="B959" s="25">
        <f>VLOOKUP(Table1[[#This Row],[Date]],Database!A:D,3,)</f>
        <v/>
      </c>
      <c r="C959" s="26">
        <f>B959-B958</f>
        <v/>
      </c>
      <c r="D959" s="26">
        <f>AVERAGE(C957:C959)</f>
        <v/>
      </c>
      <c r="E959" s="58">
        <f>VLOOKUP(Table1[[#This Row],[Date]],Database!A:D,4,)</f>
        <v/>
      </c>
      <c r="F959" s="58">
        <f>VLOOKUP(Table1[[#This Row],[Date]],Database!A:D,2,)</f>
        <v/>
      </c>
      <c r="G959" s="55" t="n"/>
      <c r="H959" s="63" t="n">
        <v>21</v>
      </c>
    </row>
    <row r="960">
      <c r="A960" s="54" t="n">
        <v>43101</v>
      </c>
      <c r="B960" s="25">
        <f>VLOOKUP(Table1[[#This Row],[Date]],Database!A:D,3,)</f>
        <v/>
      </c>
      <c r="C960" s="26">
        <f>B960-B959</f>
        <v/>
      </c>
      <c r="D960" s="26">
        <f>AVERAGE(C958:C960)</f>
        <v/>
      </c>
      <c r="E960" s="58">
        <f>VLOOKUP(Table1[[#This Row],[Date]],Database!A:D,4,)</f>
        <v/>
      </c>
      <c r="F960" s="58">
        <f>VLOOKUP(Table1[[#This Row],[Date]],Database!A:D,2,)</f>
        <v/>
      </c>
      <c r="G960" s="55" t="n"/>
    </row>
    <row r="961">
      <c r="A961" s="54" t="n">
        <v>43132</v>
      </c>
      <c r="B961" s="25">
        <f>VLOOKUP(Table1[[#This Row],[Date]],Database!A:D,3,)</f>
        <v/>
      </c>
      <c r="C961" s="26">
        <f>B961-B960</f>
        <v/>
      </c>
      <c r="D961" s="26">
        <f>AVERAGE(C959:C961)</f>
        <v/>
      </c>
      <c r="E961" s="58">
        <f>VLOOKUP(Table1[[#This Row],[Date]],Database!A:D,4,)</f>
        <v/>
      </c>
      <c r="F961" s="58">
        <f>VLOOKUP(Table1[[#This Row],[Date]],Database!A:D,2,)</f>
        <v/>
      </c>
      <c r="G961" s="55" t="n"/>
    </row>
    <row r="962">
      <c r="A962" s="54" t="n">
        <v>43160</v>
      </c>
      <c r="B962" s="25">
        <f>VLOOKUP(Table1[[#This Row],[Date]],Database!A:D,3,)</f>
        <v/>
      </c>
      <c r="C962" s="26">
        <f>B962-B961</f>
        <v/>
      </c>
      <c r="D962" s="26">
        <f>AVERAGE(C960:C962)</f>
        <v/>
      </c>
      <c r="E962" s="58">
        <f>VLOOKUP(Table1[[#This Row],[Date]],Database!A:D,4,)</f>
        <v/>
      </c>
      <c r="F962" s="58">
        <f>VLOOKUP(Table1[[#This Row],[Date]],Database!A:D,2,)</f>
        <v/>
      </c>
      <c r="G962" s="55" t="n"/>
    </row>
    <row r="963">
      <c r="A963" s="54" t="n">
        <v>43191</v>
      </c>
      <c r="B963" s="25">
        <f>VLOOKUP(Table1[[#This Row],[Date]],Database!A:D,3,)</f>
        <v/>
      </c>
      <c r="C963" s="26">
        <f>B963-B962</f>
        <v/>
      </c>
      <c r="D963" s="26">
        <f>AVERAGE(C961:C963)</f>
        <v/>
      </c>
      <c r="E963" s="58">
        <f>VLOOKUP(Table1[[#This Row],[Date]],Database!A:D,4,)</f>
        <v/>
      </c>
      <c r="F963" s="58">
        <f>VLOOKUP(Table1[[#This Row],[Date]],Database!A:D,2,)</f>
        <v/>
      </c>
    </row>
    <row r="964">
      <c r="A964" s="54" t="n">
        <v>43221</v>
      </c>
      <c r="B964" s="25">
        <f>VLOOKUP(Table1[[#This Row],[Date]],Database!A:D,3,)</f>
        <v/>
      </c>
      <c r="C964" s="26">
        <f>B964-B963</f>
        <v/>
      </c>
      <c r="D964" s="26">
        <f>AVERAGE(C962:C964)</f>
        <v/>
      </c>
      <c r="E964" s="58">
        <f>VLOOKUP(Table1[[#This Row],[Date]],Database!A:D,4,)</f>
        <v/>
      </c>
      <c r="F964" s="58">
        <f>VLOOKUP(Table1[[#This Row],[Date]],Database!A:D,2,)</f>
        <v/>
      </c>
    </row>
    <row r="965">
      <c r="A965" s="54" t="n">
        <v>43252</v>
      </c>
      <c r="B965" s="25">
        <f>VLOOKUP(Table1[[#This Row],[Date]],Database!A:D,3,)</f>
        <v/>
      </c>
      <c r="C965" s="26">
        <f>B965-B964</f>
        <v/>
      </c>
      <c r="D965" s="26">
        <f>AVERAGE(C963:C965)</f>
        <v/>
      </c>
      <c r="E965" s="58">
        <f>VLOOKUP(Table1[[#This Row],[Date]],Database!A:D,4,)</f>
        <v/>
      </c>
      <c r="F965" s="58">
        <f>VLOOKUP(Table1[[#This Row],[Date]],Database!A:D,2,)</f>
        <v/>
      </c>
    </row>
    <row r="966">
      <c r="A966" s="54" t="n">
        <v>43282</v>
      </c>
      <c r="B966" s="27">
        <f>VLOOKUP(Table1[[#This Row],[Date]],Database!A:D,3,)</f>
        <v/>
      </c>
      <c r="C966" s="26">
        <f>B966-B965</f>
        <v/>
      </c>
      <c r="D966" s="26">
        <f>AVERAGE(C964:C966)</f>
        <v/>
      </c>
      <c r="E966" s="58">
        <f>VLOOKUP(Table1[[#This Row],[Date]],Database!A:D,4,)</f>
        <v/>
      </c>
      <c r="F966" s="58">
        <f>VLOOKUP(Table1[[#This Row],[Date]],Database!A:D,2,)</f>
        <v/>
      </c>
    </row>
    <row r="967">
      <c r="A967" s="54" t="n">
        <v>43313</v>
      </c>
      <c r="B967" s="25">
        <f>VLOOKUP(Table1[[#This Row],[Date]],Database!A:D,3,)</f>
        <v/>
      </c>
      <c r="C967" s="26">
        <f>B967-B966</f>
        <v/>
      </c>
      <c r="D967" s="26">
        <f>AVERAGE(C965:C967)</f>
        <v/>
      </c>
      <c r="E967" s="58">
        <f>VLOOKUP(Table1[[#This Row],[Date]],Database!A:D,4,)</f>
        <v/>
      </c>
      <c r="F967" s="58">
        <f>VLOOKUP(Table1[[#This Row],[Date]],Database!A:D,2,)</f>
        <v/>
      </c>
    </row>
    <row r="968">
      <c r="A968" s="54" t="n">
        <v>43344</v>
      </c>
      <c r="B968" s="27">
        <f>VLOOKUP(Table1[[#This Row],[Date]],Database!A:D,3,)</f>
        <v/>
      </c>
      <c r="C968" s="26">
        <f>B968-B967</f>
        <v/>
      </c>
      <c r="D968" s="26">
        <f>AVERAGE(C966:C968)</f>
        <v/>
      </c>
      <c r="E968" s="58">
        <f>VLOOKUP(Table1[[#This Row],[Date]],Database!A:D,4,)</f>
        <v/>
      </c>
      <c r="F968" s="58">
        <f>VLOOKUP(Table1[[#This Row],[Date]],Database!A:D,2,)</f>
        <v/>
      </c>
    </row>
    <row r="969">
      <c r="A969" s="54" t="n">
        <v>43374</v>
      </c>
      <c r="B969" s="25">
        <f>VLOOKUP(Table1[[#This Row],[Date]],Database!A:D,3,)</f>
        <v/>
      </c>
      <c r="C969" s="26">
        <f>B969-B968</f>
        <v/>
      </c>
      <c r="D969" s="26">
        <f>AVERAGE(C967:C969)</f>
        <v/>
      </c>
      <c r="E969" s="58">
        <f>VLOOKUP(Table1[[#This Row],[Date]],Database!A:D,4,)</f>
        <v/>
      </c>
      <c r="F969" s="58">
        <f>VLOOKUP(Table1[[#This Row],[Date]],Database!A:D,2,)</f>
        <v/>
      </c>
    </row>
    <row r="970">
      <c r="A970" s="54" t="n">
        <v>43405</v>
      </c>
      <c r="B970" s="27">
        <f>VLOOKUP(Table1[[#This Row],[Date]],Database!A:D,3,)</f>
        <v/>
      </c>
      <c r="C970" s="26">
        <f>B970-B969</f>
        <v/>
      </c>
      <c r="D970" s="26">
        <f>AVERAGE(C968:C970)</f>
        <v/>
      </c>
      <c r="E970" s="58">
        <f>VLOOKUP(Table1[[#This Row],[Date]],Database!A:D,4,)</f>
        <v/>
      </c>
      <c r="F970" s="58">
        <f>VLOOKUP(Table1[[#This Row],[Date]],Database!A:D,2,)</f>
        <v/>
      </c>
    </row>
    <row r="971">
      <c r="A971" s="54" t="n">
        <v>43435</v>
      </c>
      <c r="B971" s="25">
        <f>VLOOKUP(Table1[[#This Row],[Date]],Database!A:D,3,)</f>
        <v/>
      </c>
      <c r="C971" s="26">
        <f>B971-B970</f>
        <v/>
      </c>
      <c r="D971" s="26">
        <f>AVERAGE(C969:C971)</f>
        <v/>
      </c>
      <c r="E971" s="58">
        <f>VLOOKUP(Table1[[#This Row],[Date]],Database!A:D,4,)</f>
        <v/>
      </c>
      <c r="F971" s="58">
        <f>VLOOKUP(Table1[[#This Row],[Date]],Database!A:D,2,)</f>
        <v/>
      </c>
    </row>
    <row r="972">
      <c r="A972" s="54" t="n">
        <v>43466</v>
      </c>
      <c r="B972" s="27">
        <f>VLOOKUP(Table1[[#This Row],[Date]],Database!A:D,3,)</f>
        <v/>
      </c>
      <c r="C972" s="26">
        <f>B972-B971</f>
        <v/>
      </c>
      <c r="D972" s="26">
        <f>AVERAGE(C970:C972)</f>
        <v/>
      </c>
      <c r="E972" s="58">
        <f>VLOOKUP(Table1[[#This Row],[Date]],Database!A:D,4,)</f>
        <v/>
      </c>
      <c r="F972" s="58">
        <f>VLOOKUP(Table1[[#This Row],[Date]],Database!A:D,2,)</f>
        <v/>
      </c>
    </row>
    <row r="973">
      <c r="A973" s="54" t="n">
        <v>43497</v>
      </c>
      <c r="B973" s="25">
        <f>VLOOKUP(Table1[[#This Row],[Date]],Database!A:D,3,)</f>
        <v/>
      </c>
      <c r="C973" s="26">
        <f>B973-B972</f>
        <v/>
      </c>
      <c r="D973" s="26">
        <f>AVERAGE(C971:C973)</f>
        <v/>
      </c>
      <c r="E973" s="58">
        <f>VLOOKUP(Table1[[#This Row],[Date]],Database!A:D,4,)</f>
        <v/>
      </c>
      <c r="F973" s="58">
        <f>VLOOKUP(Table1[[#This Row],[Date]],Database!A:D,2,)</f>
        <v/>
      </c>
    </row>
    <row r="974">
      <c r="A974" s="54" t="n">
        <v>43525</v>
      </c>
      <c r="B974" s="27">
        <f>VLOOKUP(Table1[[#This Row],[Date]],Database!A:D,3,)</f>
        <v/>
      </c>
      <c r="C974" s="26">
        <f>B974-B973</f>
        <v/>
      </c>
      <c r="D974" s="26">
        <f>AVERAGE(C972:C974)</f>
        <v/>
      </c>
      <c r="E974" s="58">
        <f>VLOOKUP(Table1[[#This Row],[Date]],Database!A:D,4,)</f>
        <v/>
      </c>
      <c r="F974" s="58">
        <f>VLOOKUP(Table1[[#This Row],[Date]],Database!A:D,2,)</f>
        <v/>
      </c>
    </row>
    <row r="975">
      <c r="A975" s="54" t="n">
        <v>43556</v>
      </c>
      <c r="B975" s="25">
        <f>VLOOKUP(Table1[[#This Row],[Date]],Database!A:D,3,)</f>
        <v/>
      </c>
      <c r="C975" s="26">
        <f>B975-B974</f>
        <v/>
      </c>
      <c r="D975" s="26">
        <f>AVERAGE(C973:C975)</f>
        <v/>
      </c>
      <c r="E975" s="58">
        <f>VLOOKUP(Table1[[#This Row],[Date]],Database!A:D,4,)</f>
        <v/>
      </c>
      <c r="F975" s="58">
        <f>VLOOKUP(Table1[[#This Row],[Date]],Database!A:D,2,)</f>
        <v/>
      </c>
    </row>
    <row r="976">
      <c r="A976" s="54" t="n">
        <v>43586</v>
      </c>
      <c r="B976" s="27">
        <f>VLOOKUP(Table1[[#This Row],[Date]],Database!A:D,3,)</f>
        <v/>
      </c>
      <c r="C976" s="26">
        <f>B976-B975</f>
        <v/>
      </c>
      <c r="D976" s="26">
        <f>AVERAGE(C974:C976)</f>
        <v/>
      </c>
      <c r="E976" s="58">
        <f>VLOOKUP(Table1[[#This Row],[Date]],Database!A:D,4,)</f>
        <v/>
      </c>
      <c r="F976" s="58">
        <f>VLOOKUP(Table1[[#This Row],[Date]],Database!A:D,2,)</f>
        <v/>
      </c>
    </row>
    <row r="977">
      <c r="A977" s="54" t="n">
        <v>43617</v>
      </c>
      <c r="B977" s="25">
        <f>VLOOKUP(Table1[[#This Row],[Date]],Database!A:D,3,)</f>
        <v/>
      </c>
      <c r="C977" s="26">
        <f>B977-B976</f>
        <v/>
      </c>
      <c r="D977" s="26">
        <f>AVERAGE(C975:C977)</f>
        <v/>
      </c>
      <c r="E977" s="58">
        <f>VLOOKUP(Table1[[#This Row],[Date]],Database!A:D,4,)</f>
        <v/>
      </c>
      <c r="F977" s="58">
        <f>VLOOKUP(Table1[[#This Row],[Date]],Database!A:D,2,)</f>
        <v/>
      </c>
    </row>
    <row r="978">
      <c r="A978" s="54" t="n">
        <v>43647</v>
      </c>
      <c r="B978" s="27">
        <f>VLOOKUP(Table1[[#This Row],[Date]],Database!A:D,3,)</f>
        <v/>
      </c>
      <c r="C978" s="26">
        <f>B978-B977</f>
        <v/>
      </c>
      <c r="D978" s="26">
        <f>AVERAGE(C976:C978)</f>
        <v/>
      </c>
      <c r="E978" s="58">
        <f>VLOOKUP(Table1[[#This Row],[Date]],Database!A:D,4,)</f>
        <v/>
      </c>
      <c r="F978" s="58">
        <f>VLOOKUP(Table1[[#This Row],[Date]],Database!A:D,2,)</f>
        <v/>
      </c>
    </row>
    <row r="979">
      <c r="A979" s="54" t="n">
        <v>43678</v>
      </c>
      <c r="B979" s="25">
        <f>VLOOKUP(Table1[[#This Row],[Date]],Database!A:D,3,)</f>
        <v/>
      </c>
      <c r="C979" s="26">
        <f>B979-B978</f>
        <v/>
      </c>
      <c r="D979" s="26">
        <f>AVERAGE(C977:C979)</f>
        <v/>
      </c>
      <c r="E979" s="58">
        <f>VLOOKUP(Table1[[#This Row],[Date]],Database!A:D,4,)</f>
        <v/>
      </c>
      <c r="F979" s="58">
        <f>VLOOKUP(Table1[[#This Row],[Date]],Database!A:D,2,)</f>
        <v/>
      </c>
    </row>
    <row r="980">
      <c r="A980" s="54" t="n">
        <v>43709</v>
      </c>
      <c r="B980" s="27">
        <f>VLOOKUP(Table1[[#This Row],[Date]],Database!A:D,3,)</f>
        <v/>
      </c>
      <c r="C980" s="26">
        <f>B980-B979</f>
        <v/>
      </c>
      <c r="D980" s="26">
        <f>AVERAGE(C978:C980)</f>
        <v/>
      </c>
      <c r="E980" s="58">
        <f>VLOOKUP(Table1[[#This Row],[Date]],Database!A:D,4,)</f>
        <v/>
      </c>
      <c r="F980" s="58">
        <f>VLOOKUP(Table1[[#This Row],[Date]],Database!A:D,2,)</f>
        <v/>
      </c>
    </row>
    <row r="981">
      <c r="A981" s="54" t="n">
        <v>43739</v>
      </c>
      <c r="B981" s="25">
        <f>VLOOKUP(Table1[[#This Row],[Date]],Database!A:D,3,)</f>
        <v/>
      </c>
      <c r="C981" s="26">
        <f>B981-B980</f>
        <v/>
      </c>
      <c r="D981" s="26">
        <f>AVERAGE(C979:C981)</f>
        <v/>
      </c>
      <c r="E981" s="58">
        <f>VLOOKUP(Table1[[#This Row],[Date]],Database!A:D,4,)</f>
        <v/>
      </c>
      <c r="F981" s="58">
        <f>VLOOKUP(Table1[[#This Row],[Date]],Database!A:D,2,)</f>
        <v/>
      </c>
    </row>
    <row r="982">
      <c r="A982" s="54" t="n">
        <v>43770</v>
      </c>
      <c r="B982" s="27">
        <f>VLOOKUP(Table1[[#This Row],[Date]],Database!A:D,3,)</f>
        <v/>
      </c>
      <c r="C982" s="26">
        <f>B982-B981</f>
        <v/>
      </c>
      <c r="D982" s="26">
        <f>AVERAGE(C980:C982)</f>
        <v/>
      </c>
      <c r="E982" s="58">
        <f>VLOOKUP(Table1[[#This Row],[Date]],Database!A:D,4,)</f>
        <v/>
      </c>
      <c r="F982" s="58">
        <f>VLOOKUP(Table1[[#This Row],[Date]],Database!A:D,2,)</f>
        <v/>
      </c>
    </row>
    <row r="983">
      <c r="A983" s="54" t="n">
        <v>43800</v>
      </c>
      <c r="B983" s="25">
        <f>VLOOKUP(Table1[[#This Row],[Date]],Database!A:D,3,)</f>
        <v/>
      </c>
      <c r="C983" s="26">
        <f>B983-B982</f>
        <v/>
      </c>
      <c r="D983" s="26">
        <f>AVERAGE(C981:C983)</f>
        <v/>
      </c>
      <c r="E983" s="58">
        <f>VLOOKUP(Table1[[#This Row],[Date]],Database!A:D,4,)</f>
        <v/>
      </c>
      <c r="F983" s="58">
        <f>VLOOKUP(Table1[[#This Row],[Date]],Database!A:D,2,)</f>
        <v/>
      </c>
    </row>
    <row r="984">
      <c r="A984" s="54" t="n">
        <v>43831</v>
      </c>
      <c r="B984" s="27">
        <f>VLOOKUP(Table1[[#This Row],[Date]],Database!A:D,3,)</f>
        <v/>
      </c>
      <c r="C984" s="26">
        <f>B984-B983</f>
        <v/>
      </c>
      <c r="D984" s="26">
        <f>AVERAGE(C982:C984)</f>
        <v/>
      </c>
      <c r="E984" s="58">
        <f>VLOOKUP(Table1[[#This Row],[Date]],Database!A:D,4,)</f>
        <v/>
      </c>
      <c r="F984" s="58">
        <f>VLOOKUP(Table1[[#This Row],[Date]],Database!A:D,2,)</f>
        <v/>
      </c>
    </row>
    <row r="985">
      <c r="A985" s="54" t="n">
        <v>43862</v>
      </c>
      <c r="B985" s="25">
        <f>VLOOKUP(Table1[[#This Row],[Date]],Database!A:D,3,)</f>
        <v/>
      </c>
      <c r="C985" s="26">
        <f>B985-B984</f>
        <v/>
      </c>
      <c r="D985" s="26">
        <f>AVERAGE(C983:C985)</f>
        <v/>
      </c>
      <c r="E985" s="58">
        <f>VLOOKUP(Table1[[#This Row],[Date]],Database!A:D,4,)</f>
        <v/>
      </c>
      <c r="F985" s="58">
        <f>VLOOKUP(Table1[[#This Row],[Date]],Database!A:D,2,)</f>
        <v/>
      </c>
    </row>
    <row r="986">
      <c r="A986" s="54" t="n">
        <v>43891</v>
      </c>
      <c r="B986" s="27">
        <f>VLOOKUP(Table1[[#This Row],[Date]],Database!A:D,3,)</f>
        <v/>
      </c>
      <c r="C986" s="26">
        <f>B986-B985</f>
        <v/>
      </c>
      <c r="D986" s="26">
        <f>AVERAGE(C984:C986)</f>
        <v/>
      </c>
      <c r="E986" s="58">
        <f>VLOOKUP(Table1[[#This Row],[Date]],Database!A:D,4,)</f>
        <v/>
      </c>
      <c r="F986" s="58">
        <f>VLOOKUP(Table1[[#This Row],[Date]],Database!A:D,2,)</f>
        <v/>
      </c>
    </row>
    <row r="987">
      <c r="A987" s="54" t="n">
        <v>43922</v>
      </c>
      <c r="B987" s="25">
        <f>VLOOKUP(Table1[[#This Row],[Date]],Database!A:D,3,)</f>
        <v/>
      </c>
      <c r="C987" s="26">
        <f>B987-B986</f>
        <v/>
      </c>
      <c r="D987" s="26">
        <f>AVERAGE(C985:C987)</f>
        <v/>
      </c>
      <c r="E987" s="58">
        <f>VLOOKUP(Table1[[#This Row],[Date]],Database!A:D,4,)</f>
        <v/>
      </c>
      <c r="F987" s="58">
        <f>VLOOKUP(Table1[[#This Row],[Date]],Database!A:D,2,)</f>
        <v/>
      </c>
    </row>
    <row r="988">
      <c r="A988" s="54" t="n">
        <v>43952</v>
      </c>
      <c r="B988" s="27">
        <f>VLOOKUP(Table1[[#This Row],[Date]],Database!A:D,3,)</f>
        <v/>
      </c>
      <c r="C988" s="26">
        <f>B988-B987</f>
        <v/>
      </c>
      <c r="D988" s="26">
        <f>AVERAGE(C986:C988)</f>
        <v/>
      </c>
      <c r="E988" s="58">
        <f>VLOOKUP(Table1[[#This Row],[Date]],Database!A:D,4,)</f>
        <v/>
      </c>
      <c r="F988" s="58">
        <f>VLOOKUP(Table1[[#This Row],[Date]],Database!A:D,2,)</f>
        <v/>
      </c>
    </row>
    <row r="989">
      <c r="A989" s="54" t="n">
        <v>43983</v>
      </c>
      <c r="B989" s="25">
        <f>VLOOKUP(Table1[[#This Row],[Date]],Database!A:D,3,)</f>
        <v/>
      </c>
      <c r="C989" s="26">
        <f>B989-B988</f>
        <v/>
      </c>
      <c r="D989" s="26">
        <f>AVERAGE(C987:C989)</f>
        <v/>
      </c>
      <c r="E989" s="58">
        <f>VLOOKUP(Table1[[#This Row],[Date]],Database!A:D,4,)</f>
        <v/>
      </c>
      <c r="F989" s="58">
        <f>VLOOKUP(Table1[[#This Row],[Date]],Database!A:D,2,)</f>
        <v/>
      </c>
    </row>
    <row r="990">
      <c r="A990" s="54" t="n">
        <v>44013</v>
      </c>
      <c r="B990" s="27">
        <f>VLOOKUP(Table1[[#This Row],[Date]],Database!A:D,3,)</f>
        <v/>
      </c>
      <c r="C990" s="26">
        <f>B990-B989</f>
        <v/>
      </c>
      <c r="D990" s="26">
        <f>AVERAGE(C988:C990)</f>
        <v/>
      </c>
      <c r="E990" s="58">
        <f>VLOOKUP(Table1[[#This Row],[Date]],Database!A:D,4,)</f>
        <v/>
      </c>
      <c r="F990" s="58">
        <f>VLOOKUP(Table1[[#This Row],[Date]],Database!A:D,2,)</f>
        <v/>
      </c>
    </row>
    <row r="991">
      <c r="A991" s="54" t="n">
        <v>44044</v>
      </c>
      <c r="B991" s="25">
        <f>VLOOKUP(Table1[[#This Row],[Date]],Database!A:D,3,)</f>
        <v/>
      </c>
      <c r="C991" s="26">
        <f>B991-B990</f>
        <v/>
      </c>
      <c r="D991" s="26">
        <f>AVERAGE(C989:C991)</f>
        <v/>
      </c>
      <c r="E991" s="58">
        <f>VLOOKUP(Table1[[#This Row],[Date]],Database!A:D,4,)</f>
        <v/>
      </c>
      <c r="F991" s="58">
        <f>VLOOKUP(Table1[[#This Row],[Date]],Database!A:D,2,)</f>
        <v/>
      </c>
    </row>
    <row r="992">
      <c r="A992" s="54" t="n">
        <v>44075</v>
      </c>
      <c r="B992" s="27">
        <f>VLOOKUP(Table1[[#This Row],[Date]],Database!A:D,3,)</f>
        <v/>
      </c>
      <c r="C992" s="26">
        <f>B992-B991</f>
        <v/>
      </c>
      <c r="D992" s="26">
        <f>AVERAGE(C990:C992)</f>
        <v/>
      </c>
      <c r="E992" s="58">
        <f>VLOOKUP(Table1[[#This Row],[Date]],Database!A:D,4,)</f>
        <v/>
      </c>
      <c r="F992" s="58">
        <f>VLOOKUP(Table1[[#This Row],[Date]],Database!A:D,2,)</f>
        <v/>
      </c>
    </row>
    <row r="993">
      <c r="A993" s="54" t="n">
        <v>44105</v>
      </c>
      <c r="B993" s="25">
        <f>VLOOKUP(Table1[[#This Row],[Date]],Database!A:D,3,)</f>
        <v/>
      </c>
      <c r="C993" s="26">
        <f>B993-B992</f>
        <v/>
      </c>
      <c r="D993" s="26">
        <f>AVERAGE(C991:C993)</f>
        <v/>
      </c>
      <c r="E993" s="58">
        <f>VLOOKUP(Table1[[#This Row],[Date]],Database!A:D,4,)</f>
        <v/>
      </c>
      <c r="F993" s="58">
        <f>VLOOKUP(Table1[[#This Row],[Date]],Database!A:D,2,)</f>
        <v/>
      </c>
    </row>
    <row r="994">
      <c r="A994" s="54" t="n">
        <v>44136</v>
      </c>
      <c r="B994" s="27">
        <f>VLOOKUP(Table1[[#This Row],[Date]],Database!A:D,3,)</f>
        <v/>
      </c>
      <c r="C994" s="26">
        <f>B994-B993</f>
        <v/>
      </c>
      <c r="D994" s="26">
        <f>AVERAGE(C992:C994)</f>
        <v/>
      </c>
      <c r="E994" s="58">
        <f>VLOOKUP(Table1[[#This Row],[Date]],Database!A:D,4,)</f>
        <v/>
      </c>
      <c r="F994" s="58">
        <f>VLOOKUP(Table1[[#This Row],[Date]],Database!A:D,2,)</f>
        <v/>
      </c>
    </row>
    <row r="995">
      <c r="A995" s="54" t="n">
        <v>44166</v>
      </c>
      <c r="B995" s="25">
        <f>VLOOKUP(Table1[[#This Row],[Date]],Database!A:D,3,)</f>
        <v/>
      </c>
      <c r="C995" s="26">
        <f>B995-B994</f>
        <v/>
      </c>
      <c r="D995" s="26">
        <f>AVERAGE(C993:C995)</f>
        <v/>
      </c>
      <c r="E995" s="58">
        <f>VLOOKUP(Table1[[#This Row],[Date]],Database!A:D,4,)</f>
        <v/>
      </c>
      <c r="F995" s="58">
        <f>VLOOKUP(Table1[[#This Row],[Date]],Database!A:D,2,)</f>
        <v/>
      </c>
    </row>
    <row r="996">
      <c r="A996" s="54" t="n">
        <v>44197</v>
      </c>
      <c r="B996" s="27">
        <f>VLOOKUP(Table1[[#This Row],[Date]],Database!A:D,3,)</f>
        <v/>
      </c>
      <c r="C996" s="26">
        <f>B996-B995</f>
        <v/>
      </c>
      <c r="D996" s="26">
        <f>AVERAGE(C994:C996)</f>
        <v/>
      </c>
      <c r="E996" s="58">
        <f>VLOOKUP(Table1[[#This Row],[Date]],Database!A:D,4,)</f>
        <v/>
      </c>
      <c r="F996" s="58">
        <f>VLOOKUP(Table1[[#This Row],[Date]],Database!A:D,2,)</f>
        <v/>
      </c>
    </row>
    <row r="997">
      <c r="A997" s="54" t="n">
        <v>44228</v>
      </c>
      <c r="B997" s="25">
        <f>VLOOKUP(Table1[[#This Row],[Date]],Database!A:D,3,)</f>
        <v/>
      </c>
      <c r="C997" s="26">
        <f>B997-B996</f>
        <v/>
      </c>
      <c r="D997" s="26">
        <f>AVERAGE(C995:C997)</f>
        <v/>
      </c>
      <c r="E997" s="58">
        <f>VLOOKUP(Table1[[#This Row],[Date]],Database!A:D,4,)</f>
        <v/>
      </c>
      <c r="F997" s="58">
        <f>VLOOKUP(Table1[[#This Row],[Date]],Database!A:D,2,)</f>
        <v/>
      </c>
    </row>
    <row r="998">
      <c r="A998" s="54" t="n">
        <v>44256</v>
      </c>
      <c r="B998" s="27">
        <f>VLOOKUP(Table1[[#This Row],[Date]],Database!A:D,3,)</f>
        <v/>
      </c>
      <c r="C998" s="26">
        <f>B998-B997</f>
        <v/>
      </c>
      <c r="D998" s="26">
        <f>AVERAGE(C996:C998)</f>
        <v/>
      </c>
      <c r="E998" s="58">
        <f>VLOOKUP(Table1[[#This Row],[Date]],Database!A:D,4,)</f>
        <v/>
      </c>
      <c r="F998" s="58">
        <f>VLOOKUP(Table1[[#This Row],[Date]],Database!A:D,2,)</f>
        <v/>
      </c>
    </row>
    <row r="999">
      <c r="A999" s="54" t="n">
        <v>44287</v>
      </c>
      <c r="B999" s="25">
        <f>VLOOKUP(Table1[[#This Row],[Date]],Database!A:D,3,)</f>
        <v/>
      </c>
      <c r="C999" s="26">
        <f>B999-B998</f>
        <v/>
      </c>
      <c r="D999" s="26">
        <f>AVERAGE(C997:C999)</f>
        <v/>
      </c>
      <c r="E999" s="58">
        <f>VLOOKUP(Table1[[#This Row],[Date]],Database!A:D,4,)</f>
        <v/>
      </c>
      <c r="F999" s="58">
        <f>VLOOKUP(Table1[[#This Row],[Date]],Database!A:D,2,)</f>
        <v/>
      </c>
    </row>
    <row r="1000">
      <c r="A1000" s="54" t="n">
        <v>44317</v>
      </c>
      <c r="B1000" s="27">
        <f>VLOOKUP(Table1[[#This Row],[Date]],Database!A:D,3,)</f>
        <v/>
      </c>
      <c r="C1000" s="26">
        <f>B1000-B999</f>
        <v/>
      </c>
      <c r="D1000" s="26">
        <f>AVERAGE(C998:C1000)</f>
        <v/>
      </c>
      <c r="E1000" s="58">
        <f>VLOOKUP(Table1[[#This Row],[Date]],Database!A:D,4,)</f>
        <v/>
      </c>
      <c r="F1000" s="58">
        <f>VLOOKUP(Table1[[#This Row],[Date]],Database!A:D,2,)</f>
        <v/>
      </c>
    </row>
    <row r="1001">
      <c r="A1001" s="54" t="n">
        <v>44348</v>
      </c>
      <c r="B1001" s="25">
        <f>VLOOKUP(Table1[[#This Row],[Date]],Database!A:D,3,)</f>
        <v/>
      </c>
      <c r="C1001" s="26">
        <f>B1001-B1000</f>
        <v/>
      </c>
      <c r="D1001" s="26">
        <f>AVERAGE(C999:C1001)</f>
        <v/>
      </c>
      <c r="E1001" s="58">
        <f>VLOOKUP(Table1[[#This Row],[Date]],Database!A:D,4,)</f>
        <v/>
      </c>
      <c r="F1001" s="58">
        <f>VLOOKUP(Table1[[#This Row],[Date]],Database!A:D,2,)</f>
        <v/>
      </c>
    </row>
    <row r="1002">
      <c r="A1002" s="54" t="n">
        <v>44378</v>
      </c>
      <c r="B1002" s="27">
        <f>VLOOKUP(Table1[[#This Row],[Date]],Database!A:D,3,)</f>
        <v/>
      </c>
      <c r="C1002" s="26">
        <f>B1002-B1001</f>
        <v/>
      </c>
      <c r="D1002" s="26">
        <f>AVERAGE(C1000:C1002)</f>
        <v/>
      </c>
      <c r="E1002" s="58">
        <f>VLOOKUP(Table1[[#This Row],[Date]],Database!A:D,4,)</f>
        <v/>
      </c>
      <c r="F1002" s="58">
        <f>VLOOKUP(Table1[[#This Row],[Date]],Database!A:D,2,)</f>
        <v/>
      </c>
    </row>
    <row r="1003">
      <c r="A1003" s="54" t="n">
        <v>44409</v>
      </c>
      <c r="B1003" s="25">
        <f>VLOOKUP(Table1[[#This Row],[Date]],Database!A:D,3,)</f>
        <v/>
      </c>
      <c r="C1003" s="26">
        <f>B1003-B1002</f>
        <v/>
      </c>
      <c r="D1003" s="26">
        <f>AVERAGE(C1001:C1003)</f>
        <v/>
      </c>
      <c r="E1003" s="58">
        <f>VLOOKUP(Table1[[#This Row],[Date]],Database!A:D,4,)</f>
        <v/>
      </c>
      <c r="F1003" s="58">
        <f>VLOOKUP(Table1[[#This Row],[Date]],Database!A:D,2,)</f>
        <v/>
      </c>
      <c r="J1003" s="46" t="n"/>
      <c r="K1003" s="47" t="n"/>
    </row>
    <row r="1004">
      <c r="A1004" s="54" t="n">
        <v>44440</v>
      </c>
      <c r="B1004" s="25">
        <f>VLOOKUP(Table1[[#This Row],[Date]],Database!A:D,3,)</f>
        <v/>
      </c>
      <c r="C1004" s="26">
        <f>B1004-B1003</f>
        <v/>
      </c>
      <c r="D1004" s="26">
        <f>AVERAGE(C1002:C1004)</f>
        <v/>
      </c>
      <c r="E1004" s="58">
        <f>VLOOKUP(Table1[[#This Row],[Date]],Database!A:D,4,)</f>
        <v/>
      </c>
      <c r="F1004" s="58">
        <f>VLOOKUP(Table1[[#This Row],[Date]],Database!A:D,2,)</f>
        <v/>
      </c>
    </row>
    <row r="1005">
      <c r="A1005" s="54" t="n">
        <v>44470</v>
      </c>
      <c r="B1005" s="27">
        <f>VLOOKUP(Table1[[#This Row],[Date]],Database!A:D,3,)</f>
        <v/>
      </c>
      <c r="C1005" s="26">
        <f>B1005-B1004</f>
        <v/>
      </c>
      <c r="D1005" s="26">
        <f>AVERAGE(C1003:C1005)</f>
        <v/>
      </c>
      <c r="E1005" s="58">
        <f>VLOOKUP(Table1[[#This Row],[Date]],Database!A:D,4,)</f>
        <v/>
      </c>
      <c r="F1005" s="58">
        <f>VLOOKUP(Table1[[#This Row],[Date]],Database!A:D,2,)</f>
        <v/>
      </c>
    </row>
    <row r="1006">
      <c r="A1006" s="54" t="n">
        <v>44501</v>
      </c>
      <c r="B1006" s="25">
        <f>VLOOKUP(Table1[[#This Row],[Date]],Database!A:D,3,)</f>
        <v/>
      </c>
      <c r="C1006" s="26">
        <f>B1006-B1005</f>
        <v/>
      </c>
      <c r="D1006" s="26">
        <f>AVERAGE(C1004:C1006)</f>
        <v/>
      </c>
      <c r="E1006" s="58">
        <f>VLOOKUP(Table1[[#This Row],[Date]],Database!A:D,4,)</f>
        <v/>
      </c>
      <c r="F1006" s="58">
        <f>VLOOKUP(Table1[[#This Row],[Date]],Database!A:D,2,)</f>
        <v/>
      </c>
    </row>
    <row r="1007">
      <c r="A1007" s="54" t="n">
        <v>44531</v>
      </c>
      <c r="B1007" s="27">
        <f>VLOOKUP(Table1[[#This Row],[Date]],Database!A:D,3,)</f>
        <v/>
      </c>
      <c r="C1007" s="26">
        <f>B1007-B1006</f>
        <v/>
      </c>
      <c r="D1007" s="26">
        <f>AVERAGE(C1005:C1007)</f>
        <v/>
      </c>
      <c r="E1007" s="58">
        <f>VLOOKUP(Table1[[#This Row],[Date]],Database!A:D,4,)</f>
        <v/>
      </c>
      <c r="F1007" s="58">
        <f>VLOOKUP(Table1[[#This Row],[Date]],Database!A:D,2,)</f>
        <v/>
      </c>
    </row>
    <row r="1008">
      <c r="A1008" s="54" t="n">
        <v>44562</v>
      </c>
      <c r="B1008" s="25">
        <f>VLOOKUP(Table1[[#This Row],[Date]],Database!A:D,3,)</f>
        <v/>
      </c>
      <c r="C1008" s="26">
        <f>B1008-B1007</f>
        <v/>
      </c>
      <c r="D1008" s="26">
        <f>AVERAGE(C1006:C1008)</f>
        <v/>
      </c>
      <c r="E1008" s="58">
        <f>VLOOKUP(Table1[[#This Row],[Date]],Database!A:D,4,)</f>
        <v/>
      </c>
      <c r="F1008" s="58">
        <f>VLOOKUP(Table1[[#This Row],[Date]],Database!A:D,2,)</f>
        <v/>
      </c>
    </row>
    <row r="1009">
      <c r="A1009" s="54" t="n">
        <v>44593</v>
      </c>
      <c r="B1009" s="27">
        <f>VLOOKUP(Table1[[#This Row],[Date]],Database!A:D,3,)</f>
        <v/>
      </c>
      <c r="C1009" s="26">
        <f>B1009-B1008</f>
        <v/>
      </c>
      <c r="D1009" s="26">
        <f>AVERAGE(C1007:C1009)</f>
        <v/>
      </c>
      <c r="E1009" s="58">
        <f>VLOOKUP(Table1[[#This Row],[Date]],Database!A:D,4,)</f>
        <v/>
      </c>
      <c r="F1009" s="58">
        <f>VLOOKUP(Table1[[#This Row],[Date]],Database!A:D,2,)</f>
        <v/>
      </c>
    </row>
    <row r="1010">
      <c r="A1010" s="54" t="n">
        <v>44621</v>
      </c>
      <c r="B1010" s="27">
        <f>VLOOKUP(Table1[[#This Row],[Date]],Database!A:D,3,)</f>
        <v/>
      </c>
      <c r="C1010" s="26">
        <f>B1010-B1009</f>
        <v/>
      </c>
      <c r="D1010" s="26">
        <f>AVERAGE(C1008:C1010)</f>
        <v/>
      </c>
      <c r="E1010" s="58">
        <f>VLOOKUP(Table1[[#This Row],[Date]],Database!A:D,4,)</f>
        <v/>
      </c>
      <c r="F1010" s="58">
        <f>VLOOKUP(Table1[[#This Row],[Date]],Database!A:D,2,)</f>
        <v/>
      </c>
    </row>
    <row r="1011">
      <c r="A1011" s="54" t="n">
        <v>44652</v>
      </c>
      <c r="B1011" s="27">
        <f>VLOOKUP(Table1[[#This Row],[Date]],Database!A:D,3,)</f>
        <v/>
      </c>
      <c r="C1011" s="26">
        <f>B1011-B1010</f>
        <v/>
      </c>
      <c r="D1011" s="26">
        <f>AVERAGE(C1009:C1011)</f>
        <v/>
      </c>
      <c r="E1011" s="58">
        <f>VLOOKUP(Table1[[#This Row],[Date]],Database!A:D,4,)</f>
        <v/>
      </c>
      <c r="F1011" s="58">
        <f>VLOOKUP(Table1[[#This Row],[Date]],Database!A:D,2,)</f>
        <v/>
      </c>
    </row>
    <row r="1012">
      <c r="A1012" s="54" t="n">
        <v>44682</v>
      </c>
      <c r="B1012" s="27">
        <f>VLOOKUP(Table1[[#This Row],[Date]],Database!A:D,3,)</f>
        <v/>
      </c>
      <c r="C1012" s="26">
        <f>B1012-B1011</f>
        <v/>
      </c>
      <c r="D1012" s="26">
        <f>AVERAGE(C1010:C1012)</f>
        <v/>
      </c>
      <c r="E1012" s="58">
        <f>VLOOKUP(Table1[[#This Row],[Date]],Database!A:D,4,)</f>
        <v/>
      </c>
      <c r="F1012" s="58">
        <f>VLOOKUP(Table1[[#This Row],[Date]],Database!A:D,2,)</f>
        <v/>
      </c>
    </row>
    <row r="1013">
      <c r="A1013" s="54" t="n">
        <v>44713</v>
      </c>
      <c r="B1013" s="25">
        <f>VLOOKUP(Table1[[#This Row],[Date]],Database!A:D,3,)</f>
        <v/>
      </c>
      <c r="C1013" s="26">
        <f>B1013-B1012</f>
        <v/>
      </c>
      <c r="D1013" s="26">
        <f>AVERAGE(C1011:C1013)</f>
        <v/>
      </c>
      <c r="E1013" s="58">
        <f>VLOOKUP(Table1[[#This Row],[Date]],Database!A:D,4,)</f>
        <v/>
      </c>
      <c r="F1013" s="58">
        <f>VLOOKUP(Table1[[#This Row],[Date]],Database!A:D,2,)</f>
        <v/>
      </c>
    </row>
    <row r="1014">
      <c r="A1014" s="54" t="n">
        <v>44743</v>
      </c>
      <c r="B1014" s="25">
        <f>VLOOKUP(Table1[[#This Row],[Date]],Database!A:D,3,)</f>
        <v/>
      </c>
      <c r="C1014" s="26">
        <f>B1014-B1013</f>
        <v/>
      </c>
      <c r="D1014" s="26">
        <f>AVERAGE(C1012:C1014)</f>
        <v/>
      </c>
      <c r="E1014" s="58">
        <f>VLOOKUP(Table1[[#This Row],[Date]],Database!A:D,4,)</f>
        <v/>
      </c>
      <c r="F1014" s="58">
        <f>VLOOKUP(Table1[[#This Row],[Date]],Database!A:D,2,)</f>
        <v/>
      </c>
    </row>
    <row r="1015">
      <c r="A1015" s="54" t="n">
        <v>44774</v>
      </c>
      <c r="B1015" s="25">
        <f>VLOOKUP(Table1[[#This Row],[Date]],Database!A:D,3,)</f>
        <v/>
      </c>
      <c r="C1015" s="26">
        <f>B1015-B1014</f>
        <v/>
      </c>
      <c r="D1015" s="26">
        <f>AVERAGE(C1013:C1015)</f>
        <v/>
      </c>
      <c r="E1015" s="58">
        <f>VLOOKUP(Table1[[#This Row],[Date]],Database!A:D,4,)</f>
        <v/>
      </c>
      <c r="F1015" s="58">
        <f>VLOOKUP(Table1[[#This Row],[Date]],Database!A:D,2,)</f>
        <v/>
      </c>
    </row>
    <row r="1016">
      <c r="A1016" s="54" t="n">
        <v>44805</v>
      </c>
      <c r="B1016" s="25">
        <f>VLOOKUP(Table1[[#This Row],[Date]],Database!A:D,3,)</f>
        <v/>
      </c>
      <c r="C1016" s="26">
        <f>B1016-B1015</f>
        <v/>
      </c>
      <c r="D1016" s="26">
        <f>AVERAGE(C1014:C1016)</f>
        <v/>
      </c>
      <c r="E1016" s="58">
        <f>VLOOKUP(Table1[[#This Row],[Date]],Database!A:D,4,)</f>
        <v/>
      </c>
      <c r="F1016" s="58">
        <f>VLOOKUP(Table1[[#This Row],[Date]],Database!A:D,2,)</f>
        <v/>
      </c>
    </row>
    <row r="1017">
      <c r="A1017" s="54" t="n">
        <v>44835</v>
      </c>
      <c r="B1017" s="27">
        <f>VLOOKUP(Table1[[#This Row],[Date]],Database!A:D,3,)</f>
        <v/>
      </c>
      <c r="C1017" s="26">
        <f>B1017-B1016</f>
        <v/>
      </c>
      <c r="D1017" s="26">
        <f>AVERAGE(C1015:C1017)</f>
        <v/>
      </c>
      <c r="E1017" s="58">
        <f>VLOOKUP(Table1[[#This Row],[Date]],Database!A:D,4,)</f>
        <v/>
      </c>
      <c r="F1017" s="58">
        <f>VLOOKUP(Table1[[#This Row],[Date]],Database!A:D,2,)</f>
        <v/>
      </c>
    </row>
    <row r="1018">
      <c r="A1018" s="54" t="n">
        <v>44866</v>
      </c>
      <c r="B1018" s="25">
        <f>VLOOKUP(Table1[[#This Row],[Date]],Database!A:D,3,)</f>
        <v/>
      </c>
      <c r="C1018" s="26">
        <f>B1018-B1017</f>
        <v/>
      </c>
      <c r="D1018" s="26">
        <f>AVERAGE(C1016:C1018)</f>
        <v/>
      </c>
      <c r="E1018" s="58">
        <f>VLOOKUP(Table1[[#This Row],[Date]],Database!A:D,4,)</f>
        <v/>
      </c>
      <c r="F1018" s="58">
        <f>VLOOKUP(Table1[[#This Row],[Date]],Database!A:D,2,)</f>
        <v/>
      </c>
    </row>
  </sheetData>
  <conditionalFormatting sqref="C864:C1018">
    <cfRule type="colorScale" priority="9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4">
    <tabColor rgb="FF00B050"/>
    <outlinePr summaryBelow="1" summaryRight="1"/>
    <pageSetUpPr/>
  </sheetPr>
  <dimension ref="A1:E2920"/>
  <sheetViews>
    <sheetView zoomScale="80" zoomScaleNormal="80" workbookViewId="0">
      <pane ySplit="4" topLeftCell="A2881" activePane="bottomLeft" state="frozen"/>
      <selection activeCell="L243" sqref="L243"/>
      <selection pane="bottomLeft" activeCell="H2919" sqref="H2919"/>
    </sheetView>
  </sheetViews>
  <sheetFormatPr baseColWidth="8" defaultColWidth="8.81640625" defaultRowHeight="14.5"/>
  <cols>
    <col width="10.6328125" bestFit="1" customWidth="1" style="49" min="1" max="1"/>
    <col width="14.6328125" customWidth="1" style="49" min="2" max="2"/>
    <col width="18.6328125" customWidth="1" style="49" min="4" max="4"/>
    <col width="12" customWidth="1" style="49" min="5" max="5"/>
    <col width="9.1796875" customWidth="1" style="63" min="6" max="168"/>
  </cols>
  <sheetData>
    <row r="1" customFormat="1" s="63">
      <c r="B1" s="63" t="inlineStr">
        <is>
          <t>ICSA</t>
        </is>
      </c>
      <c r="D1" s="63" t="inlineStr">
        <is>
          <t>CCSA</t>
        </is>
      </c>
    </row>
    <row r="2" customFormat="1" s="63"/>
    <row r="3" customFormat="1" s="63"/>
    <row r="4" ht="16" customHeight="1" s="49">
      <c r="A4" s="30" t="inlineStr">
        <is>
          <t>Date</t>
        </is>
      </c>
      <c r="B4" s="30" t="inlineStr">
        <is>
          <t>Initial Claims</t>
        </is>
      </c>
      <c r="C4" s="30" t="inlineStr">
        <is>
          <t>Var.</t>
        </is>
      </c>
      <c r="D4" s="30" t="inlineStr">
        <is>
          <t>Continued Claims</t>
        </is>
      </c>
      <c r="E4" s="30" t="inlineStr">
        <is>
          <t xml:space="preserve">Var. </t>
        </is>
      </c>
    </row>
    <row r="5">
      <c r="A5" s="28" t="n">
        <v>24479</v>
      </c>
      <c r="B5" s="25">
        <f>VLOOKUP(A5,'Database Claims'!$A:$C,3,)</f>
        <v/>
      </c>
      <c r="C5" s="58" t="n"/>
      <c r="D5" s="25">
        <f>VLOOKUP(A5,'Database Claims'!$A:$C,2,)</f>
        <v/>
      </c>
      <c r="E5" s="58" t="n"/>
    </row>
    <row r="6">
      <c r="A6" s="28" t="n">
        <v>24486</v>
      </c>
      <c r="B6" s="29">
        <f>VLOOKUP(A6,'Database Claims'!$A:$C,3,)</f>
        <v/>
      </c>
      <c r="C6" s="29">
        <f>B6-B5</f>
        <v/>
      </c>
      <c r="D6" s="29">
        <f>VLOOKUP(A6,'Database Claims'!$A:$C,2,)</f>
        <v/>
      </c>
      <c r="E6" s="29">
        <f>D6-D5</f>
        <v/>
      </c>
    </row>
    <row r="7">
      <c r="A7" s="28" t="n">
        <v>24493</v>
      </c>
      <c r="B7" s="25">
        <f>VLOOKUP(A7,'Database Claims'!$A:$C,3,)</f>
        <v/>
      </c>
      <c r="C7" s="29">
        <f>B7-B6</f>
        <v/>
      </c>
      <c r="D7" s="25">
        <f>VLOOKUP(A7,'Database Claims'!$A:$C,2,)</f>
        <v/>
      </c>
      <c r="E7" s="29">
        <f>D7-D6</f>
        <v/>
      </c>
    </row>
    <row r="8">
      <c r="A8" s="28" t="n">
        <v>24500</v>
      </c>
      <c r="B8" s="29">
        <f>VLOOKUP(A8,'Database Claims'!$A:$C,3,)</f>
        <v/>
      </c>
      <c r="C8" s="29">
        <f>B8-B7</f>
        <v/>
      </c>
      <c r="D8" s="29">
        <f>VLOOKUP(A8,'Database Claims'!$A:$C,2,)</f>
        <v/>
      </c>
      <c r="E8" s="29">
        <f>D8-D7</f>
        <v/>
      </c>
    </row>
    <row r="9">
      <c r="A9" s="28" t="n">
        <v>24507</v>
      </c>
      <c r="B9" s="25">
        <f>VLOOKUP(A9,'Database Claims'!$A:$C,3,)</f>
        <v/>
      </c>
      <c r="C9" s="29">
        <f>B9-B8</f>
        <v/>
      </c>
      <c r="D9" s="25">
        <f>VLOOKUP(A9,'Database Claims'!$A:$C,2,)</f>
        <v/>
      </c>
      <c r="E9" s="29">
        <f>D9-D8</f>
        <v/>
      </c>
    </row>
    <row r="10">
      <c r="A10" s="28" t="n">
        <v>24514</v>
      </c>
      <c r="B10" s="29">
        <f>VLOOKUP(A10,'Database Claims'!$A:$C,3,)</f>
        <v/>
      </c>
      <c r="C10" s="29">
        <f>B10-B9</f>
        <v/>
      </c>
      <c r="D10" s="29">
        <f>VLOOKUP(A10,'Database Claims'!$A:$C,2,)</f>
        <v/>
      </c>
      <c r="E10" s="29">
        <f>D10-D9</f>
        <v/>
      </c>
    </row>
    <row r="11">
      <c r="A11" s="28" t="n">
        <v>24521</v>
      </c>
      <c r="B11" s="25">
        <f>VLOOKUP(A11,'Database Claims'!$A:$C,3,)</f>
        <v/>
      </c>
      <c r="C11" s="29">
        <f>B11-B10</f>
        <v/>
      </c>
      <c r="D11" s="25">
        <f>VLOOKUP(A11,'Database Claims'!$A:$C,2,)</f>
        <v/>
      </c>
      <c r="E11" s="29">
        <f>D11-D10</f>
        <v/>
      </c>
    </row>
    <row r="12">
      <c r="A12" s="28" t="n">
        <v>24528</v>
      </c>
      <c r="B12" s="29">
        <f>VLOOKUP(A12,'Database Claims'!$A:$C,3,)</f>
        <v/>
      </c>
      <c r="C12" s="29">
        <f>B12-B11</f>
        <v/>
      </c>
      <c r="D12" s="29">
        <f>VLOOKUP(A12,'Database Claims'!$A:$C,2,)</f>
        <v/>
      </c>
      <c r="E12" s="29">
        <f>D12-D11</f>
        <v/>
      </c>
    </row>
    <row r="13">
      <c r="A13" s="28" t="n">
        <v>24535</v>
      </c>
      <c r="B13" s="25">
        <f>VLOOKUP(A13,'Database Claims'!$A:$C,3,)</f>
        <v/>
      </c>
      <c r="C13" s="29">
        <f>B13-B12</f>
        <v/>
      </c>
      <c r="D13" s="25">
        <f>VLOOKUP(A13,'Database Claims'!$A:$C,2,)</f>
        <v/>
      </c>
      <c r="E13" s="29">
        <f>D13-D12</f>
        <v/>
      </c>
    </row>
    <row r="14">
      <c r="A14" s="28" t="n">
        <v>24542</v>
      </c>
      <c r="B14" s="29">
        <f>VLOOKUP(A14,'Database Claims'!$A:$C,3,)</f>
        <v/>
      </c>
      <c r="C14" s="29">
        <f>B14-B13</f>
        <v/>
      </c>
      <c r="D14" s="29">
        <f>VLOOKUP(A14,'Database Claims'!$A:$C,2,)</f>
        <v/>
      </c>
      <c r="E14" s="29">
        <f>D14-D13</f>
        <v/>
      </c>
    </row>
    <row r="15">
      <c r="A15" s="28" t="n">
        <v>24549</v>
      </c>
      <c r="B15" s="25">
        <f>VLOOKUP(A15,'Database Claims'!$A:$C,3,)</f>
        <v/>
      </c>
      <c r="C15" s="29">
        <f>B15-B14</f>
        <v/>
      </c>
      <c r="D15" s="25">
        <f>VLOOKUP(A15,'Database Claims'!$A:$C,2,)</f>
        <v/>
      </c>
      <c r="E15" s="29">
        <f>D15-D14</f>
        <v/>
      </c>
    </row>
    <row r="16">
      <c r="A16" s="28" t="n">
        <v>24556</v>
      </c>
      <c r="B16" s="29">
        <f>VLOOKUP(A16,'Database Claims'!$A:$C,3,)</f>
        <v/>
      </c>
      <c r="C16" s="29">
        <f>B16-B15</f>
        <v/>
      </c>
      <c r="D16" s="29">
        <f>VLOOKUP(A16,'Database Claims'!$A:$C,2,)</f>
        <v/>
      </c>
      <c r="E16" s="29">
        <f>D16-D15</f>
        <v/>
      </c>
    </row>
    <row r="17">
      <c r="A17" s="28" t="n">
        <v>24563</v>
      </c>
      <c r="B17" s="25">
        <f>VLOOKUP(A17,'Database Claims'!$A:$C,3,)</f>
        <v/>
      </c>
      <c r="C17" s="29">
        <f>B17-B16</f>
        <v/>
      </c>
      <c r="D17" s="25">
        <f>VLOOKUP(A17,'Database Claims'!$A:$C,2,)</f>
        <v/>
      </c>
      <c r="E17" s="29">
        <f>D17-D16</f>
        <v/>
      </c>
    </row>
    <row r="18">
      <c r="A18" s="28" t="n">
        <v>24570</v>
      </c>
      <c r="B18" s="29">
        <f>VLOOKUP(A18,'Database Claims'!$A:$C,3,)</f>
        <v/>
      </c>
      <c r="C18" s="29">
        <f>B18-B17</f>
        <v/>
      </c>
      <c r="D18" s="29">
        <f>VLOOKUP(A18,'Database Claims'!$A:$C,2,)</f>
        <v/>
      </c>
      <c r="E18" s="29">
        <f>D18-D17</f>
        <v/>
      </c>
    </row>
    <row r="19">
      <c r="A19" s="28" t="n">
        <v>24577</v>
      </c>
      <c r="B19" s="25">
        <f>VLOOKUP(A19,'Database Claims'!$A:$C,3,)</f>
        <v/>
      </c>
      <c r="C19" s="29">
        <f>B19-B18</f>
        <v/>
      </c>
      <c r="D19" s="25">
        <f>VLOOKUP(A19,'Database Claims'!$A:$C,2,)</f>
        <v/>
      </c>
      <c r="E19" s="29">
        <f>D19-D18</f>
        <v/>
      </c>
    </row>
    <row r="20">
      <c r="A20" s="28" t="n">
        <v>24584</v>
      </c>
      <c r="B20" s="29">
        <f>VLOOKUP(A20,'Database Claims'!$A:$C,3,)</f>
        <v/>
      </c>
      <c r="C20" s="29">
        <f>B20-B19</f>
        <v/>
      </c>
      <c r="D20" s="29">
        <f>VLOOKUP(A20,'Database Claims'!$A:$C,2,)</f>
        <v/>
      </c>
      <c r="E20" s="29">
        <f>D20-D19</f>
        <v/>
      </c>
    </row>
    <row r="21">
      <c r="A21" s="28" t="n">
        <v>24591</v>
      </c>
      <c r="B21" s="25">
        <f>VLOOKUP(A21,'Database Claims'!$A:$C,3,)</f>
        <v/>
      </c>
      <c r="C21" s="29">
        <f>B21-B20</f>
        <v/>
      </c>
      <c r="D21" s="25">
        <f>VLOOKUP(A21,'Database Claims'!$A:$C,2,)</f>
        <v/>
      </c>
      <c r="E21" s="29">
        <f>D21-D20</f>
        <v/>
      </c>
    </row>
    <row r="22">
      <c r="A22" s="28" t="n">
        <v>24598</v>
      </c>
      <c r="B22" s="29">
        <f>VLOOKUP(A22,'Database Claims'!$A:$C,3,)</f>
        <v/>
      </c>
      <c r="C22" s="29">
        <f>B22-B21</f>
        <v/>
      </c>
      <c r="D22" s="29">
        <f>VLOOKUP(A22,'Database Claims'!$A:$C,2,)</f>
        <v/>
      </c>
      <c r="E22" s="29">
        <f>D22-D21</f>
        <v/>
      </c>
    </row>
    <row r="23">
      <c r="A23" s="28" t="n">
        <v>24605</v>
      </c>
      <c r="B23" s="25">
        <f>VLOOKUP(A23,'Database Claims'!$A:$C,3,)</f>
        <v/>
      </c>
      <c r="C23" s="29">
        <f>B23-B22</f>
        <v/>
      </c>
      <c r="D23" s="25">
        <f>VLOOKUP(A23,'Database Claims'!$A:$C,2,)</f>
        <v/>
      </c>
      <c r="E23" s="29">
        <f>D23-D22</f>
        <v/>
      </c>
    </row>
    <row r="24">
      <c r="A24" s="28" t="n">
        <v>24612</v>
      </c>
      <c r="B24" s="29">
        <f>VLOOKUP(A24,'Database Claims'!$A:$C,3,)</f>
        <v/>
      </c>
      <c r="C24" s="29">
        <f>B24-B23</f>
        <v/>
      </c>
      <c r="D24" s="29">
        <f>VLOOKUP(A24,'Database Claims'!$A:$C,2,)</f>
        <v/>
      </c>
      <c r="E24" s="29">
        <f>D24-D23</f>
        <v/>
      </c>
    </row>
    <row r="25">
      <c r="A25" s="28" t="n">
        <v>24619</v>
      </c>
      <c r="B25" s="25">
        <f>VLOOKUP(A25,'Database Claims'!$A:$C,3,)</f>
        <v/>
      </c>
      <c r="C25" s="29">
        <f>B25-B24</f>
        <v/>
      </c>
      <c r="D25" s="25">
        <f>VLOOKUP(A25,'Database Claims'!$A:$C,2,)</f>
        <v/>
      </c>
      <c r="E25" s="29">
        <f>D25-D24</f>
        <v/>
      </c>
    </row>
    <row r="26">
      <c r="A26" s="28" t="n">
        <v>24626</v>
      </c>
      <c r="B26" s="29">
        <f>VLOOKUP(A26,'Database Claims'!$A:$C,3,)</f>
        <v/>
      </c>
      <c r="C26" s="29">
        <f>B26-B25</f>
        <v/>
      </c>
      <c r="D26" s="29">
        <f>VLOOKUP(A26,'Database Claims'!$A:$C,2,)</f>
        <v/>
      </c>
      <c r="E26" s="29">
        <f>D26-D25</f>
        <v/>
      </c>
    </row>
    <row r="27">
      <c r="A27" s="28" t="n">
        <v>24633</v>
      </c>
      <c r="B27" s="25">
        <f>VLOOKUP(A27,'Database Claims'!$A:$C,3,)</f>
        <v/>
      </c>
      <c r="C27" s="29">
        <f>B27-B26</f>
        <v/>
      </c>
      <c r="D27" s="25">
        <f>VLOOKUP(A27,'Database Claims'!$A:$C,2,)</f>
        <v/>
      </c>
      <c r="E27" s="29">
        <f>D27-D26</f>
        <v/>
      </c>
    </row>
    <row r="28">
      <c r="A28" s="28" t="n">
        <v>24640</v>
      </c>
      <c r="B28" s="29">
        <f>VLOOKUP(A28,'Database Claims'!$A:$C,3,)</f>
        <v/>
      </c>
      <c r="C28" s="29">
        <f>B28-B27</f>
        <v/>
      </c>
      <c r="D28" s="29">
        <f>VLOOKUP(A28,'Database Claims'!$A:$C,2,)</f>
        <v/>
      </c>
      <c r="E28" s="29">
        <f>D28-D27</f>
        <v/>
      </c>
    </row>
    <row r="29">
      <c r="A29" s="28" t="n">
        <v>24647</v>
      </c>
      <c r="B29" s="25">
        <f>VLOOKUP(A29,'Database Claims'!$A:$C,3,)</f>
        <v/>
      </c>
      <c r="C29" s="29">
        <f>B29-B28</f>
        <v/>
      </c>
      <c r="D29" s="25">
        <f>VLOOKUP(A29,'Database Claims'!$A:$C,2,)</f>
        <v/>
      </c>
      <c r="E29" s="29">
        <f>D29-D28</f>
        <v/>
      </c>
    </row>
    <row r="30">
      <c r="A30" s="28" t="n">
        <v>24654</v>
      </c>
      <c r="B30" s="29">
        <f>VLOOKUP(A30,'Database Claims'!$A:$C,3,)</f>
        <v/>
      </c>
      <c r="C30" s="29">
        <f>B30-B29</f>
        <v/>
      </c>
      <c r="D30" s="29">
        <f>VLOOKUP(A30,'Database Claims'!$A:$C,2,)</f>
        <v/>
      </c>
      <c r="E30" s="29">
        <f>D30-D29</f>
        <v/>
      </c>
    </row>
    <row r="31">
      <c r="A31" s="28" t="n">
        <v>24661</v>
      </c>
      <c r="B31" s="25">
        <f>VLOOKUP(A31,'Database Claims'!$A:$C,3,)</f>
        <v/>
      </c>
      <c r="C31" s="29">
        <f>B31-B30</f>
        <v/>
      </c>
      <c r="D31" s="25">
        <f>VLOOKUP(A31,'Database Claims'!$A:$C,2,)</f>
        <v/>
      </c>
      <c r="E31" s="29">
        <f>D31-D30</f>
        <v/>
      </c>
    </row>
    <row r="32">
      <c r="A32" s="28" t="n">
        <v>24668</v>
      </c>
      <c r="B32" s="29">
        <f>VLOOKUP(A32,'Database Claims'!$A:$C,3,)</f>
        <v/>
      </c>
      <c r="C32" s="29">
        <f>B32-B31</f>
        <v/>
      </c>
      <c r="D32" s="29">
        <f>VLOOKUP(A32,'Database Claims'!$A:$C,2,)</f>
        <v/>
      </c>
      <c r="E32" s="29">
        <f>D32-D31</f>
        <v/>
      </c>
    </row>
    <row r="33">
      <c r="A33" s="28" t="n">
        <v>24675</v>
      </c>
      <c r="B33" s="25">
        <f>VLOOKUP(A33,'Database Claims'!$A:$C,3,)</f>
        <v/>
      </c>
      <c r="C33" s="29">
        <f>B33-B32</f>
        <v/>
      </c>
      <c r="D33" s="25">
        <f>VLOOKUP(A33,'Database Claims'!$A:$C,2,)</f>
        <v/>
      </c>
      <c r="E33" s="29">
        <f>D33-D32</f>
        <v/>
      </c>
    </row>
    <row r="34">
      <c r="A34" s="28" t="n">
        <v>24682</v>
      </c>
      <c r="B34" s="29">
        <f>VLOOKUP(A34,'Database Claims'!$A:$C,3,)</f>
        <v/>
      </c>
      <c r="C34" s="29">
        <f>B34-B33</f>
        <v/>
      </c>
      <c r="D34" s="29">
        <f>VLOOKUP(A34,'Database Claims'!$A:$C,2,)</f>
        <v/>
      </c>
      <c r="E34" s="29">
        <f>D34-D33</f>
        <v/>
      </c>
    </row>
    <row r="35">
      <c r="A35" s="28" t="n">
        <v>24689</v>
      </c>
      <c r="B35" s="25">
        <f>VLOOKUP(A35,'Database Claims'!$A:$C,3,)</f>
        <v/>
      </c>
      <c r="C35" s="29">
        <f>B35-B34</f>
        <v/>
      </c>
      <c r="D35" s="25">
        <f>VLOOKUP(A35,'Database Claims'!$A:$C,2,)</f>
        <v/>
      </c>
      <c r="E35" s="29">
        <f>D35-D34</f>
        <v/>
      </c>
    </row>
    <row r="36">
      <c r="A36" s="28" t="n">
        <v>24696</v>
      </c>
      <c r="B36" s="29">
        <f>VLOOKUP(A36,'Database Claims'!$A:$C,3,)</f>
        <v/>
      </c>
      <c r="C36" s="29">
        <f>B36-B35</f>
        <v/>
      </c>
      <c r="D36" s="29">
        <f>VLOOKUP(A36,'Database Claims'!$A:$C,2,)</f>
        <v/>
      </c>
      <c r="E36" s="29">
        <f>D36-D35</f>
        <v/>
      </c>
    </row>
    <row r="37">
      <c r="A37" s="28" t="n">
        <v>24703</v>
      </c>
      <c r="B37" s="25">
        <f>VLOOKUP(A37,'Database Claims'!$A:$C,3,)</f>
        <v/>
      </c>
      <c r="C37" s="29">
        <f>B37-B36</f>
        <v/>
      </c>
      <c r="D37" s="25">
        <f>VLOOKUP(A37,'Database Claims'!$A:$C,2,)</f>
        <v/>
      </c>
      <c r="E37" s="29">
        <f>D37-D36</f>
        <v/>
      </c>
    </row>
    <row r="38">
      <c r="A38" s="28" t="n">
        <v>24710</v>
      </c>
      <c r="B38" s="29">
        <f>VLOOKUP(A38,'Database Claims'!$A:$C,3,)</f>
        <v/>
      </c>
      <c r="C38" s="29">
        <f>B38-B37</f>
        <v/>
      </c>
      <c r="D38" s="29">
        <f>VLOOKUP(A38,'Database Claims'!$A:$C,2,)</f>
        <v/>
      </c>
      <c r="E38" s="29">
        <f>D38-D37</f>
        <v/>
      </c>
    </row>
    <row r="39">
      <c r="A39" s="28" t="n">
        <v>24717</v>
      </c>
      <c r="B39" s="25">
        <f>VLOOKUP(A39,'Database Claims'!$A:$C,3,)</f>
        <v/>
      </c>
      <c r="C39" s="29">
        <f>B39-B38</f>
        <v/>
      </c>
      <c r="D39" s="25">
        <f>VLOOKUP(A39,'Database Claims'!$A:$C,2,)</f>
        <v/>
      </c>
      <c r="E39" s="29">
        <f>D39-D38</f>
        <v/>
      </c>
    </row>
    <row r="40">
      <c r="A40" s="28" t="n">
        <v>24724</v>
      </c>
      <c r="B40" s="29">
        <f>VLOOKUP(A40,'Database Claims'!$A:$C,3,)</f>
        <v/>
      </c>
      <c r="C40" s="29">
        <f>B40-B39</f>
        <v/>
      </c>
      <c r="D40" s="29">
        <f>VLOOKUP(A40,'Database Claims'!$A:$C,2,)</f>
        <v/>
      </c>
      <c r="E40" s="29">
        <f>D40-D39</f>
        <v/>
      </c>
    </row>
    <row r="41">
      <c r="A41" s="28" t="n">
        <v>24731</v>
      </c>
      <c r="B41" s="25">
        <f>VLOOKUP(A41,'Database Claims'!$A:$C,3,)</f>
        <v/>
      </c>
      <c r="C41" s="29">
        <f>B41-B40</f>
        <v/>
      </c>
      <c r="D41" s="25">
        <f>VLOOKUP(A41,'Database Claims'!$A:$C,2,)</f>
        <v/>
      </c>
      <c r="E41" s="29">
        <f>D41-D40</f>
        <v/>
      </c>
    </row>
    <row r="42">
      <c r="A42" s="28" t="n">
        <v>24738</v>
      </c>
      <c r="B42" s="29">
        <f>VLOOKUP(A42,'Database Claims'!$A:$C,3,)</f>
        <v/>
      </c>
      <c r="C42" s="29">
        <f>B42-B41</f>
        <v/>
      </c>
      <c r="D42" s="29">
        <f>VLOOKUP(A42,'Database Claims'!$A:$C,2,)</f>
        <v/>
      </c>
      <c r="E42" s="29">
        <f>D42-D41</f>
        <v/>
      </c>
    </row>
    <row r="43">
      <c r="A43" s="28" t="n">
        <v>24745</v>
      </c>
      <c r="B43" s="25">
        <f>VLOOKUP(A43,'Database Claims'!$A:$C,3,)</f>
        <v/>
      </c>
      <c r="C43" s="29">
        <f>B43-B42</f>
        <v/>
      </c>
      <c r="D43" s="25">
        <f>VLOOKUP(A43,'Database Claims'!$A:$C,2,)</f>
        <v/>
      </c>
      <c r="E43" s="29">
        <f>D43-D42</f>
        <v/>
      </c>
    </row>
    <row r="44">
      <c r="A44" s="28" t="n">
        <v>24752</v>
      </c>
      <c r="B44" s="29">
        <f>VLOOKUP(A44,'Database Claims'!$A:$C,3,)</f>
        <v/>
      </c>
      <c r="C44" s="29">
        <f>B44-B43</f>
        <v/>
      </c>
      <c r="D44" s="29">
        <f>VLOOKUP(A44,'Database Claims'!$A:$C,2,)</f>
        <v/>
      </c>
      <c r="E44" s="29">
        <f>D44-D43</f>
        <v/>
      </c>
    </row>
    <row r="45">
      <c r="A45" s="28" t="n">
        <v>24759</v>
      </c>
      <c r="B45" s="25">
        <f>VLOOKUP(A45,'Database Claims'!$A:$C,3,)</f>
        <v/>
      </c>
      <c r="C45" s="29">
        <f>B45-B44</f>
        <v/>
      </c>
      <c r="D45" s="25">
        <f>VLOOKUP(A45,'Database Claims'!$A:$C,2,)</f>
        <v/>
      </c>
      <c r="E45" s="29">
        <f>D45-D44</f>
        <v/>
      </c>
    </row>
    <row r="46">
      <c r="A46" s="28" t="n">
        <v>24766</v>
      </c>
      <c r="B46" s="29">
        <f>VLOOKUP(A46,'Database Claims'!$A:$C,3,)</f>
        <v/>
      </c>
      <c r="C46" s="29">
        <f>B46-B45</f>
        <v/>
      </c>
      <c r="D46" s="29">
        <f>VLOOKUP(A46,'Database Claims'!$A:$C,2,)</f>
        <v/>
      </c>
      <c r="E46" s="29">
        <f>D46-D45</f>
        <v/>
      </c>
    </row>
    <row r="47">
      <c r="A47" s="28" t="n">
        <v>24773</v>
      </c>
      <c r="B47" s="25">
        <f>VLOOKUP(A47,'Database Claims'!$A:$C,3,)</f>
        <v/>
      </c>
      <c r="C47" s="29">
        <f>B47-B46</f>
        <v/>
      </c>
      <c r="D47" s="25">
        <f>VLOOKUP(A47,'Database Claims'!$A:$C,2,)</f>
        <v/>
      </c>
      <c r="E47" s="29">
        <f>D47-D46</f>
        <v/>
      </c>
    </row>
    <row r="48">
      <c r="A48" s="28" t="n">
        <v>24780</v>
      </c>
      <c r="B48" s="29">
        <f>VLOOKUP(A48,'Database Claims'!$A:$C,3,)</f>
        <v/>
      </c>
      <c r="C48" s="29">
        <f>B48-B47</f>
        <v/>
      </c>
      <c r="D48" s="29">
        <f>VLOOKUP(A48,'Database Claims'!$A:$C,2,)</f>
        <v/>
      </c>
      <c r="E48" s="29">
        <f>D48-D47</f>
        <v/>
      </c>
    </row>
    <row r="49">
      <c r="A49" s="28" t="n">
        <v>24787</v>
      </c>
      <c r="B49" s="25">
        <f>VLOOKUP(A49,'Database Claims'!$A:$C,3,)</f>
        <v/>
      </c>
      <c r="C49" s="29">
        <f>B49-B48</f>
        <v/>
      </c>
      <c r="D49" s="25">
        <f>VLOOKUP(A49,'Database Claims'!$A:$C,2,)</f>
        <v/>
      </c>
      <c r="E49" s="29">
        <f>D49-D48</f>
        <v/>
      </c>
    </row>
    <row r="50">
      <c r="A50" s="28" t="n">
        <v>24794</v>
      </c>
      <c r="B50" s="29">
        <f>VLOOKUP(A50,'Database Claims'!$A:$C,3,)</f>
        <v/>
      </c>
      <c r="C50" s="29">
        <f>B50-B49</f>
        <v/>
      </c>
      <c r="D50" s="29">
        <f>VLOOKUP(A50,'Database Claims'!$A:$C,2,)</f>
        <v/>
      </c>
      <c r="E50" s="29">
        <f>D50-D49</f>
        <v/>
      </c>
    </row>
    <row r="51">
      <c r="A51" s="28" t="n">
        <v>24801</v>
      </c>
      <c r="B51" s="25">
        <f>VLOOKUP(A51,'Database Claims'!$A:$C,3,)</f>
        <v/>
      </c>
      <c r="C51" s="29">
        <f>B51-B50</f>
        <v/>
      </c>
      <c r="D51" s="25">
        <f>VLOOKUP(A51,'Database Claims'!$A:$C,2,)</f>
        <v/>
      </c>
      <c r="E51" s="29">
        <f>D51-D50</f>
        <v/>
      </c>
    </row>
    <row r="52">
      <c r="A52" s="28" t="n">
        <v>24808</v>
      </c>
      <c r="B52" s="29">
        <f>VLOOKUP(A52,'Database Claims'!$A:$C,3,)</f>
        <v/>
      </c>
      <c r="C52" s="29">
        <f>B52-B51</f>
        <v/>
      </c>
      <c r="D52" s="29">
        <f>VLOOKUP(A52,'Database Claims'!$A:$C,2,)</f>
        <v/>
      </c>
      <c r="E52" s="29">
        <f>D52-D51</f>
        <v/>
      </c>
    </row>
    <row r="53">
      <c r="A53" s="28" t="n">
        <v>24815</v>
      </c>
      <c r="B53" s="25">
        <f>VLOOKUP(A53,'Database Claims'!$A:$C,3,)</f>
        <v/>
      </c>
      <c r="C53" s="29">
        <f>B53-B52</f>
        <v/>
      </c>
      <c r="D53" s="25">
        <f>VLOOKUP(A53,'Database Claims'!$A:$C,2,)</f>
        <v/>
      </c>
      <c r="E53" s="29">
        <f>D53-D52</f>
        <v/>
      </c>
    </row>
    <row r="54">
      <c r="A54" s="28" t="n">
        <v>24822</v>
      </c>
      <c r="B54" s="29">
        <f>VLOOKUP(A54,'Database Claims'!$A:$C,3,)</f>
        <v/>
      </c>
      <c r="C54" s="29">
        <f>B54-B53</f>
        <v/>
      </c>
      <c r="D54" s="29">
        <f>VLOOKUP(A54,'Database Claims'!$A:$C,2,)</f>
        <v/>
      </c>
      <c r="E54" s="29">
        <f>D54-D53</f>
        <v/>
      </c>
    </row>
    <row r="55">
      <c r="A55" s="28" t="n">
        <v>24829</v>
      </c>
      <c r="B55" s="25">
        <f>VLOOKUP(A55,'Database Claims'!$A:$C,3,)</f>
        <v/>
      </c>
      <c r="C55" s="29">
        <f>B55-B54</f>
        <v/>
      </c>
      <c r="D55" s="25">
        <f>VLOOKUP(A55,'Database Claims'!$A:$C,2,)</f>
        <v/>
      </c>
      <c r="E55" s="29">
        <f>D55-D54</f>
        <v/>
      </c>
    </row>
    <row r="56">
      <c r="A56" s="28" t="n">
        <v>24836</v>
      </c>
      <c r="B56" s="29">
        <f>VLOOKUP(A56,'Database Claims'!$A:$C,3,)</f>
        <v/>
      </c>
      <c r="C56" s="29">
        <f>B56-B55</f>
        <v/>
      </c>
      <c r="D56" s="29">
        <f>VLOOKUP(A56,'Database Claims'!$A:$C,2,)</f>
        <v/>
      </c>
      <c r="E56" s="29">
        <f>D56-D55</f>
        <v/>
      </c>
    </row>
    <row r="57">
      <c r="A57" s="28" t="n">
        <v>24843</v>
      </c>
      <c r="B57" s="25">
        <f>VLOOKUP(A57,'Database Claims'!$A:$C,3,)</f>
        <v/>
      </c>
      <c r="C57" s="29">
        <f>B57-B56</f>
        <v/>
      </c>
      <c r="D57" s="25">
        <f>VLOOKUP(A57,'Database Claims'!$A:$C,2,)</f>
        <v/>
      </c>
      <c r="E57" s="29">
        <f>D57-D56</f>
        <v/>
      </c>
    </row>
    <row r="58">
      <c r="A58" s="28" t="n">
        <v>24850</v>
      </c>
      <c r="B58" s="29">
        <f>VLOOKUP(A58,'Database Claims'!$A:$C,3,)</f>
        <v/>
      </c>
      <c r="C58" s="29">
        <f>B58-B57</f>
        <v/>
      </c>
      <c r="D58" s="29">
        <f>VLOOKUP(A58,'Database Claims'!$A:$C,2,)</f>
        <v/>
      </c>
      <c r="E58" s="29">
        <f>D58-D57</f>
        <v/>
      </c>
    </row>
    <row r="59">
      <c r="A59" s="28" t="n">
        <v>24857</v>
      </c>
      <c r="B59" s="25">
        <f>VLOOKUP(A59,'Database Claims'!$A:$C,3,)</f>
        <v/>
      </c>
      <c r="C59" s="29">
        <f>B59-B58</f>
        <v/>
      </c>
      <c r="D59" s="25">
        <f>VLOOKUP(A59,'Database Claims'!$A:$C,2,)</f>
        <v/>
      </c>
      <c r="E59" s="29">
        <f>D59-D58</f>
        <v/>
      </c>
    </row>
    <row r="60">
      <c r="A60" s="28" t="n">
        <v>24864</v>
      </c>
      <c r="B60" s="29">
        <f>VLOOKUP(A60,'Database Claims'!$A:$C,3,)</f>
        <v/>
      </c>
      <c r="C60" s="29">
        <f>B60-B59</f>
        <v/>
      </c>
      <c r="D60" s="29">
        <f>VLOOKUP(A60,'Database Claims'!$A:$C,2,)</f>
        <v/>
      </c>
      <c r="E60" s="29">
        <f>D60-D59</f>
        <v/>
      </c>
    </row>
    <row r="61">
      <c r="A61" s="28" t="n">
        <v>24871</v>
      </c>
      <c r="B61" s="25">
        <f>VLOOKUP(A61,'Database Claims'!$A:$C,3,)</f>
        <v/>
      </c>
      <c r="C61" s="29">
        <f>B61-B60</f>
        <v/>
      </c>
      <c r="D61" s="25">
        <f>VLOOKUP(A61,'Database Claims'!$A:$C,2,)</f>
        <v/>
      </c>
      <c r="E61" s="29">
        <f>D61-D60</f>
        <v/>
      </c>
    </row>
    <row r="62">
      <c r="A62" s="28" t="n">
        <v>24878</v>
      </c>
      <c r="B62" s="29">
        <f>VLOOKUP(A62,'Database Claims'!$A:$C,3,)</f>
        <v/>
      </c>
      <c r="C62" s="29">
        <f>B62-B61</f>
        <v/>
      </c>
      <c r="D62" s="29">
        <f>VLOOKUP(A62,'Database Claims'!$A:$C,2,)</f>
        <v/>
      </c>
      <c r="E62" s="29">
        <f>D62-D61</f>
        <v/>
      </c>
    </row>
    <row r="63">
      <c r="A63" s="28" t="n">
        <v>24885</v>
      </c>
      <c r="B63" s="25">
        <f>VLOOKUP(A63,'Database Claims'!$A:$C,3,)</f>
        <v/>
      </c>
      <c r="C63" s="29">
        <f>B63-B62</f>
        <v/>
      </c>
      <c r="D63" s="25">
        <f>VLOOKUP(A63,'Database Claims'!$A:$C,2,)</f>
        <v/>
      </c>
      <c r="E63" s="29">
        <f>D63-D62</f>
        <v/>
      </c>
    </row>
    <row r="64">
      <c r="A64" s="28" t="n">
        <v>24892</v>
      </c>
      <c r="B64" s="29">
        <f>VLOOKUP(A64,'Database Claims'!$A:$C,3,)</f>
        <v/>
      </c>
      <c r="C64" s="29">
        <f>B64-B63</f>
        <v/>
      </c>
      <c r="D64" s="29">
        <f>VLOOKUP(A64,'Database Claims'!$A:$C,2,)</f>
        <v/>
      </c>
      <c r="E64" s="29">
        <f>D64-D63</f>
        <v/>
      </c>
    </row>
    <row r="65">
      <c r="A65" s="28" t="n">
        <v>24899</v>
      </c>
      <c r="B65" s="25">
        <f>VLOOKUP(A65,'Database Claims'!$A:$C,3,)</f>
        <v/>
      </c>
      <c r="C65" s="29">
        <f>B65-B64</f>
        <v/>
      </c>
      <c r="D65" s="25">
        <f>VLOOKUP(A65,'Database Claims'!$A:$C,2,)</f>
        <v/>
      </c>
      <c r="E65" s="29">
        <f>D65-D64</f>
        <v/>
      </c>
    </row>
    <row r="66">
      <c r="A66" s="28" t="n">
        <v>24906</v>
      </c>
      <c r="B66" s="29">
        <f>VLOOKUP(A66,'Database Claims'!$A:$C,3,)</f>
        <v/>
      </c>
      <c r="C66" s="29">
        <f>B66-B65</f>
        <v/>
      </c>
      <c r="D66" s="29">
        <f>VLOOKUP(A66,'Database Claims'!$A:$C,2,)</f>
        <v/>
      </c>
      <c r="E66" s="29">
        <f>D66-D65</f>
        <v/>
      </c>
    </row>
    <row r="67">
      <c r="A67" s="28" t="n">
        <v>24913</v>
      </c>
      <c r="B67" s="25">
        <f>VLOOKUP(A67,'Database Claims'!$A:$C,3,)</f>
        <v/>
      </c>
      <c r="C67" s="29">
        <f>B67-B66</f>
        <v/>
      </c>
      <c r="D67" s="25">
        <f>VLOOKUP(A67,'Database Claims'!$A:$C,2,)</f>
        <v/>
      </c>
      <c r="E67" s="29">
        <f>D67-D66</f>
        <v/>
      </c>
    </row>
    <row r="68">
      <c r="A68" s="28" t="n">
        <v>24920</v>
      </c>
      <c r="B68" s="29">
        <f>VLOOKUP(A68,'Database Claims'!$A:$C,3,)</f>
        <v/>
      </c>
      <c r="C68" s="29">
        <f>B68-B67</f>
        <v/>
      </c>
      <c r="D68" s="29">
        <f>VLOOKUP(A68,'Database Claims'!$A:$C,2,)</f>
        <v/>
      </c>
      <c r="E68" s="29">
        <f>D68-D67</f>
        <v/>
      </c>
    </row>
    <row r="69">
      <c r="A69" s="28" t="n">
        <v>24927</v>
      </c>
      <c r="B69" s="25">
        <f>VLOOKUP(A69,'Database Claims'!$A:$C,3,)</f>
        <v/>
      </c>
      <c r="C69" s="29">
        <f>B69-B68</f>
        <v/>
      </c>
      <c r="D69" s="25">
        <f>VLOOKUP(A69,'Database Claims'!$A:$C,2,)</f>
        <v/>
      </c>
      <c r="E69" s="29">
        <f>D69-D68</f>
        <v/>
      </c>
    </row>
    <row r="70">
      <c r="A70" s="28" t="n">
        <v>24934</v>
      </c>
      <c r="B70" s="29">
        <f>VLOOKUP(A70,'Database Claims'!$A:$C,3,)</f>
        <v/>
      </c>
      <c r="C70" s="29">
        <f>B70-B69</f>
        <v/>
      </c>
      <c r="D70" s="29">
        <f>VLOOKUP(A70,'Database Claims'!$A:$C,2,)</f>
        <v/>
      </c>
      <c r="E70" s="29">
        <f>D70-D69</f>
        <v/>
      </c>
    </row>
    <row r="71">
      <c r="A71" s="28" t="n">
        <v>24941</v>
      </c>
      <c r="B71" s="25">
        <f>VLOOKUP(A71,'Database Claims'!$A:$C,3,)</f>
        <v/>
      </c>
      <c r="C71" s="29">
        <f>B71-B70</f>
        <v/>
      </c>
      <c r="D71" s="25">
        <f>VLOOKUP(A71,'Database Claims'!$A:$C,2,)</f>
        <v/>
      </c>
      <c r="E71" s="29">
        <f>D71-D70</f>
        <v/>
      </c>
    </row>
    <row r="72">
      <c r="A72" s="28" t="n">
        <v>24948</v>
      </c>
      <c r="B72" s="29">
        <f>VLOOKUP(A72,'Database Claims'!$A:$C,3,)</f>
        <v/>
      </c>
      <c r="C72" s="29">
        <f>B72-B71</f>
        <v/>
      </c>
      <c r="D72" s="29">
        <f>VLOOKUP(A72,'Database Claims'!$A:$C,2,)</f>
        <v/>
      </c>
      <c r="E72" s="29">
        <f>D72-D71</f>
        <v/>
      </c>
    </row>
    <row r="73">
      <c r="A73" s="28" t="n">
        <v>24955</v>
      </c>
      <c r="B73" s="25">
        <f>VLOOKUP(A73,'Database Claims'!$A:$C,3,)</f>
        <v/>
      </c>
      <c r="C73" s="29">
        <f>B73-B72</f>
        <v/>
      </c>
      <c r="D73" s="25">
        <f>VLOOKUP(A73,'Database Claims'!$A:$C,2,)</f>
        <v/>
      </c>
      <c r="E73" s="29">
        <f>D73-D72</f>
        <v/>
      </c>
    </row>
    <row r="74">
      <c r="A74" s="28" t="n">
        <v>24962</v>
      </c>
      <c r="B74" s="29">
        <f>VLOOKUP(A74,'Database Claims'!$A:$C,3,)</f>
        <v/>
      </c>
      <c r="C74" s="29">
        <f>B74-B73</f>
        <v/>
      </c>
      <c r="D74" s="29">
        <f>VLOOKUP(A74,'Database Claims'!$A:$C,2,)</f>
        <v/>
      </c>
      <c r="E74" s="29">
        <f>D74-D73</f>
        <v/>
      </c>
    </row>
    <row r="75">
      <c r="A75" s="28" t="n">
        <v>24969</v>
      </c>
      <c r="B75" s="25">
        <f>VLOOKUP(A75,'Database Claims'!$A:$C,3,)</f>
        <v/>
      </c>
      <c r="C75" s="29">
        <f>B75-B74</f>
        <v/>
      </c>
      <c r="D75" s="25">
        <f>VLOOKUP(A75,'Database Claims'!$A:$C,2,)</f>
        <v/>
      </c>
      <c r="E75" s="29">
        <f>D75-D74</f>
        <v/>
      </c>
    </row>
    <row r="76">
      <c r="A76" s="28" t="n">
        <v>24976</v>
      </c>
      <c r="B76" s="29">
        <f>VLOOKUP(A76,'Database Claims'!$A:$C,3,)</f>
        <v/>
      </c>
      <c r="C76" s="29">
        <f>B76-B75</f>
        <v/>
      </c>
      <c r="D76" s="29">
        <f>VLOOKUP(A76,'Database Claims'!$A:$C,2,)</f>
        <v/>
      </c>
      <c r="E76" s="29">
        <f>D76-D75</f>
        <v/>
      </c>
    </row>
    <row r="77">
      <c r="A77" s="28" t="n">
        <v>24983</v>
      </c>
      <c r="B77" s="25">
        <f>VLOOKUP(A77,'Database Claims'!$A:$C,3,)</f>
        <v/>
      </c>
      <c r="C77" s="29">
        <f>B77-B76</f>
        <v/>
      </c>
      <c r="D77" s="25">
        <f>VLOOKUP(A77,'Database Claims'!$A:$C,2,)</f>
        <v/>
      </c>
      <c r="E77" s="29">
        <f>D77-D76</f>
        <v/>
      </c>
    </row>
    <row r="78">
      <c r="A78" s="28" t="n">
        <v>24990</v>
      </c>
      <c r="B78" s="29">
        <f>VLOOKUP(A78,'Database Claims'!$A:$C,3,)</f>
        <v/>
      </c>
      <c r="C78" s="29">
        <f>B78-B77</f>
        <v/>
      </c>
      <c r="D78" s="29">
        <f>VLOOKUP(A78,'Database Claims'!$A:$C,2,)</f>
        <v/>
      </c>
      <c r="E78" s="29">
        <f>D78-D77</f>
        <v/>
      </c>
    </row>
    <row r="79">
      <c r="A79" s="28" t="n">
        <v>24997</v>
      </c>
      <c r="B79" s="25">
        <f>VLOOKUP(A79,'Database Claims'!$A:$C,3,)</f>
        <v/>
      </c>
      <c r="C79" s="29">
        <f>B79-B78</f>
        <v/>
      </c>
      <c r="D79" s="25">
        <f>VLOOKUP(A79,'Database Claims'!$A:$C,2,)</f>
        <v/>
      </c>
      <c r="E79" s="29">
        <f>D79-D78</f>
        <v/>
      </c>
    </row>
    <row r="80">
      <c r="A80" s="28" t="n">
        <v>25004</v>
      </c>
      <c r="B80" s="29">
        <f>VLOOKUP(A80,'Database Claims'!$A:$C,3,)</f>
        <v/>
      </c>
      <c r="C80" s="29">
        <f>B80-B79</f>
        <v/>
      </c>
      <c r="D80" s="29">
        <f>VLOOKUP(A80,'Database Claims'!$A:$C,2,)</f>
        <v/>
      </c>
      <c r="E80" s="29">
        <f>D80-D79</f>
        <v/>
      </c>
    </row>
    <row r="81">
      <c r="A81" s="28" t="n">
        <v>25011</v>
      </c>
      <c r="B81" s="25">
        <f>VLOOKUP(A81,'Database Claims'!$A:$C,3,)</f>
        <v/>
      </c>
      <c r="C81" s="29">
        <f>B81-B80</f>
        <v/>
      </c>
      <c r="D81" s="25">
        <f>VLOOKUP(A81,'Database Claims'!$A:$C,2,)</f>
        <v/>
      </c>
      <c r="E81" s="29">
        <f>D81-D80</f>
        <v/>
      </c>
    </row>
    <row r="82">
      <c r="A82" s="28" t="n">
        <v>25018</v>
      </c>
      <c r="B82" s="29">
        <f>VLOOKUP(A82,'Database Claims'!$A:$C,3,)</f>
        <v/>
      </c>
      <c r="C82" s="29">
        <f>B82-B81</f>
        <v/>
      </c>
      <c r="D82" s="29">
        <f>VLOOKUP(A82,'Database Claims'!$A:$C,2,)</f>
        <v/>
      </c>
      <c r="E82" s="29">
        <f>D82-D81</f>
        <v/>
      </c>
    </row>
    <row r="83">
      <c r="A83" s="28" t="n">
        <v>25025</v>
      </c>
      <c r="B83" s="25">
        <f>VLOOKUP(A83,'Database Claims'!$A:$C,3,)</f>
        <v/>
      </c>
      <c r="C83" s="29">
        <f>B83-B82</f>
        <v/>
      </c>
      <c r="D83" s="25">
        <f>VLOOKUP(A83,'Database Claims'!$A:$C,2,)</f>
        <v/>
      </c>
      <c r="E83" s="29">
        <f>D83-D82</f>
        <v/>
      </c>
    </row>
    <row r="84">
      <c r="A84" s="28" t="n">
        <v>25032</v>
      </c>
      <c r="B84" s="29">
        <f>VLOOKUP(A84,'Database Claims'!$A:$C,3,)</f>
        <v/>
      </c>
      <c r="C84" s="29">
        <f>B84-B83</f>
        <v/>
      </c>
      <c r="D84" s="29">
        <f>VLOOKUP(A84,'Database Claims'!$A:$C,2,)</f>
        <v/>
      </c>
      <c r="E84" s="29">
        <f>D84-D83</f>
        <v/>
      </c>
    </row>
    <row r="85">
      <c r="A85" s="28" t="n">
        <v>25039</v>
      </c>
      <c r="B85" s="25">
        <f>VLOOKUP(A85,'Database Claims'!$A:$C,3,)</f>
        <v/>
      </c>
      <c r="C85" s="29">
        <f>B85-B84</f>
        <v/>
      </c>
      <c r="D85" s="25">
        <f>VLOOKUP(A85,'Database Claims'!$A:$C,2,)</f>
        <v/>
      </c>
      <c r="E85" s="29">
        <f>D85-D84</f>
        <v/>
      </c>
    </row>
    <row r="86">
      <c r="A86" s="28" t="n">
        <v>25046</v>
      </c>
      <c r="B86" s="29">
        <f>VLOOKUP(A86,'Database Claims'!$A:$C,3,)</f>
        <v/>
      </c>
      <c r="C86" s="29">
        <f>B86-B85</f>
        <v/>
      </c>
      <c r="D86" s="29">
        <f>VLOOKUP(A86,'Database Claims'!$A:$C,2,)</f>
        <v/>
      </c>
      <c r="E86" s="29">
        <f>D86-D85</f>
        <v/>
      </c>
    </row>
    <row r="87">
      <c r="A87" s="28" t="n">
        <v>25053</v>
      </c>
      <c r="B87" s="25">
        <f>VLOOKUP(A87,'Database Claims'!$A:$C,3,)</f>
        <v/>
      </c>
      <c r="C87" s="29">
        <f>B87-B86</f>
        <v/>
      </c>
      <c r="D87" s="25">
        <f>VLOOKUP(A87,'Database Claims'!$A:$C,2,)</f>
        <v/>
      </c>
      <c r="E87" s="29">
        <f>D87-D86</f>
        <v/>
      </c>
    </row>
    <row r="88">
      <c r="A88" s="28" t="n">
        <v>25060</v>
      </c>
      <c r="B88" s="29">
        <f>VLOOKUP(A88,'Database Claims'!$A:$C,3,)</f>
        <v/>
      </c>
      <c r="C88" s="29">
        <f>B88-B87</f>
        <v/>
      </c>
      <c r="D88" s="29">
        <f>VLOOKUP(A88,'Database Claims'!$A:$C,2,)</f>
        <v/>
      </c>
      <c r="E88" s="29">
        <f>D88-D87</f>
        <v/>
      </c>
    </row>
    <row r="89">
      <c r="A89" s="28" t="n">
        <v>25067</v>
      </c>
      <c r="B89" s="25">
        <f>VLOOKUP(A89,'Database Claims'!$A:$C,3,)</f>
        <v/>
      </c>
      <c r="C89" s="29">
        <f>B89-B88</f>
        <v/>
      </c>
      <c r="D89" s="25">
        <f>VLOOKUP(A89,'Database Claims'!$A:$C,2,)</f>
        <v/>
      </c>
      <c r="E89" s="29">
        <f>D89-D88</f>
        <v/>
      </c>
    </row>
    <row r="90">
      <c r="A90" s="28" t="n">
        <v>25074</v>
      </c>
      <c r="B90" s="29">
        <f>VLOOKUP(A90,'Database Claims'!$A:$C,3,)</f>
        <v/>
      </c>
      <c r="C90" s="29">
        <f>B90-B89</f>
        <v/>
      </c>
      <c r="D90" s="29">
        <f>VLOOKUP(A90,'Database Claims'!$A:$C,2,)</f>
        <v/>
      </c>
      <c r="E90" s="29">
        <f>D90-D89</f>
        <v/>
      </c>
    </row>
    <row r="91">
      <c r="A91" s="28" t="n">
        <v>25081</v>
      </c>
      <c r="B91" s="25">
        <f>VLOOKUP(A91,'Database Claims'!$A:$C,3,)</f>
        <v/>
      </c>
      <c r="C91" s="29">
        <f>B91-B90</f>
        <v/>
      </c>
      <c r="D91" s="25">
        <f>VLOOKUP(A91,'Database Claims'!$A:$C,2,)</f>
        <v/>
      </c>
      <c r="E91" s="29">
        <f>D91-D90</f>
        <v/>
      </c>
    </row>
    <row r="92">
      <c r="A92" s="28" t="n">
        <v>25088</v>
      </c>
      <c r="B92" s="29">
        <f>VLOOKUP(A92,'Database Claims'!$A:$C,3,)</f>
        <v/>
      </c>
      <c r="C92" s="29">
        <f>B92-B91</f>
        <v/>
      </c>
      <c r="D92" s="29">
        <f>VLOOKUP(A92,'Database Claims'!$A:$C,2,)</f>
        <v/>
      </c>
      <c r="E92" s="29">
        <f>D92-D91</f>
        <v/>
      </c>
    </row>
    <row r="93">
      <c r="A93" s="28" t="n">
        <v>25095</v>
      </c>
      <c r="B93" s="25">
        <f>VLOOKUP(A93,'Database Claims'!$A:$C,3,)</f>
        <v/>
      </c>
      <c r="C93" s="29">
        <f>B93-B92</f>
        <v/>
      </c>
      <c r="D93" s="25">
        <f>VLOOKUP(A93,'Database Claims'!$A:$C,2,)</f>
        <v/>
      </c>
      <c r="E93" s="29">
        <f>D93-D92</f>
        <v/>
      </c>
    </row>
    <row r="94">
      <c r="A94" s="28" t="n">
        <v>25102</v>
      </c>
      <c r="B94" s="29">
        <f>VLOOKUP(A94,'Database Claims'!$A:$C,3,)</f>
        <v/>
      </c>
      <c r="C94" s="29">
        <f>B94-B93</f>
        <v/>
      </c>
      <c r="D94" s="29">
        <f>VLOOKUP(A94,'Database Claims'!$A:$C,2,)</f>
        <v/>
      </c>
      <c r="E94" s="29">
        <f>D94-D93</f>
        <v/>
      </c>
    </row>
    <row r="95">
      <c r="A95" s="28" t="n">
        <v>25109</v>
      </c>
      <c r="B95" s="25">
        <f>VLOOKUP(A95,'Database Claims'!$A:$C,3,)</f>
        <v/>
      </c>
      <c r="C95" s="29">
        <f>B95-B94</f>
        <v/>
      </c>
      <c r="D95" s="25">
        <f>VLOOKUP(A95,'Database Claims'!$A:$C,2,)</f>
        <v/>
      </c>
      <c r="E95" s="29">
        <f>D95-D94</f>
        <v/>
      </c>
    </row>
    <row r="96">
      <c r="A96" s="28" t="n">
        <v>25116</v>
      </c>
      <c r="B96" s="29">
        <f>VLOOKUP(A96,'Database Claims'!$A:$C,3,)</f>
        <v/>
      </c>
      <c r="C96" s="29">
        <f>B96-B95</f>
        <v/>
      </c>
      <c r="D96" s="29">
        <f>VLOOKUP(A96,'Database Claims'!$A:$C,2,)</f>
        <v/>
      </c>
      <c r="E96" s="29">
        <f>D96-D95</f>
        <v/>
      </c>
    </row>
    <row r="97">
      <c r="A97" s="28" t="n">
        <v>25123</v>
      </c>
      <c r="B97" s="25">
        <f>VLOOKUP(A97,'Database Claims'!$A:$C,3,)</f>
        <v/>
      </c>
      <c r="C97" s="29">
        <f>B97-B96</f>
        <v/>
      </c>
      <c r="D97" s="25">
        <f>VLOOKUP(A97,'Database Claims'!$A:$C,2,)</f>
        <v/>
      </c>
      <c r="E97" s="29">
        <f>D97-D96</f>
        <v/>
      </c>
    </row>
    <row r="98">
      <c r="A98" s="28" t="n">
        <v>25130</v>
      </c>
      <c r="B98" s="29">
        <f>VLOOKUP(A98,'Database Claims'!$A:$C,3,)</f>
        <v/>
      </c>
      <c r="C98" s="29">
        <f>B98-B97</f>
        <v/>
      </c>
      <c r="D98" s="29">
        <f>VLOOKUP(A98,'Database Claims'!$A:$C,2,)</f>
        <v/>
      </c>
      <c r="E98" s="29">
        <f>D98-D97</f>
        <v/>
      </c>
    </row>
    <row r="99">
      <c r="A99" s="28" t="n">
        <v>25137</v>
      </c>
      <c r="B99" s="25">
        <f>VLOOKUP(A99,'Database Claims'!$A:$C,3,)</f>
        <v/>
      </c>
      <c r="C99" s="29">
        <f>B99-B98</f>
        <v/>
      </c>
      <c r="D99" s="25">
        <f>VLOOKUP(A99,'Database Claims'!$A:$C,2,)</f>
        <v/>
      </c>
      <c r="E99" s="29">
        <f>D99-D98</f>
        <v/>
      </c>
    </row>
    <row r="100">
      <c r="A100" s="28" t="n">
        <v>25144</v>
      </c>
      <c r="B100" s="29">
        <f>VLOOKUP(A100,'Database Claims'!$A:$C,3,)</f>
        <v/>
      </c>
      <c r="C100" s="29">
        <f>B100-B99</f>
        <v/>
      </c>
      <c r="D100" s="29">
        <f>VLOOKUP(A100,'Database Claims'!$A:$C,2,)</f>
        <v/>
      </c>
      <c r="E100" s="29">
        <f>D100-D99</f>
        <v/>
      </c>
    </row>
    <row r="101">
      <c r="A101" s="28" t="n">
        <v>25151</v>
      </c>
      <c r="B101" s="25">
        <f>VLOOKUP(A101,'Database Claims'!$A:$C,3,)</f>
        <v/>
      </c>
      <c r="C101" s="29">
        <f>B101-B100</f>
        <v/>
      </c>
      <c r="D101" s="25">
        <f>VLOOKUP(A101,'Database Claims'!$A:$C,2,)</f>
        <v/>
      </c>
      <c r="E101" s="29">
        <f>D101-D100</f>
        <v/>
      </c>
    </row>
    <row r="102">
      <c r="A102" s="28" t="n">
        <v>25158</v>
      </c>
      <c r="B102" s="29">
        <f>VLOOKUP(A102,'Database Claims'!$A:$C,3,)</f>
        <v/>
      </c>
      <c r="C102" s="29">
        <f>B102-B101</f>
        <v/>
      </c>
      <c r="D102" s="29">
        <f>VLOOKUP(A102,'Database Claims'!$A:$C,2,)</f>
        <v/>
      </c>
      <c r="E102" s="29">
        <f>D102-D101</f>
        <v/>
      </c>
    </row>
    <row r="103">
      <c r="A103" s="28" t="n">
        <v>25165</v>
      </c>
      <c r="B103" s="25">
        <f>VLOOKUP(A103,'Database Claims'!$A:$C,3,)</f>
        <v/>
      </c>
      <c r="C103" s="29">
        <f>B103-B102</f>
        <v/>
      </c>
      <c r="D103" s="25">
        <f>VLOOKUP(A103,'Database Claims'!$A:$C,2,)</f>
        <v/>
      </c>
      <c r="E103" s="29">
        <f>D103-D102</f>
        <v/>
      </c>
    </row>
    <row r="104">
      <c r="A104" s="28" t="n">
        <v>25172</v>
      </c>
      <c r="B104" s="29">
        <f>VLOOKUP(A104,'Database Claims'!$A:$C,3,)</f>
        <v/>
      </c>
      <c r="C104" s="29">
        <f>B104-B103</f>
        <v/>
      </c>
      <c r="D104" s="29">
        <f>VLOOKUP(A104,'Database Claims'!$A:$C,2,)</f>
        <v/>
      </c>
      <c r="E104" s="29">
        <f>D104-D103</f>
        <v/>
      </c>
    </row>
    <row r="105">
      <c r="A105" s="28" t="n">
        <v>25179</v>
      </c>
      <c r="B105" s="25">
        <f>VLOOKUP(A105,'Database Claims'!$A:$C,3,)</f>
        <v/>
      </c>
      <c r="C105" s="29">
        <f>B105-B104</f>
        <v/>
      </c>
      <c r="D105" s="25">
        <f>VLOOKUP(A105,'Database Claims'!$A:$C,2,)</f>
        <v/>
      </c>
      <c r="E105" s="29">
        <f>D105-D104</f>
        <v/>
      </c>
    </row>
    <row r="106">
      <c r="A106" s="28" t="n">
        <v>25186</v>
      </c>
      <c r="B106" s="29">
        <f>VLOOKUP(A106,'Database Claims'!$A:$C,3,)</f>
        <v/>
      </c>
      <c r="C106" s="29">
        <f>B106-B105</f>
        <v/>
      </c>
      <c r="D106" s="29">
        <f>VLOOKUP(A106,'Database Claims'!$A:$C,2,)</f>
        <v/>
      </c>
      <c r="E106" s="29">
        <f>D106-D105</f>
        <v/>
      </c>
    </row>
    <row r="107">
      <c r="A107" s="28" t="n">
        <v>25193</v>
      </c>
      <c r="B107" s="25">
        <f>VLOOKUP(A107,'Database Claims'!$A:$C,3,)</f>
        <v/>
      </c>
      <c r="C107" s="29">
        <f>B107-B106</f>
        <v/>
      </c>
      <c r="D107" s="25">
        <f>VLOOKUP(A107,'Database Claims'!$A:$C,2,)</f>
        <v/>
      </c>
      <c r="E107" s="29">
        <f>D107-D106</f>
        <v/>
      </c>
    </row>
    <row r="108">
      <c r="A108" s="28" t="n">
        <v>25200</v>
      </c>
      <c r="B108" s="29">
        <f>VLOOKUP(A108,'Database Claims'!$A:$C,3,)</f>
        <v/>
      </c>
      <c r="C108" s="29">
        <f>B108-B107</f>
        <v/>
      </c>
      <c r="D108" s="29">
        <f>VLOOKUP(A108,'Database Claims'!$A:$C,2,)</f>
        <v/>
      </c>
      <c r="E108" s="29">
        <f>D108-D107</f>
        <v/>
      </c>
    </row>
    <row r="109">
      <c r="A109" s="28" t="n">
        <v>25207</v>
      </c>
      <c r="B109" s="25">
        <f>VLOOKUP(A109,'Database Claims'!$A:$C,3,)</f>
        <v/>
      </c>
      <c r="C109" s="29">
        <f>B109-B108</f>
        <v/>
      </c>
      <c r="D109" s="25">
        <f>VLOOKUP(A109,'Database Claims'!$A:$C,2,)</f>
        <v/>
      </c>
      <c r="E109" s="29">
        <f>D109-D108</f>
        <v/>
      </c>
    </row>
    <row r="110">
      <c r="A110" s="28" t="n">
        <v>25214</v>
      </c>
      <c r="B110" s="29">
        <f>VLOOKUP(A110,'Database Claims'!$A:$C,3,)</f>
        <v/>
      </c>
      <c r="C110" s="29">
        <f>B110-B109</f>
        <v/>
      </c>
      <c r="D110" s="29">
        <f>VLOOKUP(A110,'Database Claims'!$A:$C,2,)</f>
        <v/>
      </c>
      <c r="E110" s="29">
        <f>D110-D109</f>
        <v/>
      </c>
    </row>
    <row r="111">
      <c r="A111" s="28" t="n">
        <v>25221</v>
      </c>
      <c r="B111" s="25">
        <f>VLOOKUP(A111,'Database Claims'!$A:$C,3,)</f>
        <v/>
      </c>
      <c r="C111" s="29">
        <f>B111-B110</f>
        <v/>
      </c>
      <c r="D111" s="25">
        <f>VLOOKUP(A111,'Database Claims'!$A:$C,2,)</f>
        <v/>
      </c>
      <c r="E111" s="29">
        <f>D111-D110</f>
        <v/>
      </c>
    </row>
    <row r="112">
      <c r="A112" s="28" t="n">
        <v>25228</v>
      </c>
      <c r="B112" s="29">
        <f>VLOOKUP(A112,'Database Claims'!$A:$C,3,)</f>
        <v/>
      </c>
      <c r="C112" s="29">
        <f>B112-B111</f>
        <v/>
      </c>
      <c r="D112" s="29">
        <f>VLOOKUP(A112,'Database Claims'!$A:$C,2,)</f>
        <v/>
      </c>
      <c r="E112" s="29">
        <f>D112-D111</f>
        <v/>
      </c>
    </row>
    <row r="113">
      <c r="A113" s="28" t="n">
        <v>25235</v>
      </c>
      <c r="B113" s="25">
        <f>VLOOKUP(A113,'Database Claims'!$A:$C,3,)</f>
        <v/>
      </c>
      <c r="C113" s="29">
        <f>B113-B112</f>
        <v/>
      </c>
      <c r="D113" s="25">
        <f>VLOOKUP(A113,'Database Claims'!$A:$C,2,)</f>
        <v/>
      </c>
      <c r="E113" s="29">
        <f>D113-D112</f>
        <v/>
      </c>
    </row>
    <row r="114">
      <c r="A114" s="28" t="n">
        <v>25242</v>
      </c>
      <c r="B114" s="29">
        <f>VLOOKUP(A114,'Database Claims'!$A:$C,3,)</f>
        <v/>
      </c>
      <c r="C114" s="29">
        <f>B114-B113</f>
        <v/>
      </c>
      <c r="D114" s="29">
        <f>VLOOKUP(A114,'Database Claims'!$A:$C,2,)</f>
        <v/>
      </c>
      <c r="E114" s="29">
        <f>D114-D113</f>
        <v/>
      </c>
    </row>
    <row r="115">
      <c r="A115" s="28" t="n">
        <v>25249</v>
      </c>
      <c r="B115" s="25">
        <f>VLOOKUP(A115,'Database Claims'!$A:$C,3,)</f>
        <v/>
      </c>
      <c r="C115" s="29">
        <f>B115-B114</f>
        <v/>
      </c>
      <c r="D115" s="25">
        <f>VLOOKUP(A115,'Database Claims'!$A:$C,2,)</f>
        <v/>
      </c>
      <c r="E115" s="29">
        <f>D115-D114</f>
        <v/>
      </c>
    </row>
    <row r="116">
      <c r="A116" s="28" t="n">
        <v>25256</v>
      </c>
      <c r="B116" s="29">
        <f>VLOOKUP(A116,'Database Claims'!$A:$C,3,)</f>
        <v/>
      </c>
      <c r="C116" s="29">
        <f>B116-B115</f>
        <v/>
      </c>
      <c r="D116" s="29">
        <f>VLOOKUP(A116,'Database Claims'!$A:$C,2,)</f>
        <v/>
      </c>
      <c r="E116" s="29">
        <f>D116-D115</f>
        <v/>
      </c>
    </row>
    <row r="117">
      <c r="A117" s="28" t="n">
        <v>25263</v>
      </c>
      <c r="B117" s="25">
        <f>VLOOKUP(A117,'Database Claims'!$A:$C,3,)</f>
        <v/>
      </c>
      <c r="C117" s="29">
        <f>B117-B116</f>
        <v/>
      </c>
      <c r="D117" s="25">
        <f>VLOOKUP(A117,'Database Claims'!$A:$C,2,)</f>
        <v/>
      </c>
      <c r="E117" s="29">
        <f>D117-D116</f>
        <v/>
      </c>
    </row>
    <row r="118">
      <c r="A118" s="28" t="n">
        <v>25270</v>
      </c>
      <c r="B118" s="29">
        <f>VLOOKUP(A118,'Database Claims'!$A:$C,3,)</f>
        <v/>
      </c>
      <c r="C118" s="29">
        <f>B118-B117</f>
        <v/>
      </c>
      <c r="D118" s="29">
        <f>VLOOKUP(A118,'Database Claims'!$A:$C,2,)</f>
        <v/>
      </c>
      <c r="E118" s="29">
        <f>D118-D117</f>
        <v/>
      </c>
    </row>
    <row r="119">
      <c r="A119" s="28" t="n">
        <v>25277</v>
      </c>
      <c r="B119" s="25">
        <f>VLOOKUP(A119,'Database Claims'!$A:$C,3,)</f>
        <v/>
      </c>
      <c r="C119" s="29">
        <f>B119-B118</f>
        <v/>
      </c>
      <c r="D119" s="25">
        <f>VLOOKUP(A119,'Database Claims'!$A:$C,2,)</f>
        <v/>
      </c>
      <c r="E119" s="29">
        <f>D119-D118</f>
        <v/>
      </c>
    </row>
    <row r="120">
      <c r="A120" s="28" t="n">
        <v>25284</v>
      </c>
      <c r="B120" s="29">
        <f>VLOOKUP(A120,'Database Claims'!$A:$C,3,)</f>
        <v/>
      </c>
      <c r="C120" s="29">
        <f>B120-B119</f>
        <v/>
      </c>
      <c r="D120" s="29">
        <f>VLOOKUP(A120,'Database Claims'!$A:$C,2,)</f>
        <v/>
      </c>
      <c r="E120" s="29">
        <f>D120-D119</f>
        <v/>
      </c>
    </row>
    <row r="121">
      <c r="A121" s="28" t="n">
        <v>25291</v>
      </c>
      <c r="B121" s="25">
        <f>VLOOKUP(A121,'Database Claims'!$A:$C,3,)</f>
        <v/>
      </c>
      <c r="C121" s="29">
        <f>B121-B120</f>
        <v/>
      </c>
      <c r="D121" s="25">
        <f>VLOOKUP(A121,'Database Claims'!$A:$C,2,)</f>
        <v/>
      </c>
      <c r="E121" s="29">
        <f>D121-D120</f>
        <v/>
      </c>
    </row>
    <row r="122">
      <c r="A122" s="28" t="n">
        <v>25298</v>
      </c>
      <c r="B122" s="29">
        <f>VLOOKUP(A122,'Database Claims'!$A:$C,3,)</f>
        <v/>
      </c>
      <c r="C122" s="29">
        <f>B122-B121</f>
        <v/>
      </c>
      <c r="D122" s="29">
        <f>VLOOKUP(A122,'Database Claims'!$A:$C,2,)</f>
        <v/>
      </c>
      <c r="E122" s="29">
        <f>D122-D121</f>
        <v/>
      </c>
    </row>
    <row r="123">
      <c r="A123" s="28" t="n">
        <v>25305</v>
      </c>
      <c r="B123" s="25">
        <f>VLOOKUP(A123,'Database Claims'!$A:$C,3,)</f>
        <v/>
      </c>
      <c r="C123" s="29">
        <f>B123-B122</f>
        <v/>
      </c>
      <c r="D123" s="25">
        <f>VLOOKUP(A123,'Database Claims'!$A:$C,2,)</f>
        <v/>
      </c>
      <c r="E123" s="29">
        <f>D123-D122</f>
        <v/>
      </c>
    </row>
    <row r="124">
      <c r="A124" s="28" t="n">
        <v>25312</v>
      </c>
      <c r="B124" s="29">
        <f>VLOOKUP(A124,'Database Claims'!$A:$C,3,)</f>
        <v/>
      </c>
      <c r="C124" s="29">
        <f>B124-B123</f>
        <v/>
      </c>
      <c r="D124" s="29">
        <f>VLOOKUP(A124,'Database Claims'!$A:$C,2,)</f>
        <v/>
      </c>
      <c r="E124" s="29">
        <f>D124-D123</f>
        <v/>
      </c>
    </row>
    <row r="125">
      <c r="A125" s="28" t="n">
        <v>25319</v>
      </c>
      <c r="B125" s="25">
        <f>VLOOKUP(A125,'Database Claims'!$A:$C,3,)</f>
        <v/>
      </c>
      <c r="C125" s="29">
        <f>B125-B124</f>
        <v/>
      </c>
      <c r="D125" s="25">
        <f>VLOOKUP(A125,'Database Claims'!$A:$C,2,)</f>
        <v/>
      </c>
      <c r="E125" s="29">
        <f>D125-D124</f>
        <v/>
      </c>
    </row>
    <row r="126">
      <c r="A126" s="28" t="n">
        <v>25326</v>
      </c>
      <c r="B126" s="29">
        <f>VLOOKUP(A126,'Database Claims'!$A:$C,3,)</f>
        <v/>
      </c>
      <c r="C126" s="29">
        <f>B126-B125</f>
        <v/>
      </c>
      <c r="D126" s="29">
        <f>VLOOKUP(A126,'Database Claims'!$A:$C,2,)</f>
        <v/>
      </c>
      <c r="E126" s="29">
        <f>D126-D125</f>
        <v/>
      </c>
    </row>
    <row r="127">
      <c r="A127" s="28" t="n">
        <v>25333</v>
      </c>
      <c r="B127" s="25">
        <f>VLOOKUP(A127,'Database Claims'!$A:$C,3,)</f>
        <v/>
      </c>
      <c r="C127" s="29">
        <f>B127-B126</f>
        <v/>
      </c>
      <c r="D127" s="25">
        <f>VLOOKUP(A127,'Database Claims'!$A:$C,2,)</f>
        <v/>
      </c>
      <c r="E127" s="29">
        <f>D127-D126</f>
        <v/>
      </c>
    </row>
    <row r="128">
      <c r="A128" s="28" t="n">
        <v>25340</v>
      </c>
      <c r="B128" s="29">
        <f>VLOOKUP(A128,'Database Claims'!$A:$C,3,)</f>
        <v/>
      </c>
      <c r="C128" s="29">
        <f>B128-B127</f>
        <v/>
      </c>
      <c r="D128" s="29">
        <f>VLOOKUP(A128,'Database Claims'!$A:$C,2,)</f>
        <v/>
      </c>
      <c r="E128" s="29">
        <f>D128-D127</f>
        <v/>
      </c>
    </row>
    <row r="129">
      <c r="A129" s="28" t="n">
        <v>25347</v>
      </c>
      <c r="B129" s="25">
        <f>VLOOKUP(A129,'Database Claims'!$A:$C,3,)</f>
        <v/>
      </c>
      <c r="C129" s="29">
        <f>B129-B128</f>
        <v/>
      </c>
      <c r="D129" s="25">
        <f>VLOOKUP(A129,'Database Claims'!$A:$C,2,)</f>
        <v/>
      </c>
      <c r="E129" s="29">
        <f>D129-D128</f>
        <v/>
      </c>
    </row>
    <row r="130">
      <c r="A130" s="28" t="n">
        <v>25354</v>
      </c>
      <c r="B130" s="29">
        <f>VLOOKUP(A130,'Database Claims'!$A:$C,3,)</f>
        <v/>
      </c>
      <c r="C130" s="29">
        <f>B130-B129</f>
        <v/>
      </c>
      <c r="D130" s="29">
        <f>VLOOKUP(A130,'Database Claims'!$A:$C,2,)</f>
        <v/>
      </c>
      <c r="E130" s="29">
        <f>D130-D129</f>
        <v/>
      </c>
    </row>
    <row r="131">
      <c r="A131" s="28" t="n">
        <v>25361</v>
      </c>
      <c r="B131" s="25">
        <f>VLOOKUP(A131,'Database Claims'!$A:$C,3,)</f>
        <v/>
      </c>
      <c r="C131" s="29">
        <f>B131-B130</f>
        <v/>
      </c>
      <c r="D131" s="25">
        <f>VLOOKUP(A131,'Database Claims'!$A:$C,2,)</f>
        <v/>
      </c>
      <c r="E131" s="29">
        <f>D131-D130</f>
        <v/>
      </c>
    </row>
    <row r="132">
      <c r="A132" s="28" t="n">
        <v>25368</v>
      </c>
      <c r="B132" s="29">
        <f>VLOOKUP(A132,'Database Claims'!$A:$C,3,)</f>
        <v/>
      </c>
      <c r="C132" s="29">
        <f>B132-B131</f>
        <v/>
      </c>
      <c r="D132" s="29">
        <f>VLOOKUP(A132,'Database Claims'!$A:$C,2,)</f>
        <v/>
      </c>
      <c r="E132" s="29">
        <f>D132-D131</f>
        <v/>
      </c>
    </row>
    <row r="133">
      <c r="A133" s="28" t="n">
        <v>25375</v>
      </c>
      <c r="B133" s="25">
        <f>VLOOKUP(A133,'Database Claims'!$A:$C,3,)</f>
        <v/>
      </c>
      <c r="C133" s="29">
        <f>B133-B132</f>
        <v/>
      </c>
      <c r="D133" s="25">
        <f>VLOOKUP(A133,'Database Claims'!$A:$C,2,)</f>
        <v/>
      </c>
      <c r="E133" s="29">
        <f>D133-D132</f>
        <v/>
      </c>
    </row>
    <row r="134">
      <c r="A134" s="28" t="n">
        <v>25382</v>
      </c>
      <c r="B134" s="29">
        <f>VLOOKUP(A134,'Database Claims'!$A:$C,3,)</f>
        <v/>
      </c>
      <c r="C134" s="29">
        <f>B134-B133</f>
        <v/>
      </c>
      <c r="D134" s="29">
        <f>VLOOKUP(A134,'Database Claims'!$A:$C,2,)</f>
        <v/>
      </c>
      <c r="E134" s="29">
        <f>D134-D133</f>
        <v/>
      </c>
    </row>
    <row r="135">
      <c r="A135" s="28" t="n">
        <v>25389</v>
      </c>
      <c r="B135" s="25">
        <f>VLOOKUP(A135,'Database Claims'!$A:$C,3,)</f>
        <v/>
      </c>
      <c r="C135" s="29">
        <f>B135-B134</f>
        <v/>
      </c>
      <c r="D135" s="25">
        <f>VLOOKUP(A135,'Database Claims'!$A:$C,2,)</f>
        <v/>
      </c>
      <c r="E135" s="29">
        <f>D135-D134</f>
        <v/>
      </c>
    </row>
    <row r="136">
      <c r="A136" s="28" t="n">
        <v>25396</v>
      </c>
      <c r="B136" s="29">
        <f>VLOOKUP(A136,'Database Claims'!$A:$C,3,)</f>
        <v/>
      </c>
      <c r="C136" s="29">
        <f>B136-B135</f>
        <v/>
      </c>
      <c r="D136" s="29">
        <f>VLOOKUP(A136,'Database Claims'!$A:$C,2,)</f>
        <v/>
      </c>
      <c r="E136" s="29">
        <f>D136-D135</f>
        <v/>
      </c>
    </row>
    <row r="137">
      <c r="A137" s="28" t="n">
        <v>25403</v>
      </c>
      <c r="B137" s="25">
        <f>VLOOKUP(A137,'Database Claims'!$A:$C,3,)</f>
        <v/>
      </c>
      <c r="C137" s="29">
        <f>B137-B136</f>
        <v/>
      </c>
      <c r="D137" s="25">
        <f>VLOOKUP(A137,'Database Claims'!$A:$C,2,)</f>
        <v/>
      </c>
      <c r="E137" s="29">
        <f>D137-D136</f>
        <v/>
      </c>
    </row>
    <row r="138">
      <c r="A138" s="28" t="n">
        <v>25410</v>
      </c>
      <c r="B138" s="29">
        <f>VLOOKUP(A138,'Database Claims'!$A:$C,3,)</f>
        <v/>
      </c>
      <c r="C138" s="29">
        <f>B138-B137</f>
        <v/>
      </c>
      <c r="D138" s="29">
        <f>VLOOKUP(A138,'Database Claims'!$A:$C,2,)</f>
        <v/>
      </c>
      <c r="E138" s="29">
        <f>D138-D137</f>
        <v/>
      </c>
    </row>
    <row r="139">
      <c r="A139" s="28" t="n">
        <v>25417</v>
      </c>
      <c r="B139" s="25">
        <f>VLOOKUP(A139,'Database Claims'!$A:$C,3,)</f>
        <v/>
      </c>
      <c r="C139" s="29">
        <f>B139-B138</f>
        <v/>
      </c>
      <c r="D139" s="25">
        <f>VLOOKUP(A139,'Database Claims'!$A:$C,2,)</f>
        <v/>
      </c>
      <c r="E139" s="29">
        <f>D139-D138</f>
        <v/>
      </c>
    </row>
    <row r="140">
      <c r="A140" s="28" t="n">
        <v>25424</v>
      </c>
      <c r="B140" s="29">
        <f>VLOOKUP(A140,'Database Claims'!$A:$C,3,)</f>
        <v/>
      </c>
      <c r="C140" s="29">
        <f>B140-B139</f>
        <v/>
      </c>
      <c r="D140" s="29">
        <f>VLOOKUP(A140,'Database Claims'!$A:$C,2,)</f>
        <v/>
      </c>
      <c r="E140" s="29">
        <f>D140-D139</f>
        <v/>
      </c>
    </row>
    <row r="141">
      <c r="A141" s="28" t="n">
        <v>25431</v>
      </c>
      <c r="B141" s="25">
        <f>VLOOKUP(A141,'Database Claims'!$A:$C,3,)</f>
        <v/>
      </c>
      <c r="C141" s="29">
        <f>B141-B140</f>
        <v/>
      </c>
      <c r="D141" s="25">
        <f>VLOOKUP(A141,'Database Claims'!$A:$C,2,)</f>
        <v/>
      </c>
      <c r="E141" s="29">
        <f>D141-D140</f>
        <v/>
      </c>
    </row>
    <row r="142">
      <c r="A142" s="28" t="n">
        <v>25438</v>
      </c>
      <c r="B142" s="29">
        <f>VLOOKUP(A142,'Database Claims'!$A:$C,3,)</f>
        <v/>
      </c>
      <c r="C142" s="29">
        <f>B142-B141</f>
        <v/>
      </c>
      <c r="D142" s="29">
        <f>VLOOKUP(A142,'Database Claims'!$A:$C,2,)</f>
        <v/>
      </c>
      <c r="E142" s="29">
        <f>D142-D141</f>
        <v/>
      </c>
    </row>
    <row r="143">
      <c r="A143" s="28" t="n">
        <v>25445</v>
      </c>
      <c r="B143" s="25">
        <f>VLOOKUP(A143,'Database Claims'!$A:$C,3,)</f>
        <v/>
      </c>
      <c r="C143" s="29">
        <f>B143-B142</f>
        <v/>
      </c>
      <c r="D143" s="25">
        <f>VLOOKUP(A143,'Database Claims'!$A:$C,2,)</f>
        <v/>
      </c>
      <c r="E143" s="29">
        <f>D143-D142</f>
        <v/>
      </c>
    </row>
    <row r="144">
      <c r="A144" s="28" t="n">
        <v>25452</v>
      </c>
      <c r="B144" s="29">
        <f>VLOOKUP(A144,'Database Claims'!$A:$C,3,)</f>
        <v/>
      </c>
      <c r="C144" s="29">
        <f>B144-B143</f>
        <v/>
      </c>
      <c r="D144" s="29">
        <f>VLOOKUP(A144,'Database Claims'!$A:$C,2,)</f>
        <v/>
      </c>
      <c r="E144" s="29">
        <f>D144-D143</f>
        <v/>
      </c>
    </row>
    <row r="145">
      <c r="A145" s="28" t="n">
        <v>25459</v>
      </c>
      <c r="B145" s="25">
        <f>VLOOKUP(A145,'Database Claims'!$A:$C,3,)</f>
        <v/>
      </c>
      <c r="C145" s="29">
        <f>B145-B144</f>
        <v/>
      </c>
      <c r="D145" s="25">
        <f>VLOOKUP(A145,'Database Claims'!$A:$C,2,)</f>
        <v/>
      </c>
      <c r="E145" s="29">
        <f>D145-D144</f>
        <v/>
      </c>
    </row>
    <row r="146">
      <c r="A146" s="28" t="n">
        <v>25466</v>
      </c>
      <c r="B146" s="29">
        <f>VLOOKUP(A146,'Database Claims'!$A:$C,3,)</f>
        <v/>
      </c>
      <c r="C146" s="29">
        <f>B146-B145</f>
        <v/>
      </c>
      <c r="D146" s="29">
        <f>VLOOKUP(A146,'Database Claims'!$A:$C,2,)</f>
        <v/>
      </c>
      <c r="E146" s="29">
        <f>D146-D145</f>
        <v/>
      </c>
    </row>
    <row r="147">
      <c r="A147" s="28" t="n">
        <v>25473</v>
      </c>
      <c r="B147" s="25">
        <f>VLOOKUP(A147,'Database Claims'!$A:$C,3,)</f>
        <v/>
      </c>
      <c r="C147" s="29">
        <f>B147-B146</f>
        <v/>
      </c>
      <c r="D147" s="25">
        <f>VLOOKUP(A147,'Database Claims'!$A:$C,2,)</f>
        <v/>
      </c>
      <c r="E147" s="29">
        <f>D147-D146</f>
        <v/>
      </c>
    </row>
    <row r="148">
      <c r="A148" s="28" t="n">
        <v>25480</v>
      </c>
      <c r="B148" s="29">
        <f>VLOOKUP(A148,'Database Claims'!$A:$C,3,)</f>
        <v/>
      </c>
      <c r="C148" s="29">
        <f>B148-B147</f>
        <v/>
      </c>
      <c r="D148" s="29">
        <f>VLOOKUP(A148,'Database Claims'!$A:$C,2,)</f>
        <v/>
      </c>
      <c r="E148" s="29">
        <f>D148-D147</f>
        <v/>
      </c>
    </row>
    <row r="149">
      <c r="A149" s="28" t="n">
        <v>25487</v>
      </c>
      <c r="B149" s="25">
        <f>VLOOKUP(A149,'Database Claims'!$A:$C,3,)</f>
        <v/>
      </c>
      <c r="C149" s="29">
        <f>B149-B148</f>
        <v/>
      </c>
      <c r="D149" s="25">
        <f>VLOOKUP(A149,'Database Claims'!$A:$C,2,)</f>
        <v/>
      </c>
      <c r="E149" s="29">
        <f>D149-D148</f>
        <v/>
      </c>
    </row>
    <row r="150">
      <c r="A150" s="28" t="n">
        <v>25494</v>
      </c>
      <c r="B150" s="29">
        <f>VLOOKUP(A150,'Database Claims'!$A:$C,3,)</f>
        <v/>
      </c>
      <c r="C150" s="29">
        <f>B150-B149</f>
        <v/>
      </c>
      <c r="D150" s="29">
        <f>VLOOKUP(A150,'Database Claims'!$A:$C,2,)</f>
        <v/>
      </c>
      <c r="E150" s="29">
        <f>D150-D149</f>
        <v/>
      </c>
    </row>
    <row r="151">
      <c r="A151" s="28" t="n">
        <v>25501</v>
      </c>
      <c r="B151" s="25">
        <f>VLOOKUP(A151,'Database Claims'!$A:$C,3,)</f>
        <v/>
      </c>
      <c r="C151" s="29">
        <f>B151-B150</f>
        <v/>
      </c>
      <c r="D151" s="25">
        <f>VLOOKUP(A151,'Database Claims'!$A:$C,2,)</f>
        <v/>
      </c>
      <c r="E151" s="29">
        <f>D151-D150</f>
        <v/>
      </c>
    </row>
    <row r="152">
      <c r="A152" s="28" t="n">
        <v>25508</v>
      </c>
      <c r="B152" s="29">
        <f>VLOOKUP(A152,'Database Claims'!$A:$C,3,)</f>
        <v/>
      </c>
      <c r="C152" s="29">
        <f>B152-B151</f>
        <v/>
      </c>
      <c r="D152" s="29">
        <f>VLOOKUP(A152,'Database Claims'!$A:$C,2,)</f>
        <v/>
      </c>
      <c r="E152" s="29">
        <f>D152-D151</f>
        <v/>
      </c>
    </row>
    <row r="153">
      <c r="A153" s="28" t="n">
        <v>25515</v>
      </c>
      <c r="B153" s="25">
        <f>VLOOKUP(A153,'Database Claims'!$A:$C,3,)</f>
        <v/>
      </c>
      <c r="C153" s="29">
        <f>B153-B152</f>
        <v/>
      </c>
      <c r="D153" s="25">
        <f>VLOOKUP(A153,'Database Claims'!$A:$C,2,)</f>
        <v/>
      </c>
      <c r="E153" s="29">
        <f>D153-D152</f>
        <v/>
      </c>
    </row>
    <row r="154">
      <c r="A154" s="28" t="n">
        <v>25522</v>
      </c>
      <c r="B154" s="29">
        <f>VLOOKUP(A154,'Database Claims'!$A:$C,3,)</f>
        <v/>
      </c>
      <c r="C154" s="29">
        <f>B154-B153</f>
        <v/>
      </c>
      <c r="D154" s="29">
        <f>VLOOKUP(A154,'Database Claims'!$A:$C,2,)</f>
        <v/>
      </c>
      <c r="E154" s="29">
        <f>D154-D153</f>
        <v/>
      </c>
    </row>
    <row r="155">
      <c r="A155" s="28" t="n">
        <v>25529</v>
      </c>
      <c r="B155" s="25">
        <f>VLOOKUP(A155,'Database Claims'!$A:$C,3,)</f>
        <v/>
      </c>
      <c r="C155" s="29">
        <f>B155-B154</f>
        <v/>
      </c>
      <c r="D155" s="25">
        <f>VLOOKUP(A155,'Database Claims'!$A:$C,2,)</f>
        <v/>
      </c>
      <c r="E155" s="29">
        <f>D155-D154</f>
        <v/>
      </c>
    </row>
    <row r="156">
      <c r="A156" s="28" t="n">
        <v>25536</v>
      </c>
      <c r="B156" s="29">
        <f>VLOOKUP(A156,'Database Claims'!$A:$C,3,)</f>
        <v/>
      </c>
      <c r="C156" s="29">
        <f>B156-B155</f>
        <v/>
      </c>
      <c r="D156" s="29">
        <f>VLOOKUP(A156,'Database Claims'!$A:$C,2,)</f>
        <v/>
      </c>
      <c r="E156" s="29">
        <f>D156-D155</f>
        <v/>
      </c>
    </row>
    <row r="157">
      <c r="A157" s="28" t="n">
        <v>25543</v>
      </c>
      <c r="B157" s="25">
        <f>VLOOKUP(A157,'Database Claims'!$A:$C,3,)</f>
        <v/>
      </c>
      <c r="C157" s="29">
        <f>B157-B156</f>
        <v/>
      </c>
      <c r="D157" s="25">
        <f>VLOOKUP(A157,'Database Claims'!$A:$C,2,)</f>
        <v/>
      </c>
      <c r="E157" s="29">
        <f>D157-D156</f>
        <v/>
      </c>
    </row>
    <row r="158">
      <c r="A158" s="28" t="n">
        <v>25550</v>
      </c>
      <c r="B158" s="29">
        <f>VLOOKUP(A158,'Database Claims'!$A:$C,3,)</f>
        <v/>
      </c>
      <c r="C158" s="29">
        <f>B158-B157</f>
        <v/>
      </c>
      <c r="D158" s="29">
        <f>VLOOKUP(A158,'Database Claims'!$A:$C,2,)</f>
        <v/>
      </c>
      <c r="E158" s="29">
        <f>D158-D157</f>
        <v/>
      </c>
    </row>
    <row r="159">
      <c r="A159" s="28" t="n">
        <v>25557</v>
      </c>
      <c r="B159" s="25">
        <f>VLOOKUP(A159,'Database Claims'!$A:$C,3,)</f>
        <v/>
      </c>
      <c r="C159" s="29">
        <f>B159-B158</f>
        <v/>
      </c>
      <c r="D159" s="25">
        <f>VLOOKUP(A159,'Database Claims'!$A:$C,2,)</f>
        <v/>
      </c>
      <c r="E159" s="29">
        <f>D159-D158</f>
        <v/>
      </c>
    </row>
    <row r="160">
      <c r="A160" s="28" t="n">
        <v>25564</v>
      </c>
      <c r="B160" s="29">
        <f>VLOOKUP(A160,'Database Claims'!$A:$C,3,)</f>
        <v/>
      </c>
      <c r="C160" s="29">
        <f>B160-B159</f>
        <v/>
      </c>
      <c r="D160" s="29">
        <f>VLOOKUP(A160,'Database Claims'!$A:$C,2,)</f>
        <v/>
      </c>
      <c r="E160" s="29">
        <f>D160-D159</f>
        <v/>
      </c>
    </row>
    <row r="161">
      <c r="A161" s="28" t="n">
        <v>25571</v>
      </c>
      <c r="B161" s="25">
        <f>VLOOKUP(A161,'Database Claims'!$A:$C,3,)</f>
        <v/>
      </c>
      <c r="C161" s="29">
        <f>B161-B160</f>
        <v/>
      </c>
      <c r="D161" s="25">
        <f>VLOOKUP(A161,'Database Claims'!$A:$C,2,)</f>
        <v/>
      </c>
      <c r="E161" s="29">
        <f>D161-D160</f>
        <v/>
      </c>
    </row>
    <row r="162">
      <c r="A162" s="28" t="n">
        <v>25578</v>
      </c>
      <c r="B162" s="29">
        <f>VLOOKUP(A162,'Database Claims'!$A:$C,3,)</f>
        <v/>
      </c>
      <c r="C162" s="29">
        <f>B162-B161</f>
        <v/>
      </c>
      <c r="D162" s="29">
        <f>VLOOKUP(A162,'Database Claims'!$A:$C,2,)</f>
        <v/>
      </c>
      <c r="E162" s="29">
        <f>D162-D161</f>
        <v/>
      </c>
    </row>
    <row r="163">
      <c r="A163" s="28" t="n">
        <v>25585</v>
      </c>
      <c r="B163" s="25">
        <f>VLOOKUP(A163,'Database Claims'!$A:$C,3,)</f>
        <v/>
      </c>
      <c r="C163" s="29">
        <f>B163-B162</f>
        <v/>
      </c>
      <c r="D163" s="25">
        <f>VLOOKUP(A163,'Database Claims'!$A:$C,2,)</f>
        <v/>
      </c>
      <c r="E163" s="29">
        <f>D163-D162</f>
        <v/>
      </c>
    </row>
    <row r="164">
      <c r="A164" s="28" t="n">
        <v>25592</v>
      </c>
      <c r="B164" s="29">
        <f>VLOOKUP(A164,'Database Claims'!$A:$C,3,)</f>
        <v/>
      </c>
      <c r="C164" s="29">
        <f>B164-B163</f>
        <v/>
      </c>
      <c r="D164" s="29">
        <f>VLOOKUP(A164,'Database Claims'!$A:$C,2,)</f>
        <v/>
      </c>
      <c r="E164" s="29">
        <f>D164-D163</f>
        <v/>
      </c>
    </row>
    <row r="165">
      <c r="A165" s="28" t="n">
        <v>25599</v>
      </c>
      <c r="B165" s="25">
        <f>VLOOKUP(A165,'Database Claims'!$A:$C,3,)</f>
        <v/>
      </c>
      <c r="C165" s="29">
        <f>B165-B164</f>
        <v/>
      </c>
      <c r="D165" s="25">
        <f>VLOOKUP(A165,'Database Claims'!$A:$C,2,)</f>
        <v/>
      </c>
      <c r="E165" s="29">
        <f>D165-D164</f>
        <v/>
      </c>
    </row>
    <row r="166">
      <c r="A166" s="28" t="n">
        <v>25606</v>
      </c>
      <c r="B166" s="29">
        <f>VLOOKUP(A166,'Database Claims'!$A:$C,3,)</f>
        <v/>
      </c>
      <c r="C166" s="29">
        <f>B166-B165</f>
        <v/>
      </c>
      <c r="D166" s="29">
        <f>VLOOKUP(A166,'Database Claims'!$A:$C,2,)</f>
        <v/>
      </c>
      <c r="E166" s="29">
        <f>D166-D165</f>
        <v/>
      </c>
    </row>
    <row r="167">
      <c r="A167" s="28" t="n">
        <v>25613</v>
      </c>
      <c r="B167" s="25">
        <f>VLOOKUP(A167,'Database Claims'!$A:$C,3,)</f>
        <v/>
      </c>
      <c r="C167" s="29">
        <f>B167-B166</f>
        <v/>
      </c>
      <c r="D167" s="25">
        <f>VLOOKUP(A167,'Database Claims'!$A:$C,2,)</f>
        <v/>
      </c>
      <c r="E167" s="29">
        <f>D167-D166</f>
        <v/>
      </c>
    </row>
    <row r="168">
      <c r="A168" s="28" t="n">
        <v>25620</v>
      </c>
      <c r="B168" s="29">
        <f>VLOOKUP(A168,'Database Claims'!$A:$C,3,)</f>
        <v/>
      </c>
      <c r="C168" s="29">
        <f>B168-B167</f>
        <v/>
      </c>
      <c r="D168" s="29">
        <f>VLOOKUP(A168,'Database Claims'!$A:$C,2,)</f>
        <v/>
      </c>
      <c r="E168" s="29">
        <f>D168-D167</f>
        <v/>
      </c>
    </row>
    <row r="169">
      <c r="A169" s="28" t="n">
        <v>25627</v>
      </c>
      <c r="B169" s="25">
        <f>VLOOKUP(A169,'Database Claims'!$A:$C,3,)</f>
        <v/>
      </c>
      <c r="C169" s="29">
        <f>B169-B168</f>
        <v/>
      </c>
      <c r="D169" s="25">
        <f>VLOOKUP(A169,'Database Claims'!$A:$C,2,)</f>
        <v/>
      </c>
      <c r="E169" s="29">
        <f>D169-D168</f>
        <v/>
      </c>
    </row>
    <row r="170">
      <c r="A170" s="28" t="n">
        <v>25634</v>
      </c>
      <c r="B170" s="29">
        <f>VLOOKUP(A170,'Database Claims'!$A:$C,3,)</f>
        <v/>
      </c>
      <c r="C170" s="29">
        <f>B170-B169</f>
        <v/>
      </c>
      <c r="D170" s="29">
        <f>VLOOKUP(A170,'Database Claims'!$A:$C,2,)</f>
        <v/>
      </c>
      <c r="E170" s="29">
        <f>D170-D169</f>
        <v/>
      </c>
    </row>
    <row r="171">
      <c r="A171" s="28" t="n">
        <v>25641</v>
      </c>
      <c r="B171" s="25">
        <f>VLOOKUP(A171,'Database Claims'!$A:$C,3,)</f>
        <v/>
      </c>
      <c r="C171" s="29">
        <f>B171-B170</f>
        <v/>
      </c>
      <c r="D171" s="25">
        <f>VLOOKUP(A171,'Database Claims'!$A:$C,2,)</f>
        <v/>
      </c>
      <c r="E171" s="29">
        <f>D171-D170</f>
        <v/>
      </c>
    </row>
    <row r="172">
      <c r="A172" s="28" t="n">
        <v>25648</v>
      </c>
      <c r="B172" s="29">
        <f>VLOOKUP(A172,'Database Claims'!$A:$C,3,)</f>
        <v/>
      </c>
      <c r="C172" s="29">
        <f>B172-B171</f>
        <v/>
      </c>
      <c r="D172" s="29">
        <f>VLOOKUP(A172,'Database Claims'!$A:$C,2,)</f>
        <v/>
      </c>
      <c r="E172" s="29">
        <f>D172-D171</f>
        <v/>
      </c>
    </row>
    <row r="173">
      <c r="A173" s="28" t="n">
        <v>25655</v>
      </c>
      <c r="B173" s="25">
        <f>VLOOKUP(A173,'Database Claims'!$A:$C,3,)</f>
        <v/>
      </c>
      <c r="C173" s="29">
        <f>B173-B172</f>
        <v/>
      </c>
      <c r="D173" s="25">
        <f>VLOOKUP(A173,'Database Claims'!$A:$C,2,)</f>
        <v/>
      </c>
      <c r="E173" s="29">
        <f>D173-D172</f>
        <v/>
      </c>
    </row>
    <row r="174">
      <c r="A174" s="28" t="n">
        <v>25662</v>
      </c>
      <c r="B174" s="29">
        <f>VLOOKUP(A174,'Database Claims'!$A:$C,3,)</f>
        <v/>
      </c>
      <c r="C174" s="29">
        <f>B174-B173</f>
        <v/>
      </c>
      <c r="D174" s="29">
        <f>VLOOKUP(A174,'Database Claims'!$A:$C,2,)</f>
        <v/>
      </c>
      <c r="E174" s="29">
        <f>D174-D173</f>
        <v/>
      </c>
    </row>
    <row r="175">
      <c r="A175" s="28" t="n">
        <v>25669</v>
      </c>
      <c r="B175" s="25">
        <f>VLOOKUP(A175,'Database Claims'!$A:$C,3,)</f>
        <v/>
      </c>
      <c r="C175" s="29">
        <f>B175-B174</f>
        <v/>
      </c>
      <c r="D175" s="25">
        <f>VLOOKUP(A175,'Database Claims'!$A:$C,2,)</f>
        <v/>
      </c>
      <c r="E175" s="29">
        <f>D175-D174</f>
        <v/>
      </c>
    </row>
    <row r="176">
      <c r="A176" s="28" t="n">
        <v>25676</v>
      </c>
      <c r="B176" s="29">
        <f>VLOOKUP(A176,'Database Claims'!$A:$C,3,)</f>
        <v/>
      </c>
      <c r="C176" s="29">
        <f>B176-B175</f>
        <v/>
      </c>
      <c r="D176" s="29">
        <f>VLOOKUP(A176,'Database Claims'!$A:$C,2,)</f>
        <v/>
      </c>
      <c r="E176" s="29">
        <f>D176-D175</f>
        <v/>
      </c>
    </row>
    <row r="177">
      <c r="A177" s="28" t="n">
        <v>25683</v>
      </c>
      <c r="B177" s="25">
        <f>VLOOKUP(A177,'Database Claims'!$A:$C,3,)</f>
        <v/>
      </c>
      <c r="C177" s="29">
        <f>B177-B176</f>
        <v/>
      </c>
      <c r="D177" s="25">
        <f>VLOOKUP(A177,'Database Claims'!$A:$C,2,)</f>
        <v/>
      </c>
      <c r="E177" s="29">
        <f>D177-D176</f>
        <v/>
      </c>
    </row>
    <row r="178">
      <c r="A178" s="28" t="n">
        <v>25690</v>
      </c>
      <c r="B178" s="29">
        <f>VLOOKUP(A178,'Database Claims'!$A:$C,3,)</f>
        <v/>
      </c>
      <c r="C178" s="29">
        <f>B178-B177</f>
        <v/>
      </c>
      <c r="D178" s="29">
        <f>VLOOKUP(A178,'Database Claims'!$A:$C,2,)</f>
        <v/>
      </c>
      <c r="E178" s="29">
        <f>D178-D177</f>
        <v/>
      </c>
    </row>
    <row r="179">
      <c r="A179" s="28" t="n">
        <v>25697</v>
      </c>
      <c r="B179" s="25">
        <f>VLOOKUP(A179,'Database Claims'!$A:$C,3,)</f>
        <v/>
      </c>
      <c r="C179" s="29">
        <f>B179-B178</f>
        <v/>
      </c>
      <c r="D179" s="25">
        <f>VLOOKUP(A179,'Database Claims'!$A:$C,2,)</f>
        <v/>
      </c>
      <c r="E179" s="29">
        <f>D179-D178</f>
        <v/>
      </c>
    </row>
    <row r="180">
      <c r="A180" s="28" t="n">
        <v>25704</v>
      </c>
      <c r="B180" s="29">
        <f>VLOOKUP(A180,'Database Claims'!$A:$C,3,)</f>
        <v/>
      </c>
      <c r="C180" s="29">
        <f>B180-B179</f>
        <v/>
      </c>
      <c r="D180" s="29">
        <f>VLOOKUP(A180,'Database Claims'!$A:$C,2,)</f>
        <v/>
      </c>
      <c r="E180" s="29">
        <f>D180-D179</f>
        <v/>
      </c>
    </row>
    <row r="181">
      <c r="A181" s="28" t="n">
        <v>25711</v>
      </c>
      <c r="B181" s="25">
        <f>VLOOKUP(A181,'Database Claims'!$A:$C,3,)</f>
        <v/>
      </c>
      <c r="C181" s="29">
        <f>B181-B180</f>
        <v/>
      </c>
      <c r="D181" s="25">
        <f>VLOOKUP(A181,'Database Claims'!$A:$C,2,)</f>
        <v/>
      </c>
      <c r="E181" s="29">
        <f>D181-D180</f>
        <v/>
      </c>
    </row>
    <row r="182">
      <c r="A182" s="28" t="n">
        <v>25718</v>
      </c>
      <c r="B182" s="29">
        <f>VLOOKUP(A182,'Database Claims'!$A:$C,3,)</f>
        <v/>
      </c>
      <c r="C182" s="29">
        <f>B182-B181</f>
        <v/>
      </c>
      <c r="D182" s="29">
        <f>VLOOKUP(A182,'Database Claims'!$A:$C,2,)</f>
        <v/>
      </c>
      <c r="E182" s="29">
        <f>D182-D181</f>
        <v/>
      </c>
    </row>
    <row r="183">
      <c r="A183" s="28" t="n">
        <v>25725</v>
      </c>
      <c r="B183" s="25">
        <f>VLOOKUP(A183,'Database Claims'!$A:$C,3,)</f>
        <v/>
      </c>
      <c r="C183" s="29">
        <f>B183-B182</f>
        <v/>
      </c>
      <c r="D183" s="25">
        <f>VLOOKUP(A183,'Database Claims'!$A:$C,2,)</f>
        <v/>
      </c>
      <c r="E183" s="29">
        <f>D183-D182</f>
        <v/>
      </c>
    </row>
    <row r="184">
      <c r="A184" s="28" t="n">
        <v>25732</v>
      </c>
      <c r="B184" s="29">
        <f>VLOOKUP(A184,'Database Claims'!$A:$C,3,)</f>
        <v/>
      </c>
      <c r="C184" s="29">
        <f>B184-B183</f>
        <v/>
      </c>
      <c r="D184" s="29">
        <f>VLOOKUP(A184,'Database Claims'!$A:$C,2,)</f>
        <v/>
      </c>
      <c r="E184" s="29">
        <f>D184-D183</f>
        <v/>
      </c>
    </row>
    <row r="185">
      <c r="A185" s="28" t="n">
        <v>25739</v>
      </c>
      <c r="B185" s="25">
        <f>VLOOKUP(A185,'Database Claims'!$A:$C,3,)</f>
        <v/>
      </c>
      <c r="C185" s="29">
        <f>B185-B184</f>
        <v/>
      </c>
      <c r="D185" s="25">
        <f>VLOOKUP(A185,'Database Claims'!$A:$C,2,)</f>
        <v/>
      </c>
      <c r="E185" s="29">
        <f>D185-D184</f>
        <v/>
      </c>
    </row>
    <row r="186">
      <c r="A186" s="28" t="n">
        <v>25746</v>
      </c>
      <c r="B186" s="29">
        <f>VLOOKUP(A186,'Database Claims'!$A:$C,3,)</f>
        <v/>
      </c>
      <c r="C186" s="29">
        <f>B186-B185</f>
        <v/>
      </c>
      <c r="D186" s="29">
        <f>VLOOKUP(A186,'Database Claims'!$A:$C,2,)</f>
        <v/>
      </c>
      <c r="E186" s="29">
        <f>D186-D185</f>
        <v/>
      </c>
    </row>
    <row r="187">
      <c r="A187" s="28" t="n">
        <v>25753</v>
      </c>
      <c r="B187" s="25">
        <f>VLOOKUP(A187,'Database Claims'!$A:$C,3,)</f>
        <v/>
      </c>
      <c r="C187" s="29">
        <f>B187-B186</f>
        <v/>
      </c>
      <c r="D187" s="25">
        <f>VLOOKUP(A187,'Database Claims'!$A:$C,2,)</f>
        <v/>
      </c>
      <c r="E187" s="29">
        <f>D187-D186</f>
        <v/>
      </c>
    </row>
    <row r="188">
      <c r="A188" s="28" t="n">
        <v>25760</v>
      </c>
      <c r="B188" s="29">
        <f>VLOOKUP(A188,'Database Claims'!$A:$C,3,)</f>
        <v/>
      </c>
      <c r="C188" s="29">
        <f>B188-B187</f>
        <v/>
      </c>
      <c r="D188" s="29">
        <f>VLOOKUP(A188,'Database Claims'!$A:$C,2,)</f>
        <v/>
      </c>
      <c r="E188" s="29">
        <f>D188-D187</f>
        <v/>
      </c>
    </row>
    <row r="189">
      <c r="A189" s="28" t="n">
        <v>25767</v>
      </c>
      <c r="B189" s="25">
        <f>VLOOKUP(A189,'Database Claims'!$A:$C,3,)</f>
        <v/>
      </c>
      <c r="C189" s="29">
        <f>B189-B188</f>
        <v/>
      </c>
      <c r="D189" s="25">
        <f>VLOOKUP(A189,'Database Claims'!$A:$C,2,)</f>
        <v/>
      </c>
      <c r="E189" s="29">
        <f>D189-D188</f>
        <v/>
      </c>
    </row>
    <row r="190">
      <c r="A190" s="28" t="n">
        <v>25774</v>
      </c>
      <c r="B190" s="29">
        <f>VLOOKUP(A190,'Database Claims'!$A:$C,3,)</f>
        <v/>
      </c>
      <c r="C190" s="29">
        <f>B190-B189</f>
        <v/>
      </c>
      <c r="D190" s="29">
        <f>VLOOKUP(A190,'Database Claims'!$A:$C,2,)</f>
        <v/>
      </c>
      <c r="E190" s="29">
        <f>D190-D189</f>
        <v/>
      </c>
    </row>
    <row r="191">
      <c r="A191" s="28" t="n">
        <v>25781</v>
      </c>
      <c r="B191" s="25">
        <f>VLOOKUP(A191,'Database Claims'!$A:$C,3,)</f>
        <v/>
      </c>
      <c r="C191" s="29">
        <f>B191-B190</f>
        <v/>
      </c>
      <c r="D191" s="25">
        <f>VLOOKUP(A191,'Database Claims'!$A:$C,2,)</f>
        <v/>
      </c>
      <c r="E191" s="29">
        <f>D191-D190</f>
        <v/>
      </c>
    </row>
    <row r="192">
      <c r="A192" s="28" t="n">
        <v>25788</v>
      </c>
      <c r="B192" s="29">
        <f>VLOOKUP(A192,'Database Claims'!$A:$C,3,)</f>
        <v/>
      </c>
      <c r="C192" s="29">
        <f>B192-B191</f>
        <v/>
      </c>
      <c r="D192" s="29">
        <f>VLOOKUP(A192,'Database Claims'!$A:$C,2,)</f>
        <v/>
      </c>
      <c r="E192" s="29">
        <f>D192-D191</f>
        <v/>
      </c>
    </row>
    <row r="193">
      <c r="A193" s="28" t="n">
        <v>25795</v>
      </c>
      <c r="B193" s="25">
        <f>VLOOKUP(A193,'Database Claims'!$A:$C,3,)</f>
        <v/>
      </c>
      <c r="C193" s="29">
        <f>B193-B192</f>
        <v/>
      </c>
      <c r="D193" s="25">
        <f>VLOOKUP(A193,'Database Claims'!$A:$C,2,)</f>
        <v/>
      </c>
      <c r="E193" s="29">
        <f>D193-D192</f>
        <v/>
      </c>
    </row>
    <row r="194">
      <c r="A194" s="28" t="n">
        <v>25802</v>
      </c>
      <c r="B194" s="29">
        <f>VLOOKUP(A194,'Database Claims'!$A:$C,3,)</f>
        <v/>
      </c>
      <c r="C194" s="29">
        <f>B194-B193</f>
        <v/>
      </c>
      <c r="D194" s="29">
        <f>VLOOKUP(A194,'Database Claims'!$A:$C,2,)</f>
        <v/>
      </c>
      <c r="E194" s="29">
        <f>D194-D193</f>
        <v/>
      </c>
    </row>
    <row r="195">
      <c r="A195" s="28" t="n">
        <v>25809</v>
      </c>
      <c r="B195" s="25">
        <f>VLOOKUP(A195,'Database Claims'!$A:$C,3,)</f>
        <v/>
      </c>
      <c r="C195" s="29">
        <f>B195-B194</f>
        <v/>
      </c>
      <c r="D195" s="25">
        <f>VLOOKUP(A195,'Database Claims'!$A:$C,2,)</f>
        <v/>
      </c>
      <c r="E195" s="29">
        <f>D195-D194</f>
        <v/>
      </c>
    </row>
    <row r="196">
      <c r="A196" s="28" t="n">
        <v>25816</v>
      </c>
      <c r="B196" s="29">
        <f>VLOOKUP(A196,'Database Claims'!$A:$C,3,)</f>
        <v/>
      </c>
      <c r="C196" s="29">
        <f>B196-B195</f>
        <v/>
      </c>
      <c r="D196" s="29">
        <f>VLOOKUP(A196,'Database Claims'!$A:$C,2,)</f>
        <v/>
      </c>
      <c r="E196" s="29">
        <f>D196-D195</f>
        <v/>
      </c>
    </row>
    <row r="197">
      <c r="A197" s="28" t="n">
        <v>25823</v>
      </c>
      <c r="B197" s="25">
        <f>VLOOKUP(A197,'Database Claims'!$A:$C,3,)</f>
        <v/>
      </c>
      <c r="C197" s="29">
        <f>B197-B196</f>
        <v/>
      </c>
      <c r="D197" s="25">
        <f>VLOOKUP(A197,'Database Claims'!$A:$C,2,)</f>
        <v/>
      </c>
      <c r="E197" s="29">
        <f>D197-D196</f>
        <v/>
      </c>
    </row>
    <row r="198">
      <c r="A198" s="28" t="n">
        <v>25830</v>
      </c>
      <c r="B198" s="29">
        <f>VLOOKUP(A198,'Database Claims'!$A:$C,3,)</f>
        <v/>
      </c>
      <c r="C198" s="29">
        <f>B198-B197</f>
        <v/>
      </c>
      <c r="D198" s="29">
        <f>VLOOKUP(A198,'Database Claims'!$A:$C,2,)</f>
        <v/>
      </c>
      <c r="E198" s="29">
        <f>D198-D197</f>
        <v/>
      </c>
    </row>
    <row r="199">
      <c r="A199" s="28" t="n">
        <v>25837</v>
      </c>
      <c r="B199" s="25">
        <f>VLOOKUP(A199,'Database Claims'!$A:$C,3,)</f>
        <v/>
      </c>
      <c r="C199" s="29">
        <f>B199-B198</f>
        <v/>
      </c>
      <c r="D199" s="25">
        <f>VLOOKUP(A199,'Database Claims'!$A:$C,2,)</f>
        <v/>
      </c>
      <c r="E199" s="29">
        <f>D199-D198</f>
        <v/>
      </c>
    </row>
    <row r="200">
      <c r="A200" s="28" t="n">
        <v>25844</v>
      </c>
      <c r="B200" s="29">
        <f>VLOOKUP(A200,'Database Claims'!$A:$C,3,)</f>
        <v/>
      </c>
      <c r="C200" s="29">
        <f>B200-B199</f>
        <v/>
      </c>
      <c r="D200" s="29">
        <f>VLOOKUP(A200,'Database Claims'!$A:$C,2,)</f>
        <v/>
      </c>
      <c r="E200" s="29">
        <f>D200-D199</f>
        <v/>
      </c>
    </row>
    <row r="201">
      <c r="A201" s="28" t="n">
        <v>25851</v>
      </c>
      <c r="B201" s="25">
        <f>VLOOKUP(A201,'Database Claims'!$A:$C,3,)</f>
        <v/>
      </c>
      <c r="C201" s="29">
        <f>B201-B200</f>
        <v/>
      </c>
      <c r="D201" s="25">
        <f>VLOOKUP(A201,'Database Claims'!$A:$C,2,)</f>
        <v/>
      </c>
      <c r="E201" s="29">
        <f>D201-D200</f>
        <v/>
      </c>
    </row>
    <row r="202">
      <c r="A202" s="28" t="n">
        <v>25858</v>
      </c>
      <c r="B202" s="29">
        <f>VLOOKUP(A202,'Database Claims'!$A:$C,3,)</f>
        <v/>
      </c>
      <c r="C202" s="29">
        <f>B202-B201</f>
        <v/>
      </c>
      <c r="D202" s="29">
        <f>VLOOKUP(A202,'Database Claims'!$A:$C,2,)</f>
        <v/>
      </c>
      <c r="E202" s="29">
        <f>D202-D201</f>
        <v/>
      </c>
    </row>
    <row r="203">
      <c r="A203" s="28" t="n">
        <v>25865</v>
      </c>
      <c r="B203" s="25">
        <f>VLOOKUP(A203,'Database Claims'!$A:$C,3,)</f>
        <v/>
      </c>
      <c r="C203" s="29">
        <f>B203-B202</f>
        <v/>
      </c>
      <c r="D203" s="25">
        <f>VLOOKUP(A203,'Database Claims'!$A:$C,2,)</f>
        <v/>
      </c>
      <c r="E203" s="29">
        <f>D203-D202</f>
        <v/>
      </c>
    </row>
    <row r="204">
      <c r="A204" s="28" t="n">
        <v>25872</v>
      </c>
      <c r="B204" s="29">
        <f>VLOOKUP(A204,'Database Claims'!$A:$C,3,)</f>
        <v/>
      </c>
      <c r="C204" s="29">
        <f>B204-B203</f>
        <v/>
      </c>
      <c r="D204" s="29">
        <f>VLOOKUP(A204,'Database Claims'!$A:$C,2,)</f>
        <v/>
      </c>
      <c r="E204" s="29">
        <f>D204-D203</f>
        <v/>
      </c>
    </row>
    <row r="205">
      <c r="A205" s="28" t="n">
        <v>25879</v>
      </c>
      <c r="B205" s="25">
        <f>VLOOKUP(A205,'Database Claims'!$A:$C,3,)</f>
        <v/>
      </c>
      <c r="C205" s="29">
        <f>B205-B204</f>
        <v/>
      </c>
      <c r="D205" s="25">
        <f>VLOOKUP(A205,'Database Claims'!$A:$C,2,)</f>
        <v/>
      </c>
      <c r="E205" s="29">
        <f>D205-D204</f>
        <v/>
      </c>
    </row>
    <row r="206">
      <c r="A206" s="28" t="n">
        <v>25886</v>
      </c>
      <c r="B206" s="29">
        <f>VLOOKUP(A206,'Database Claims'!$A:$C,3,)</f>
        <v/>
      </c>
      <c r="C206" s="29">
        <f>B206-B205</f>
        <v/>
      </c>
      <c r="D206" s="29">
        <f>VLOOKUP(A206,'Database Claims'!$A:$C,2,)</f>
        <v/>
      </c>
      <c r="E206" s="29">
        <f>D206-D205</f>
        <v/>
      </c>
    </row>
    <row r="207">
      <c r="A207" s="28" t="n">
        <v>25893</v>
      </c>
      <c r="B207" s="25">
        <f>VLOOKUP(A207,'Database Claims'!$A:$C,3,)</f>
        <v/>
      </c>
      <c r="C207" s="29">
        <f>B207-B206</f>
        <v/>
      </c>
      <c r="D207" s="25">
        <f>VLOOKUP(A207,'Database Claims'!$A:$C,2,)</f>
        <v/>
      </c>
      <c r="E207" s="29">
        <f>D207-D206</f>
        <v/>
      </c>
    </row>
    <row r="208">
      <c r="A208" s="28" t="n">
        <v>25900</v>
      </c>
      <c r="B208" s="29">
        <f>VLOOKUP(A208,'Database Claims'!$A:$C,3,)</f>
        <v/>
      </c>
      <c r="C208" s="29">
        <f>B208-B207</f>
        <v/>
      </c>
      <c r="D208" s="29">
        <f>VLOOKUP(A208,'Database Claims'!$A:$C,2,)</f>
        <v/>
      </c>
      <c r="E208" s="29">
        <f>D208-D207</f>
        <v/>
      </c>
    </row>
    <row r="209">
      <c r="A209" s="28" t="n">
        <v>25907</v>
      </c>
      <c r="B209" s="25">
        <f>VLOOKUP(A209,'Database Claims'!$A:$C,3,)</f>
        <v/>
      </c>
      <c r="C209" s="29">
        <f>B209-B208</f>
        <v/>
      </c>
      <c r="D209" s="25">
        <f>VLOOKUP(A209,'Database Claims'!$A:$C,2,)</f>
        <v/>
      </c>
      <c r="E209" s="29">
        <f>D209-D208</f>
        <v/>
      </c>
    </row>
    <row r="210">
      <c r="A210" s="28" t="n">
        <v>25914</v>
      </c>
      <c r="B210" s="29">
        <f>VLOOKUP(A210,'Database Claims'!$A:$C,3,)</f>
        <v/>
      </c>
      <c r="C210" s="29">
        <f>B210-B209</f>
        <v/>
      </c>
      <c r="D210" s="29">
        <f>VLOOKUP(A210,'Database Claims'!$A:$C,2,)</f>
        <v/>
      </c>
      <c r="E210" s="29">
        <f>D210-D209</f>
        <v/>
      </c>
    </row>
    <row r="211">
      <c r="A211" s="28" t="n">
        <v>25921</v>
      </c>
      <c r="B211" s="25">
        <f>VLOOKUP(A211,'Database Claims'!$A:$C,3,)</f>
        <v/>
      </c>
      <c r="C211" s="29">
        <f>B211-B210</f>
        <v/>
      </c>
      <c r="D211" s="25">
        <f>VLOOKUP(A211,'Database Claims'!$A:$C,2,)</f>
        <v/>
      </c>
      <c r="E211" s="29">
        <f>D211-D210</f>
        <v/>
      </c>
    </row>
    <row r="212">
      <c r="A212" s="28" t="n">
        <v>25928</v>
      </c>
      <c r="B212" s="29">
        <f>VLOOKUP(A212,'Database Claims'!$A:$C,3,)</f>
        <v/>
      </c>
      <c r="C212" s="29">
        <f>B212-B211</f>
        <v/>
      </c>
      <c r="D212" s="29">
        <f>VLOOKUP(A212,'Database Claims'!$A:$C,2,)</f>
        <v/>
      </c>
      <c r="E212" s="29">
        <f>D212-D211</f>
        <v/>
      </c>
    </row>
    <row r="213">
      <c r="A213" s="28" t="n">
        <v>25935</v>
      </c>
      <c r="B213" s="25">
        <f>VLOOKUP(A213,'Database Claims'!$A:$C,3,)</f>
        <v/>
      </c>
      <c r="C213" s="29">
        <f>B213-B212</f>
        <v/>
      </c>
      <c r="D213" s="25">
        <f>VLOOKUP(A213,'Database Claims'!$A:$C,2,)</f>
        <v/>
      </c>
      <c r="E213" s="29">
        <f>D213-D212</f>
        <v/>
      </c>
    </row>
    <row r="214">
      <c r="A214" s="28" t="n">
        <v>25942</v>
      </c>
      <c r="B214" s="29">
        <f>VLOOKUP(A214,'Database Claims'!$A:$C,3,)</f>
        <v/>
      </c>
      <c r="C214" s="29">
        <f>B214-B213</f>
        <v/>
      </c>
      <c r="D214" s="29">
        <f>VLOOKUP(A214,'Database Claims'!$A:$C,2,)</f>
        <v/>
      </c>
      <c r="E214" s="29">
        <f>D214-D213</f>
        <v/>
      </c>
    </row>
    <row r="215">
      <c r="A215" s="28" t="n">
        <v>25949</v>
      </c>
      <c r="B215" s="25">
        <f>VLOOKUP(A215,'Database Claims'!$A:$C,3,)</f>
        <v/>
      </c>
      <c r="C215" s="29">
        <f>B215-B214</f>
        <v/>
      </c>
      <c r="D215" s="25">
        <f>VLOOKUP(A215,'Database Claims'!$A:$C,2,)</f>
        <v/>
      </c>
      <c r="E215" s="29">
        <f>D215-D214</f>
        <v/>
      </c>
    </row>
    <row r="216">
      <c r="A216" s="28" t="n">
        <v>25956</v>
      </c>
      <c r="B216" s="29">
        <f>VLOOKUP(A216,'Database Claims'!$A:$C,3,)</f>
        <v/>
      </c>
      <c r="C216" s="29">
        <f>B216-B215</f>
        <v/>
      </c>
      <c r="D216" s="29">
        <f>VLOOKUP(A216,'Database Claims'!$A:$C,2,)</f>
        <v/>
      </c>
      <c r="E216" s="29">
        <f>D216-D215</f>
        <v/>
      </c>
    </row>
    <row r="217">
      <c r="A217" s="28" t="n">
        <v>25963</v>
      </c>
      <c r="B217" s="25">
        <f>VLOOKUP(A217,'Database Claims'!$A:$C,3,)</f>
        <v/>
      </c>
      <c r="C217" s="29">
        <f>B217-B216</f>
        <v/>
      </c>
      <c r="D217" s="25">
        <f>VLOOKUP(A217,'Database Claims'!$A:$C,2,)</f>
        <v/>
      </c>
      <c r="E217" s="29">
        <f>D217-D216</f>
        <v/>
      </c>
    </row>
    <row r="218">
      <c r="A218" s="28" t="n">
        <v>25970</v>
      </c>
      <c r="B218" s="29">
        <f>VLOOKUP(A218,'Database Claims'!$A:$C,3,)</f>
        <v/>
      </c>
      <c r="C218" s="29">
        <f>B218-B217</f>
        <v/>
      </c>
      <c r="D218" s="29">
        <f>VLOOKUP(A218,'Database Claims'!$A:$C,2,)</f>
        <v/>
      </c>
      <c r="E218" s="29">
        <f>D218-D217</f>
        <v/>
      </c>
    </row>
    <row r="219">
      <c r="A219" s="28" t="n">
        <v>25977</v>
      </c>
      <c r="B219" s="25">
        <f>VLOOKUP(A219,'Database Claims'!$A:$C,3,)</f>
        <v/>
      </c>
      <c r="C219" s="29">
        <f>B219-B218</f>
        <v/>
      </c>
      <c r="D219" s="25">
        <f>VLOOKUP(A219,'Database Claims'!$A:$C,2,)</f>
        <v/>
      </c>
      <c r="E219" s="29">
        <f>D219-D218</f>
        <v/>
      </c>
    </row>
    <row r="220">
      <c r="A220" s="28" t="n">
        <v>25984</v>
      </c>
      <c r="B220" s="29">
        <f>VLOOKUP(A220,'Database Claims'!$A:$C,3,)</f>
        <v/>
      </c>
      <c r="C220" s="29">
        <f>B220-B219</f>
        <v/>
      </c>
      <c r="D220" s="29">
        <f>VLOOKUP(A220,'Database Claims'!$A:$C,2,)</f>
        <v/>
      </c>
      <c r="E220" s="29">
        <f>D220-D219</f>
        <v/>
      </c>
    </row>
    <row r="221">
      <c r="A221" s="28" t="n">
        <v>25991</v>
      </c>
      <c r="B221" s="25">
        <f>VLOOKUP(A221,'Database Claims'!$A:$C,3,)</f>
        <v/>
      </c>
      <c r="C221" s="29">
        <f>B221-B220</f>
        <v/>
      </c>
      <c r="D221" s="25">
        <f>VLOOKUP(A221,'Database Claims'!$A:$C,2,)</f>
        <v/>
      </c>
      <c r="E221" s="29">
        <f>D221-D220</f>
        <v/>
      </c>
    </row>
    <row r="222">
      <c r="A222" s="28" t="n">
        <v>25998</v>
      </c>
      <c r="B222" s="29">
        <f>VLOOKUP(A222,'Database Claims'!$A:$C,3,)</f>
        <v/>
      </c>
      <c r="C222" s="29">
        <f>B222-B221</f>
        <v/>
      </c>
      <c r="D222" s="29">
        <f>VLOOKUP(A222,'Database Claims'!$A:$C,2,)</f>
        <v/>
      </c>
      <c r="E222" s="29">
        <f>D222-D221</f>
        <v/>
      </c>
    </row>
    <row r="223">
      <c r="A223" s="28" t="n">
        <v>26005</v>
      </c>
      <c r="B223" s="25">
        <f>VLOOKUP(A223,'Database Claims'!$A:$C,3,)</f>
        <v/>
      </c>
      <c r="C223" s="29">
        <f>B223-B222</f>
        <v/>
      </c>
      <c r="D223" s="25">
        <f>VLOOKUP(A223,'Database Claims'!$A:$C,2,)</f>
        <v/>
      </c>
      <c r="E223" s="29">
        <f>D223-D222</f>
        <v/>
      </c>
    </row>
    <row r="224">
      <c r="A224" s="28" t="n">
        <v>26012</v>
      </c>
      <c r="B224" s="29">
        <f>VLOOKUP(A224,'Database Claims'!$A:$C,3,)</f>
        <v/>
      </c>
      <c r="C224" s="29">
        <f>B224-B223</f>
        <v/>
      </c>
      <c r="D224" s="29">
        <f>VLOOKUP(A224,'Database Claims'!$A:$C,2,)</f>
        <v/>
      </c>
      <c r="E224" s="29">
        <f>D224-D223</f>
        <v/>
      </c>
    </row>
    <row r="225">
      <c r="A225" s="28" t="n">
        <v>26019</v>
      </c>
      <c r="B225" s="25">
        <f>VLOOKUP(A225,'Database Claims'!$A:$C,3,)</f>
        <v/>
      </c>
      <c r="C225" s="29">
        <f>B225-B224</f>
        <v/>
      </c>
      <c r="D225" s="25">
        <f>VLOOKUP(A225,'Database Claims'!$A:$C,2,)</f>
        <v/>
      </c>
      <c r="E225" s="29">
        <f>D225-D224</f>
        <v/>
      </c>
    </row>
    <row r="226">
      <c r="A226" s="28" t="n">
        <v>26026</v>
      </c>
      <c r="B226" s="29">
        <f>VLOOKUP(A226,'Database Claims'!$A:$C,3,)</f>
        <v/>
      </c>
      <c r="C226" s="29">
        <f>B226-B225</f>
        <v/>
      </c>
      <c r="D226" s="29">
        <f>VLOOKUP(A226,'Database Claims'!$A:$C,2,)</f>
        <v/>
      </c>
      <c r="E226" s="29">
        <f>D226-D225</f>
        <v/>
      </c>
    </row>
    <row r="227">
      <c r="A227" s="28" t="n">
        <v>26033</v>
      </c>
      <c r="B227" s="25">
        <f>VLOOKUP(A227,'Database Claims'!$A:$C,3,)</f>
        <v/>
      </c>
      <c r="C227" s="29">
        <f>B227-B226</f>
        <v/>
      </c>
      <c r="D227" s="25">
        <f>VLOOKUP(A227,'Database Claims'!$A:$C,2,)</f>
        <v/>
      </c>
      <c r="E227" s="29">
        <f>D227-D226</f>
        <v/>
      </c>
    </row>
    <row r="228">
      <c r="A228" s="28" t="n">
        <v>26040</v>
      </c>
      <c r="B228" s="29">
        <f>VLOOKUP(A228,'Database Claims'!$A:$C,3,)</f>
        <v/>
      </c>
      <c r="C228" s="29">
        <f>B228-B227</f>
        <v/>
      </c>
      <c r="D228" s="29">
        <f>VLOOKUP(A228,'Database Claims'!$A:$C,2,)</f>
        <v/>
      </c>
      <c r="E228" s="29">
        <f>D228-D227</f>
        <v/>
      </c>
    </row>
    <row r="229">
      <c r="A229" s="28" t="n">
        <v>26047</v>
      </c>
      <c r="B229" s="25">
        <f>VLOOKUP(A229,'Database Claims'!$A:$C,3,)</f>
        <v/>
      </c>
      <c r="C229" s="29">
        <f>B229-B228</f>
        <v/>
      </c>
      <c r="D229" s="25">
        <f>VLOOKUP(A229,'Database Claims'!$A:$C,2,)</f>
        <v/>
      </c>
      <c r="E229" s="29">
        <f>D229-D228</f>
        <v/>
      </c>
    </row>
    <row r="230">
      <c r="A230" s="28" t="n">
        <v>26054</v>
      </c>
      <c r="B230" s="29">
        <f>VLOOKUP(A230,'Database Claims'!$A:$C,3,)</f>
        <v/>
      </c>
      <c r="C230" s="29">
        <f>B230-B229</f>
        <v/>
      </c>
      <c r="D230" s="29">
        <f>VLOOKUP(A230,'Database Claims'!$A:$C,2,)</f>
        <v/>
      </c>
      <c r="E230" s="29">
        <f>D230-D229</f>
        <v/>
      </c>
    </row>
    <row r="231">
      <c r="A231" s="28" t="n">
        <v>26061</v>
      </c>
      <c r="B231" s="25">
        <f>VLOOKUP(A231,'Database Claims'!$A:$C,3,)</f>
        <v/>
      </c>
      <c r="C231" s="29">
        <f>B231-B230</f>
        <v/>
      </c>
      <c r="D231" s="25">
        <f>VLOOKUP(A231,'Database Claims'!$A:$C,2,)</f>
        <v/>
      </c>
      <c r="E231" s="29">
        <f>D231-D230</f>
        <v/>
      </c>
    </row>
    <row r="232">
      <c r="A232" s="28" t="n">
        <v>26068</v>
      </c>
      <c r="B232" s="29">
        <f>VLOOKUP(A232,'Database Claims'!$A:$C,3,)</f>
        <v/>
      </c>
      <c r="C232" s="29">
        <f>B232-B231</f>
        <v/>
      </c>
      <c r="D232" s="29">
        <f>VLOOKUP(A232,'Database Claims'!$A:$C,2,)</f>
        <v/>
      </c>
      <c r="E232" s="29">
        <f>D232-D231</f>
        <v/>
      </c>
    </row>
    <row r="233">
      <c r="A233" s="28" t="n">
        <v>26075</v>
      </c>
      <c r="B233" s="25">
        <f>VLOOKUP(A233,'Database Claims'!$A:$C,3,)</f>
        <v/>
      </c>
      <c r="C233" s="29">
        <f>B233-B232</f>
        <v/>
      </c>
      <c r="D233" s="25">
        <f>VLOOKUP(A233,'Database Claims'!$A:$C,2,)</f>
        <v/>
      </c>
      <c r="E233" s="29">
        <f>D233-D232</f>
        <v/>
      </c>
    </row>
    <row r="234">
      <c r="A234" s="28" t="n">
        <v>26082</v>
      </c>
      <c r="B234" s="29">
        <f>VLOOKUP(A234,'Database Claims'!$A:$C,3,)</f>
        <v/>
      </c>
      <c r="C234" s="29">
        <f>B234-B233</f>
        <v/>
      </c>
      <c r="D234" s="29">
        <f>VLOOKUP(A234,'Database Claims'!$A:$C,2,)</f>
        <v/>
      </c>
      <c r="E234" s="29">
        <f>D234-D233</f>
        <v/>
      </c>
    </row>
    <row r="235">
      <c r="A235" s="28" t="n">
        <v>26089</v>
      </c>
      <c r="B235" s="25">
        <f>VLOOKUP(A235,'Database Claims'!$A:$C,3,)</f>
        <v/>
      </c>
      <c r="C235" s="29">
        <f>B235-B234</f>
        <v/>
      </c>
      <c r="D235" s="25">
        <f>VLOOKUP(A235,'Database Claims'!$A:$C,2,)</f>
        <v/>
      </c>
      <c r="E235" s="29">
        <f>D235-D234</f>
        <v/>
      </c>
    </row>
    <row r="236">
      <c r="A236" s="28" t="n">
        <v>26096</v>
      </c>
      <c r="B236" s="29">
        <f>VLOOKUP(A236,'Database Claims'!$A:$C,3,)</f>
        <v/>
      </c>
      <c r="C236" s="29">
        <f>B236-B235</f>
        <v/>
      </c>
      <c r="D236" s="29">
        <f>VLOOKUP(A236,'Database Claims'!$A:$C,2,)</f>
        <v/>
      </c>
      <c r="E236" s="29">
        <f>D236-D235</f>
        <v/>
      </c>
    </row>
    <row r="237">
      <c r="A237" s="28" t="n">
        <v>26103</v>
      </c>
      <c r="B237" s="25">
        <f>VLOOKUP(A237,'Database Claims'!$A:$C,3,)</f>
        <v/>
      </c>
      <c r="C237" s="29">
        <f>B237-B236</f>
        <v/>
      </c>
      <c r="D237" s="25">
        <f>VLOOKUP(A237,'Database Claims'!$A:$C,2,)</f>
        <v/>
      </c>
      <c r="E237" s="29">
        <f>D237-D236</f>
        <v/>
      </c>
    </row>
    <row r="238">
      <c r="A238" s="28" t="n">
        <v>26110</v>
      </c>
      <c r="B238" s="29">
        <f>VLOOKUP(A238,'Database Claims'!$A:$C,3,)</f>
        <v/>
      </c>
      <c r="C238" s="29">
        <f>B238-B237</f>
        <v/>
      </c>
      <c r="D238" s="29">
        <f>VLOOKUP(A238,'Database Claims'!$A:$C,2,)</f>
        <v/>
      </c>
      <c r="E238" s="29">
        <f>D238-D237</f>
        <v/>
      </c>
    </row>
    <row r="239">
      <c r="A239" s="28" t="n">
        <v>26117</v>
      </c>
      <c r="B239" s="25">
        <f>VLOOKUP(A239,'Database Claims'!$A:$C,3,)</f>
        <v/>
      </c>
      <c r="C239" s="29">
        <f>B239-B238</f>
        <v/>
      </c>
      <c r="D239" s="25">
        <f>VLOOKUP(A239,'Database Claims'!$A:$C,2,)</f>
        <v/>
      </c>
      <c r="E239" s="29">
        <f>D239-D238</f>
        <v/>
      </c>
    </row>
    <row r="240">
      <c r="A240" s="28" t="n">
        <v>26124</v>
      </c>
      <c r="B240" s="29">
        <f>VLOOKUP(A240,'Database Claims'!$A:$C,3,)</f>
        <v/>
      </c>
      <c r="C240" s="29">
        <f>B240-B239</f>
        <v/>
      </c>
      <c r="D240" s="29">
        <f>VLOOKUP(A240,'Database Claims'!$A:$C,2,)</f>
        <v/>
      </c>
      <c r="E240" s="29">
        <f>D240-D239</f>
        <v/>
      </c>
    </row>
    <row r="241">
      <c r="A241" s="28" t="n">
        <v>26131</v>
      </c>
      <c r="B241" s="25">
        <f>VLOOKUP(A241,'Database Claims'!$A:$C,3,)</f>
        <v/>
      </c>
      <c r="C241" s="29">
        <f>B241-B240</f>
        <v/>
      </c>
      <c r="D241" s="25">
        <f>VLOOKUP(A241,'Database Claims'!$A:$C,2,)</f>
        <v/>
      </c>
      <c r="E241" s="29">
        <f>D241-D240</f>
        <v/>
      </c>
    </row>
    <row r="242">
      <c r="A242" s="28" t="n">
        <v>26138</v>
      </c>
      <c r="B242" s="29">
        <f>VLOOKUP(A242,'Database Claims'!$A:$C,3,)</f>
        <v/>
      </c>
      <c r="C242" s="29">
        <f>B242-B241</f>
        <v/>
      </c>
      <c r="D242" s="29">
        <f>VLOOKUP(A242,'Database Claims'!$A:$C,2,)</f>
        <v/>
      </c>
      <c r="E242" s="29">
        <f>D242-D241</f>
        <v/>
      </c>
    </row>
    <row r="243">
      <c r="A243" s="28" t="n">
        <v>26145</v>
      </c>
      <c r="B243" s="25">
        <f>VLOOKUP(A243,'Database Claims'!$A:$C,3,)</f>
        <v/>
      </c>
      <c r="C243" s="29">
        <f>B243-B242</f>
        <v/>
      </c>
      <c r="D243" s="25">
        <f>VLOOKUP(A243,'Database Claims'!$A:$C,2,)</f>
        <v/>
      </c>
      <c r="E243" s="29">
        <f>D243-D242</f>
        <v/>
      </c>
    </row>
    <row r="244">
      <c r="A244" s="28" t="n">
        <v>26152</v>
      </c>
      <c r="B244" s="29">
        <f>VLOOKUP(A244,'Database Claims'!$A:$C,3,)</f>
        <v/>
      </c>
      <c r="C244" s="29">
        <f>B244-B243</f>
        <v/>
      </c>
      <c r="D244" s="29">
        <f>VLOOKUP(A244,'Database Claims'!$A:$C,2,)</f>
        <v/>
      </c>
      <c r="E244" s="29">
        <f>D244-D243</f>
        <v/>
      </c>
    </row>
    <row r="245">
      <c r="A245" s="28" t="n">
        <v>26159</v>
      </c>
      <c r="B245" s="25">
        <f>VLOOKUP(A245,'Database Claims'!$A:$C,3,)</f>
        <v/>
      </c>
      <c r="C245" s="29">
        <f>B245-B244</f>
        <v/>
      </c>
      <c r="D245" s="25">
        <f>VLOOKUP(A245,'Database Claims'!$A:$C,2,)</f>
        <v/>
      </c>
      <c r="E245" s="29">
        <f>D245-D244</f>
        <v/>
      </c>
    </row>
    <row r="246">
      <c r="A246" s="28" t="n">
        <v>26166</v>
      </c>
      <c r="B246" s="29">
        <f>VLOOKUP(A246,'Database Claims'!$A:$C,3,)</f>
        <v/>
      </c>
      <c r="C246" s="29">
        <f>B246-B245</f>
        <v/>
      </c>
      <c r="D246" s="29">
        <f>VLOOKUP(A246,'Database Claims'!$A:$C,2,)</f>
        <v/>
      </c>
      <c r="E246" s="29">
        <f>D246-D245</f>
        <v/>
      </c>
    </row>
    <row r="247">
      <c r="A247" s="28" t="n">
        <v>26173</v>
      </c>
      <c r="B247" s="25">
        <f>VLOOKUP(A247,'Database Claims'!$A:$C,3,)</f>
        <v/>
      </c>
      <c r="C247" s="29">
        <f>B247-B246</f>
        <v/>
      </c>
      <c r="D247" s="25">
        <f>VLOOKUP(A247,'Database Claims'!$A:$C,2,)</f>
        <v/>
      </c>
      <c r="E247" s="29">
        <f>D247-D246</f>
        <v/>
      </c>
    </row>
    <row r="248">
      <c r="A248" s="28" t="n">
        <v>26180</v>
      </c>
      <c r="B248" s="29">
        <f>VLOOKUP(A248,'Database Claims'!$A:$C,3,)</f>
        <v/>
      </c>
      <c r="C248" s="29">
        <f>B248-B247</f>
        <v/>
      </c>
      <c r="D248" s="29">
        <f>VLOOKUP(A248,'Database Claims'!$A:$C,2,)</f>
        <v/>
      </c>
      <c r="E248" s="29">
        <f>D248-D247</f>
        <v/>
      </c>
    </row>
    <row r="249">
      <c r="A249" s="28" t="n">
        <v>26187</v>
      </c>
      <c r="B249" s="25">
        <f>VLOOKUP(A249,'Database Claims'!$A:$C,3,)</f>
        <v/>
      </c>
      <c r="C249" s="29">
        <f>B249-B248</f>
        <v/>
      </c>
      <c r="D249" s="25">
        <f>VLOOKUP(A249,'Database Claims'!$A:$C,2,)</f>
        <v/>
      </c>
      <c r="E249" s="29">
        <f>D249-D248</f>
        <v/>
      </c>
    </row>
    <row r="250">
      <c r="A250" s="28" t="n">
        <v>26194</v>
      </c>
      <c r="B250" s="29">
        <f>VLOOKUP(A250,'Database Claims'!$A:$C,3,)</f>
        <v/>
      </c>
      <c r="C250" s="29">
        <f>B250-B249</f>
        <v/>
      </c>
      <c r="D250" s="29">
        <f>VLOOKUP(A250,'Database Claims'!$A:$C,2,)</f>
        <v/>
      </c>
      <c r="E250" s="29">
        <f>D250-D249</f>
        <v/>
      </c>
    </row>
    <row r="251">
      <c r="A251" s="28" t="n">
        <v>26201</v>
      </c>
      <c r="B251" s="25">
        <f>VLOOKUP(A251,'Database Claims'!$A:$C,3,)</f>
        <v/>
      </c>
      <c r="C251" s="29">
        <f>B251-B250</f>
        <v/>
      </c>
      <c r="D251" s="25">
        <f>VLOOKUP(A251,'Database Claims'!$A:$C,2,)</f>
        <v/>
      </c>
      <c r="E251" s="29">
        <f>D251-D250</f>
        <v/>
      </c>
    </row>
    <row r="252">
      <c r="A252" s="28" t="n">
        <v>26208</v>
      </c>
      <c r="B252" s="29">
        <f>VLOOKUP(A252,'Database Claims'!$A:$C,3,)</f>
        <v/>
      </c>
      <c r="C252" s="29">
        <f>B252-B251</f>
        <v/>
      </c>
      <c r="D252" s="29">
        <f>VLOOKUP(A252,'Database Claims'!$A:$C,2,)</f>
        <v/>
      </c>
      <c r="E252" s="29">
        <f>D252-D251</f>
        <v/>
      </c>
    </row>
    <row r="253">
      <c r="A253" s="28" t="n">
        <v>26215</v>
      </c>
      <c r="B253" s="25">
        <f>VLOOKUP(A253,'Database Claims'!$A:$C,3,)</f>
        <v/>
      </c>
      <c r="C253" s="29">
        <f>B253-B252</f>
        <v/>
      </c>
      <c r="D253" s="25">
        <f>VLOOKUP(A253,'Database Claims'!$A:$C,2,)</f>
        <v/>
      </c>
      <c r="E253" s="29">
        <f>D253-D252</f>
        <v/>
      </c>
    </row>
    <row r="254">
      <c r="A254" s="28" t="n">
        <v>26222</v>
      </c>
      <c r="B254" s="29">
        <f>VLOOKUP(A254,'Database Claims'!$A:$C,3,)</f>
        <v/>
      </c>
      <c r="C254" s="29">
        <f>B254-B253</f>
        <v/>
      </c>
      <c r="D254" s="29">
        <f>VLOOKUP(A254,'Database Claims'!$A:$C,2,)</f>
        <v/>
      </c>
      <c r="E254" s="29">
        <f>D254-D253</f>
        <v/>
      </c>
    </row>
    <row r="255">
      <c r="A255" s="28" t="n">
        <v>26229</v>
      </c>
      <c r="B255" s="25">
        <f>VLOOKUP(A255,'Database Claims'!$A:$C,3,)</f>
        <v/>
      </c>
      <c r="C255" s="29">
        <f>B255-B254</f>
        <v/>
      </c>
      <c r="D255" s="25">
        <f>VLOOKUP(A255,'Database Claims'!$A:$C,2,)</f>
        <v/>
      </c>
      <c r="E255" s="29">
        <f>D255-D254</f>
        <v/>
      </c>
    </row>
    <row r="256">
      <c r="A256" s="28" t="n">
        <v>26236</v>
      </c>
      <c r="B256" s="29">
        <f>VLOOKUP(A256,'Database Claims'!$A:$C,3,)</f>
        <v/>
      </c>
      <c r="C256" s="29">
        <f>B256-B255</f>
        <v/>
      </c>
      <c r="D256" s="29">
        <f>VLOOKUP(A256,'Database Claims'!$A:$C,2,)</f>
        <v/>
      </c>
      <c r="E256" s="29">
        <f>D256-D255</f>
        <v/>
      </c>
    </row>
    <row r="257">
      <c r="A257" s="28" t="n">
        <v>26243</v>
      </c>
      <c r="B257" s="25">
        <f>VLOOKUP(A257,'Database Claims'!$A:$C,3,)</f>
        <v/>
      </c>
      <c r="C257" s="29">
        <f>B257-B256</f>
        <v/>
      </c>
      <c r="D257" s="25">
        <f>VLOOKUP(A257,'Database Claims'!$A:$C,2,)</f>
        <v/>
      </c>
      <c r="E257" s="29">
        <f>D257-D256</f>
        <v/>
      </c>
    </row>
    <row r="258">
      <c r="A258" s="28" t="n">
        <v>26250</v>
      </c>
      <c r="B258" s="29">
        <f>VLOOKUP(A258,'Database Claims'!$A:$C,3,)</f>
        <v/>
      </c>
      <c r="C258" s="29">
        <f>B258-B257</f>
        <v/>
      </c>
      <c r="D258" s="29">
        <f>VLOOKUP(A258,'Database Claims'!$A:$C,2,)</f>
        <v/>
      </c>
      <c r="E258" s="29">
        <f>D258-D257</f>
        <v/>
      </c>
    </row>
    <row r="259">
      <c r="A259" s="28" t="n">
        <v>26257</v>
      </c>
      <c r="B259" s="25">
        <f>VLOOKUP(A259,'Database Claims'!$A:$C,3,)</f>
        <v/>
      </c>
      <c r="C259" s="29">
        <f>B259-B258</f>
        <v/>
      </c>
      <c r="D259" s="25">
        <f>VLOOKUP(A259,'Database Claims'!$A:$C,2,)</f>
        <v/>
      </c>
      <c r="E259" s="29">
        <f>D259-D258</f>
        <v/>
      </c>
    </row>
    <row r="260">
      <c r="A260" s="28" t="n">
        <v>26264</v>
      </c>
      <c r="B260" s="29">
        <f>VLOOKUP(A260,'Database Claims'!$A:$C,3,)</f>
        <v/>
      </c>
      <c r="C260" s="29">
        <f>B260-B259</f>
        <v/>
      </c>
      <c r="D260" s="29">
        <f>VLOOKUP(A260,'Database Claims'!$A:$C,2,)</f>
        <v/>
      </c>
      <c r="E260" s="29">
        <f>D260-D259</f>
        <v/>
      </c>
    </row>
    <row r="261">
      <c r="A261" s="28" t="n">
        <v>26271</v>
      </c>
      <c r="B261" s="25">
        <f>VLOOKUP(A261,'Database Claims'!$A:$C,3,)</f>
        <v/>
      </c>
      <c r="C261" s="29">
        <f>B261-B260</f>
        <v/>
      </c>
      <c r="D261" s="25">
        <f>VLOOKUP(A261,'Database Claims'!$A:$C,2,)</f>
        <v/>
      </c>
      <c r="E261" s="29">
        <f>D261-D260</f>
        <v/>
      </c>
    </row>
    <row r="262">
      <c r="A262" s="28" t="n">
        <v>26278</v>
      </c>
      <c r="B262" s="29">
        <f>VLOOKUP(A262,'Database Claims'!$A:$C,3,)</f>
        <v/>
      </c>
      <c r="C262" s="29">
        <f>B262-B261</f>
        <v/>
      </c>
      <c r="D262" s="29">
        <f>VLOOKUP(A262,'Database Claims'!$A:$C,2,)</f>
        <v/>
      </c>
      <c r="E262" s="29">
        <f>D262-D261</f>
        <v/>
      </c>
    </row>
    <row r="263">
      <c r="A263" s="28" t="n">
        <v>26285</v>
      </c>
      <c r="B263" s="25">
        <f>VLOOKUP(A263,'Database Claims'!$A:$C,3,)</f>
        <v/>
      </c>
      <c r="C263" s="29">
        <f>B263-B262</f>
        <v/>
      </c>
      <c r="D263" s="25">
        <f>VLOOKUP(A263,'Database Claims'!$A:$C,2,)</f>
        <v/>
      </c>
      <c r="E263" s="29">
        <f>D263-D262</f>
        <v/>
      </c>
    </row>
    <row r="264">
      <c r="A264" s="28" t="n">
        <v>26292</v>
      </c>
      <c r="B264" s="29">
        <f>VLOOKUP(A264,'Database Claims'!$A:$C,3,)</f>
        <v/>
      </c>
      <c r="C264" s="29">
        <f>B264-B263</f>
        <v/>
      </c>
      <c r="D264" s="29">
        <f>VLOOKUP(A264,'Database Claims'!$A:$C,2,)</f>
        <v/>
      </c>
      <c r="E264" s="29">
        <f>D264-D263</f>
        <v/>
      </c>
    </row>
    <row r="265">
      <c r="A265" s="28" t="n">
        <v>26299</v>
      </c>
      <c r="B265" s="25">
        <f>VLOOKUP(A265,'Database Claims'!$A:$C,3,)</f>
        <v/>
      </c>
      <c r="C265" s="29">
        <f>B265-B264</f>
        <v/>
      </c>
      <c r="D265" s="25">
        <f>VLOOKUP(A265,'Database Claims'!$A:$C,2,)</f>
        <v/>
      </c>
      <c r="E265" s="29">
        <f>D265-D264</f>
        <v/>
      </c>
    </row>
    <row r="266">
      <c r="A266" s="28" t="n">
        <v>26306</v>
      </c>
      <c r="B266" s="29">
        <f>VLOOKUP(A266,'Database Claims'!$A:$C,3,)</f>
        <v/>
      </c>
      <c r="C266" s="29">
        <f>B266-B265</f>
        <v/>
      </c>
      <c r="D266" s="29">
        <f>VLOOKUP(A266,'Database Claims'!$A:$C,2,)</f>
        <v/>
      </c>
      <c r="E266" s="29">
        <f>D266-D265</f>
        <v/>
      </c>
    </row>
    <row r="267">
      <c r="A267" s="28" t="n">
        <v>26313</v>
      </c>
      <c r="B267" s="25">
        <f>VLOOKUP(A267,'Database Claims'!$A:$C,3,)</f>
        <v/>
      </c>
      <c r="C267" s="29">
        <f>B267-B266</f>
        <v/>
      </c>
      <c r="D267" s="25">
        <f>VLOOKUP(A267,'Database Claims'!$A:$C,2,)</f>
        <v/>
      </c>
      <c r="E267" s="29">
        <f>D267-D266</f>
        <v/>
      </c>
    </row>
    <row r="268">
      <c r="A268" s="28" t="n">
        <v>26320</v>
      </c>
      <c r="B268" s="29">
        <f>VLOOKUP(A268,'Database Claims'!$A:$C,3,)</f>
        <v/>
      </c>
      <c r="C268" s="29">
        <f>B268-B267</f>
        <v/>
      </c>
      <c r="D268" s="29">
        <f>VLOOKUP(A268,'Database Claims'!$A:$C,2,)</f>
        <v/>
      </c>
      <c r="E268" s="29">
        <f>D268-D267</f>
        <v/>
      </c>
    </row>
    <row r="269">
      <c r="A269" s="28" t="n">
        <v>26327</v>
      </c>
      <c r="B269" s="25">
        <f>VLOOKUP(A269,'Database Claims'!$A:$C,3,)</f>
        <v/>
      </c>
      <c r="C269" s="29">
        <f>B269-B268</f>
        <v/>
      </c>
      <c r="D269" s="25">
        <f>VLOOKUP(A269,'Database Claims'!$A:$C,2,)</f>
        <v/>
      </c>
      <c r="E269" s="29">
        <f>D269-D268</f>
        <v/>
      </c>
    </row>
    <row r="270">
      <c r="A270" s="28" t="n">
        <v>26334</v>
      </c>
      <c r="B270" s="29">
        <f>VLOOKUP(A270,'Database Claims'!$A:$C,3,)</f>
        <v/>
      </c>
      <c r="C270" s="29">
        <f>B270-B269</f>
        <v/>
      </c>
      <c r="D270" s="29">
        <f>VLOOKUP(A270,'Database Claims'!$A:$C,2,)</f>
        <v/>
      </c>
      <c r="E270" s="29">
        <f>D270-D269</f>
        <v/>
      </c>
    </row>
    <row r="271">
      <c r="A271" s="28" t="n">
        <v>26341</v>
      </c>
      <c r="B271" s="25">
        <f>VLOOKUP(A271,'Database Claims'!$A:$C,3,)</f>
        <v/>
      </c>
      <c r="C271" s="29">
        <f>B271-B270</f>
        <v/>
      </c>
      <c r="D271" s="25">
        <f>VLOOKUP(A271,'Database Claims'!$A:$C,2,)</f>
        <v/>
      </c>
      <c r="E271" s="29">
        <f>D271-D270</f>
        <v/>
      </c>
    </row>
    <row r="272">
      <c r="A272" s="28" t="n">
        <v>26348</v>
      </c>
      <c r="B272" s="29">
        <f>VLOOKUP(A272,'Database Claims'!$A:$C,3,)</f>
        <v/>
      </c>
      <c r="C272" s="29">
        <f>B272-B271</f>
        <v/>
      </c>
      <c r="D272" s="29">
        <f>VLOOKUP(A272,'Database Claims'!$A:$C,2,)</f>
        <v/>
      </c>
      <c r="E272" s="29">
        <f>D272-D271</f>
        <v/>
      </c>
    </row>
    <row r="273">
      <c r="A273" s="28" t="n">
        <v>26355</v>
      </c>
      <c r="B273" s="25">
        <f>VLOOKUP(A273,'Database Claims'!$A:$C,3,)</f>
        <v/>
      </c>
      <c r="C273" s="29">
        <f>B273-B272</f>
        <v/>
      </c>
      <c r="D273" s="25">
        <f>VLOOKUP(A273,'Database Claims'!$A:$C,2,)</f>
        <v/>
      </c>
      <c r="E273" s="29">
        <f>D273-D272</f>
        <v/>
      </c>
    </row>
    <row r="274">
      <c r="A274" s="28" t="n">
        <v>26362</v>
      </c>
      <c r="B274" s="29">
        <f>VLOOKUP(A274,'Database Claims'!$A:$C,3,)</f>
        <v/>
      </c>
      <c r="C274" s="29">
        <f>B274-B273</f>
        <v/>
      </c>
      <c r="D274" s="29">
        <f>VLOOKUP(A274,'Database Claims'!$A:$C,2,)</f>
        <v/>
      </c>
      <c r="E274" s="29">
        <f>D274-D273</f>
        <v/>
      </c>
    </row>
    <row r="275">
      <c r="A275" s="28" t="n">
        <v>26369</v>
      </c>
      <c r="B275" s="25">
        <f>VLOOKUP(A275,'Database Claims'!$A:$C,3,)</f>
        <v/>
      </c>
      <c r="C275" s="29">
        <f>B275-B274</f>
        <v/>
      </c>
      <c r="D275" s="25">
        <f>VLOOKUP(A275,'Database Claims'!$A:$C,2,)</f>
        <v/>
      </c>
      <c r="E275" s="29">
        <f>D275-D274</f>
        <v/>
      </c>
    </row>
    <row r="276">
      <c r="A276" s="28" t="n">
        <v>26376</v>
      </c>
      <c r="B276" s="29">
        <f>VLOOKUP(A276,'Database Claims'!$A:$C,3,)</f>
        <v/>
      </c>
      <c r="C276" s="29">
        <f>B276-B275</f>
        <v/>
      </c>
      <c r="D276" s="29">
        <f>VLOOKUP(A276,'Database Claims'!$A:$C,2,)</f>
        <v/>
      </c>
      <c r="E276" s="29">
        <f>D276-D275</f>
        <v/>
      </c>
    </row>
    <row r="277">
      <c r="A277" s="28" t="n">
        <v>26383</v>
      </c>
      <c r="B277" s="25">
        <f>VLOOKUP(A277,'Database Claims'!$A:$C,3,)</f>
        <v/>
      </c>
      <c r="C277" s="29">
        <f>B277-B276</f>
        <v/>
      </c>
      <c r="D277" s="25">
        <f>VLOOKUP(A277,'Database Claims'!$A:$C,2,)</f>
        <v/>
      </c>
      <c r="E277" s="29">
        <f>D277-D276</f>
        <v/>
      </c>
    </row>
    <row r="278">
      <c r="A278" s="28" t="n">
        <v>26390</v>
      </c>
      <c r="B278" s="29">
        <f>VLOOKUP(A278,'Database Claims'!$A:$C,3,)</f>
        <v/>
      </c>
      <c r="C278" s="29">
        <f>B278-B277</f>
        <v/>
      </c>
      <c r="D278" s="29">
        <f>VLOOKUP(A278,'Database Claims'!$A:$C,2,)</f>
        <v/>
      </c>
      <c r="E278" s="29">
        <f>D278-D277</f>
        <v/>
      </c>
    </row>
    <row r="279">
      <c r="A279" s="28" t="n">
        <v>26397</v>
      </c>
      <c r="B279" s="25">
        <f>VLOOKUP(A279,'Database Claims'!$A:$C,3,)</f>
        <v/>
      </c>
      <c r="C279" s="29">
        <f>B279-B278</f>
        <v/>
      </c>
      <c r="D279" s="25">
        <f>VLOOKUP(A279,'Database Claims'!$A:$C,2,)</f>
        <v/>
      </c>
      <c r="E279" s="29">
        <f>D279-D278</f>
        <v/>
      </c>
    </row>
    <row r="280">
      <c r="A280" s="28" t="n">
        <v>26404</v>
      </c>
      <c r="B280" s="29">
        <f>VLOOKUP(A280,'Database Claims'!$A:$C,3,)</f>
        <v/>
      </c>
      <c r="C280" s="29">
        <f>B280-B279</f>
        <v/>
      </c>
      <c r="D280" s="29">
        <f>VLOOKUP(A280,'Database Claims'!$A:$C,2,)</f>
        <v/>
      </c>
      <c r="E280" s="29">
        <f>D280-D279</f>
        <v/>
      </c>
    </row>
    <row r="281">
      <c r="A281" s="28" t="n">
        <v>26411</v>
      </c>
      <c r="B281" s="25">
        <f>VLOOKUP(A281,'Database Claims'!$A:$C,3,)</f>
        <v/>
      </c>
      <c r="C281" s="29">
        <f>B281-B280</f>
        <v/>
      </c>
      <c r="D281" s="25">
        <f>VLOOKUP(A281,'Database Claims'!$A:$C,2,)</f>
        <v/>
      </c>
      <c r="E281" s="29">
        <f>D281-D280</f>
        <v/>
      </c>
    </row>
    <row r="282">
      <c r="A282" s="28" t="n">
        <v>26418</v>
      </c>
      <c r="B282" s="29">
        <f>VLOOKUP(A282,'Database Claims'!$A:$C,3,)</f>
        <v/>
      </c>
      <c r="C282" s="29">
        <f>B282-B281</f>
        <v/>
      </c>
      <c r="D282" s="29">
        <f>VLOOKUP(A282,'Database Claims'!$A:$C,2,)</f>
        <v/>
      </c>
      <c r="E282" s="29">
        <f>D282-D281</f>
        <v/>
      </c>
    </row>
    <row r="283">
      <c r="A283" s="28" t="n">
        <v>26425</v>
      </c>
      <c r="B283" s="25">
        <f>VLOOKUP(A283,'Database Claims'!$A:$C,3,)</f>
        <v/>
      </c>
      <c r="C283" s="29">
        <f>B283-B282</f>
        <v/>
      </c>
      <c r="D283" s="25">
        <f>VLOOKUP(A283,'Database Claims'!$A:$C,2,)</f>
        <v/>
      </c>
      <c r="E283" s="29">
        <f>D283-D282</f>
        <v/>
      </c>
    </row>
    <row r="284">
      <c r="A284" s="28" t="n">
        <v>26432</v>
      </c>
      <c r="B284" s="29">
        <f>VLOOKUP(A284,'Database Claims'!$A:$C,3,)</f>
        <v/>
      </c>
      <c r="C284" s="29">
        <f>B284-B283</f>
        <v/>
      </c>
      <c r="D284" s="29">
        <f>VLOOKUP(A284,'Database Claims'!$A:$C,2,)</f>
        <v/>
      </c>
      <c r="E284" s="29">
        <f>D284-D283</f>
        <v/>
      </c>
    </row>
    <row r="285">
      <c r="A285" s="28" t="n">
        <v>26439</v>
      </c>
      <c r="B285" s="25">
        <f>VLOOKUP(A285,'Database Claims'!$A:$C,3,)</f>
        <v/>
      </c>
      <c r="C285" s="29">
        <f>B285-B284</f>
        <v/>
      </c>
      <c r="D285" s="25">
        <f>VLOOKUP(A285,'Database Claims'!$A:$C,2,)</f>
        <v/>
      </c>
      <c r="E285" s="29">
        <f>D285-D284</f>
        <v/>
      </c>
    </row>
    <row r="286">
      <c r="A286" s="28" t="n">
        <v>26446</v>
      </c>
      <c r="B286" s="29">
        <f>VLOOKUP(A286,'Database Claims'!$A:$C,3,)</f>
        <v/>
      </c>
      <c r="C286" s="29">
        <f>B286-B285</f>
        <v/>
      </c>
      <c r="D286" s="29">
        <f>VLOOKUP(A286,'Database Claims'!$A:$C,2,)</f>
        <v/>
      </c>
      <c r="E286" s="29">
        <f>D286-D285</f>
        <v/>
      </c>
    </row>
    <row r="287">
      <c r="A287" s="28" t="n">
        <v>26453</v>
      </c>
      <c r="B287" s="25">
        <f>VLOOKUP(A287,'Database Claims'!$A:$C,3,)</f>
        <v/>
      </c>
      <c r="C287" s="29">
        <f>B287-B286</f>
        <v/>
      </c>
      <c r="D287" s="25">
        <f>VLOOKUP(A287,'Database Claims'!$A:$C,2,)</f>
        <v/>
      </c>
      <c r="E287" s="29">
        <f>D287-D286</f>
        <v/>
      </c>
    </row>
    <row r="288">
      <c r="A288" s="28" t="n">
        <v>26460</v>
      </c>
      <c r="B288" s="29">
        <f>VLOOKUP(A288,'Database Claims'!$A:$C,3,)</f>
        <v/>
      </c>
      <c r="C288" s="29">
        <f>B288-B287</f>
        <v/>
      </c>
      <c r="D288" s="29">
        <f>VLOOKUP(A288,'Database Claims'!$A:$C,2,)</f>
        <v/>
      </c>
      <c r="E288" s="29">
        <f>D288-D287</f>
        <v/>
      </c>
    </row>
    <row r="289">
      <c r="A289" s="28" t="n">
        <v>26467</v>
      </c>
      <c r="B289" s="25">
        <f>VLOOKUP(A289,'Database Claims'!$A:$C,3,)</f>
        <v/>
      </c>
      <c r="C289" s="29">
        <f>B289-B288</f>
        <v/>
      </c>
      <c r="D289" s="25">
        <f>VLOOKUP(A289,'Database Claims'!$A:$C,2,)</f>
        <v/>
      </c>
      <c r="E289" s="29">
        <f>D289-D288</f>
        <v/>
      </c>
    </row>
    <row r="290">
      <c r="A290" s="28" t="n">
        <v>26474</v>
      </c>
      <c r="B290" s="29">
        <f>VLOOKUP(A290,'Database Claims'!$A:$C,3,)</f>
        <v/>
      </c>
      <c r="C290" s="29">
        <f>B290-B289</f>
        <v/>
      </c>
      <c r="D290" s="29">
        <f>VLOOKUP(A290,'Database Claims'!$A:$C,2,)</f>
        <v/>
      </c>
      <c r="E290" s="29">
        <f>D290-D289</f>
        <v/>
      </c>
    </row>
    <row r="291">
      <c r="A291" s="28" t="n">
        <v>26481</v>
      </c>
      <c r="B291" s="25">
        <f>VLOOKUP(A291,'Database Claims'!$A:$C,3,)</f>
        <v/>
      </c>
      <c r="C291" s="29">
        <f>B291-B290</f>
        <v/>
      </c>
      <c r="D291" s="25">
        <f>VLOOKUP(A291,'Database Claims'!$A:$C,2,)</f>
        <v/>
      </c>
      <c r="E291" s="29">
        <f>D291-D290</f>
        <v/>
      </c>
    </row>
    <row r="292">
      <c r="A292" s="28" t="n">
        <v>26488</v>
      </c>
      <c r="B292" s="29">
        <f>VLOOKUP(A292,'Database Claims'!$A:$C,3,)</f>
        <v/>
      </c>
      <c r="C292" s="29">
        <f>B292-B291</f>
        <v/>
      </c>
      <c r="D292" s="29">
        <f>VLOOKUP(A292,'Database Claims'!$A:$C,2,)</f>
        <v/>
      </c>
      <c r="E292" s="29">
        <f>D292-D291</f>
        <v/>
      </c>
    </row>
    <row r="293">
      <c r="A293" s="28" t="n">
        <v>26495</v>
      </c>
      <c r="B293" s="25">
        <f>VLOOKUP(A293,'Database Claims'!$A:$C,3,)</f>
        <v/>
      </c>
      <c r="C293" s="29">
        <f>B293-B292</f>
        <v/>
      </c>
      <c r="D293" s="25">
        <f>VLOOKUP(A293,'Database Claims'!$A:$C,2,)</f>
        <v/>
      </c>
      <c r="E293" s="29">
        <f>D293-D292</f>
        <v/>
      </c>
    </row>
    <row r="294">
      <c r="A294" s="28" t="n">
        <v>26502</v>
      </c>
      <c r="B294" s="29">
        <f>VLOOKUP(A294,'Database Claims'!$A:$C,3,)</f>
        <v/>
      </c>
      <c r="C294" s="29">
        <f>B294-B293</f>
        <v/>
      </c>
      <c r="D294" s="29">
        <f>VLOOKUP(A294,'Database Claims'!$A:$C,2,)</f>
        <v/>
      </c>
      <c r="E294" s="29">
        <f>D294-D293</f>
        <v/>
      </c>
    </row>
    <row r="295">
      <c r="A295" s="28" t="n">
        <v>26509</v>
      </c>
      <c r="B295" s="25">
        <f>VLOOKUP(A295,'Database Claims'!$A:$C,3,)</f>
        <v/>
      </c>
      <c r="C295" s="29">
        <f>B295-B294</f>
        <v/>
      </c>
      <c r="D295" s="25">
        <f>VLOOKUP(A295,'Database Claims'!$A:$C,2,)</f>
        <v/>
      </c>
      <c r="E295" s="29">
        <f>D295-D294</f>
        <v/>
      </c>
    </row>
    <row r="296">
      <c r="A296" s="28" t="n">
        <v>26516</v>
      </c>
      <c r="B296" s="29">
        <f>VLOOKUP(A296,'Database Claims'!$A:$C,3,)</f>
        <v/>
      </c>
      <c r="C296" s="29">
        <f>B296-B295</f>
        <v/>
      </c>
      <c r="D296" s="29">
        <f>VLOOKUP(A296,'Database Claims'!$A:$C,2,)</f>
        <v/>
      </c>
      <c r="E296" s="29">
        <f>D296-D295</f>
        <v/>
      </c>
    </row>
    <row r="297">
      <c r="A297" s="28" t="n">
        <v>26523</v>
      </c>
      <c r="B297" s="25">
        <f>VLOOKUP(A297,'Database Claims'!$A:$C,3,)</f>
        <v/>
      </c>
      <c r="C297" s="29">
        <f>B297-B296</f>
        <v/>
      </c>
      <c r="D297" s="25">
        <f>VLOOKUP(A297,'Database Claims'!$A:$C,2,)</f>
        <v/>
      </c>
      <c r="E297" s="29">
        <f>D297-D296</f>
        <v/>
      </c>
    </row>
    <row r="298">
      <c r="A298" s="28" t="n">
        <v>26530</v>
      </c>
      <c r="B298" s="29">
        <f>VLOOKUP(A298,'Database Claims'!$A:$C,3,)</f>
        <v/>
      </c>
      <c r="C298" s="29">
        <f>B298-B297</f>
        <v/>
      </c>
      <c r="D298" s="29">
        <f>VLOOKUP(A298,'Database Claims'!$A:$C,2,)</f>
        <v/>
      </c>
      <c r="E298" s="29">
        <f>D298-D297</f>
        <v/>
      </c>
    </row>
    <row r="299">
      <c r="A299" s="28" t="n">
        <v>26537</v>
      </c>
      <c r="B299" s="25">
        <f>VLOOKUP(A299,'Database Claims'!$A:$C,3,)</f>
        <v/>
      </c>
      <c r="C299" s="29">
        <f>B299-B298</f>
        <v/>
      </c>
      <c r="D299" s="25">
        <f>VLOOKUP(A299,'Database Claims'!$A:$C,2,)</f>
        <v/>
      </c>
      <c r="E299" s="29">
        <f>D299-D298</f>
        <v/>
      </c>
    </row>
    <row r="300">
      <c r="A300" s="28" t="n">
        <v>26544</v>
      </c>
      <c r="B300" s="29">
        <f>VLOOKUP(A300,'Database Claims'!$A:$C,3,)</f>
        <v/>
      </c>
      <c r="C300" s="29">
        <f>B300-B299</f>
        <v/>
      </c>
      <c r="D300" s="29">
        <f>VLOOKUP(A300,'Database Claims'!$A:$C,2,)</f>
        <v/>
      </c>
      <c r="E300" s="29">
        <f>D300-D299</f>
        <v/>
      </c>
    </row>
    <row r="301">
      <c r="A301" s="28" t="n">
        <v>26551</v>
      </c>
      <c r="B301" s="25">
        <f>VLOOKUP(A301,'Database Claims'!$A:$C,3,)</f>
        <v/>
      </c>
      <c r="C301" s="29">
        <f>B301-B300</f>
        <v/>
      </c>
      <c r="D301" s="25">
        <f>VLOOKUP(A301,'Database Claims'!$A:$C,2,)</f>
        <v/>
      </c>
      <c r="E301" s="29">
        <f>D301-D300</f>
        <v/>
      </c>
    </row>
    <row r="302">
      <c r="A302" s="28" t="n">
        <v>26558</v>
      </c>
      <c r="B302" s="29">
        <f>VLOOKUP(A302,'Database Claims'!$A:$C,3,)</f>
        <v/>
      </c>
      <c r="C302" s="29">
        <f>B302-B301</f>
        <v/>
      </c>
      <c r="D302" s="29">
        <f>VLOOKUP(A302,'Database Claims'!$A:$C,2,)</f>
        <v/>
      </c>
      <c r="E302" s="29">
        <f>D302-D301</f>
        <v/>
      </c>
    </row>
    <row r="303">
      <c r="A303" s="28" t="n">
        <v>26565</v>
      </c>
      <c r="B303" s="25">
        <f>VLOOKUP(A303,'Database Claims'!$A:$C,3,)</f>
        <v/>
      </c>
      <c r="C303" s="29">
        <f>B303-B302</f>
        <v/>
      </c>
      <c r="D303" s="25">
        <f>VLOOKUP(A303,'Database Claims'!$A:$C,2,)</f>
        <v/>
      </c>
      <c r="E303" s="29">
        <f>D303-D302</f>
        <v/>
      </c>
    </row>
    <row r="304">
      <c r="A304" s="28" t="n">
        <v>26572</v>
      </c>
      <c r="B304" s="29">
        <f>VLOOKUP(A304,'Database Claims'!$A:$C,3,)</f>
        <v/>
      </c>
      <c r="C304" s="29">
        <f>B304-B303</f>
        <v/>
      </c>
      <c r="D304" s="29">
        <f>VLOOKUP(A304,'Database Claims'!$A:$C,2,)</f>
        <v/>
      </c>
      <c r="E304" s="29">
        <f>D304-D303</f>
        <v/>
      </c>
    </row>
    <row r="305">
      <c r="A305" s="28" t="n">
        <v>26579</v>
      </c>
      <c r="B305" s="25">
        <f>VLOOKUP(A305,'Database Claims'!$A:$C,3,)</f>
        <v/>
      </c>
      <c r="C305" s="29">
        <f>B305-B304</f>
        <v/>
      </c>
      <c r="D305" s="25">
        <f>VLOOKUP(A305,'Database Claims'!$A:$C,2,)</f>
        <v/>
      </c>
      <c r="E305" s="29">
        <f>D305-D304</f>
        <v/>
      </c>
    </row>
    <row r="306">
      <c r="A306" s="28" t="n">
        <v>26586</v>
      </c>
      <c r="B306" s="29">
        <f>VLOOKUP(A306,'Database Claims'!$A:$C,3,)</f>
        <v/>
      </c>
      <c r="C306" s="29">
        <f>B306-B305</f>
        <v/>
      </c>
      <c r="D306" s="29">
        <f>VLOOKUP(A306,'Database Claims'!$A:$C,2,)</f>
        <v/>
      </c>
      <c r="E306" s="29">
        <f>D306-D305</f>
        <v/>
      </c>
    </row>
    <row r="307">
      <c r="A307" s="28" t="n">
        <v>26593</v>
      </c>
      <c r="B307" s="25">
        <f>VLOOKUP(A307,'Database Claims'!$A:$C,3,)</f>
        <v/>
      </c>
      <c r="C307" s="29">
        <f>B307-B306</f>
        <v/>
      </c>
      <c r="D307" s="25">
        <f>VLOOKUP(A307,'Database Claims'!$A:$C,2,)</f>
        <v/>
      </c>
      <c r="E307" s="29">
        <f>D307-D306</f>
        <v/>
      </c>
    </row>
    <row r="308">
      <c r="A308" s="28" t="n">
        <v>26600</v>
      </c>
      <c r="B308" s="29">
        <f>VLOOKUP(A308,'Database Claims'!$A:$C,3,)</f>
        <v/>
      </c>
      <c r="C308" s="29">
        <f>B308-B307</f>
        <v/>
      </c>
      <c r="D308" s="29">
        <f>VLOOKUP(A308,'Database Claims'!$A:$C,2,)</f>
        <v/>
      </c>
      <c r="E308" s="29">
        <f>D308-D307</f>
        <v/>
      </c>
    </row>
    <row r="309">
      <c r="A309" s="28" t="n">
        <v>26607</v>
      </c>
      <c r="B309" s="25">
        <f>VLOOKUP(A309,'Database Claims'!$A:$C,3,)</f>
        <v/>
      </c>
      <c r="C309" s="29">
        <f>B309-B308</f>
        <v/>
      </c>
      <c r="D309" s="25">
        <f>VLOOKUP(A309,'Database Claims'!$A:$C,2,)</f>
        <v/>
      </c>
      <c r="E309" s="29">
        <f>D309-D308</f>
        <v/>
      </c>
    </row>
    <row r="310">
      <c r="A310" s="28" t="n">
        <v>26614</v>
      </c>
      <c r="B310" s="29">
        <f>VLOOKUP(A310,'Database Claims'!$A:$C,3,)</f>
        <v/>
      </c>
      <c r="C310" s="29">
        <f>B310-B309</f>
        <v/>
      </c>
      <c r="D310" s="29">
        <f>VLOOKUP(A310,'Database Claims'!$A:$C,2,)</f>
        <v/>
      </c>
      <c r="E310" s="29">
        <f>D310-D309</f>
        <v/>
      </c>
    </row>
    <row r="311">
      <c r="A311" s="28" t="n">
        <v>26621</v>
      </c>
      <c r="B311" s="25">
        <f>VLOOKUP(A311,'Database Claims'!$A:$C,3,)</f>
        <v/>
      </c>
      <c r="C311" s="29">
        <f>B311-B310</f>
        <v/>
      </c>
      <c r="D311" s="25">
        <f>VLOOKUP(A311,'Database Claims'!$A:$C,2,)</f>
        <v/>
      </c>
      <c r="E311" s="29">
        <f>D311-D310</f>
        <v/>
      </c>
    </row>
    <row r="312">
      <c r="A312" s="28" t="n">
        <v>26628</v>
      </c>
      <c r="B312" s="29">
        <f>VLOOKUP(A312,'Database Claims'!$A:$C,3,)</f>
        <v/>
      </c>
      <c r="C312" s="29">
        <f>B312-B311</f>
        <v/>
      </c>
      <c r="D312" s="29">
        <f>VLOOKUP(A312,'Database Claims'!$A:$C,2,)</f>
        <v/>
      </c>
      <c r="E312" s="29">
        <f>D312-D311</f>
        <v/>
      </c>
    </row>
    <row r="313">
      <c r="A313" s="28" t="n">
        <v>26635</v>
      </c>
      <c r="B313" s="25">
        <f>VLOOKUP(A313,'Database Claims'!$A:$C,3,)</f>
        <v/>
      </c>
      <c r="C313" s="29">
        <f>B313-B312</f>
        <v/>
      </c>
      <c r="D313" s="25">
        <f>VLOOKUP(A313,'Database Claims'!$A:$C,2,)</f>
        <v/>
      </c>
      <c r="E313" s="29">
        <f>D313-D312</f>
        <v/>
      </c>
    </row>
    <row r="314">
      <c r="A314" s="28" t="n">
        <v>26642</v>
      </c>
      <c r="B314" s="29">
        <f>VLOOKUP(A314,'Database Claims'!$A:$C,3,)</f>
        <v/>
      </c>
      <c r="C314" s="29">
        <f>B314-B313</f>
        <v/>
      </c>
      <c r="D314" s="29">
        <f>VLOOKUP(A314,'Database Claims'!$A:$C,2,)</f>
        <v/>
      </c>
      <c r="E314" s="29">
        <f>D314-D313</f>
        <v/>
      </c>
    </row>
    <row r="315">
      <c r="A315" s="28" t="n">
        <v>26649</v>
      </c>
      <c r="B315" s="25">
        <f>VLOOKUP(A315,'Database Claims'!$A:$C,3,)</f>
        <v/>
      </c>
      <c r="C315" s="29">
        <f>B315-B314</f>
        <v/>
      </c>
      <c r="D315" s="25">
        <f>VLOOKUP(A315,'Database Claims'!$A:$C,2,)</f>
        <v/>
      </c>
      <c r="E315" s="29">
        <f>D315-D314</f>
        <v/>
      </c>
    </row>
    <row r="316">
      <c r="A316" s="28" t="n">
        <v>26656</v>
      </c>
      <c r="B316" s="29">
        <f>VLOOKUP(A316,'Database Claims'!$A:$C,3,)</f>
        <v/>
      </c>
      <c r="C316" s="29">
        <f>B316-B315</f>
        <v/>
      </c>
      <c r="D316" s="29">
        <f>VLOOKUP(A316,'Database Claims'!$A:$C,2,)</f>
        <v/>
      </c>
      <c r="E316" s="29">
        <f>D316-D315</f>
        <v/>
      </c>
    </row>
    <row r="317">
      <c r="A317" s="28" t="n">
        <v>26663</v>
      </c>
      <c r="B317" s="25">
        <f>VLOOKUP(A317,'Database Claims'!$A:$C,3,)</f>
        <v/>
      </c>
      <c r="C317" s="29">
        <f>B317-B316</f>
        <v/>
      </c>
      <c r="D317" s="25">
        <f>VLOOKUP(A317,'Database Claims'!$A:$C,2,)</f>
        <v/>
      </c>
      <c r="E317" s="29">
        <f>D317-D316</f>
        <v/>
      </c>
    </row>
    <row r="318">
      <c r="A318" s="28" t="n">
        <v>26670</v>
      </c>
      <c r="B318" s="29">
        <f>VLOOKUP(A318,'Database Claims'!$A:$C,3,)</f>
        <v/>
      </c>
      <c r="C318" s="29">
        <f>B318-B317</f>
        <v/>
      </c>
      <c r="D318" s="29">
        <f>VLOOKUP(A318,'Database Claims'!$A:$C,2,)</f>
        <v/>
      </c>
      <c r="E318" s="29">
        <f>D318-D317</f>
        <v/>
      </c>
    </row>
    <row r="319">
      <c r="A319" s="28" t="n">
        <v>26677</v>
      </c>
      <c r="B319" s="25">
        <f>VLOOKUP(A319,'Database Claims'!$A:$C,3,)</f>
        <v/>
      </c>
      <c r="C319" s="29">
        <f>B319-B318</f>
        <v/>
      </c>
      <c r="D319" s="25">
        <f>VLOOKUP(A319,'Database Claims'!$A:$C,2,)</f>
        <v/>
      </c>
      <c r="E319" s="29">
        <f>D319-D318</f>
        <v/>
      </c>
    </row>
    <row r="320">
      <c r="A320" s="28" t="n">
        <v>26684</v>
      </c>
      <c r="B320" s="29">
        <f>VLOOKUP(A320,'Database Claims'!$A:$C,3,)</f>
        <v/>
      </c>
      <c r="C320" s="29">
        <f>B320-B319</f>
        <v/>
      </c>
      <c r="D320" s="29">
        <f>VLOOKUP(A320,'Database Claims'!$A:$C,2,)</f>
        <v/>
      </c>
      <c r="E320" s="29">
        <f>D320-D319</f>
        <v/>
      </c>
    </row>
    <row r="321">
      <c r="A321" s="28" t="n">
        <v>26691</v>
      </c>
      <c r="B321" s="25">
        <f>VLOOKUP(A321,'Database Claims'!$A:$C,3,)</f>
        <v/>
      </c>
      <c r="C321" s="29">
        <f>B321-B320</f>
        <v/>
      </c>
      <c r="D321" s="25">
        <f>VLOOKUP(A321,'Database Claims'!$A:$C,2,)</f>
        <v/>
      </c>
      <c r="E321" s="29">
        <f>D321-D320</f>
        <v/>
      </c>
    </row>
    <row r="322">
      <c r="A322" s="28" t="n">
        <v>26698</v>
      </c>
      <c r="B322" s="29">
        <f>VLOOKUP(A322,'Database Claims'!$A:$C,3,)</f>
        <v/>
      </c>
      <c r="C322" s="29">
        <f>B322-B321</f>
        <v/>
      </c>
      <c r="D322" s="29">
        <f>VLOOKUP(A322,'Database Claims'!$A:$C,2,)</f>
        <v/>
      </c>
      <c r="E322" s="29">
        <f>D322-D321</f>
        <v/>
      </c>
    </row>
    <row r="323">
      <c r="A323" s="28" t="n">
        <v>26705</v>
      </c>
      <c r="B323" s="25">
        <f>VLOOKUP(A323,'Database Claims'!$A:$C,3,)</f>
        <v/>
      </c>
      <c r="C323" s="29">
        <f>B323-B322</f>
        <v/>
      </c>
      <c r="D323" s="25">
        <f>VLOOKUP(A323,'Database Claims'!$A:$C,2,)</f>
        <v/>
      </c>
      <c r="E323" s="29">
        <f>D323-D322</f>
        <v/>
      </c>
    </row>
    <row r="324">
      <c r="A324" s="28" t="n">
        <v>26712</v>
      </c>
      <c r="B324" s="29">
        <f>VLOOKUP(A324,'Database Claims'!$A:$C,3,)</f>
        <v/>
      </c>
      <c r="C324" s="29">
        <f>B324-B323</f>
        <v/>
      </c>
      <c r="D324" s="29">
        <f>VLOOKUP(A324,'Database Claims'!$A:$C,2,)</f>
        <v/>
      </c>
      <c r="E324" s="29">
        <f>D324-D323</f>
        <v/>
      </c>
    </row>
    <row r="325">
      <c r="A325" s="28" t="n">
        <v>26719</v>
      </c>
      <c r="B325" s="25">
        <f>VLOOKUP(A325,'Database Claims'!$A:$C,3,)</f>
        <v/>
      </c>
      <c r="C325" s="29">
        <f>B325-B324</f>
        <v/>
      </c>
      <c r="D325" s="25">
        <f>VLOOKUP(A325,'Database Claims'!$A:$C,2,)</f>
        <v/>
      </c>
      <c r="E325" s="29">
        <f>D325-D324</f>
        <v/>
      </c>
    </row>
    <row r="326">
      <c r="A326" s="28" t="n">
        <v>26726</v>
      </c>
      <c r="B326" s="29">
        <f>VLOOKUP(A326,'Database Claims'!$A:$C,3,)</f>
        <v/>
      </c>
      <c r="C326" s="29">
        <f>B326-B325</f>
        <v/>
      </c>
      <c r="D326" s="29">
        <f>VLOOKUP(A326,'Database Claims'!$A:$C,2,)</f>
        <v/>
      </c>
      <c r="E326" s="29">
        <f>D326-D325</f>
        <v/>
      </c>
    </row>
    <row r="327">
      <c r="A327" s="28" t="n">
        <v>26733</v>
      </c>
      <c r="B327" s="25">
        <f>VLOOKUP(A327,'Database Claims'!$A:$C,3,)</f>
        <v/>
      </c>
      <c r="C327" s="29">
        <f>B327-B326</f>
        <v/>
      </c>
      <c r="D327" s="25">
        <f>VLOOKUP(A327,'Database Claims'!$A:$C,2,)</f>
        <v/>
      </c>
      <c r="E327" s="29">
        <f>D327-D326</f>
        <v/>
      </c>
    </row>
    <row r="328">
      <c r="A328" s="28" t="n">
        <v>26740</v>
      </c>
      <c r="B328" s="29">
        <f>VLOOKUP(A328,'Database Claims'!$A:$C,3,)</f>
        <v/>
      </c>
      <c r="C328" s="29">
        <f>B328-B327</f>
        <v/>
      </c>
      <c r="D328" s="29">
        <f>VLOOKUP(A328,'Database Claims'!$A:$C,2,)</f>
        <v/>
      </c>
      <c r="E328" s="29">
        <f>D328-D327</f>
        <v/>
      </c>
    </row>
    <row r="329">
      <c r="A329" s="28" t="n">
        <v>26747</v>
      </c>
      <c r="B329" s="25">
        <f>VLOOKUP(A329,'Database Claims'!$A:$C,3,)</f>
        <v/>
      </c>
      <c r="C329" s="29">
        <f>B329-B328</f>
        <v/>
      </c>
      <c r="D329" s="25">
        <f>VLOOKUP(A329,'Database Claims'!$A:$C,2,)</f>
        <v/>
      </c>
      <c r="E329" s="29">
        <f>D329-D328</f>
        <v/>
      </c>
    </row>
    <row r="330">
      <c r="A330" s="28" t="n">
        <v>26754</v>
      </c>
      <c r="B330" s="29">
        <f>VLOOKUP(A330,'Database Claims'!$A:$C,3,)</f>
        <v/>
      </c>
      <c r="C330" s="29">
        <f>B330-B329</f>
        <v/>
      </c>
      <c r="D330" s="29">
        <f>VLOOKUP(A330,'Database Claims'!$A:$C,2,)</f>
        <v/>
      </c>
      <c r="E330" s="29">
        <f>D330-D329</f>
        <v/>
      </c>
    </row>
    <row r="331">
      <c r="A331" s="28" t="n">
        <v>26761</v>
      </c>
      <c r="B331" s="25">
        <f>VLOOKUP(A331,'Database Claims'!$A:$C,3,)</f>
        <v/>
      </c>
      <c r="C331" s="29">
        <f>B331-B330</f>
        <v/>
      </c>
      <c r="D331" s="25">
        <f>VLOOKUP(A331,'Database Claims'!$A:$C,2,)</f>
        <v/>
      </c>
      <c r="E331" s="29">
        <f>D331-D330</f>
        <v/>
      </c>
    </row>
    <row r="332">
      <c r="A332" s="28" t="n">
        <v>26768</v>
      </c>
      <c r="B332" s="29">
        <f>VLOOKUP(A332,'Database Claims'!$A:$C,3,)</f>
        <v/>
      </c>
      <c r="C332" s="29">
        <f>B332-B331</f>
        <v/>
      </c>
      <c r="D332" s="29">
        <f>VLOOKUP(A332,'Database Claims'!$A:$C,2,)</f>
        <v/>
      </c>
      <c r="E332" s="29">
        <f>D332-D331</f>
        <v/>
      </c>
    </row>
    <row r="333">
      <c r="A333" s="28" t="n">
        <v>26775</v>
      </c>
      <c r="B333" s="25">
        <f>VLOOKUP(A333,'Database Claims'!$A:$C,3,)</f>
        <v/>
      </c>
      <c r="C333" s="29">
        <f>B333-B332</f>
        <v/>
      </c>
      <c r="D333" s="25">
        <f>VLOOKUP(A333,'Database Claims'!$A:$C,2,)</f>
        <v/>
      </c>
      <c r="E333" s="29">
        <f>D333-D332</f>
        <v/>
      </c>
    </row>
    <row r="334">
      <c r="A334" s="28" t="n">
        <v>26782</v>
      </c>
      <c r="B334" s="29">
        <f>VLOOKUP(A334,'Database Claims'!$A:$C,3,)</f>
        <v/>
      </c>
      <c r="C334" s="29">
        <f>B334-B333</f>
        <v/>
      </c>
      <c r="D334" s="29">
        <f>VLOOKUP(A334,'Database Claims'!$A:$C,2,)</f>
        <v/>
      </c>
      <c r="E334" s="29">
        <f>D334-D333</f>
        <v/>
      </c>
    </row>
    <row r="335">
      <c r="A335" s="28" t="n">
        <v>26789</v>
      </c>
      <c r="B335" s="25">
        <f>VLOOKUP(A335,'Database Claims'!$A:$C,3,)</f>
        <v/>
      </c>
      <c r="C335" s="29">
        <f>B335-B334</f>
        <v/>
      </c>
      <c r="D335" s="25">
        <f>VLOOKUP(A335,'Database Claims'!$A:$C,2,)</f>
        <v/>
      </c>
      <c r="E335" s="29">
        <f>D335-D334</f>
        <v/>
      </c>
    </row>
    <row r="336">
      <c r="A336" s="28" t="n">
        <v>26796</v>
      </c>
      <c r="B336" s="29">
        <f>VLOOKUP(A336,'Database Claims'!$A:$C,3,)</f>
        <v/>
      </c>
      <c r="C336" s="29">
        <f>B336-B335</f>
        <v/>
      </c>
      <c r="D336" s="29">
        <f>VLOOKUP(A336,'Database Claims'!$A:$C,2,)</f>
        <v/>
      </c>
      <c r="E336" s="29">
        <f>D336-D335</f>
        <v/>
      </c>
    </row>
    <row r="337">
      <c r="A337" s="28" t="n">
        <v>26803</v>
      </c>
      <c r="B337" s="25">
        <f>VLOOKUP(A337,'Database Claims'!$A:$C,3,)</f>
        <v/>
      </c>
      <c r="C337" s="29">
        <f>B337-B336</f>
        <v/>
      </c>
      <c r="D337" s="25">
        <f>VLOOKUP(A337,'Database Claims'!$A:$C,2,)</f>
        <v/>
      </c>
      <c r="E337" s="29">
        <f>D337-D336</f>
        <v/>
      </c>
    </row>
    <row r="338">
      <c r="A338" s="28" t="n">
        <v>26810</v>
      </c>
      <c r="B338" s="29">
        <f>VLOOKUP(A338,'Database Claims'!$A:$C,3,)</f>
        <v/>
      </c>
      <c r="C338" s="29">
        <f>B338-B337</f>
        <v/>
      </c>
      <c r="D338" s="29">
        <f>VLOOKUP(A338,'Database Claims'!$A:$C,2,)</f>
        <v/>
      </c>
      <c r="E338" s="29">
        <f>D338-D337</f>
        <v/>
      </c>
    </row>
    <row r="339">
      <c r="A339" s="28" t="n">
        <v>26817</v>
      </c>
      <c r="B339" s="25">
        <f>VLOOKUP(A339,'Database Claims'!$A:$C,3,)</f>
        <v/>
      </c>
      <c r="C339" s="29">
        <f>B339-B338</f>
        <v/>
      </c>
      <c r="D339" s="25">
        <f>VLOOKUP(A339,'Database Claims'!$A:$C,2,)</f>
        <v/>
      </c>
      <c r="E339" s="29">
        <f>D339-D338</f>
        <v/>
      </c>
    </row>
    <row r="340">
      <c r="A340" s="28" t="n">
        <v>26824</v>
      </c>
      <c r="B340" s="29">
        <f>VLOOKUP(A340,'Database Claims'!$A:$C,3,)</f>
        <v/>
      </c>
      <c r="C340" s="29">
        <f>B340-B339</f>
        <v/>
      </c>
      <c r="D340" s="29">
        <f>VLOOKUP(A340,'Database Claims'!$A:$C,2,)</f>
        <v/>
      </c>
      <c r="E340" s="29">
        <f>D340-D339</f>
        <v/>
      </c>
    </row>
    <row r="341">
      <c r="A341" s="28" t="n">
        <v>26831</v>
      </c>
      <c r="B341" s="25">
        <f>VLOOKUP(A341,'Database Claims'!$A:$C,3,)</f>
        <v/>
      </c>
      <c r="C341" s="29">
        <f>B341-B340</f>
        <v/>
      </c>
      <c r="D341" s="25">
        <f>VLOOKUP(A341,'Database Claims'!$A:$C,2,)</f>
        <v/>
      </c>
      <c r="E341" s="29">
        <f>D341-D340</f>
        <v/>
      </c>
    </row>
    <row r="342">
      <c r="A342" s="28" t="n">
        <v>26838</v>
      </c>
      <c r="B342" s="29">
        <f>VLOOKUP(A342,'Database Claims'!$A:$C,3,)</f>
        <v/>
      </c>
      <c r="C342" s="29">
        <f>B342-B341</f>
        <v/>
      </c>
      <c r="D342" s="29">
        <f>VLOOKUP(A342,'Database Claims'!$A:$C,2,)</f>
        <v/>
      </c>
      <c r="E342" s="29">
        <f>D342-D341</f>
        <v/>
      </c>
    </row>
    <row r="343">
      <c r="A343" s="28" t="n">
        <v>26845</v>
      </c>
      <c r="B343" s="25">
        <f>VLOOKUP(A343,'Database Claims'!$A:$C,3,)</f>
        <v/>
      </c>
      <c r="C343" s="29">
        <f>B343-B342</f>
        <v/>
      </c>
      <c r="D343" s="25">
        <f>VLOOKUP(A343,'Database Claims'!$A:$C,2,)</f>
        <v/>
      </c>
      <c r="E343" s="29">
        <f>D343-D342</f>
        <v/>
      </c>
    </row>
    <row r="344">
      <c r="A344" s="28" t="n">
        <v>26852</v>
      </c>
      <c r="B344" s="29">
        <f>VLOOKUP(A344,'Database Claims'!$A:$C,3,)</f>
        <v/>
      </c>
      <c r="C344" s="29">
        <f>B344-B343</f>
        <v/>
      </c>
      <c r="D344" s="29">
        <f>VLOOKUP(A344,'Database Claims'!$A:$C,2,)</f>
        <v/>
      </c>
      <c r="E344" s="29">
        <f>D344-D343</f>
        <v/>
      </c>
    </row>
    <row r="345">
      <c r="A345" s="28" t="n">
        <v>26859</v>
      </c>
      <c r="B345" s="25">
        <f>VLOOKUP(A345,'Database Claims'!$A:$C,3,)</f>
        <v/>
      </c>
      <c r="C345" s="29">
        <f>B345-B344</f>
        <v/>
      </c>
      <c r="D345" s="25">
        <f>VLOOKUP(A345,'Database Claims'!$A:$C,2,)</f>
        <v/>
      </c>
      <c r="E345" s="29">
        <f>D345-D344</f>
        <v/>
      </c>
    </row>
    <row r="346">
      <c r="A346" s="28" t="n">
        <v>26866</v>
      </c>
      <c r="B346" s="29">
        <f>VLOOKUP(A346,'Database Claims'!$A:$C,3,)</f>
        <v/>
      </c>
      <c r="C346" s="29">
        <f>B346-B345</f>
        <v/>
      </c>
      <c r="D346" s="29">
        <f>VLOOKUP(A346,'Database Claims'!$A:$C,2,)</f>
        <v/>
      </c>
      <c r="E346" s="29">
        <f>D346-D345</f>
        <v/>
      </c>
    </row>
    <row r="347">
      <c r="A347" s="28" t="n">
        <v>26873</v>
      </c>
      <c r="B347" s="25">
        <f>VLOOKUP(A347,'Database Claims'!$A:$C,3,)</f>
        <v/>
      </c>
      <c r="C347" s="29">
        <f>B347-B346</f>
        <v/>
      </c>
      <c r="D347" s="25">
        <f>VLOOKUP(A347,'Database Claims'!$A:$C,2,)</f>
        <v/>
      </c>
      <c r="E347" s="29">
        <f>D347-D346</f>
        <v/>
      </c>
    </row>
    <row r="348">
      <c r="A348" s="28" t="n">
        <v>26880</v>
      </c>
      <c r="B348" s="29">
        <f>VLOOKUP(A348,'Database Claims'!$A:$C,3,)</f>
        <v/>
      </c>
      <c r="C348" s="29">
        <f>B348-B347</f>
        <v/>
      </c>
      <c r="D348" s="29">
        <f>VLOOKUP(A348,'Database Claims'!$A:$C,2,)</f>
        <v/>
      </c>
      <c r="E348" s="29">
        <f>D348-D347</f>
        <v/>
      </c>
    </row>
    <row r="349">
      <c r="A349" s="28" t="n">
        <v>26887</v>
      </c>
      <c r="B349" s="25">
        <f>VLOOKUP(A349,'Database Claims'!$A:$C,3,)</f>
        <v/>
      </c>
      <c r="C349" s="29">
        <f>B349-B348</f>
        <v/>
      </c>
      <c r="D349" s="25">
        <f>VLOOKUP(A349,'Database Claims'!$A:$C,2,)</f>
        <v/>
      </c>
      <c r="E349" s="29">
        <f>D349-D348</f>
        <v/>
      </c>
    </row>
    <row r="350">
      <c r="A350" s="28" t="n">
        <v>26894</v>
      </c>
      <c r="B350" s="29">
        <f>VLOOKUP(A350,'Database Claims'!$A:$C,3,)</f>
        <v/>
      </c>
      <c r="C350" s="29">
        <f>B350-B349</f>
        <v/>
      </c>
      <c r="D350" s="29">
        <f>VLOOKUP(A350,'Database Claims'!$A:$C,2,)</f>
        <v/>
      </c>
      <c r="E350" s="29">
        <f>D350-D349</f>
        <v/>
      </c>
    </row>
    <row r="351">
      <c r="A351" s="28" t="n">
        <v>26901</v>
      </c>
      <c r="B351" s="25">
        <f>VLOOKUP(A351,'Database Claims'!$A:$C,3,)</f>
        <v/>
      </c>
      <c r="C351" s="29">
        <f>B351-B350</f>
        <v/>
      </c>
      <c r="D351" s="25">
        <f>VLOOKUP(A351,'Database Claims'!$A:$C,2,)</f>
        <v/>
      </c>
      <c r="E351" s="29">
        <f>D351-D350</f>
        <v/>
      </c>
    </row>
    <row r="352">
      <c r="A352" s="28" t="n">
        <v>26908</v>
      </c>
      <c r="B352" s="29">
        <f>VLOOKUP(A352,'Database Claims'!$A:$C,3,)</f>
        <v/>
      </c>
      <c r="C352" s="29">
        <f>B352-B351</f>
        <v/>
      </c>
      <c r="D352" s="29">
        <f>VLOOKUP(A352,'Database Claims'!$A:$C,2,)</f>
        <v/>
      </c>
      <c r="E352" s="29">
        <f>D352-D351</f>
        <v/>
      </c>
    </row>
    <row r="353">
      <c r="A353" s="28" t="n">
        <v>26915</v>
      </c>
      <c r="B353" s="25">
        <f>VLOOKUP(A353,'Database Claims'!$A:$C,3,)</f>
        <v/>
      </c>
      <c r="C353" s="29">
        <f>B353-B352</f>
        <v/>
      </c>
      <c r="D353" s="25">
        <f>VLOOKUP(A353,'Database Claims'!$A:$C,2,)</f>
        <v/>
      </c>
      <c r="E353" s="29">
        <f>D353-D352</f>
        <v/>
      </c>
    </row>
    <row r="354">
      <c r="A354" s="28" t="n">
        <v>26922</v>
      </c>
      <c r="B354" s="29">
        <f>VLOOKUP(A354,'Database Claims'!$A:$C,3,)</f>
        <v/>
      </c>
      <c r="C354" s="29">
        <f>B354-B353</f>
        <v/>
      </c>
      <c r="D354" s="29">
        <f>VLOOKUP(A354,'Database Claims'!$A:$C,2,)</f>
        <v/>
      </c>
      <c r="E354" s="29">
        <f>D354-D353</f>
        <v/>
      </c>
    </row>
    <row r="355">
      <c r="A355" s="28" t="n">
        <v>26929</v>
      </c>
      <c r="B355" s="25">
        <f>VLOOKUP(A355,'Database Claims'!$A:$C,3,)</f>
        <v/>
      </c>
      <c r="C355" s="29">
        <f>B355-B354</f>
        <v/>
      </c>
      <c r="D355" s="25">
        <f>VLOOKUP(A355,'Database Claims'!$A:$C,2,)</f>
        <v/>
      </c>
      <c r="E355" s="29">
        <f>D355-D354</f>
        <v/>
      </c>
    </row>
    <row r="356">
      <c r="A356" s="28" t="n">
        <v>26936</v>
      </c>
      <c r="B356" s="29">
        <f>VLOOKUP(A356,'Database Claims'!$A:$C,3,)</f>
        <v/>
      </c>
      <c r="C356" s="29">
        <f>B356-B355</f>
        <v/>
      </c>
      <c r="D356" s="29">
        <f>VLOOKUP(A356,'Database Claims'!$A:$C,2,)</f>
        <v/>
      </c>
      <c r="E356" s="29">
        <f>D356-D355</f>
        <v/>
      </c>
    </row>
    <row r="357">
      <c r="A357" s="28" t="n">
        <v>26943</v>
      </c>
      <c r="B357" s="25">
        <f>VLOOKUP(A357,'Database Claims'!$A:$C,3,)</f>
        <v/>
      </c>
      <c r="C357" s="29">
        <f>B357-B356</f>
        <v/>
      </c>
      <c r="D357" s="25">
        <f>VLOOKUP(A357,'Database Claims'!$A:$C,2,)</f>
        <v/>
      </c>
      <c r="E357" s="29">
        <f>D357-D356</f>
        <v/>
      </c>
    </row>
    <row r="358">
      <c r="A358" s="28" t="n">
        <v>26950</v>
      </c>
      <c r="B358" s="29">
        <f>VLOOKUP(A358,'Database Claims'!$A:$C,3,)</f>
        <v/>
      </c>
      <c r="C358" s="29">
        <f>B358-B357</f>
        <v/>
      </c>
      <c r="D358" s="29">
        <f>VLOOKUP(A358,'Database Claims'!$A:$C,2,)</f>
        <v/>
      </c>
      <c r="E358" s="29">
        <f>D358-D357</f>
        <v/>
      </c>
    </row>
    <row r="359">
      <c r="A359" s="28" t="n">
        <v>26957</v>
      </c>
      <c r="B359" s="25">
        <f>VLOOKUP(A359,'Database Claims'!$A:$C,3,)</f>
        <v/>
      </c>
      <c r="C359" s="29">
        <f>B359-B358</f>
        <v/>
      </c>
      <c r="D359" s="25">
        <f>VLOOKUP(A359,'Database Claims'!$A:$C,2,)</f>
        <v/>
      </c>
      <c r="E359" s="29">
        <f>D359-D358</f>
        <v/>
      </c>
    </row>
    <row r="360">
      <c r="A360" s="28" t="n">
        <v>26964</v>
      </c>
      <c r="B360" s="29">
        <f>VLOOKUP(A360,'Database Claims'!$A:$C,3,)</f>
        <v/>
      </c>
      <c r="C360" s="29">
        <f>B360-B359</f>
        <v/>
      </c>
      <c r="D360" s="29">
        <f>VLOOKUP(A360,'Database Claims'!$A:$C,2,)</f>
        <v/>
      </c>
      <c r="E360" s="29">
        <f>D360-D359</f>
        <v/>
      </c>
    </row>
    <row r="361">
      <c r="A361" s="28" t="n">
        <v>26971</v>
      </c>
      <c r="B361" s="25">
        <f>VLOOKUP(A361,'Database Claims'!$A:$C,3,)</f>
        <v/>
      </c>
      <c r="C361" s="29">
        <f>B361-B360</f>
        <v/>
      </c>
      <c r="D361" s="25">
        <f>VLOOKUP(A361,'Database Claims'!$A:$C,2,)</f>
        <v/>
      </c>
      <c r="E361" s="29">
        <f>D361-D360</f>
        <v/>
      </c>
    </row>
    <row r="362">
      <c r="A362" s="28" t="n">
        <v>26978</v>
      </c>
      <c r="B362" s="29">
        <f>VLOOKUP(A362,'Database Claims'!$A:$C,3,)</f>
        <v/>
      </c>
      <c r="C362" s="29">
        <f>B362-B361</f>
        <v/>
      </c>
      <c r="D362" s="29">
        <f>VLOOKUP(A362,'Database Claims'!$A:$C,2,)</f>
        <v/>
      </c>
      <c r="E362" s="29">
        <f>D362-D361</f>
        <v/>
      </c>
    </row>
    <row r="363">
      <c r="A363" s="28" t="n">
        <v>26985</v>
      </c>
      <c r="B363" s="25">
        <f>VLOOKUP(A363,'Database Claims'!$A:$C,3,)</f>
        <v/>
      </c>
      <c r="C363" s="29">
        <f>B363-B362</f>
        <v/>
      </c>
      <c r="D363" s="25">
        <f>VLOOKUP(A363,'Database Claims'!$A:$C,2,)</f>
        <v/>
      </c>
      <c r="E363" s="29">
        <f>D363-D362</f>
        <v/>
      </c>
    </row>
    <row r="364">
      <c r="A364" s="28" t="n">
        <v>26992</v>
      </c>
      <c r="B364" s="29">
        <f>VLOOKUP(A364,'Database Claims'!$A:$C,3,)</f>
        <v/>
      </c>
      <c r="C364" s="29">
        <f>B364-B363</f>
        <v/>
      </c>
      <c r="D364" s="29">
        <f>VLOOKUP(A364,'Database Claims'!$A:$C,2,)</f>
        <v/>
      </c>
      <c r="E364" s="29">
        <f>D364-D363</f>
        <v/>
      </c>
    </row>
    <row r="365">
      <c r="A365" s="28" t="n">
        <v>26999</v>
      </c>
      <c r="B365" s="25">
        <f>VLOOKUP(A365,'Database Claims'!$A:$C,3,)</f>
        <v/>
      </c>
      <c r="C365" s="29">
        <f>B365-B364</f>
        <v/>
      </c>
      <c r="D365" s="25">
        <f>VLOOKUP(A365,'Database Claims'!$A:$C,2,)</f>
        <v/>
      </c>
      <c r="E365" s="29">
        <f>D365-D364</f>
        <v/>
      </c>
    </row>
    <row r="366">
      <c r="A366" s="28" t="n">
        <v>27006</v>
      </c>
      <c r="B366" s="29">
        <f>VLOOKUP(A366,'Database Claims'!$A:$C,3,)</f>
        <v/>
      </c>
      <c r="C366" s="29">
        <f>B366-B365</f>
        <v/>
      </c>
      <c r="D366" s="29">
        <f>VLOOKUP(A366,'Database Claims'!$A:$C,2,)</f>
        <v/>
      </c>
      <c r="E366" s="29">
        <f>D366-D365</f>
        <v/>
      </c>
    </row>
    <row r="367">
      <c r="A367" s="28" t="n">
        <v>27013</v>
      </c>
      <c r="B367" s="25">
        <f>VLOOKUP(A367,'Database Claims'!$A:$C,3,)</f>
        <v/>
      </c>
      <c r="C367" s="29">
        <f>B367-B366</f>
        <v/>
      </c>
      <c r="D367" s="25">
        <f>VLOOKUP(A367,'Database Claims'!$A:$C,2,)</f>
        <v/>
      </c>
      <c r="E367" s="29">
        <f>D367-D366</f>
        <v/>
      </c>
    </row>
    <row r="368">
      <c r="A368" s="28" t="n">
        <v>27020</v>
      </c>
      <c r="B368" s="29">
        <f>VLOOKUP(A368,'Database Claims'!$A:$C,3,)</f>
        <v/>
      </c>
      <c r="C368" s="29">
        <f>B368-B367</f>
        <v/>
      </c>
      <c r="D368" s="29">
        <f>VLOOKUP(A368,'Database Claims'!$A:$C,2,)</f>
        <v/>
      </c>
      <c r="E368" s="29">
        <f>D368-D367</f>
        <v/>
      </c>
    </row>
    <row r="369">
      <c r="A369" s="28" t="n">
        <v>27027</v>
      </c>
      <c r="B369" s="25">
        <f>VLOOKUP(A369,'Database Claims'!$A:$C,3,)</f>
        <v/>
      </c>
      <c r="C369" s="29">
        <f>B369-B368</f>
        <v/>
      </c>
      <c r="D369" s="25">
        <f>VLOOKUP(A369,'Database Claims'!$A:$C,2,)</f>
        <v/>
      </c>
      <c r="E369" s="29">
        <f>D369-D368</f>
        <v/>
      </c>
    </row>
    <row r="370">
      <c r="A370" s="28" t="n">
        <v>27034</v>
      </c>
      <c r="B370" s="29">
        <f>VLOOKUP(A370,'Database Claims'!$A:$C,3,)</f>
        <v/>
      </c>
      <c r="C370" s="29">
        <f>B370-B369</f>
        <v/>
      </c>
      <c r="D370" s="29">
        <f>VLOOKUP(A370,'Database Claims'!$A:$C,2,)</f>
        <v/>
      </c>
      <c r="E370" s="29">
        <f>D370-D369</f>
        <v/>
      </c>
    </row>
    <row r="371">
      <c r="A371" s="28" t="n">
        <v>27041</v>
      </c>
      <c r="B371" s="25">
        <f>VLOOKUP(A371,'Database Claims'!$A:$C,3,)</f>
        <v/>
      </c>
      <c r="C371" s="29">
        <f>B371-B370</f>
        <v/>
      </c>
      <c r="D371" s="25">
        <f>VLOOKUP(A371,'Database Claims'!$A:$C,2,)</f>
        <v/>
      </c>
      <c r="E371" s="29">
        <f>D371-D370</f>
        <v/>
      </c>
    </row>
    <row r="372">
      <c r="A372" s="28" t="n">
        <v>27048</v>
      </c>
      <c r="B372" s="29">
        <f>VLOOKUP(A372,'Database Claims'!$A:$C,3,)</f>
        <v/>
      </c>
      <c r="C372" s="29">
        <f>B372-B371</f>
        <v/>
      </c>
      <c r="D372" s="29">
        <f>VLOOKUP(A372,'Database Claims'!$A:$C,2,)</f>
        <v/>
      </c>
      <c r="E372" s="29">
        <f>D372-D371</f>
        <v/>
      </c>
    </row>
    <row r="373">
      <c r="A373" s="28" t="n">
        <v>27055</v>
      </c>
      <c r="B373" s="25">
        <f>VLOOKUP(A373,'Database Claims'!$A:$C,3,)</f>
        <v/>
      </c>
      <c r="C373" s="29">
        <f>B373-B372</f>
        <v/>
      </c>
      <c r="D373" s="25">
        <f>VLOOKUP(A373,'Database Claims'!$A:$C,2,)</f>
        <v/>
      </c>
      <c r="E373" s="29">
        <f>D373-D372</f>
        <v/>
      </c>
    </row>
    <row r="374">
      <c r="A374" s="28" t="n">
        <v>27062</v>
      </c>
      <c r="B374" s="29">
        <f>VLOOKUP(A374,'Database Claims'!$A:$C,3,)</f>
        <v/>
      </c>
      <c r="C374" s="29">
        <f>B374-B373</f>
        <v/>
      </c>
      <c r="D374" s="29">
        <f>VLOOKUP(A374,'Database Claims'!$A:$C,2,)</f>
        <v/>
      </c>
      <c r="E374" s="29">
        <f>D374-D373</f>
        <v/>
      </c>
    </row>
    <row r="375">
      <c r="A375" s="28" t="n">
        <v>27069</v>
      </c>
      <c r="B375" s="25">
        <f>VLOOKUP(A375,'Database Claims'!$A:$C,3,)</f>
        <v/>
      </c>
      <c r="C375" s="29">
        <f>B375-B374</f>
        <v/>
      </c>
      <c r="D375" s="25">
        <f>VLOOKUP(A375,'Database Claims'!$A:$C,2,)</f>
        <v/>
      </c>
      <c r="E375" s="29">
        <f>D375-D374</f>
        <v/>
      </c>
    </row>
    <row r="376">
      <c r="A376" s="28" t="n">
        <v>27076</v>
      </c>
      <c r="B376" s="29">
        <f>VLOOKUP(A376,'Database Claims'!$A:$C,3,)</f>
        <v/>
      </c>
      <c r="C376" s="29">
        <f>B376-B375</f>
        <v/>
      </c>
      <c r="D376" s="29">
        <f>VLOOKUP(A376,'Database Claims'!$A:$C,2,)</f>
        <v/>
      </c>
      <c r="E376" s="29">
        <f>D376-D375</f>
        <v/>
      </c>
    </row>
    <row r="377">
      <c r="A377" s="28" t="n">
        <v>27083</v>
      </c>
      <c r="B377" s="25">
        <f>VLOOKUP(A377,'Database Claims'!$A:$C,3,)</f>
        <v/>
      </c>
      <c r="C377" s="29">
        <f>B377-B376</f>
        <v/>
      </c>
      <c r="D377" s="25">
        <f>VLOOKUP(A377,'Database Claims'!$A:$C,2,)</f>
        <v/>
      </c>
      <c r="E377" s="29">
        <f>D377-D376</f>
        <v/>
      </c>
    </row>
    <row r="378">
      <c r="A378" s="28" t="n">
        <v>27090</v>
      </c>
      <c r="B378" s="29">
        <f>VLOOKUP(A378,'Database Claims'!$A:$C,3,)</f>
        <v/>
      </c>
      <c r="C378" s="29">
        <f>B378-B377</f>
        <v/>
      </c>
      <c r="D378" s="29">
        <f>VLOOKUP(A378,'Database Claims'!$A:$C,2,)</f>
        <v/>
      </c>
      <c r="E378" s="29">
        <f>D378-D377</f>
        <v/>
      </c>
    </row>
    <row r="379">
      <c r="A379" s="28" t="n">
        <v>27097</v>
      </c>
      <c r="B379" s="25">
        <f>VLOOKUP(A379,'Database Claims'!$A:$C,3,)</f>
        <v/>
      </c>
      <c r="C379" s="29">
        <f>B379-B378</f>
        <v/>
      </c>
      <c r="D379" s="25">
        <f>VLOOKUP(A379,'Database Claims'!$A:$C,2,)</f>
        <v/>
      </c>
      <c r="E379" s="29">
        <f>D379-D378</f>
        <v/>
      </c>
    </row>
    <row r="380">
      <c r="A380" s="28" t="n">
        <v>27104</v>
      </c>
      <c r="B380" s="29">
        <f>VLOOKUP(A380,'Database Claims'!$A:$C,3,)</f>
        <v/>
      </c>
      <c r="C380" s="29">
        <f>B380-B379</f>
        <v/>
      </c>
      <c r="D380" s="29">
        <f>VLOOKUP(A380,'Database Claims'!$A:$C,2,)</f>
        <v/>
      </c>
      <c r="E380" s="29">
        <f>D380-D379</f>
        <v/>
      </c>
    </row>
    <row r="381">
      <c r="A381" s="28" t="n">
        <v>27111</v>
      </c>
      <c r="B381" s="25">
        <f>VLOOKUP(A381,'Database Claims'!$A:$C,3,)</f>
        <v/>
      </c>
      <c r="C381" s="29">
        <f>B381-B380</f>
        <v/>
      </c>
      <c r="D381" s="25">
        <f>VLOOKUP(A381,'Database Claims'!$A:$C,2,)</f>
        <v/>
      </c>
      <c r="E381" s="29">
        <f>D381-D380</f>
        <v/>
      </c>
    </row>
    <row r="382">
      <c r="A382" s="28" t="n">
        <v>27118</v>
      </c>
      <c r="B382" s="29">
        <f>VLOOKUP(A382,'Database Claims'!$A:$C,3,)</f>
        <v/>
      </c>
      <c r="C382" s="29">
        <f>B382-B381</f>
        <v/>
      </c>
      <c r="D382" s="29">
        <f>VLOOKUP(A382,'Database Claims'!$A:$C,2,)</f>
        <v/>
      </c>
      <c r="E382" s="29">
        <f>D382-D381</f>
        <v/>
      </c>
    </row>
    <row r="383">
      <c r="A383" s="28" t="n">
        <v>27125</v>
      </c>
      <c r="B383" s="25">
        <f>VLOOKUP(A383,'Database Claims'!$A:$C,3,)</f>
        <v/>
      </c>
      <c r="C383" s="29">
        <f>B383-B382</f>
        <v/>
      </c>
      <c r="D383" s="25">
        <f>VLOOKUP(A383,'Database Claims'!$A:$C,2,)</f>
        <v/>
      </c>
      <c r="E383" s="29">
        <f>D383-D382</f>
        <v/>
      </c>
    </row>
    <row r="384">
      <c r="A384" s="28" t="n">
        <v>27132</v>
      </c>
      <c r="B384" s="29">
        <f>VLOOKUP(A384,'Database Claims'!$A:$C,3,)</f>
        <v/>
      </c>
      <c r="C384" s="29">
        <f>B384-B383</f>
        <v/>
      </c>
      <c r="D384" s="29">
        <f>VLOOKUP(A384,'Database Claims'!$A:$C,2,)</f>
        <v/>
      </c>
      <c r="E384" s="29">
        <f>D384-D383</f>
        <v/>
      </c>
    </row>
    <row r="385">
      <c r="A385" s="28" t="n">
        <v>27139</v>
      </c>
      <c r="B385" s="25">
        <f>VLOOKUP(A385,'Database Claims'!$A:$C,3,)</f>
        <v/>
      </c>
      <c r="C385" s="29">
        <f>B385-B384</f>
        <v/>
      </c>
      <c r="D385" s="25">
        <f>VLOOKUP(A385,'Database Claims'!$A:$C,2,)</f>
        <v/>
      </c>
      <c r="E385" s="29">
        <f>D385-D384</f>
        <v/>
      </c>
    </row>
    <row r="386">
      <c r="A386" s="28" t="n">
        <v>27146</v>
      </c>
      <c r="B386" s="29">
        <f>VLOOKUP(A386,'Database Claims'!$A:$C,3,)</f>
        <v/>
      </c>
      <c r="C386" s="29">
        <f>B386-B385</f>
        <v/>
      </c>
      <c r="D386" s="29">
        <f>VLOOKUP(A386,'Database Claims'!$A:$C,2,)</f>
        <v/>
      </c>
      <c r="E386" s="29">
        <f>D386-D385</f>
        <v/>
      </c>
    </row>
    <row r="387">
      <c r="A387" s="28" t="n">
        <v>27153</v>
      </c>
      <c r="B387" s="25">
        <f>VLOOKUP(A387,'Database Claims'!$A:$C,3,)</f>
        <v/>
      </c>
      <c r="C387" s="29">
        <f>B387-B386</f>
        <v/>
      </c>
      <c r="D387" s="25">
        <f>VLOOKUP(A387,'Database Claims'!$A:$C,2,)</f>
        <v/>
      </c>
      <c r="E387" s="29">
        <f>D387-D386</f>
        <v/>
      </c>
    </row>
    <row r="388">
      <c r="A388" s="28" t="n">
        <v>27160</v>
      </c>
      <c r="B388" s="29">
        <f>VLOOKUP(A388,'Database Claims'!$A:$C,3,)</f>
        <v/>
      </c>
      <c r="C388" s="29">
        <f>B388-B387</f>
        <v/>
      </c>
      <c r="D388" s="29">
        <f>VLOOKUP(A388,'Database Claims'!$A:$C,2,)</f>
        <v/>
      </c>
      <c r="E388" s="29">
        <f>D388-D387</f>
        <v/>
      </c>
    </row>
    <row r="389">
      <c r="A389" s="28" t="n">
        <v>27167</v>
      </c>
      <c r="B389" s="25">
        <f>VLOOKUP(A389,'Database Claims'!$A:$C,3,)</f>
        <v/>
      </c>
      <c r="C389" s="29">
        <f>B389-B388</f>
        <v/>
      </c>
      <c r="D389" s="25">
        <f>VLOOKUP(A389,'Database Claims'!$A:$C,2,)</f>
        <v/>
      </c>
      <c r="E389" s="29">
        <f>D389-D388</f>
        <v/>
      </c>
    </row>
    <row r="390">
      <c r="A390" s="28" t="n">
        <v>27174</v>
      </c>
      <c r="B390" s="29">
        <f>VLOOKUP(A390,'Database Claims'!$A:$C,3,)</f>
        <v/>
      </c>
      <c r="C390" s="29">
        <f>B390-B389</f>
        <v/>
      </c>
      <c r="D390" s="29">
        <f>VLOOKUP(A390,'Database Claims'!$A:$C,2,)</f>
        <v/>
      </c>
      <c r="E390" s="29">
        <f>D390-D389</f>
        <v/>
      </c>
    </row>
    <row r="391">
      <c r="A391" s="28" t="n">
        <v>27181</v>
      </c>
      <c r="B391" s="25">
        <f>VLOOKUP(A391,'Database Claims'!$A:$C,3,)</f>
        <v/>
      </c>
      <c r="C391" s="29">
        <f>B391-B390</f>
        <v/>
      </c>
      <c r="D391" s="25">
        <f>VLOOKUP(A391,'Database Claims'!$A:$C,2,)</f>
        <v/>
      </c>
      <c r="E391" s="29">
        <f>D391-D390</f>
        <v/>
      </c>
    </row>
    <row r="392">
      <c r="A392" s="28" t="n">
        <v>27188</v>
      </c>
      <c r="B392" s="29">
        <f>VLOOKUP(A392,'Database Claims'!$A:$C,3,)</f>
        <v/>
      </c>
      <c r="C392" s="29">
        <f>B392-B391</f>
        <v/>
      </c>
      <c r="D392" s="29">
        <f>VLOOKUP(A392,'Database Claims'!$A:$C,2,)</f>
        <v/>
      </c>
      <c r="E392" s="29">
        <f>D392-D391</f>
        <v/>
      </c>
    </row>
    <row r="393">
      <c r="A393" s="28" t="n">
        <v>27195</v>
      </c>
      <c r="B393" s="25">
        <f>VLOOKUP(A393,'Database Claims'!$A:$C,3,)</f>
        <v/>
      </c>
      <c r="C393" s="29">
        <f>B393-B392</f>
        <v/>
      </c>
      <c r="D393" s="25">
        <f>VLOOKUP(A393,'Database Claims'!$A:$C,2,)</f>
        <v/>
      </c>
      <c r="E393" s="29">
        <f>D393-D392</f>
        <v/>
      </c>
    </row>
    <row r="394">
      <c r="A394" s="28" t="n">
        <v>27202</v>
      </c>
      <c r="B394" s="29">
        <f>VLOOKUP(A394,'Database Claims'!$A:$C,3,)</f>
        <v/>
      </c>
      <c r="C394" s="29">
        <f>B394-B393</f>
        <v/>
      </c>
      <c r="D394" s="29">
        <f>VLOOKUP(A394,'Database Claims'!$A:$C,2,)</f>
        <v/>
      </c>
      <c r="E394" s="29">
        <f>D394-D393</f>
        <v/>
      </c>
    </row>
    <row r="395">
      <c r="A395" s="28" t="n">
        <v>27209</v>
      </c>
      <c r="B395" s="25">
        <f>VLOOKUP(A395,'Database Claims'!$A:$C,3,)</f>
        <v/>
      </c>
      <c r="C395" s="29">
        <f>B395-B394</f>
        <v/>
      </c>
      <c r="D395" s="25">
        <f>VLOOKUP(A395,'Database Claims'!$A:$C,2,)</f>
        <v/>
      </c>
      <c r="E395" s="29">
        <f>D395-D394</f>
        <v/>
      </c>
    </row>
    <row r="396">
      <c r="A396" s="28" t="n">
        <v>27216</v>
      </c>
      <c r="B396" s="29">
        <f>VLOOKUP(A396,'Database Claims'!$A:$C,3,)</f>
        <v/>
      </c>
      <c r="C396" s="29">
        <f>B396-B395</f>
        <v/>
      </c>
      <c r="D396" s="29">
        <f>VLOOKUP(A396,'Database Claims'!$A:$C,2,)</f>
        <v/>
      </c>
      <c r="E396" s="29">
        <f>D396-D395</f>
        <v/>
      </c>
    </row>
    <row r="397">
      <c r="A397" s="28" t="n">
        <v>27223</v>
      </c>
      <c r="B397" s="25">
        <f>VLOOKUP(A397,'Database Claims'!$A:$C,3,)</f>
        <v/>
      </c>
      <c r="C397" s="29">
        <f>B397-B396</f>
        <v/>
      </c>
      <c r="D397" s="25">
        <f>VLOOKUP(A397,'Database Claims'!$A:$C,2,)</f>
        <v/>
      </c>
      <c r="E397" s="29">
        <f>D397-D396</f>
        <v/>
      </c>
    </row>
    <row r="398">
      <c r="A398" s="28" t="n">
        <v>27230</v>
      </c>
      <c r="B398" s="29">
        <f>VLOOKUP(A398,'Database Claims'!$A:$C,3,)</f>
        <v/>
      </c>
      <c r="C398" s="29">
        <f>B398-B397</f>
        <v/>
      </c>
      <c r="D398" s="29">
        <f>VLOOKUP(A398,'Database Claims'!$A:$C,2,)</f>
        <v/>
      </c>
      <c r="E398" s="29">
        <f>D398-D397</f>
        <v/>
      </c>
    </row>
    <row r="399">
      <c r="A399" s="28" t="n">
        <v>27237</v>
      </c>
      <c r="B399" s="25">
        <f>VLOOKUP(A399,'Database Claims'!$A:$C,3,)</f>
        <v/>
      </c>
      <c r="C399" s="29">
        <f>B399-B398</f>
        <v/>
      </c>
      <c r="D399" s="25">
        <f>VLOOKUP(A399,'Database Claims'!$A:$C,2,)</f>
        <v/>
      </c>
      <c r="E399" s="29">
        <f>D399-D398</f>
        <v/>
      </c>
    </row>
    <row r="400">
      <c r="A400" s="28" t="n">
        <v>27244</v>
      </c>
      <c r="B400" s="29">
        <f>VLOOKUP(A400,'Database Claims'!$A:$C,3,)</f>
        <v/>
      </c>
      <c r="C400" s="29">
        <f>B400-B399</f>
        <v/>
      </c>
      <c r="D400" s="29">
        <f>VLOOKUP(A400,'Database Claims'!$A:$C,2,)</f>
        <v/>
      </c>
      <c r="E400" s="29">
        <f>D400-D399</f>
        <v/>
      </c>
    </row>
    <row r="401">
      <c r="A401" s="28" t="n">
        <v>27251</v>
      </c>
      <c r="B401" s="25">
        <f>VLOOKUP(A401,'Database Claims'!$A:$C,3,)</f>
        <v/>
      </c>
      <c r="C401" s="29">
        <f>B401-B400</f>
        <v/>
      </c>
      <c r="D401" s="25">
        <f>VLOOKUP(A401,'Database Claims'!$A:$C,2,)</f>
        <v/>
      </c>
      <c r="E401" s="29">
        <f>D401-D400</f>
        <v/>
      </c>
    </row>
    <row r="402">
      <c r="A402" s="28" t="n">
        <v>27258</v>
      </c>
      <c r="B402" s="29">
        <f>VLOOKUP(A402,'Database Claims'!$A:$C,3,)</f>
        <v/>
      </c>
      <c r="C402" s="29">
        <f>B402-B401</f>
        <v/>
      </c>
      <c r="D402" s="29">
        <f>VLOOKUP(A402,'Database Claims'!$A:$C,2,)</f>
        <v/>
      </c>
      <c r="E402" s="29">
        <f>D402-D401</f>
        <v/>
      </c>
    </row>
    <row r="403">
      <c r="A403" s="28" t="n">
        <v>27265</v>
      </c>
      <c r="B403" s="25">
        <f>VLOOKUP(A403,'Database Claims'!$A:$C,3,)</f>
        <v/>
      </c>
      <c r="C403" s="29">
        <f>B403-B402</f>
        <v/>
      </c>
      <c r="D403" s="25">
        <f>VLOOKUP(A403,'Database Claims'!$A:$C,2,)</f>
        <v/>
      </c>
      <c r="E403" s="29">
        <f>D403-D402</f>
        <v/>
      </c>
    </row>
    <row r="404">
      <c r="A404" s="28" t="n">
        <v>27272</v>
      </c>
      <c r="B404" s="29">
        <f>VLOOKUP(A404,'Database Claims'!$A:$C,3,)</f>
        <v/>
      </c>
      <c r="C404" s="29">
        <f>B404-B403</f>
        <v/>
      </c>
      <c r="D404" s="29">
        <f>VLOOKUP(A404,'Database Claims'!$A:$C,2,)</f>
        <v/>
      </c>
      <c r="E404" s="29">
        <f>D404-D403</f>
        <v/>
      </c>
    </row>
    <row r="405">
      <c r="A405" s="28" t="n">
        <v>27279</v>
      </c>
      <c r="B405" s="25">
        <f>VLOOKUP(A405,'Database Claims'!$A:$C,3,)</f>
        <v/>
      </c>
      <c r="C405" s="29">
        <f>B405-B404</f>
        <v/>
      </c>
      <c r="D405" s="25">
        <f>VLOOKUP(A405,'Database Claims'!$A:$C,2,)</f>
        <v/>
      </c>
      <c r="E405" s="29">
        <f>D405-D404</f>
        <v/>
      </c>
    </row>
    <row r="406">
      <c r="A406" s="28" t="n">
        <v>27286</v>
      </c>
      <c r="B406" s="29">
        <f>VLOOKUP(A406,'Database Claims'!$A:$C,3,)</f>
        <v/>
      </c>
      <c r="C406" s="29">
        <f>B406-B405</f>
        <v/>
      </c>
      <c r="D406" s="29">
        <f>VLOOKUP(A406,'Database Claims'!$A:$C,2,)</f>
        <v/>
      </c>
      <c r="E406" s="29">
        <f>D406-D405</f>
        <v/>
      </c>
    </row>
    <row r="407">
      <c r="A407" s="28" t="n">
        <v>27293</v>
      </c>
      <c r="B407" s="25">
        <f>VLOOKUP(A407,'Database Claims'!$A:$C,3,)</f>
        <v/>
      </c>
      <c r="C407" s="29">
        <f>B407-B406</f>
        <v/>
      </c>
      <c r="D407" s="25">
        <f>VLOOKUP(A407,'Database Claims'!$A:$C,2,)</f>
        <v/>
      </c>
      <c r="E407" s="29">
        <f>D407-D406</f>
        <v/>
      </c>
    </row>
    <row r="408">
      <c r="A408" s="28" t="n">
        <v>27300</v>
      </c>
      <c r="B408" s="29">
        <f>VLOOKUP(A408,'Database Claims'!$A:$C,3,)</f>
        <v/>
      </c>
      <c r="C408" s="29">
        <f>B408-B407</f>
        <v/>
      </c>
      <c r="D408" s="29">
        <f>VLOOKUP(A408,'Database Claims'!$A:$C,2,)</f>
        <v/>
      </c>
      <c r="E408" s="29">
        <f>D408-D407</f>
        <v/>
      </c>
    </row>
    <row r="409">
      <c r="A409" s="28" t="n">
        <v>27307</v>
      </c>
      <c r="B409" s="25">
        <f>VLOOKUP(A409,'Database Claims'!$A:$C,3,)</f>
        <v/>
      </c>
      <c r="C409" s="29">
        <f>B409-B408</f>
        <v/>
      </c>
      <c r="D409" s="25">
        <f>VLOOKUP(A409,'Database Claims'!$A:$C,2,)</f>
        <v/>
      </c>
      <c r="E409" s="29">
        <f>D409-D408</f>
        <v/>
      </c>
    </row>
    <row r="410">
      <c r="A410" s="28" t="n">
        <v>27314</v>
      </c>
      <c r="B410" s="29">
        <f>VLOOKUP(A410,'Database Claims'!$A:$C,3,)</f>
        <v/>
      </c>
      <c r="C410" s="29">
        <f>B410-B409</f>
        <v/>
      </c>
      <c r="D410" s="29">
        <f>VLOOKUP(A410,'Database Claims'!$A:$C,2,)</f>
        <v/>
      </c>
      <c r="E410" s="29">
        <f>D410-D409</f>
        <v/>
      </c>
    </row>
    <row r="411">
      <c r="A411" s="28" t="n">
        <v>27321</v>
      </c>
      <c r="B411" s="25">
        <f>VLOOKUP(A411,'Database Claims'!$A:$C,3,)</f>
        <v/>
      </c>
      <c r="C411" s="29">
        <f>B411-B410</f>
        <v/>
      </c>
      <c r="D411" s="25">
        <f>VLOOKUP(A411,'Database Claims'!$A:$C,2,)</f>
        <v/>
      </c>
      <c r="E411" s="29">
        <f>D411-D410</f>
        <v/>
      </c>
    </row>
    <row r="412">
      <c r="A412" s="28" t="n">
        <v>27328</v>
      </c>
      <c r="B412" s="29">
        <f>VLOOKUP(A412,'Database Claims'!$A:$C,3,)</f>
        <v/>
      </c>
      <c r="C412" s="29">
        <f>B412-B411</f>
        <v/>
      </c>
      <c r="D412" s="29">
        <f>VLOOKUP(A412,'Database Claims'!$A:$C,2,)</f>
        <v/>
      </c>
      <c r="E412" s="29">
        <f>D412-D411</f>
        <v/>
      </c>
    </row>
    <row r="413">
      <c r="A413" s="28" t="n">
        <v>27335</v>
      </c>
      <c r="B413" s="25">
        <f>VLOOKUP(A413,'Database Claims'!$A:$C,3,)</f>
        <v/>
      </c>
      <c r="C413" s="29">
        <f>B413-B412</f>
        <v/>
      </c>
      <c r="D413" s="25">
        <f>VLOOKUP(A413,'Database Claims'!$A:$C,2,)</f>
        <v/>
      </c>
      <c r="E413" s="29">
        <f>D413-D412</f>
        <v/>
      </c>
    </row>
    <row r="414">
      <c r="A414" s="28" t="n">
        <v>27342</v>
      </c>
      <c r="B414" s="29">
        <f>VLOOKUP(A414,'Database Claims'!$A:$C,3,)</f>
        <v/>
      </c>
      <c r="C414" s="29">
        <f>B414-B413</f>
        <v/>
      </c>
      <c r="D414" s="29">
        <f>VLOOKUP(A414,'Database Claims'!$A:$C,2,)</f>
        <v/>
      </c>
      <c r="E414" s="29">
        <f>D414-D413</f>
        <v/>
      </c>
    </row>
    <row r="415">
      <c r="A415" s="28" t="n">
        <v>27349</v>
      </c>
      <c r="B415" s="25">
        <f>VLOOKUP(A415,'Database Claims'!$A:$C,3,)</f>
        <v/>
      </c>
      <c r="C415" s="29">
        <f>B415-B414</f>
        <v/>
      </c>
      <c r="D415" s="25">
        <f>VLOOKUP(A415,'Database Claims'!$A:$C,2,)</f>
        <v/>
      </c>
      <c r="E415" s="29">
        <f>D415-D414</f>
        <v/>
      </c>
    </row>
    <row r="416">
      <c r="A416" s="28" t="n">
        <v>27356</v>
      </c>
      <c r="B416" s="29">
        <f>VLOOKUP(A416,'Database Claims'!$A:$C,3,)</f>
        <v/>
      </c>
      <c r="C416" s="29">
        <f>B416-B415</f>
        <v/>
      </c>
      <c r="D416" s="29">
        <f>VLOOKUP(A416,'Database Claims'!$A:$C,2,)</f>
        <v/>
      </c>
      <c r="E416" s="29">
        <f>D416-D415</f>
        <v/>
      </c>
    </row>
    <row r="417">
      <c r="A417" s="28" t="n">
        <v>27363</v>
      </c>
      <c r="B417" s="25">
        <f>VLOOKUP(A417,'Database Claims'!$A:$C,3,)</f>
        <v/>
      </c>
      <c r="C417" s="29">
        <f>B417-B416</f>
        <v/>
      </c>
      <c r="D417" s="25">
        <f>VLOOKUP(A417,'Database Claims'!$A:$C,2,)</f>
        <v/>
      </c>
      <c r="E417" s="29">
        <f>D417-D416</f>
        <v/>
      </c>
    </row>
    <row r="418">
      <c r="A418" s="28" t="n">
        <v>27370</v>
      </c>
      <c r="B418" s="29">
        <f>VLOOKUP(A418,'Database Claims'!$A:$C,3,)</f>
        <v/>
      </c>
      <c r="C418" s="29">
        <f>B418-B417</f>
        <v/>
      </c>
      <c r="D418" s="29">
        <f>VLOOKUP(A418,'Database Claims'!$A:$C,2,)</f>
        <v/>
      </c>
      <c r="E418" s="29">
        <f>D418-D417</f>
        <v/>
      </c>
    </row>
    <row r="419">
      <c r="A419" s="28" t="n">
        <v>27377</v>
      </c>
      <c r="B419" s="25">
        <f>VLOOKUP(A419,'Database Claims'!$A:$C,3,)</f>
        <v/>
      </c>
      <c r="C419" s="29">
        <f>B419-B418</f>
        <v/>
      </c>
      <c r="D419" s="25">
        <f>VLOOKUP(A419,'Database Claims'!$A:$C,2,)</f>
        <v/>
      </c>
      <c r="E419" s="29">
        <f>D419-D418</f>
        <v/>
      </c>
    </row>
    <row r="420">
      <c r="A420" s="28" t="n">
        <v>27384</v>
      </c>
      <c r="B420" s="29">
        <f>VLOOKUP(A420,'Database Claims'!$A:$C,3,)</f>
        <v/>
      </c>
      <c r="C420" s="29">
        <f>B420-B419</f>
        <v/>
      </c>
      <c r="D420" s="29">
        <f>VLOOKUP(A420,'Database Claims'!$A:$C,2,)</f>
        <v/>
      </c>
      <c r="E420" s="29">
        <f>D420-D419</f>
        <v/>
      </c>
    </row>
    <row r="421">
      <c r="A421" s="28" t="n">
        <v>27391</v>
      </c>
      <c r="B421" s="25">
        <f>VLOOKUP(A421,'Database Claims'!$A:$C,3,)</f>
        <v/>
      </c>
      <c r="C421" s="29">
        <f>B421-B420</f>
        <v/>
      </c>
      <c r="D421" s="25">
        <f>VLOOKUP(A421,'Database Claims'!$A:$C,2,)</f>
        <v/>
      </c>
      <c r="E421" s="29">
        <f>D421-D420</f>
        <v/>
      </c>
    </row>
    <row r="422">
      <c r="A422" s="28" t="n">
        <v>27398</v>
      </c>
      <c r="B422" s="29">
        <f>VLOOKUP(A422,'Database Claims'!$A:$C,3,)</f>
        <v/>
      </c>
      <c r="C422" s="29">
        <f>B422-B421</f>
        <v/>
      </c>
      <c r="D422" s="29">
        <f>VLOOKUP(A422,'Database Claims'!$A:$C,2,)</f>
        <v/>
      </c>
      <c r="E422" s="29">
        <f>D422-D421</f>
        <v/>
      </c>
    </row>
    <row r="423">
      <c r="A423" s="28" t="n">
        <v>27405</v>
      </c>
      <c r="B423" s="25">
        <f>VLOOKUP(A423,'Database Claims'!$A:$C,3,)</f>
        <v/>
      </c>
      <c r="C423" s="29">
        <f>B423-B422</f>
        <v/>
      </c>
      <c r="D423" s="25">
        <f>VLOOKUP(A423,'Database Claims'!$A:$C,2,)</f>
        <v/>
      </c>
      <c r="E423" s="29">
        <f>D423-D422</f>
        <v/>
      </c>
    </row>
    <row r="424">
      <c r="A424" s="28" t="n">
        <v>27412</v>
      </c>
      <c r="B424" s="29">
        <f>VLOOKUP(A424,'Database Claims'!$A:$C,3,)</f>
        <v/>
      </c>
      <c r="C424" s="29">
        <f>B424-B423</f>
        <v/>
      </c>
      <c r="D424" s="29">
        <f>VLOOKUP(A424,'Database Claims'!$A:$C,2,)</f>
        <v/>
      </c>
      <c r="E424" s="29">
        <f>D424-D423</f>
        <v/>
      </c>
    </row>
    <row r="425">
      <c r="A425" s="28" t="n">
        <v>27419</v>
      </c>
      <c r="B425" s="25">
        <f>VLOOKUP(A425,'Database Claims'!$A:$C,3,)</f>
        <v/>
      </c>
      <c r="C425" s="29">
        <f>B425-B424</f>
        <v/>
      </c>
      <c r="D425" s="25">
        <f>VLOOKUP(A425,'Database Claims'!$A:$C,2,)</f>
        <v/>
      </c>
      <c r="E425" s="29">
        <f>D425-D424</f>
        <v/>
      </c>
    </row>
    <row r="426">
      <c r="A426" s="28" t="n">
        <v>27426</v>
      </c>
      <c r="B426" s="29">
        <f>VLOOKUP(A426,'Database Claims'!$A:$C,3,)</f>
        <v/>
      </c>
      <c r="C426" s="29">
        <f>B426-B425</f>
        <v/>
      </c>
      <c r="D426" s="29">
        <f>VLOOKUP(A426,'Database Claims'!$A:$C,2,)</f>
        <v/>
      </c>
      <c r="E426" s="29">
        <f>D426-D425</f>
        <v/>
      </c>
    </row>
    <row r="427">
      <c r="A427" s="28" t="n">
        <v>27433</v>
      </c>
      <c r="B427" s="25">
        <f>VLOOKUP(A427,'Database Claims'!$A:$C,3,)</f>
        <v/>
      </c>
      <c r="C427" s="29">
        <f>B427-B426</f>
        <v/>
      </c>
      <c r="D427" s="25">
        <f>VLOOKUP(A427,'Database Claims'!$A:$C,2,)</f>
        <v/>
      </c>
      <c r="E427" s="29">
        <f>D427-D426</f>
        <v/>
      </c>
    </row>
    <row r="428">
      <c r="A428" s="28" t="n">
        <v>27440</v>
      </c>
      <c r="B428" s="29">
        <f>VLOOKUP(A428,'Database Claims'!$A:$C,3,)</f>
        <v/>
      </c>
      <c r="C428" s="29">
        <f>B428-B427</f>
        <v/>
      </c>
      <c r="D428" s="29">
        <f>VLOOKUP(A428,'Database Claims'!$A:$C,2,)</f>
        <v/>
      </c>
      <c r="E428" s="29">
        <f>D428-D427</f>
        <v/>
      </c>
    </row>
    <row r="429">
      <c r="A429" s="28" t="n">
        <v>27447</v>
      </c>
      <c r="B429" s="25">
        <f>VLOOKUP(A429,'Database Claims'!$A:$C,3,)</f>
        <v/>
      </c>
      <c r="C429" s="29">
        <f>B429-B428</f>
        <v/>
      </c>
      <c r="D429" s="25">
        <f>VLOOKUP(A429,'Database Claims'!$A:$C,2,)</f>
        <v/>
      </c>
      <c r="E429" s="29">
        <f>D429-D428</f>
        <v/>
      </c>
    </row>
    <row r="430">
      <c r="A430" s="28" t="n">
        <v>27454</v>
      </c>
      <c r="B430" s="29">
        <f>VLOOKUP(A430,'Database Claims'!$A:$C,3,)</f>
        <v/>
      </c>
      <c r="C430" s="29">
        <f>B430-B429</f>
        <v/>
      </c>
      <c r="D430" s="29">
        <f>VLOOKUP(A430,'Database Claims'!$A:$C,2,)</f>
        <v/>
      </c>
      <c r="E430" s="29">
        <f>D430-D429</f>
        <v/>
      </c>
    </row>
    <row r="431">
      <c r="A431" s="28" t="n">
        <v>27461</v>
      </c>
      <c r="B431" s="25">
        <f>VLOOKUP(A431,'Database Claims'!$A:$C,3,)</f>
        <v/>
      </c>
      <c r="C431" s="29">
        <f>B431-B430</f>
        <v/>
      </c>
      <c r="D431" s="25">
        <f>VLOOKUP(A431,'Database Claims'!$A:$C,2,)</f>
        <v/>
      </c>
      <c r="E431" s="29">
        <f>D431-D430</f>
        <v/>
      </c>
    </row>
    <row r="432">
      <c r="A432" s="28" t="n">
        <v>27468</v>
      </c>
      <c r="B432" s="29">
        <f>VLOOKUP(A432,'Database Claims'!$A:$C,3,)</f>
        <v/>
      </c>
      <c r="C432" s="29">
        <f>B432-B431</f>
        <v/>
      </c>
      <c r="D432" s="29">
        <f>VLOOKUP(A432,'Database Claims'!$A:$C,2,)</f>
        <v/>
      </c>
      <c r="E432" s="29">
        <f>D432-D431</f>
        <v/>
      </c>
    </row>
    <row r="433">
      <c r="A433" s="28" t="n">
        <v>27475</v>
      </c>
      <c r="B433" s="25">
        <f>VLOOKUP(A433,'Database Claims'!$A:$C,3,)</f>
        <v/>
      </c>
      <c r="C433" s="29">
        <f>B433-B432</f>
        <v/>
      </c>
      <c r="D433" s="25">
        <f>VLOOKUP(A433,'Database Claims'!$A:$C,2,)</f>
        <v/>
      </c>
      <c r="E433" s="29">
        <f>D433-D432</f>
        <v/>
      </c>
    </row>
    <row r="434">
      <c r="A434" s="28" t="n">
        <v>27482</v>
      </c>
      <c r="B434" s="29">
        <f>VLOOKUP(A434,'Database Claims'!$A:$C,3,)</f>
        <v/>
      </c>
      <c r="C434" s="29">
        <f>B434-B433</f>
        <v/>
      </c>
      <c r="D434" s="29">
        <f>VLOOKUP(A434,'Database Claims'!$A:$C,2,)</f>
        <v/>
      </c>
      <c r="E434" s="29">
        <f>D434-D433</f>
        <v/>
      </c>
    </row>
    <row r="435">
      <c r="A435" s="28" t="n">
        <v>27489</v>
      </c>
      <c r="B435" s="25">
        <f>VLOOKUP(A435,'Database Claims'!$A:$C,3,)</f>
        <v/>
      </c>
      <c r="C435" s="29">
        <f>B435-B434</f>
        <v/>
      </c>
      <c r="D435" s="25">
        <f>VLOOKUP(A435,'Database Claims'!$A:$C,2,)</f>
        <v/>
      </c>
      <c r="E435" s="29">
        <f>D435-D434</f>
        <v/>
      </c>
    </row>
    <row r="436">
      <c r="A436" s="28" t="n">
        <v>27496</v>
      </c>
      <c r="B436" s="29">
        <f>VLOOKUP(A436,'Database Claims'!$A:$C,3,)</f>
        <v/>
      </c>
      <c r="C436" s="29">
        <f>B436-B435</f>
        <v/>
      </c>
      <c r="D436" s="29">
        <f>VLOOKUP(A436,'Database Claims'!$A:$C,2,)</f>
        <v/>
      </c>
      <c r="E436" s="29">
        <f>D436-D435</f>
        <v/>
      </c>
    </row>
    <row r="437">
      <c r="A437" s="28" t="n">
        <v>27503</v>
      </c>
      <c r="B437" s="25">
        <f>VLOOKUP(A437,'Database Claims'!$A:$C,3,)</f>
        <v/>
      </c>
      <c r="C437" s="29">
        <f>B437-B436</f>
        <v/>
      </c>
      <c r="D437" s="25">
        <f>VLOOKUP(A437,'Database Claims'!$A:$C,2,)</f>
        <v/>
      </c>
      <c r="E437" s="29">
        <f>D437-D436</f>
        <v/>
      </c>
    </row>
    <row r="438">
      <c r="A438" s="28" t="n">
        <v>27510</v>
      </c>
      <c r="B438" s="29">
        <f>VLOOKUP(A438,'Database Claims'!$A:$C,3,)</f>
        <v/>
      </c>
      <c r="C438" s="29">
        <f>B438-B437</f>
        <v/>
      </c>
      <c r="D438" s="29">
        <f>VLOOKUP(A438,'Database Claims'!$A:$C,2,)</f>
        <v/>
      </c>
      <c r="E438" s="29">
        <f>D438-D437</f>
        <v/>
      </c>
    </row>
    <row r="439">
      <c r="A439" s="28" t="n">
        <v>27517</v>
      </c>
      <c r="B439" s="25">
        <f>VLOOKUP(A439,'Database Claims'!$A:$C,3,)</f>
        <v/>
      </c>
      <c r="C439" s="29">
        <f>B439-B438</f>
        <v/>
      </c>
      <c r="D439" s="25">
        <f>VLOOKUP(A439,'Database Claims'!$A:$C,2,)</f>
        <v/>
      </c>
      <c r="E439" s="29">
        <f>D439-D438</f>
        <v/>
      </c>
    </row>
    <row r="440">
      <c r="A440" s="28" t="n">
        <v>27524</v>
      </c>
      <c r="B440" s="29">
        <f>VLOOKUP(A440,'Database Claims'!$A:$C,3,)</f>
        <v/>
      </c>
      <c r="C440" s="29">
        <f>B440-B439</f>
        <v/>
      </c>
      <c r="D440" s="29">
        <f>VLOOKUP(A440,'Database Claims'!$A:$C,2,)</f>
        <v/>
      </c>
      <c r="E440" s="29">
        <f>D440-D439</f>
        <v/>
      </c>
    </row>
    <row r="441">
      <c r="A441" s="28" t="n">
        <v>27531</v>
      </c>
      <c r="B441" s="25">
        <f>VLOOKUP(A441,'Database Claims'!$A:$C,3,)</f>
        <v/>
      </c>
      <c r="C441" s="29">
        <f>B441-B440</f>
        <v/>
      </c>
      <c r="D441" s="25">
        <f>VLOOKUP(A441,'Database Claims'!$A:$C,2,)</f>
        <v/>
      </c>
      <c r="E441" s="29">
        <f>D441-D440</f>
        <v/>
      </c>
    </row>
    <row r="442">
      <c r="A442" s="28" t="n">
        <v>27538</v>
      </c>
      <c r="B442" s="29">
        <f>VLOOKUP(A442,'Database Claims'!$A:$C,3,)</f>
        <v/>
      </c>
      <c r="C442" s="29">
        <f>B442-B441</f>
        <v/>
      </c>
      <c r="D442" s="29">
        <f>VLOOKUP(A442,'Database Claims'!$A:$C,2,)</f>
        <v/>
      </c>
      <c r="E442" s="29">
        <f>D442-D441</f>
        <v/>
      </c>
    </row>
    <row r="443">
      <c r="A443" s="28" t="n">
        <v>27545</v>
      </c>
      <c r="B443" s="25">
        <f>VLOOKUP(A443,'Database Claims'!$A:$C,3,)</f>
        <v/>
      </c>
      <c r="C443" s="29">
        <f>B443-B442</f>
        <v/>
      </c>
      <c r="D443" s="25">
        <f>VLOOKUP(A443,'Database Claims'!$A:$C,2,)</f>
        <v/>
      </c>
      <c r="E443" s="29">
        <f>D443-D442</f>
        <v/>
      </c>
    </row>
    <row r="444">
      <c r="A444" s="28" t="n">
        <v>27552</v>
      </c>
      <c r="B444" s="29">
        <f>VLOOKUP(A444,'Database Claims'!$A:$C,3,)</f>
        <v/>
      </c>
      <c r="C444" s="29">
        <f>B444-B443</f>
        <v/>
      </c>
      <c r="D444" s="29">
        <f>VLOOKUP(A444,'Database Claims'!$A:$C,2,)</f>
        <v/>
      </c>
      <c r="E444" s="29">
        <f>D444-D443</f>
        <v/>
      </c>
    </row>
    <row r="445">
      <c r="A445" s="28" t="n">
        <v>27559</v>
      </c>
      <c r="B445" s="25">
        <f>VLOOKUP(A445,'Database Claims'!$A:$C,3,)</f>
        <v/>
      </c>
      <c r="C445" s="29">
        <f>B445-B444</f>
        <v/>
      </c>
      <c r="D445" s="25">
        <f>VLOOKUP(A445,'Database Claims'!$A:$C,2,)</f>
        <v/>
      </c>
      <c r="E445" s="29">
        <f>D445-D444</f>
        <v/>
      </c>
    </row>
    <row r="446">
      <c r="A446" s="28" t="n">
        <v>27566</v>
      </c>
      <c r="B446" s="29">
        <f>VLOOKUP(A446,'Database Claims'!$A:$C,3,)</f>
        <v/>
      </c>
      <c r="C446" s="29">
        <f>B446-B445</f>
        <v/>
      </c>
      <c r="D446" s="29">
        <f>VLOOKUP(A446,'Database Claims'!$A:$C,2,)</f>
        <v/>
      </c>
      <c r="E446" s="29">
        <f>D446-D445</f>
        <v/>
      </c>
    </row>
    <row r="447">
      <c r="A447" s="28" t="n">
        <v>27573</v>
      </c>
      <c r="B447" s="25">
        <f>VLOOKUP(A447,'Database Claims'!$A:$C,3,)</f>
        <v/>
      </c>
      <c r="C447" s="29">
        <f>B447-B446</f>
        <v/>
      </c>
      <c r="D447" s="25">
        <f>VLOOKUP(A447,'Database Claims'!$A:$C,2,)</f>
        <v/>
      </c>
      <c r="E447" s="29">
        <f>D447-D446</f>
        <v/>
      </c>
    </row>
    <row r="448">
      <c r="A448" s="28" t="n">
        <v>27580</v>
      </c>
      <c r="B448" s="29">
        <f>VLOOKUP(A448,'Database Claims'!$A:$C,3,)</f>
        <v/>
      </c>
      <c r="C448" s="29">
        <f>B448-B447</f>
        <v/>
      </c>
      <c r="D448" s="29">
        <f>VLOOKUP(A448,'Database Claims'!$A:$C,2,)</f>
        <v/>
      </c>
      <c r="E448" s="29">
        <f>D448-D447</f>
        <v/>
      </c>
    </row>
    <row r="449">
      <c r="A449" s="28" t="n">
        <v>27587</v>
      </c>
      <c r="B449" s="25">
        <f>VLOOKUP(A449,'Database Claims'!$A:$C,3,)</f>
        <v/>
      </c>
      <c r="C449" s="29">
        <f>B449-B448</f>
        <v/>
      </c>
      <c r="D449" s="25">
        <f>VLOOKUP(A449,'Database Claims'!$A:$C,2,)</f>
        <v/>
      </c>
      <c r="E449" s="29">
        <f>D449-D448</f>
        <v/>
      </c>
    </row>
    <row r="450">
      <c r="A450" s="28" t="n">
        <v>27594</v>
      </c>
      <c r="B450" s="29">
        <f>VLOOKUP(A450,'Database Claims'!$A:$C,3,)</f>
        <v/>
      </c>
      <c r="C450" s="29">
        <f>B450-B449</f>
        <v/>
      </c>
      <c r="D450" s="29">
        <f>VLOOKUP(A450,'Database Claims'!$A:$C,2,)</f>
        <v/>
      </c>
      <c r="E450" s="29">
        <f>D450-D449</f>
        <v/>
      </c>
    </row>
    <row r="451">
      <c r="A451" s="28" t="n">
        <v>27601</v>
      </c>
      <c r="B451" s="25">
        <f>VLOOKUP(A451,'Database Claims'!$A:$C,3,)</f>
        <v/>
      </c>
      <c r="C451" s="29">
        <f>B451-B450</f>
        <v/>
      </c>
      <c r="D451" s="25">
        <f>VLOOKUP(A451,'Database Claims'!$A:$C,2,)</f>
        <v/>
      </c>
      <c r="E451" s="29">
        <f>D451-D450</f>
        <v/>
      </c>
    </row>
    <row r="452">
      <c r="A452" s="28" t="n">
        <v>27608</v>
      </c>
      <c r="B452" s="29">
        <f>VLOOKUP(A452,'Database Claims'!$A:$C,3,)</f>
        <v/>
      </c>
      <c r="C452" s="29">
        <f>B452-B451</f>
        <v/>
      </c>
      <c r="D452" s="29">
        <f>VLOOKUP(A452,'Database Claims'!$A:$C,2,)</f>
        <v/>
      </c>
      <c r="E452" s="29">
        <f>D452-D451</f>
        <v/>
      </c>
    </row>
    <row r="453">
      <c r="A453" s="28" t="n">
        <v>27615</v>
      </c>
      <c r="B453" s="25">
        <f>VLOOKUP(A453,'Database Claims'!$A:$C,3,)</f>
        <v/>
      </c>
      <c r="C453" s="29">
        <f>B453-B452</f>
        <v/>
      </c>
      <c r="D453" s="25">
        <f>VLOOKUP(A453,'Database Claims'!$A:$C,2,)</f>
        <v/>
      </c>
      <c r="E453" s="29">
        <f>D453-D452</f>
        <v/>
      </c>
    </row>
    <row r="454">
      <c r="A454" s="28" t="n">
        <v>27622</v>
      </c>
      <c r="B454" s="29">
        <f>VLOOKUP(A454,'Database Claims'!$A:$C,3,)</f>
        <v/>
      </c>
      <c r="C454" s="29">
        <f>B454-B453</f>
        <v/>
      </c>
      <c r="D454" s="29">
        <f>VLOOKUP(A454,'Database Claims'!$A:$C,2,)</f>
        <v/>
      </c>
      <c r="E454" s="29">
        <f>D454-D453</f>
        <v/>
      </c>
    </row>
    <row r="455">
      <c r="A455" s="28" t="n">
        <v>27629</v>
      </c>
      <c r="B455" s="25">
        <f>VLOOKUP(A455,'Database Claims'!$A:$C,3,)</f>
        <v/>
      </c>
      <c r="C455" s="29">
        <f>B455-B454</f>
        <v/>
      </c>
      <c r="D455" s="25">
        <f>VLOOKUP(A455,'Database Claims'!$A:$C,2,)</f>
        <v/>
      </c>
      <c r="E455" s="29">
        <f>D455-D454</f>
        <v/>
      </c>
    </row>
    <row r="456">
      <c r="A456" s="28" t="n">
        <v>27636</v>
      </c>
      <c r="B456" s="29">
        <f>VLOOKUP(A456,'Database Claims'!$A:$C,3,)</f>
        <v/>
      </c>
      <c r="C456" s="29">
        <f>B456-B455</f>
        <v/>
      </c>
      <c r="D456" s="29">
        <f>VLOOKUP(A456,'Database Claims'!$A:$C,2,)</f>
        <v/>
      </c>
      <c r="E456" s="29">
        <f>D456-D455</f>
        <v/>
      </c>
    </row>
    <row r="457">
      <c r="A457" s="28" t="n">
        <v>27643</v>
      </c>
      <c r="B457" s="25">
        <f>VLOOKUP(A457,'Database Claims'!$A:$C,3,)</f>
        <v/>
      </c>
      <c r="C457" s="29">
        <f>B457-B456</f>
        <v/>
      </c>
      <c r="D457" s="25">
        <f>VLOOKUP(A457,'Database Claims'!$A:$C,2,)</f>
        <v/>
      </c>
      <c r="E457" s="29">
        <f>D457-D456</f>
        <v/>
      </c>
    </row>
    <row r="458">
      <c r="A458" s="28" t="n">
        <v>27650</v>
      </c>
      <c r="B458" s="29">
        <f>VLOOKUP(A458,'Database Claims'!$A:$C,3,)</f>
        <v/>
      </c>
      <c r="C458" s="29">
        <f>B458-B457</f>
        <v/>
      </c>
      <c r="D458" s="29">
        <f>VLOOKUP(A458,'Database Claims'!$A:$C,2,)</f>
        <v/>
      </c>
      <c r="E458" s="29">
        <f>D458-D457</f>
        <v/>
      </c>
    </row>
    <row r="459">
      <c r="A459" s="28" t="n">
        <v>27657</v>
      </c>
      <c r="B459" s="25">
        <f>VLOOKUP(A459,'Database Claims'!$A:$C,3,)</f>
        <v/>
      </c>
      <c r="C459" s="29">
        <f>B459-B458</f>
        <v/>
      </c>
      <c r="D459" s="25">
        <f>VLOOKUP(A459,'Database Claims'!$A:$C,2,)</f>
        <v/>
      </c>
      <c r="E459" s="29">
        <f>D459-D458</f>
        <v/>
      </c>
    </row>
    <row r="460">
      <c r="A460" s="28" t="n">
        <v>27664</v>
      </c>
      <c r="B460" s="29">
        <f>VLOOKUP(A460,'Database Claims'!$A:$C,3,)</f>
        <v/>
      </c>
      <c r="C460" s="29">
        <f>B460-B459</f>
        <v/>
      </c>
      <c r="D460" s="29">
        <f>VLOOKUP(A460,'Database Claims'!$A:$C,2,)</f>
        <v/>
      </c>
      <c r="E460" s="29">
        <f>D460-D459</f>
        <v/>
      </c>
    </row>
    <row r="461">
      <c r="A461" s="28" t="n">
        <v>27671</v>
      </c>
      <c r="B461" s="25">
        <f>VLOOKUP(A461,'Database Claims'!$A:$C,3,)</f>
        <v/>
      </c>
      <c r="C461" s="29">
        <f>B461-B460</f>
        <v/>
      </c>
      <c r="D461" s="25">
        <f>VLOOKUP(A461,'Database Claims'!$A:$C,2,)</f>
        <v/>
      </c>
      <c r="E461" s="29">
        <f>D461-D460</f>
        <v/>
      </c>
    </row>
    <row r="462">
      <c r="A462" s="28" t="n">
        <v>27678</v>
      </c>
      <c r="B462" s="29">
        <f>VLOOKUP(A462,'Database Claims'!$A:$C,3,)</f>
        <v/>
      </c>
      <c r="C462" s="29">
        <f>B462-B461</f>
        <v/>
      </c>
      <c r="D462" s="29">
        <f>VLOOKUP(A462,'Database Claims'!$A:$C,2,)</f>
        <v/>
      </c>
      <c r="E462" s="29">
        <f>D462-D461</f>
        <v/>
      </c>
    </row>
    <row r="463">
      <c r="A463" s="28" t="n">
        <v>27685</v>
      </c>
      <c r="B463" s="25">
        <f>VLOOKUP(A463,'Database Claims'!$A:$C,3,)</f>
        <v/>
      </c>
      <c r="C463" s="29">
        <f>B463-B462</f>
        <v/>
      </c>
      <c r="D463" s="25">
        <f>VLOOKUP(A463,'Database Claims'!$A:$C,2,)</f>
        <v/>
      </c>
      <c r="E463" s="29">
        <f>D463-D462</f>
        <v/>
      </c>
    </row>
    <row r="464">
      <c r="A464" s="28" t="n">
        <v>27692</v>
      </c>
      <c r="B464" s="29">
        <f>VLOOKUP(A464,'Database Claims'!$A:$C,3,)</f>
        <v/>
      </c>
      <c r="C464" s="29">
        <f>B464-B463</f>
        <v/>
      </c>
      <c r="D464" s="29">
        <f>VLOOKUP(A464,'Database Claims'!$A:$C,2,)</f>
        <v/>
      </c>
      <c r="E464" s="29">
        <f>D464-D463</f>
        <v/>
      </c>
    </row>
    <row r="465">
      <c r="A465" s="28" t="n">
        <v>27699</v>
      </c>
      <c r="B465" s="25">
        <f>VLOOKUP(A465,'Database Claims'!$A:$C,3,)</f>
        <v/>
      </c>
      <c r="C465" s="29">
        <f>B465-B464</f>
        <v/>
      </c>
      <c r="D465" s="25">
        <f>VLOOKUP(A465,'Database Claims'!$A:$C,2,)</f>
        <v/>
      </c>
      <c r="E465" s="29">
        <f>D465-D464</f>
        <v/>
      </c>
    </row>
    <row r="466">
      <c r="A466" s="28" t="n">
        <v>27706</v>
      </c>
      <c r="B466" s="29">
        <f>VLOOKUP(A466,'Database Claims'!$A:$C,3,)</f>
        <v/>
      </c>
      <c r="C466" s="29">
        <f>B466-B465</f>
        <v/>
      </c>
      <c r="D466" s="29">
        <f>VLOOKUP(A466,'Database Claims'!$A:$C,2,)</f>
        <v/>
      </c>
      <c r="E466" s="29">
        <f>D466-D465</f>
        <v/>
      </c>
    </row>
    <row r="467">
      <c r="A467" s="28" t="n">
        <v>27713</v>
      </c>
      <c r="B467" s="25">
        <f>VLOOKUP(A467,'Database Claims'!$A:$C,3,)</f>
        <v/>
      </c>
      <c r="C467" s="29">
        <f>B467-B466</f>
        <v/>
      </c>
      <c r="D467" s="25">
        <f>VLOOKUP(A467,'Database Claims'!$A:$C,2,)</f>
        <v/>
      </c>
      <c r="E467" s="29">
        <f>D467-D466</f>
        <v/>
      </c>
    </row>
    <row r="468">
      <c r="A468" s="28" t="n">
        <v>27720</v>
      </c>
      <c r="B468" s="29">
        <f>VLOOKUP(A468,'Database Claims'!$A:$C,3,)</f>
        <v/>
      </c>
      <c r="C468" s="29">
        <f>B468-B467</f>
        <v/>
      </c>
      <c r="D468" s="29">
        <f>VLOOKUP(A468,'Database Claims'!$A:$C,2,)</f>
        <v/>
      </c>
      <c r="E468" s="29">
        <f>D468-D467</f>
        <v/>
      </c>
    </row>
    <row r="469">
      <c r="A469" s="28" t="n">
        <v>27727</v>
      </c>
      <c r="B469" s="25">
        <f>VLOOKUP(A469,'Database Claims'!$A:$C,3,)</f>
        <v/>
      </c>
      <c r="C469" s="29">
        <f>B469-B468</f>
        <v/>
      </c>
      <c r="D469" s="25">
        <f>VLOOKUP(A469,'Database Claims'!$A:$C,2,)</f>
        <v/>
      </c>
      <c r="E469" s="29">
        <f>D469-D468</f>
        <v/>
      </c>
    </row>
    <row r="470">
      <c r="A470" s="28" t="n">
        <v>27734</v>
      </c>
      <c r="B470" s="29">
        <f>VLOOKUP(A470,'Database Claims'!$A:$C,3,)</f>
        <v/>
      </c>
      <c r="C470" s="29">
        <f>B470-B469</f>
        <v/>
      </c>
      <c r="D470" s="29">
        <f>VLOOKUP(A470,'Database Claims'!$A:$C,2,)</f>
        <v/>
      </c>
      <c r="E470" s="29">
        <f>D470-D469</f>
        <v/>
      </c>
    </row>
    <row r="471">
      <c r="A471" s="28" t="n">
        <v>27741</v>
      </c>
      <c r="B471" s="25">
        <f>VLOOKUP(A471,'Database Claims'!$A:$C,3,)</f>
        <v/>
      </c>
      <c r="C471" s="29">
        <f>B471-B470</f>
        <v/>
      </c>
      <c r="D471" s="25">
        <f>VLOOKUP(A471,'Database Claims'!$A:$C,2,)</f>
        <v/>
      </c>
      <c r="E471" s="29">
        <f>D471-D470</f>
        <v/>
      </c>
    </row>
    <row r="472">
      <c r="A472" s="28" t="n">
        <v>27748</v>
      </c>
      <c r="B472" s="29">
        <f>VLOOKUP(A472,'Database Claims'!$A:$C,3,)</f>
        <v/>
      </c>
      <c r="C472" s="29">
        <f>B472-B471</f>
        <v/>
      </c>
      <c r="D472" s="29">
        <f>VLOOKUP(A472,'Database Claims'!$A:$C,2,)</f>
        <v/>
      </c>
      <c r="E472" s="29">
        <f>D472-D471</f>
        <v/>
      </c>
    </row>
    <row r="473">
      <c r="A473" s="28" t="n">
        <v>27755</v>
      </c>
      <c r="B473" s="25">
        <f>VLOOKUP(A473,'Database Claims'!$A:$C,3,)</f>
        <v/>
      </c>
      <c r="C473" s="29">
        <f>B473-B472</f>
        <v/>
      </c>
      <c r="D473" s="25">
        <f>VLOOKUP(A473,'Database Claims'!$A:$C,2,)</f>
        <v/>
      </c>
      <c r="E473" s="29">
        <f>D473-D472</f>
        <v/>
      </c>
    </row>
    <row r="474">
      <c r="A474" s="28" t="n">
        <v>27762</v>
      </c>
      <c r="B474" s="29">
        <f>VLOOKUP(A474,'Database Claims'!$A:$C,3,)</f>
        <v/>
      </c>
      <c r="C474" s="29">
        <f>B474-B473</f>
        <v/>
      </c>
      <c r="D474" s="29">
        <f>VLOOKUP(A474,'Database Claims'!$A:$C,2,)</f>
        <v/>
      </c>
      <c r="E474" s="29">
        <f>D474-D473</f>
        <v/>
      </c>
    </row>
    <row r="475">
      <c r="A475" s="28" t="n">
        <v>27769</v>
      </c>
      <c r="B475" s="25">
        <f>VLOOKUP(A475,'Database Claims'!$A:$C,3,)</f>
        <v/>
      </c>
      <c r="C475" s="29">
        <f>B475-B474</f>
        <v/>
      </c>
      <c r="D475" s="25">
        <f>VLOOKUP(A475,'Database Claims'!$A:$C,2,)</f>
        <v/>
      </c>
      <c r="E475" s="29">
        <f>D475-D474</f>
        <v/>
      </c>
    </row>
    <row r="476">
      <c r="A476" s="28" t="n">
        <v>27776</v>
      </c>
      <c r="B476" s="29">
        <f>VLOOKUP(A476,'Database Claims'!$A:$C,3,)</f>
        <v/>
      </c>
      <c r="C476" s="29">
        <f>B476-B475</f>
        <v/>
      </c>
      <c r="D476" s="29">
        <f>VLOOKUP(A476,'Database Claims'!$A:$C,2,)</f>
        <v/>
      </c>
      <c r="E476" s="29">
        <f>D476-D475</f>
        <v/>
      </c>
    </row>
    <row r="477">
      <c r="A477" s="28" t="n">
        <v>27783</v>
      </c>
      <c r="B477" s="25">
        <f>VLOOKUP(A477,'Database Claims'!$A:$C,3,)</f>
        <v/>
      </c>
      <c r="C477" s="29">
        <f>B477-B476</f>
        <v/>
      </c>
      <c r="D477" s="25">
        <f>VLOOKUP(A477,'Database Claims'!$A:$C,2,)</f>
        <v/>
      </c>
      <c r="E477" s="29">
        <f>D477-D476</f>
        <v/>
      </c>
    </row>
    <row r="478">
      <c r="A478" s="28" t="n">
        <v>27790</v>
      </c>
      <c r="B478" s="29">
        <f>VLOOKUP(A478,'Database Claims'!$A:$C,3,)</f>
        <v/>
      </c>
      <c r="C478" s="29">
        <f>B478-B477</f>
        <v/>
      </c>
      <c r="D478" s="29">
        <f>VLOOKUP(A478,'Database Claims'!$A:$C,2,)</f>
        <v/>
      </c>
      <c r="E478" s="29">
        <f>D478-D477</f>
        <v/>
      </c>
    </row>
    <row r="479">
      <c r="A479" s="28" t="n">
        <v>27797</v>
      </c>
      <c r="B479" s="25">
        <f>VLOOKUP(A479,'Database Claims'!$A:$C,3,)</f>
        <v/>
      </c>
      <c r="C479" s="29">
        <f>B479-B478</f>
        <v/>
      </c>
      <c r="D479" s="25">
        <f>VLOOKUP(A479,'Database Claims'!$A:$C,2,)</f>
        <v/>
      </c>
      <c r="E479" s="29">
        <f>D479-D478</f>
        <v/>
      </c>
    </row>
    <row r="480">
      <c r="A480" s="28" t="n">
        <v>27804</v>
      </c>
      <c r="B480" s="29">
        <f>VLOOKUP(A480,'Database Claims'!$A:$C,3,)</f>
        <v/>
      </c>
      <c r="C480" s="29">
        <f>B480-B479</f>
        <v/>
      </c>
      <c r="D480" s="29">
        <f>VLOOKUP(A480,'Database Claims'!$A:$C,2,)</f>
        <v/>
      </c>
      <c r="E480" s="29">
        <f>D480-D479</f>
        <v/>
      </c>
    </row>
    <row r="481">
      <c r="A481" s="28" t="n">
        <v>27811</v>
      </c>
      <c r="B481" s="25">
        <f>VLOOKUP(A481,'Database Claims'!$A:$C,3,)</f>
        <v/>
      </c>
      <c r="C481" s="29">
        <f>B481-B480</f>
        <v/>
      </c>
      <c r="D481" s="25">
        <f>VLOOKUP(A481,'Database Claims'!$A:$C,2,)</f>
        <v/>
      </c>
      <c r="E481" s="29">
        <f>D481-D480</f>
        <v/>
      </c>
    </row>
    <row r="482">
      <c r="A482" s="28" t="n">
        <v>27818</v>
      </c>
      <c r="B482" s="29">
        <f>VLOOKUP(A482,'Database Claims'!$A:$C,3,)</f>
        <v/>
      </c>
      <c r="C482" s="29">
        <f>B482-B481</f>
        <v/>
      </c>
      <c r="D482" s="29">
        <f>VLOOKUP(A482,'Database Claims'!$A:$C,2,)</f>
        <v/>
      </c>
      <c r="E482" s="29">
        <f>D482-D481</f>
        <v/>
      </c>
    </row>
    <row r="483">
      <c r="A483" s="28" t="n">
        <v>27825</v>
      </c>
      <c r="B483" s="25">
        <f>VLOOKUP(A483,'Database Claims'!$A:$C,3,)</f>
        <v/>
      </c>
      <c r="C483" s="29">
        <f>B483-B482</f>
        <v/>
      </c>
      <c r="D483" s="25">
        <f>VLOOKUP(A483,'Database Claims'!$A:$C,2,)</f>
        <v/>
      </c>
      <c r="E483" s="29">
        <f>D483-D482</f>
        <v/>
      </c>
    </row>
    <row r="484">
      <c r="A484" s="28" t="n">
        <v>27832</v>
      </c>
      <c r="B484" s="29">
        <f>VLOOKUP(A484,'Database Claims'!$A:$C,3,)</f>
        <v/>
      </c>
      <c r="C484" s="29">
        <f>B484-B483</f>
        <v/>
      </c>
      <c r="D484" s="29">
        <f>VLOOKUP(A484,'Database Claims'!$A:$C,2,)</f>
        <v/>
      </c>
      <c r="E484" s="29">
        <f>D484-D483</f>
        <v/>
      </c>
    </row>
    <row r="485">
      <c r="A485" s="28" t="n">
        <v>27839</v>
      </c>
      <c r="B485" s="25">
        <f>VLOOKUP(A485,'Database Claims'!$A:$C,3,)</f>
        <v/>
      </c>
      <c r="C485" s="29">
        <f>B485-B484</f>
        <v/>
      </c>
      <c r="D485" s="25">
        <f>VLOOKUP(A485,'Database Claims'!$A:$C,2,)</f>
        <v/>
      </c>
      <c r="E485" s="29">
        <f>D485-D484</f>
        <v/>
      </c>
    </row>
    <row r="486">
      <c r="A486" s="28" t="n">
        <v>27846</v>
      </c>
      <c r="B486" s="29">
        <f>VLOOKUP(A486,'Database Claims'!$A:$C,3,)</f>
        <v/>
      </c>
      <c r="C486" s="29">
        <f>B486-B485</f>
        <v/>
      </c>
      <c r="D486" s="29">
        <f>VLOOKUP(A486,'Database Claims'!$A:$C,2,)</f>
        <v/>
      </c>
      <c r="E486" s="29">
        <f>D486-D485</f>
        <v/>
      </c>
    </row>
    <row r="487">
      <c r="A487" s="28" t="n">
        <v>27853</v>
      </c>
      <c r="B487" s="25">
        <f>VLOOKUP(A487,'Database Claims'!$A:$C,3,)</f>
        <v/>
      </c>
      <c r="C487" s="29">
        <f>B487-B486</f>
        <v/>
      </c>
      <c r="D487" s="25">
        <f>VLOOKUP(A487,'Database Claims'!$A:$C,2,)</f>
        <v/>
      </c>
      <c r="E487" s="29">
        <f>D487-D486</f>
        <v/>
      </c>
    </row>
    <row r="488">
      <c r="A488" s="28" t="n">
        <v>27860</v>
      </c>
      <c r="B488" s="29">
        <f>VLOOKUP(A488,'Database Claims'!$A:$C,3,)</f>
        <v/>
      </c>
      <c r="C488" s="29">
        <f>B488-B487</f>
        <v/>
      </c>
      <c r="D488" s="29">
        <f>VLOOKUP(A488,'Database Claims'!$A:$C,2,)</f>
        <v/>
      </c>
      <c r="E488" s="29">
        <f>D488-D487</f>
        <v/>
      </c>
    </row>
    <row r="489">
      <c r="A489" s="28" t="n">
        <v>27867</v>
      </c>
      <c r="B489" s="25">
        <f>VLOOKUP(A489,'Database Claims'!$A:$C,3,)</f>
        <v/>
      </c>
      <c r="C489" s="29">
        <f>B489-B488</f>
        <v/>
      </c>
      <c r="D489" s="25">
        <f>VLOOKUP(A489,'Database Claims'!$A:$C,2,)</f>
        <v/>
      </c>
      <c r="E489" s="29">
        <f>D489-D488</f>
        <v/>
      </c>
    </row>
    <row r="490">
      <c r="A490" s="28" t="n">
        <v>27874</v>
      </c>
      <c r="B490" s="29">
        <f>VLOOKUP(A490,'Database Claims'!$A:$C,3,)</f>
        <v/>
      </c>
      <c r="C490" s="29">
        <f>B490-B489</f>
        <v/>
      </c>
      <c r="D490" s="29">
        <f>VLOOKUP(A490,'Database Claims'!$A:$C,2,)</f>
        <v/>
      </c>
      <c r="E490" s="29">
        <f>D490-D489</f>
        <v/>
      </c>
    </row>
    <row r="491">
      <c r="A491" s="28" t="n">
        <v>27881</v>
      </c>
      <c r="B491" s="25">
        <f>VLOOKUP(A491,'Database Claims'!$A:$C,3,)</f>
        <v/>
      </c>
      <c r="C491" s="29">
        <f>B491-B490</f>
        <v/>
      </c>
      <c r="D491" s="25">
        <f>VLOOKUP(A491,'Database Claims'!$A:$C,2,)</f>
        <v/>
      </c>
      <c r="E491" s="29">
        <f>D491-D490</f>
        <v/>
      </c>
    </row>
    <row r="492">
      <c r="A492" s="28" t="n">
        <v>27888</v>
      </c>
      <c r="B492" s="29">
        <f>VLOOKUP(A492,'Database Claims'!$A:$C,3,)</f>
        <v/>
      </c>
      <c r="C492" s="29">
        <f>B492-B491</f>
        <v/>
      </c>
      <c r="D492" s="29">
        <f>VLOOKUP(A492,'Database Claims'!$A:$C,2,)</f>
        <v/>
      </c>
      <c r="E492" s="29">
        <f>D492-D491</f>
        <v/>
      </c>
    </row>
    <row r="493">
      <c r="A493" s="28" t="n">
        <v>27895</v>
      </c>
      <c r="B493" s="25">
        <f>VLOOKUP(A493,'Database Claims'!$A:$C,3,)</f>
        <v/>
      </c>
      <c r="C493" s="29">
        <f>B493-B492</f>
        <v/>
      </c>
      <c r="D493" s="25">
        <f>VLOOKUP(A493,'Database Claims'!$A:$C,2,)</f>
        <v/>
      </c>
      <c r="E493" s="29">
        <f>D493-D492</f>
        <v/>
      </c>
    </row>
    <row r="494">
      <c r="A494" s="28" t="n">
        <v>27902</v>
      </c>
      <c r="B494" s="29">
        <f>VLOOKUP(A494,'Database Claims'!$A:$C,3,)</f>
        <v/>
      </c>
      <c r="C494" s="29">
        <f>B494-B493</f>
        <v/>
      </c>
      <c r="D494" s="29">
        <f>VLOOKUP(A494,'Database Claims'!$A:$C,2,)</f>
        <v/>
      </c>
      <c r="E494" s="29">
        <f>D494-D493</f>
        <v/>
      </c>
    </row>
    <row r="495">
      <c r="A495" s="28" t="n">
        <v>27909</v>
      </c>
      <c r="B495" s="25">
        <f>VLOOKUP(A495,'Database Claims'!$A:$C,3,)</f>
        <v/>
      </c>
      <c r="C495" s="29">
        <f>B495-B494</f>
        <v/>
      </c>
      <c r="D495" s="25">
        <f>VLOOKUP(A495,'Database Claims'!$A:$C,2,)</f>
        <v/>
      </c>
      <c r="E495" s="29">
        <f>D495-D494</f>
        <v/>
      </c>
    </row>
    <row r="496">
      <c r="A496" s="28" t="n">
        <v>27916</v>
      </c>
      <c r="B496" s="29">
        <f>VLOOKUP(A496,'Database Claims'!$A:$C,3,)</f>
        <v/>
      </c>
      <c r="C496" s="29">
        <f>B496-B495</f>
        <v/>
      </c>
      <c r="D496" s="29">
        <f>VLOOKUP(A496,'Database Claims'!$A:$C,2,)</f>
        <v/>
      </c>
      <c r="E496" s="29">
        <f>D496-D495</f>
        <v/>
      </c>
    </row>
    <row r="497">
      <c r="A497" s="28" t="n">
        <v>27923</v>
      </c>
      <c r="B497" s="25">
        <f>VLOOKUP(A497,'Database Claims'!$A:$C,3,)</f>
        <v/>
      </c>
      <c r="C497" s="29">
        <f>B497-B496</f>
        <v/>
      </c>
      <c r="D497" s="25">
        <f>VLOOKUP(A497,'Database Claims'!$A:$C,2,)</f>
        <v/>
      </c>
      <c r="E497" s="29">
        <f>D497-D496</f>
        <v/>
      </c>
    </row>
    <row r="498">
      <c r="A498" s="28" t="n">
        <v>27930</v>
      </c>
      <c r="B498" s="29">
        <f>VLOOKUP(A498,'Database Claims'!$A:$C,3,)</f>
        <v/>
      </c>
      <c r="C498" s="29">
        <f>B498-B497</f>
        <v/>
      </c>
      <c r="D498" s="29">
        <f>VLOOKUP(A498,'Database Claims'!$A:$C,2,)</f>
        <v/>
      </c>
      <c r="E498" s="29">
        <f>D498-D497</f>
        <v/>
      </c>
    </row>
    <row r="499">
      <c r="A499" s="28" t="n">
        <v>27937</v>
      </c>
      <c r="B499" s="25">
        <f>VLOOKUP(A499,'Database Claims'!$A:$C,3,)</f>
        <v/>
      </c>
      <c r="C499" s="29">
        <f>B499-B498</f>
        <v/>
      </c>
      <c r="D499" s="25">
        <f>VLOOKUP(A499,'Database Claims'!$A:$C,2,)</f>
        <v/>
      </c>
      <c r="E499" s="29">
        <f>D499-D498</f>
        <v/>
      </c>
    </row>
    <row r="500">
      <c r="A500" s="28" t="n">
        <v>27944</v>
      </c>
      <c r="B500" s="29">
        <f>VLOOKUP(A500,'Database Claims'!$A:$C,3,)</f>
        <v/>
      </c>
      <c r="C500" s="29">
        <f>B500-B499</f>
        <v/>
      </c>
      <c r="D500" s="29">
        <f>VLOOKUP(A500,'Database Claims'!$A:$C,2,)</f>
        <v/>
      </c>
      <c r="E500" s="29">
        <f>D500-D499</f>
        <v/>
      </c>
    </row>
    <row r="501">
      <c r="A501" s="28" t="n">
        <v>27951</v>
      </c>
      <c r="B501" s="25">
        <f>VLOOKUP(A501,'Database Claims'!$A:$C,3,)</f>
        <v/>
      </c>
      <c r="C501" s="29">
        <f>B501-B500</f>
        <v/>
      </c>
      <c r="D501" s="25">
        <f>VLOOKUP(A501,'Database Claims'!$A:$C,2,)</f>
        <v/>
      </c>
      <c r="E501" s="29">
        <f>D501-D500</f>
        <v/>
      </c>
    </row>
    <row r="502">
      <c r="A502" s="28" t="n">
        <v>27958</v>
      </c>
      <c r="B502" s="29">
        <f>VLOOKUP(A502,'Database Claims'!$A:$C,3,)</f>
        <v/>
      </c>
      <c r="C502" s="29">
        <f>B502-B501</f>
        <v/>
      </c>
      <c r="D502" s="29">
        <f>VLOOKUP(A502,'Database Claims'!$A:$C,2,)</f>
        <v/>
      </c>
      <c r="E502" s="29">
        <f>D502-D501</f>
        <v/>
      </c>
    </row>
    <row r="503">
      <c r="A503" s="28" t="n">
        <v>27965</v>
      </c>
      <c r="B503" s="25">
        <f>VLOOKUP(A503,'Database Claims'!$A:$C,3,)</f>
        <v/>
      </c>
      <c r="C503" s="29">
        <f>B503-B502</f>
        <v/>
      </c>
      <c r="D503" s="25">
        <f>VLOOKUP(A503,'Database Claims'!$A:$C,2,)</f>
        <v/>
      </c>
      <c r="E503" s="29">
        <f>D503-D502</f>
        <v/>
      </c>
    </row>
    <row r="504">
      <c r="A504" s="28" t="n">
        <v>27972</v>
      </c>
      <c r="B504" s="29">
        <f>VLOOKUP(A504,'Database Claims'!$A:$C,3,)</f>
        <v/>
      </c>
      <c r="C504" s="29">
        <f>B504-B503</f>
        <v/>
      </c>
      <c r="D504" s="29">
        <f>VLOOKUP(A504,'Database Claims'!$A:$C,2,)</f>
        <v/>
      </c>
      <c r="E504" s="29">
        <f>D504-D503</f>
        <v/>
      </c>
    </row>
    <row r="505">
      <c r="A505" s="28" t="n">
        <v>27979</v>
      </c>
      <c r="B505" s="25">
        <f>VLOOKUP(A505,'Database Claims'!$A:$C,3,)</f>
        <v/>
      </c>
      <c r="C505" s="29">
        <f>B505-B504</f>
        <v/>
      </c>
      <c r="D505" s="25">
        <f>VLOOKUP(A505,'Database Claims'!$A:$C,2,)</f>
        <v/>
      </c>
      <c r="E505" s="29">
        <f>D505-D504</f>
        <v/>
      </c>
    </row>
    <row r="506">
      <c r="A506" s="28" t="n">
        <v>27986</v>
      </c>
      <c r="B506" s="29">
        <f>VLOOKUP(A506,'Database Claims'!$A:$C,3,)</f>
        <v/>
      </c>
      <c r="C506" s="29">
        <f>B506-B505</f>
        <v/>
      </c>
      <c r="D506" s="29">
        <f>VLOOKUP(A506,'Database Claims'!$A:$C,2,)</f>
        <v/>
      </c>
      <c r="E506" s="29">
        <f>D506-D505</f>
        <v/>
      </c>
    </row>
    <row r="507">
      <c r="A507" s="28" t="n">
        <v>27993</v>
      </c>
      <c r="B507" s="25">
        <f>VLOOKUP(A507,'Database Claims'!$A:$C,3,)</f>
        <v/>
      </c>
      <c r="C507" s="29">
        <f>B507-B506</f>
        <v/>
      </c>
      <c r="D507" s="25">
        <f>VLOOKUP(A507,'Database Claims'!$A:$C,2,)</f>
        <v/>
      </c>
      <c r="E507" s="29">
        <f>D507-D506</f>
        <v/>
      </c>
    </row>
    <row r="508">
      <c r="A508" s="28" t="n">
        <v>28000</v>
      </c>
      <c r="B508" s="29">
        <f>VLOOKUP(A508,'Database Claims'!$A:$C,3,)</f>
        <v/>
      </c>
      <c r="C508" s="29">
        <f>B508-B507</f>
        <v/>
      </c>
      <c r="D508" s="29">
        <f>VLOOKUP(A508,'Database Claims'!$A:$C,2,)</f>
        <v/>
      </c>
      <c r="E508" s="29">
        <f>D508-D507</f>
        <v/>
      </c>
    </row>
    <row r="509">
      <c r="A509" s="28" t="n">
        <v>28007</v>
      </c>
      <c r="B509" s="25">
        <f>VLOOKUP(A509,'Database Claims'!$A:$C,3,)</f>
        <v/>
      </c>
      <c r="C509" s="29">
        <f>B509-B508</f>
        <v/>
      </c>
      <c r="D509" s="25">
        <f>VLOOKUP(A509,'Database Claims'!$A:$C,2,)</f>
        <v/>
      </c>
      <c r="E509" s="29">
        <f>D509-D508</f>
        <v/>
      </c>
    </row>
    <row r="510">
      <c r="A510" s="28" t="n">
        <v>28014</v>
      </c>
      <c r="B510" s="29">
        <f>VLOOKUP(A510,'Database Claims'!$A:$C,3,)</f>
        <v/>
      </c>
      <c r="C510" s="29">
        <f>B510-B509</f>
        <v/>
      </c>
      <c r="D510" s="29">
        <f>VLOOKUP(A510,'Database Claims'!$A:$C,2,)</f>
        <v/>
      </c>
      <c r="E510" s="29">
        <f>D510-D509</f>
        <v/>
      </c>
    </row>
    <row r="511">
      <c r="A511" s="28" t="n">
        <v>28021</v>
      </c>
      <c r="B511" s="25">
        <f>VLOOKUP(A511,'Database Claims'!$A:$C,3,)</f>
        <v/>
      </c>
      <c r="C511" s="29">
        <f>B511-B510</f>
        <v/>
      </c>
      <c r="D511" s="25">
        <f>VLOOKUP(A511,'Database Claims'!$A:$C,2,)</f>
        <v/>
      </c>
      <c r="E511" s="29">
        <f>D511-D510</f>
        <v/>
      </c>
    </row>
    <row r="512">
      <c r="A512" s="28" t="n">
        <v>28028</v>
      </c>
      <c r="B512" s="29">
        <f>VLOOKUP(A512,'Database Claims'!$A:$C,3,)</f>
        <v/>
      </c>
      <c r="C512" s="29">
        <f>B512-B511</f>
        <v/>
      </c>
      <c r="D512" s="29">
        <f>VLOOKUP(A512,'Database Claims'!$A:$C,2,)</f>
        <v/>
      </c>
      <c r="E512" s="29">
        <f>D512-D511</f>
        <v/>
      </c>
    </row>
    <row r="513">
      <c r="A513" s="28" t="n">
        <v>28035</v>
      </c>
      <c r="B513" s="25">
        <f>VLOOKUP(A513,'Database Claims'!$A:$C,3,)</f>
        <v/>
      </c>
      <c r="C513" s="29">
        <f>B513-B512</f>
        <v/>
      </c>
      <c r="D513" s="25">
        <f>VLOOKUP(A513,'Database Claims'!$A:$C,2,)</f>
        <v/>
      </c>
      <c r="E513" s="29">
        <f>D513-D512</f>
        <v/>
      </c>
    </row>
    <row r="514">
      <c r="A514" s="28" t="n">
        <v>28042</v>
      </c>
      <c r="B514" s="29">
        <f>VLOOKUP(A514,'Database Claims'!$A:$C,3,)</f>
        <v/>
      </c>
      <c r="C514" s="29">
        <f>B514-B513</f>
        <v/>
      </c>
      <c r="D514" s="29">
        <f>VLOOKUP(A514,'Database Claims'!$A:$C,2,)</f>
        <v/>
      </c>
      <c r="E514" s="29">
        <f>D514-D513</f>
        <v/>
      </c>
    </row>
    <row r="515">
      <c r="A515" s="28" t="n">
        <v>28049</v>
      </c>
      <c r="B515" s="25">
        <f>VLOOKUP(A515,'Database Claims'!$A:$C,3,)</f>
        <v/>
      </c>
      <c r="C515" s="29">
        <f>B515-B514</f>
        <v/>
      </c>
      <c r="D515" s="25">
        <f>VLOOKUP(A515,'Database Claims'!$A:$C,2,)</f>
        <v/>
      </c>
      <c r="E515" s="29">
        <f>D515-D514</f>
        <v/>
      </c>
    </row>
    <row r="516">
      <c r="A516" s="28" t="n">
        <v>28056</v>
      </c>
      <c r="B516" s="29">
        <f>VLOOKUP(A516,'Database Claims'!$A:$C,3,)</f>
        <v/>
      </c>
      <c r="C516" s="29">
        <f>B516-B515</f>
        <v/>
      </c>
      <c r="D516" s="29">
        <f>VLOOKUP(A516,'Database Claims'!$A:$C,2,)</f>
        <v/>
      </c>
      <c r="E516" s="29">
        <f>D516-D515</f>
        <v/>
      </c>
    </row>
    <row r="517">
      <c r="A517" s="28" t="n">
        <v>28063</v>
      </c>
      <c r="B517" s="25">
        <f>VLOOKUP(A517,'Database Claims'!$A:$C,3,)</f>
        <v/>
      </c>
      <c r="C517" s="29">
        <f>B517-B516</f>
        <v/>
      </c>
      <c r="D517" s="25">
        <f>VLOOKUP(A517,'Database Claims'!$A:$C,2,)</f>
        <v/>
      </c>
      <c r="E517" s="29">
        <f>D517-D516</f>
        <v/>
      </c>
    </row>
    <row r="518">
      <c r="A518" s="28" t="n">
        <v>28070</v>
      </c>
      <c r="B518" s="29">
        <f>VLOOKUP(A518,'Database Claims'!$A:$C,3,)</f>
        <v/>
      </c>
      <c r="C518" s="29">
        <f>B518-B517</f>
        <v/>
      </c>
      <c r="D518" s="29">
        <f>VLOOKUP(A518,'Database Claims'!$A:$C,2,)</f>
        <v/>
      </c>
      <c r="E518" s="29">
        <f>D518-D517</f>
        <v/>
      </c>
    </row>
    <row r="519">
      <c r="A519" s="28" t="n">
        <v>28077</v>
      </c>
      <c r="B519" s="25">
        <f>VLOOKUP(A519,'Database Claims'!$A:$C,3,)</f>
        <v/>
      </c>
      <c r="C519" s="29">
        <f>B519-B518</f>
        <v/>
      </c>
      <c r="D519" s="25">
        <f>VLOOKUP(A519,'Database Claims'!$A:$C,2,)</f>
        <v/>
      </c>
      <c r="E519" s="29">
        <f>D519-D518</f>
        <v/>
      </c>
    </row>
    <row r="520">
      <c r="A520" s="28" t="n">
        <v>28084</v>
      </c>
      <c r="B520" s="29">
        <f>VLOOKUP(A520,'Database Claims'!$A:$C,3,)</f>
        <v/>
      </c>
      <c r="C520" s="29">
        <f>B520-B519</f>
        <v/>
      </c>
      <c r="D520" s="29">
        <f>VLOOKUP(A520,'Database Claims'!$A:$C,2,)</f>
        <v/>
      </c>
      <c r="E520" s="29">
        <f>D520-D519</f>
        <v/>
      </c>
    </row>
    <row r="521">
      <c r="A521" s="28" t="n">
        <v>28091</v>
      </c>
      <c r="B521" s="25">
        <f>VLOOKUP(A521,'Database Claims'!$A:$C,3,)</f>
        <v/>
      </c>
      <c r="C521" s="29">
        <f>B521-B520</f>
        <v/>
      </c>
      <c r="D521" s="25">
        <f>VLOOKUP(A521,'Database Claims'!$A:$C,2,)</f>
        <v/>
      </c>
      <c r="E521" s="29">
        <f>D521-D520</f>
        <v/>
      </c>
    </row>
    <row r="522">
      <c r="A522" s="28" t="n">
        <v>28098</v>
      </c>
      <c r="B522" s="29">
        <f>VLOOKUP(A522,'Database Claims'!$A:$C,3,)</f>
        <v/>
      </c>
      <c r="C522" s="29">
        <f>B522-B521</f>
        <v/>
      </c>
      <c r="D522" s="29">
        <f>VLOOKUP(A522,'Database Claims'!$A:$C,2,)</f>
        <v/>
      </c>
      <c r="E522" s="29">
        <f>D522-D521</f>
        <v/>
      </c>
    </row>
    <row r="523">
      <c r="A523" s="28" t="n">
        <v>28105</v>
      </c>
      <c r="B523" s="25">
        <f>VLOOKUP(A523,'Database Claims'!$A:$C,3,)</f>
        <v/>
      </c>
      <c r="C523" s="29">
        <f>B523-B522</f>
        <v/>
      </c>
      <c r="D523" s="25">
        <f>VLOOKUP(A523,'Database Claims'!$A:$C,2,)</f>
        <v/>
      </c>
      <c r="E523" s="29">
        <f>D523-D522</f>
        <v/>
      </c>
    </row>
    <row r="524">
      <c r="A524" s="28" t="n">
        <v>28112</v>
      </c>
      <c r="B524" s="29">
        <f>VLOOKUP(A524,'Database Claims'!$A:$C,3,)</f>
        <v/>
      </c>
      <c r="C524" s="29">
        <f>B524-B523</f>
        <v/>
      </c>
      <c r="D524" s="29">
        <f>VLOOKUP(A524,'Database Claims'!$A:$C,2,)</f>
        <v/>
      </c>
      <c r="E524" s="29">
        <f>D524-D523</f>
        <v/>
      </c>
    </row>
    <row r="525">
      <c r="A525" s="28" t="n">
        <v>28119</v>
      </c>
      <c r="B525" s="25">
        <f>VLOOKUP(A525,'Database Claims'!$A:$C,3,)</f>
        <v/>
      </c>
      <c r="C525" s="29">
        <f>B525-B524</f>
        <v/>
      </c>
      <c r="D525" s="25">
        <f>VLOOKUP(A525,'Database Claims'!$A:$C,2,)</f>
        <v/>
      </c>
      <c r="E525" s="29">
        <f>D525-D524</f>
        <v/>
      </c>
    </row>
    <row r="526">
      <c r="A526" s="28" t="n">
        <v>28126</v>
      </c>
      <c r="B526" s="29">
        <f>VLOOKUP(A526,'Database Claims'!$A:$C,3,)</f>
        <v/>
      </c>
      <c r="C526" s="29">
        <f>B526-B525</f>
        <v/>
      </c>
      <c r="D526" s="29">
        <f>VLOOKUP(A526,'Database Claims'!$A:$C,2,)</f>
        <v/>
      </c>
      <c r="E526" s="29">
        <f>D526-D525</f>
        <v/>
      </c>
    </row>
    <row r="527">
      <c r="A527" s="28" t="n">
        <v>28133</v>
      </c>
      <c r="B527" s="25">
        <f>VLOOKUP(A527,'Database Claims'!$A:$C,3,)</f>
        <v/>
      </c>
      <c r="C527" s="29">
        <f>B527-B526</f>
        <v/>
      </c>
      <c r="D527" s="25">
        <f>VLOOKUP(A527,'Database Claims'!$A:$C,2,)</f>
        <v/>
      </c>
      <c r="E527" s="29">
        <f>D527-D526</f>
        <v/>
      </c>
    </row>
    <row r="528">
      <c r="A528" s="28" t="n">
        <v>28140</v>
      </c>
      <c r="B528" s="29">
        <f>VLOOKUP(A528,'Database Claims'!$A:$C,3,)</f>
        <v/>
      </c>
      <c r="C528" s="29">
        <f>B528-B527</f>
        <v/>
      </c>
      <c r="D528" s="29">
        <f>VLOOKUP(A528,'Database Claims'!$A:$C,2,)</f>
        <v/>
      </c>
      <c r="E528" s="29">
        <f>D528-D527</f>
        <v/>
      </c>
    </row>
    <row r="529">
      <c r="A529" s="28" t="n">
        <v>28147</v>
      </c>
      <c r="B529" s="25">
        <f>VLOOKUP(A529,'Database Claims'!$A:$C,3,)</f>
        <v/>
      </c>
      <c r="C529" s="29">
        <f>B529-B528</f>
        <v/>
      </c>
      <c r="D529" s="25">
        <f>VLOOKUP(A529,'Database Claims'!$A:$C,2,)</f>
        <v/>
      </c>
      <c r="E529" s="29">
        <f>D529-D528</f>
        <v/>
      </c>
    </row>
    <row r="530">
      <c r="A530" s="28" t="n">
        <v>28154</v>
      </c>
      <c r="B530" s="29">
        <f>VLOOKUP(A530,'Database Claims'!$A:$C,3,)</f>
        <v/>
      </c>
      <c r="C530" s="29">
        <f>B530-B529</f>
        <v/>
      </c>
      <c r="D530" s="29">
        <f>VLOOKUP(A530,'Database Claims'!$A:$C,2,)</f>
        <v/>
      </c>
      <c r="E530" s="29">
        <f>D530-D529</f>
        <v/>
      </c>
    </row>
    <row r="531">
      <c r="A531" s="28" t="n">
        <v>28161</v>
      </c>
      <c r="B531" s="25">
        <f>VLOOKUP(A531,'Database Claims'!$A:$C,3,)</f>
        <v/>
      </c>
      <c r="C531" s="29">
        <f>B531-B530</f>
        <v/>
      </c>
      <c r="D531" s="25">
        <f>VLOOKUP(A531,'Database Claims'!$A:$C,2,)</f>
        <v/>
      </c>
      <c r="E531" s="29">
        <f>D531-D530</f>
        <v/>
      </c>
    </row>
    <row r="532">
      <c r="A532" s="28" t="n">
        <v>28168</v>
      </c>
      <c r="B532" s="29">
        <f>VLOOKUP(A532,'Database Claims'!$A:$C,3,)</f>
        <v/>
      </c>
      <c r="C532" s="29">
        <f>B532-B531</f>
        <v/>
      </c>
      <c r="D532" s="29">
        <f>VLOOKUP(A532,'Database Claims'!$A:$C,2,)</f>
        <v/>
      </c>
      <c r="E532" s="29">
        <f>D532-D531</f>
        <v/>
      </c>
    </row>
    <row r="533">
      <c r="A533" s="28" t="n">
        <v>28175</v>
      </c>
      <c r="B533" s="25">
        <f>VLOOKUP(A533,'Database Claims'!$A:$C,3,)</f>
        <v/>
      </c>
      <c r="C533" s="29">
        <f>B533-B532</f>
        <v/>
      </c>
      <c r="D533" s="25">
        <f>VLOOKUP(A533,'Database Claims'!$A:$C,2,)</f>
        <v/>
      </c>
      <c r="E533" s="29">
        <f>D533-D532</f>
        <v/>
      </c>
    </row>
    <row r="534">
      <c r="A534" s="28" t="n">
        <v>28182</v>
      </c>
      <c r="B534" s="29">
        <f>VLOOKUP(A534,'Database Claims'!$A:$C,3,)</f>
        <v/>
      </c>
      <c r="C534" s="29">
        <f>B534-B533</f>
        <v/>
      </c>
      <c r="D534" s="29">
        <f>VLOOKUP(A534,'Database Claims'!$A:$C,2,)</f>
        <v/>
      </c>
      <c r="E534" s="29">
        <f>D534-D533</f>
        <v/>
      </c>
    </row>
    <row r="535">
      <c r="A535" s="28" t="n">
        <v>28189</v>
      </c>
      <c r="B535" s="25">
        <f>VLOOKUP(A535,'Database Claims'!$A:$C,3,)</f>
        <v/>
      </c>
      <c r="C535" s="29">
        <f>B535-B534</f>
        <v/>
      </c>
      <c r="D535" s="25">
        <f>VLOOKUP(A535,'Database Claims'!$A:$C,2,)</f>
        <v/>
      </c>
      <c r="E535" s="29">
        <f>D535-D534</f>
        <v/>
      </c>
    </row>
    <row r="536">
      <c r="A536" s="28" t="n">
        <v>28196</v>
      </c>
      <c r="B536" s="29">
        <f>VLOOKUP(A536,'Database Claims'!$A:$C,3,)</f>
        <v/>
      </c>
      <c r="C536" s="29">
        <f>B536-B535</f>
        <v/>
      </c>
      <c r="D536" s="29">
        <f>VLOOKUP(A536,'Database Claims'!$A:$C,2,)</f>
        <v/>
      </c>
      <c r="E536" s="29">
        <f>D536-D535</f>
        <v/>
      </c>
    </row>
    <row r="537">
      <c r="A537" s="28" t="n">
        <v>28203</v>
      </c>
      <c r="B537" s="25">
        <f>VLOOKUP(A537,'Database Claims'!$A:$C,3,)</f>
        <v/>
      </c>
      <c r="C537" s="29">
        <f>B537-B536</f>
        <v/>
      </c>
      <c r="D537" s="25">
        <f>VLOOKUP(A537,'Database Claims'!$A:$C,2,)</f>
        <v/>
      </c>
      <c r="E537" s="29">
        <f>D537-D536</f>
        <v/>
      </c>
    </row>
    <row r="538">
      <c r="A538" s="28" t="n">
        <v>28210</v>
      </c>
      <c r="B538" s="29">
        <f>VLOOKUP(A538,'Database Claims'!$A:$C,3,)</f>
        <v/>
      </c>
      <c r="C538" s="29">
        <f>B538-B537</f>
        <v/>
      </c>
      <c r="D538" s="29">
        <f>VLOOKUP(A538,'Database Claims'!$A:$C,2,)</f>
        <v/>
      </c>
      <c r="E538" s="29">
        <f>D538-D537</f>
        <v/>
      </c>
    </row>
    <row r="539">
      <c r="A539" s="28" t="n">
        <v>28217</v>
      </c>
      <c r="B539" s="25">
        <f>VLOOKUP(A539,'Database Claims'!$A:$C,3,)</f>
        <v/>
      </c>
      <c r="C539" s="29">
        <f>B539-B538</f>
        <v/>
      </c>
      <c r="D539" s="25">
        <f>VLOOKUP(A539,'Database Claims'!$A:$C,2,)</f>
        <v/>
      </c>
      <c r="E539" s="29">
        <f>D539-D538</f>
        <v/>
      </c>
    </row>
    <row r="540">
      <c r="A540" s="28" t="n">
        <v>28224</v>
      </c>
      <c r="B540" s="29">
        <f>VLOOKUP(A540,'Database Claims'!$A:$C,3,)</f>
        <v/>
      </c>
      <c r="C540" s="29">
        <f>B540-B539</f>
        <v/>
      </c>
      <c r="D540" s="29">
        <f>VLOOKUP(A540,'Database Claims'!$A:$C,2,)</f>
        <v/>
      </c>
      <c r="E540" s="29">
        <f>D540-D539</f>
        <v/>
      </c>
    </row>
    <row r="541">
      <c r="A541" s="28" t="n">
        <v>28231</v>
      </c>
      <c r="B541" s="25">
        <f>VLOOKUP(A541,'Database Claims'!$A:$C,3,)</f>
        <v/>
      </c>
      <c r="C541" s="29">
        <f>B541-B540</f>
        <v/>
      </c>
      <c r="D541" s="25">
        <f>VLOOKUP(A541,'Database Claims'!$A:$C,2,)</f>
        <v/>
      </c>
      <c r="E541" s="29">
        <f>D541-D540</f>
        <v/>
      </c>
    </row>
    <row r="542">
      <c r="A542" s="28" t="n">
        <v>28238</v>
      </c>
      <c r="B542" s="29">
        <f>VLOOKUP(A542,'Database Claims'!$A:$C,3,)</f>
        <v/>
      </c>
      <c r="C542" s="29">
        <f>B542-B541</f>
        <v/>
      </c>
      <c r="D542" s="29">
        <f>VLOOKUP(A542,'Database Claims'!$A:$C,2,)</f>
        <v/>
      </c>
      <c r="E542" s="29">
        <f>D542-D541</f>
        <v/>
      </c>
    </row>
    <row r="543">
      <c r="A543" s="28" t="n">
        <v>28245</v>
      </c>
      <c r="B543" s="25">
        <f>VLOOKUP(A543,'Database Claims'!$A:$C,3,)</f>
        <v/>
      </c>
      <c r="C543" s="29">
        <f>B543-B542</f>
        <v/>
      </c>
      <c r="D543" s="25">
        <f>VLOOKUP(A543,'Database Claims'!$A:$C,2,)</f>
        <v/>
      </c>
      <c r="E543" s="29">
        <f>D543-D542</f>
        <v/>
      </c>
    </row>
    <row r="544">
      <c r="A544" s="28" t="n">
        <v>28252</v>
      </c>
      <c r="B544" s="29">
        <f>VLOOKUP(A544,'Database Claims'!$A:$C,3,)</f>
        <v/>
      </c>
      <c r="C544" s="29">
        <f>B544-B543</f>
        <v/>
      </c>
      <c r="D544" s="29">
        <f>VLOOKUP(A544,'Database Claims'!$A:$C,2,)</f>
        <v/>
      </c>
      <c r="E544" s="29">
        <f>D544-D543</f>
        <v/>
      </c>
    </row>
    <row r="545">
      <c r="A545" s="28" t="n">
        <v>28259</v>
      </c>
      <c r="B545" s="25">
        <f>VLOOKUP(A545,'Database Claims'!$A:$C,3,)</f>
        <v/>
      </c>
      <c r="C545" s="29">
        <f>B545-B544</f>
        <v/>
      </c>
      <c r="D545" s="25">
        <f>VLOOKUP(A545,'Database Claims'!$A:$C,2,)</f>
        <v/>
      </c>
      <c r="E545" s="29">
        <f>D545-D544</f>
        <v/>
      </c>
    </row>
    <row r="546">
      <c r="A546" s="28" t="n">
        <v>28266</v>
      </c>
      <c r="B546" s="29">
        <f>VLOOKUP(A546,'Database Claims'!$A:$C,3,)</f>
        <v/>
      </c>
      <c r="C546" s="29">
        <f>B546-B545</f>
        <v/>
      </c>
      <c r="D546" s="29">
        <f>VLOOKUP(A546,'Database Claims'!$A:$C,2,)</f>
        <v/>
      </c>
      <c r="E546" s="29">
        <f>D546-D545</f>
        <v/>
      </c>
    </row>
    <row r="547">
      <c r="A547" s="28" t="n">
        <v>28273</v>
      </c>
      <c r="B547" s="25">
        <f>VLOOKUP(A547,'Database Claims'!$A:$C,3,)</f>
        <v/>
      </c>
      <c r="C547" s="29">
        <f>B547-B546</f>
        <v/>
      </c>
      <c r="D547" s="25">
        <f>VLOOKUP(A547,'Database Claims'!$A:$C,2,)</f>
        <v/>
      </c>
      <c r="E547" s="29">
        <f>D547-D546</f>
        <v/>
      </c>
    </row>
    <row r="548">
      <c r="A548" s="28" t="n">
        <v>28280</v>
      </c>
      <c r="B548" s="29">
        <f>VLOOKUP(A548,'Database Claims'!$A:$C,3,)</f>
        <v/>
      </c>
      <c r="C548" s="29">
        <f>B548-B547</f>
        <v/>
      </c>
      <c r="D548" s="29">
        <f>VLOOKUP(A548,'Database Claims'!$A:$C,2,)</f>
        <v/>
      </c>
      <c r="E548" s="29">
        <f>D548-D547</f>
        <v/>
      </c>
    </row>
    <row r="549">
      <c r="A549" s="28" t="n">
        <v>28287</v>
      </c>
      <c r="B549" s="25">
        <f>VLOOKUP(A549,'Database Claims'!$A:$C,3,)</f>
        <v/>
      </c>
      <c r="C549" s="29">
        <f>B549-B548</f>
        <v/>
      </c>
      <c r="D549" s="25">
        <f>VLOOKUP(A549,'Database Claims'!$A:$C,2,)</f>
        <v/>
      </c>
      <c r="E549" s="29">
        <f>D549-D548</f>
        <v/>
      </c>
    </row>
    <row r="550">
      <c r="A550" s="28" t="n">
        <v>28294</v>
      </c>
      <c r="B550" s="29">
        <f>VLOOKUP(A550,'Database Claims'!$A:$C,3,)</f>
        <v/>
      </c>
      <c r="C550" s="29">
        <f>B550-B549</f>
        <v/>
      </c>
      <c r="D550" s="29">
        <f>VLOOKUP(A550,'Database Claims'!$A:$C,2,)</f>
        <v/>
      </c>
      <c r="E550" s="29">
        <f>D550-D549</f>
        <v/>
      </c>
    </row>
    <row r="551">
      <c r="A551" s="28" t="n">
        <v>28301</v>
      </c>
      <c r="B551" s="25">
        <f>VLOOKUP(A551,'Database Claims'!$A:$C,3,)</f>
        <v/>
      </c>
      <c r="C551" s="29">
        <f>B551-B550</f>
        <v/>
      </c>
      <c r="D551" s="25">
        <f>VLOOKUP(A551,'Database Claims'!$A:$C,2,)</f>
        <v/>
      </c>
      <c r="E551" s="29">
        <f>D551-D550</f>
        <v/>
      </c>
    </row>
    <row r="552">
      <c r="A552" s="28" t="n">
        <v>28308</v>
      </c>
      <c r="B552" s="29">
        <f>VLOOKUP(A552,'Database Claims'!$A:$C,3,)</f>
        <v/>
      </c>
      <c r="C552" s="29">
        <f>B552-B551</f>
        <v/>
      </c>
      <c r="D552" s="29">
        <f>VLOOKUP(A552,'Database Claims'!$A:$C,2,)</f>
        <v/>
      </c>
      <c r="E552" s="29">
        <f>D552-D551</f>
        <v/>
      </c>
    </row>
    <row r="553">
      <c r="A553" s="28" t="n">
        <v>28315</v>
      </c>
      <c r="B553" s="25">
        <f>VLOOKUP(A553,'Database Claims'!$A:$C,3,)</f>
        <v/>
      </c>
      <c r="C553" s="29">
        <f>B553-B552</f>
        <v/>
      </c>
      <c r="D553" s="25">
        <f>VLOOKUP(A553,'Database Claims'!$A:$C,2,)</f>
        <v/>
      </c>
      <c r="E553" s="29">
        <f>D553-D552</f>
        <v/>
      </c>
    </row>
    <row r="554">
      <c r="A554" s="28" t="n">
        <v>28322</v>
      </c>
      <c r="B554" s="29">
        <f>VLOOKUP(A554,'Database Claims'!$A:$C,3,)</f>
        <v/>
      </c>
      <c r="C554" s="29">
        <f>B554-B553</f>
        <v/>
      </c>
      <c r="D554" s="29">
        <f>VLOOKUP(A554,'Database Claims'!$A:$C,2,)</f>
        <v/>
      </c>
      <c r="E554" s="29">
        <f>D554-D553</f>
        <v/>
      </c>
    </row>
    <row r="555">
      <c r="A555" s="28" t="n">
        <v>28329</v>
      </c>
      <c r="B555" s="25">
        <f>VLOOKUP(A555,'Database Claims'!$A:$C,3,)</f>
        <v/>
      </c>
      <c r="C555" s="29">
        <f>B555-B554</f>
        <v/>
      </c>
      <c r="D555" s="25">
        <f>VLOOKUP(A555,'Database Claims'!$A:$C,2,)</f>
        <v/>
      </c>
      <c r="E555" s="29">
        <f>D555-D554</f>
        <v/>
      </c>
    </row>
    <row r="556">
      <c r="A556" s="28" t="n">
        <v>28336</v>
      </c>
      <c r="B556" s="29">
        <f>VLOOKUP(A556,'Database Claims'!$A:$C,3,)</f>
        <v/>
      </c>
      <c r="C556" s="29">
        <f>B556-B555</f>
        <v/>
      </c>
      <c r="D556" s="29">
        <f>VLOOKUP(A556,'Database Claims'!$A:$C,2,)</f>
        <v/>
      </c>
      <c r="E556" s="29">
        <f>D556-D555</f>
        <v/>
      </c>
    </row>
    <row r="557">
      <c r="A557" s="28" t="n">
        <v>28343</v>
      </c>
      <c r="B557" s="25">
        <f>VLOOKUP(A557,'Database Claims'!$A:$C,3,)</f>
        <v/>
      </c>
      <c r="C557" s="29">
        <f>B557-B556</f>
        <v/>
      </c>
      <c r="D557" s="25">
        <f>VLOOKUP(A557,'Database Claims'!$A:$C,2,)</f>
        <v/>
      </c>
      <c r="E557" s="29">
        <f>D557-D556</f>
        <v/>
      </c>
    </row>
    <row r="558">
      <c r="A558" s="28" t="n">
        <v>28350</v>
      </c>
      <c r="B558" s="29">
        <f>VLOOKUP(A558,'Database Claims'!$A:$C,3,)</f>
        <v/>
      </c>
      <c r="C558" s="29">
        <f>B558-B557</f>
        <v/>
      </c>
      <c r="D558" s="29">
        <f>VLOOKUP(A558,'Database Claims'!$A:$C,2,)</f>
        <v/>
      </c>
      <c r="E558" s="29">
        <f>D558-D557</f>
        <v/>
      </c>
    </row>
    <row r="559">
      <c r="A559" s="28" t="n">
        <v>28357</v>
      </c>
      <c r="B559" s="25">
        <f>VLOOKUP(A559,'Database Claims'!$A:$C,3,)</f>
        <v/>
      </c>
      <c r="C559" s="29">
        <f>B559-B558</f>
        <v/>
      </c>
      <c r="D559" s="25">
        <f>VLOOKUP(A559,'Database Claims'!$A:$C,2,)</f>
        <v/>
      </c>
      <c r="E559" s="29">
        <f>D559-D558</f>
        <v/>
      </c>
    </row>
    <row r="560">
      <c r="A560" s="28" t="n">
        <v>28364</v>
      </c>
      <c r="B560" s="29">
        <f>VLOOKUP(A560,'Database Claims'!$A:$C,3,)</f>
        <v/>
      </c>
      <c r="C560" s="29">
        <f>B560-B559</f>
        <v/>
      </c>
      <c r="D560" s="29">
        <f>VLOOKUP(A560,'Database Claims'!$A:$C,2,)</f>
        <v/>
      </c>
      <c r="E560" s="29">
        <f>D560-D559</f>
        <v/>
      </c>
    </row>
    <row r="561">
      <c r="A561" s="28" t="n">
        <v>28371</v>
      </c>
      <c r="B561" s="25">
        <f>VLOOKUP(A561,'Database Claims'!$A:$C,3,)</f>
        <v/>
      </c>
      <c r="C561" s="29">
        <f>B561-B560</f>
        <v/>
      </c>
      <c r="D561" s="25">
        <f>VLOOKUP(A561,'Database Claims'!$A:$C,2,)</f>
        <v/>
      </c>
      <c r="E561" s="29">
        <f>D561-D560</f>
        <v/>
      </c>
    </row>
    <row r="562">
      <c r="A562" s="28" t="n">
        <v>28378</v>
      </c>
      <c r="B562" s="29">
        <f>VLOOKUP(A562,'Database Claims'!$A:$C,3,)</f>
        <v/>
      </c>
      <c r="C562" s="29">
        <f>B562-B561</f>
        <v/>
      </c>
      <c r="D562" s="29">
        <f>VLOOKUP(A562,'Database Claims'!$A:$C,2,)</f>
        <v/>
      </c>
      <c r="E562" s="29">
        <f>D562-D561</f>
        <v/>
      </c>
    </row>
    <row r="563">
      <c r="A563" s="28" t="n">
        <v>28385</v>
      </c>
      <c r="B563" s="25">
        <f>VLOOKUP(A563,'Database Claims'!$A:$C,3,)</f>
        <v/>
      </c>
      <c r="C563" s="29">
        <f>B563-B562</f>
        <v/>
      </c>
      <c r="D563" s="25">
        <f>VLOOKUP(A563,'Database Claims'!$A:$C,2,)</f>
        <v/>
      </c>
      <c r="E563" s="29">
        <f>D563-D562</f>
        <v/>
      </c>
    </row>
    <row r="564">
      <c r="A564" s="28" t="n">
        <v>28392</v>
      </c>
      <c r="B564" s="29">
        <f>VLOOKUP(A564,'Database Claims'!$A:$C,3,)</f>
        <v/>
      </c>
      <c r="C564" s="29">
        <f>B564-B563</f>
        <v/>
      </c>
      <c r="D564" s="29">
        <f>VLOOKUP(A564,'Database Claims'!$A:$C,2,)</f>
        <v/>
      </c>
      <c r="E564" s="29">
        <f>D564-D563</f>
        <v/>
      </c>
    </row>
    <row r="565">
      <c r="A565" s="28" t="n">
        <v>28399</v>
      </c>
      <c r="B565" s="25">
        <f>VLOOKUP(A565,'Database Claims'!$A:$C,3,)</f>
        <v/>
      </c>
      <c r="C565" s="29">
        <f>B565-B564</f>
        <v/>
      </c>
      <c r="D565" s="25">
        <f>VLOOKUP(A565,'Database Claims'!$A:$C,2,)</f>
        <v/>
      </c>
      <c r="E565" s="29">
        <f>D565-D564</f>
        <v/>
      </c>
    </row>
    <row r="566">
      <c r="A566" s="28" t="n">
        <v>28406</v>
      </c>
      <c r="B566" s="29">
        <f>VLOOKUP(A566,'Database Claims'!$A:$C,3,)</f>
        <v/>
      </c>
      <c r="C566" s="29">
        <f>B566-B565</f>
        <v/>
      </c>
      <c r="D566" s="29">
        <f>VLOOKUP(A566,'Database Claims'!$A:$C,2,)</f>
        <v/>
      </c>
      <c r="E566" s="29">
        <f>D566-D565</f>
        <v/>
      </c>
    </row>
    <row r="567">
      <c r="A567" s="28" t="n">
        <v>28413</v>
      </c>
      <c r="B567" s="25">
        <f>VLOOKUP(A567,'Database Claims'!$A:$C,3,)</f>
        <v/>
      </c>
      <c r="C567" s="29">
        <f>B567-B566</f>
        <v/>
      </c>
      <c r="D567" s="25">
        <f>VLOOKUP(A567,'Database Claims'!$A:$C,2,)</f>
        <v/>
      </c>
      <c r="E567" s="29">
        <f>D567-D566</f>
        <v/>
      </c>
    </row>
    <row r="568">
      <c r="A568" s="28" t="n">
        <v>28420</v>
      </c>
      <c r="B568" s="29">
        <f>VLOOKUP(A568,'Database Claims'!$A:$C,3,)</f>
        <v/>
      </c>
      <c r="C568" s="29">
        <f>B568-B567</f>
        <v/>
      </c>
      <c r="D568" s="29">
        <f>VLOOKUP(A568,'Database Claims'!$A:$C,2,)</f>
        <v/>
      </c>
      <c r="E568" s="29">
        <f>D568-D567</f>
        <v/>
      </c>
    </row>
    <row r="569">
      <c r="A569" s="28" t="n">
        <v>28427</v>
      </c>
      <c r="B569" s="25">
        <f>VLOOKUP(A569,'Database Claims'!$A:$C,3,)</f>
        <v/>
      </c>
      <c r="C569" s="29">
        <f>B569-B568</f>
        <v/>
      </c>
      <c r="D569" s="25">
        <f>VLOOKUP(A569,'Database Claims'!$A:$C,2,)</f>
        <v/>
      </c>
      <c r="E569" s="29">
        <f>D569-D568</f>
        <v/>
      </c>
    </row>
    <row r="570">
      <c r="A570" s="28" t="n">
        <v>28434</v>
      </c>
      <c r="B570" s="29">
        <f>VLOOKUP(A570,'Database Claims'!$A:$C,3,)</f>
        <v/>
      </c>
      <c r="C570" s="29">
        <f>B570-B569</f>
        <v/>
      </c>
      <c r="D570" s="29">
        <f>VLOOKUP(A570,'Database Claims'!$A:$C,2,)</f>
        <v/>
      </c>
      <c r="E570" s="29">
        <f>D570-D569</f>
        <v/>
      </c>
    </row>
    <row r="571">
      <c r="A571" s="28" t="n">
        <v>28441</v>
      </c>
      <c r="B571" s="25">
        <f>VLOOKUP(A571,'Database Claims'!$A:$C,3,)</f>
        <v/>
      </c>
      <c r="C571" s="29">
        <f>B571-B570</f>
        <v/>
      </c>
      <c r="D571" s="25">
        <f>VLOOKUP(A571,'Database Claims'!$A:$C,2,)</f>
        <v/>
      </c>
      <c r="E571" s="29">
        <f>D571-D570</f>
        <v/>
      </c>
    </row>
    <row r="572">
      <c r="A572" s="28" t="n">
        <v>28448</v>
      </c>
      <c r="B572" s="29">
        <f>VLOOKUP(A572,'Database Claims'!$A:$C,3,)</f>
        <v/>
      </c>
      <c r="C572" s="29">
        <f>B572-B571</f>
        <v/>
      </c>
      <c r="D572" s="29">
        <f>VLOOKUP(A572,'Database Claims'!$A:$C,2,)</f>
        <v/>
      </c>
      <c r="E572" s="29">
        <f>D572-D571</f>
        <v/>
      </c>
    </row>
    <row r="573">
      <c r="A573" s="28" t="n">
        <v>28455</v>
      </c>
      <c r="B573" s="25">
        <f>VLOOKUP(A573,'Database Claims'!$A:$C,3,)</f>
        <v/>
      </c>
      <c r="C573" s="29">
        <f>B573-B572</f>
        <v/>
      </c>
      <c r="D573" s="25">
        <f>VLOOKUP(A573,'Database Claims'!$A:$C,2,)</f>
        <v/>
      </c>
      <c r="E573" s="29">
        <f>D573-D572</f>
        <v/>
      </c>
    </row>
    <row r="574">
      <c r="A574" s="28" t="n">
        <v>28462</v>
      </c>
      <c r="B574" s="29">
        <f>VLOOKUP(A574,'Database Claims'!$A:$C,3,)</f>
        <v/>
      </c>
      <c r="C574" s="29">
        <f>B574-B573</f>
        <v/>
      </c>
      <c r="D574" s="29">
        <f>VLOOKUP(A574,'Database Claims'!$A:$C,2,)</f>
        <v/>
      </c>
      <c r="E574" s="29">
        <f>D574-D573</f>
        <v/>
      </c>
    </row>
    <row r="575">
      <c r="A575" s="28" t="n">
        <v>28469</v>
      </c>
      <c r="B575" s="25">
        <f>VLOOKUP(A575,'Database Claims'!$A:$C,3,)</f>
        <v/>
      </c>
      <c r="C575" s="29">
        <f>B575-B574</f>
        <v/>
      </c>
      <c r="D575" s="25">
        <f>VLOOKUP(A575,'Database Claims'!$A:$C,2,)</f>
        <v/>
      </c>
      <c r="E575" s="29">
        <f>D575-D574</f>
        <v/>
      </c>
    </row>
    <row r="576">
      <c r="A576" s="28" t="n">
        <v>28476</v>
      </c>
      <c r="B576" s="29">
        <f>VLOOKUP(A576,'Database Claims'!$A:$C,3,)</f>
        <v/>
      </c>
      <c r="C576" s="29">
        <f>B576-B575</f>
        <v/>
      </c>
      <c r="D576" s="29">
        <f>VLOOKUP(A576,'Database Claims'!$A:$C,2,)</f>
        <v/>
      </c>
      <c r="E576" s="29">
        <f>D576-D575</f>
        <v/>
      </c>
    </row>
    <row r="577">
      <c r="A577" s="28" t="n">
        <v>28483</v>
      </c>
      <c r="B577" s="25">
        <f>VLOOKUP(A577,'Database Claims'!$A:$C,3,)</f>
        <v/>
      </c>
      <c r="C577" s="29">
        <f>B577-B576</f>
        <v/>
      </c>
      <c r="D577" s="25">
        <f>VLOOKUP(A577,'Database Claims'!$A:$C,2,)</f>
        <v/>
      </c>
      <c r="E577" s="29">
        <f>D577-D576</f>
        <v/>
      </c>
    </row>
    <row r="578">
      <c r="A578" s="28" t="n">
        <v>28490</v>
      </c>
      <c r="B578" s="29">
        <f>VLOOKUP(A578,'Database Claims'!$A:$C,3,)</f>
        <v/>
      </c>
      <c r="C578" s="29">
        <f>B578-B577</f>
        <v/>
      </c>
      <c r="D578" s="29">
        <f>VLOOKUP(A578,'Database Claims'!$A:$C,2,)</f>
        <v/>
      </c>
      <c r="E578" s="29">
        <f>D578-D577</f>
        <v/>
      </c>
    </row>
    <row r="579">
      <c r="A579" s="28" t="n">
        <v>28497</v>
      </c>
      <c r="B579" s="25">
        <f>VLOOKUP(A579,'Database Claims'!$A:$C,3,)</f>
        <v/>
      </c>
      <c r="C579" s="29">
        <f>B579-B578</f>
        <v/>
      </c>
      <c r="D579" s="25">
        <f>VLOOKUP(A579,'Database Claims'!$A:$C,2,)</f>
        <v/>
      </c>
      <c r="E579" s="29">
        <f>D579-D578</f>
        <v/>
      </c>
    </row>
    <row r="580">
      <c r="A580" s="28" t="n">
        <v>28504</v>
      </c>
      <c r="B580" s="29">
        <f>VLOOKUP(A580,'Database Claims'!$A:$C,3,)</f>
        <v/>
      </c>
      <c r="C580" s="29">
        <f>B580-B579</f>
        <v/>
      </c>
      <c r="D580" s="29">
        <f>VLOOKUP(A580,'Database Claims'!$A:$C,2,)</f>
        <v/>
      </c>
      <c r="E580" s="29">
        <f>D580-D579</f>
        <v/>
      </c>
    </row>
    <row r="581">
      <c r="A581" s="28" t="n">
        <v>28511</v>
      </c>
      <c r="B581" s="25">
        <f>VLOOKUP(A581,'Database Claims'!$A:$C,3,)</f>
        <v/>
      </c>
      <c r="C581" s="29">
        <f>B581-B580</f>
        <v/>
      </c>
      <c r="D581" s="25">
        <f>VLOOKUP(A581,'Database Claims'!$A:$C,2,)</f>
        <v/>
      </c>
      <c r="E581" s="29">
        <f>D581-D580</f>
        <v/>
      </c>
    </row>
    <row r="582">
      <c r="A582" s="28" t="n">
        <v>28518</v>
      </c>
      <c r="B582" s="29">
        <f>VLOOKUP(A582,'Database Claims'!$A:$C,3,)</f>
        <v/>
      </c>
      <c r="C582" s="29">
        <f>B582-B581</f>
        <v/>
      </c>
      <c r="D582" s="29">
        <f>VLOOKUP(A582,'Database Claims'!$A:$C,2,)</f>
        <v/>
      </c>
      <c r="E582" s="29">
        <f>D582-D581</f>
        <v/>
      </c>
    </row>
    <row r="583">
      <c r="A583" s="28" t="n">
        <v>28525</v>
      </c>
      <c r="B583" s="25">
        <f>VLOOKUP(A583,'Database Claims'!$A:$C,3,)</f>
        <v/>
      </c>
      <c r="C583" s="29">
        <f>B583-B582</f>
        <v/>
      </c>
      <c r="D583" s="25">
        <f>VLOOKUP(A583,'Database Claims'!$A:$C,2,)</f>
        <v/>
      </c>
      <c r="E583" s="29">
        <f>D583-D582</f>
        <v/>
      </c>
    </row>
    <row r="584">
      <c r="A584" s="28" t="n">
        <v>28532</v>
      </c>
      <c r="B584" s="29">
        <f>VLOOKUP(A584,'Database Claims'!$A:$C,3,)</f>
        <v/>
      </c>
      <c r="C584" s="29">
        <f>B584-B583</f>
        <v/>
      </c>
      <c r="D584" s="29">
        <f>VLOOKUP(A584,'Database Claims'!$A:$C,2,)</f>
        <v/>
      </c>
      <c r="E584" s="29">
        <f>D584-D583</f>
        <v/>
      </c>
    </row>
    <row r="585">
      <c r="A585" s="28" t="n">
        <v>28539</v>
      </c>
      <c r="B585" s="25">
        <f>VLOOKUP(A585,'Database Claims'!$A:$C,3,)</f>
        <v/>
      </c>
      <c r="C585" s="29">
        <f>B585-B584</f>
        <v/>
      </c>
      <c r="D585" s="25">
        <f>VLOOKUP(A585,'Database Claims'!$A:$C,2,)</f>
        <v/>
      </c>
      <c r="E585" s="29">
        <f>D585-D584</f>
        <v/>
      </c>
    </row>
    <row r="586">
      <c r="A586" s="28" t="n">
        <v>28546</v>
      </c>
      <c r="B586" s="29">
        <f>VLOOKUP(A586,'Database Claims'!$A:$C,3,)</f>
        <v/>
      </c>
      <c r="C586" s="29">
        <f>B586-B585</f>
        <v/>
      </c>
      <c r="D586" s="29">
        <f>VLOOKUP(A586,'Database Claims'!$A:$C,2,)</f>
        <v/>
      </c>
      <c r="E586" s="29">
        <f>D586-D585</f>
        <v/>
      </c>
    </row>
    <row r="587">
      <c r="A587" s="28" t="n">
        <v>28553</v>
      </c>
      <c r="B587" s="25">
        <f>VLOOKUP(A587,'Database Claims'!$A:$C,3,)</f>
        <v/>
      </c>
      <c r="C587" s="29">
        <f>B587-B586</f>
        <v/>
      </c>
      <c r="D587" s="25">
        <f>VLOOKUP(A587,'Database Claims'!$A:$C,2,)</f>
        <v/>
      </c>
      <c r="E587" s="29">
        <f>D587-D586</f>
        <v/>
      </c>
    </row>
    <row r="588">
      <c r="A588" s="28" t="n">
        <v>28560</v>
      </c>
      <c r="B588" s="29">
        <f>VLOOKUP(A588,'Database Claims'!$A:$C,3,)</f>
        <v/>
      </c>
      <c r="C588" s="29">
        <f>B588-B587</f>
        <v/>
      </c>
      <c r="D588" s="29">
        <f>VLOOKUP(A588,'Database Claims'!$A:$C,2,)</f>
        <v/>
      </c>
      <c r="E588" s="29">
        <f>D588-D587</f>
        <v/>
      </c>
    </row>
    <row r="589">
      <c r="A589" s="28" t="n">
        <v>28567</v>
      </c>
      <c r="B589" s="25">
        <f>VLOOKUP(A589,'Database Claims'!$A:$C,3,)</f>
        <v/>
      </c>
      <c r="C589" s="29">
        <f>B589-B588</f>
        <v/>
      </c>
      <c r="D589" s="25">
        <f>VLOOKUP(A589,'Database Claims'!$A:$C,2,)</f>
        <v/>
      </c>
      <c r="E589" s="29">
        <f>D589-D588</f>
        <v/>
      </c>
    </row>
    <row r="590">
      <c r="A590" s="28" t="n">
        <v>28574</v>
      </c>
      <c r="B590" s="29">
        <f>VLOOKUP(A590,'Database Claims'!$A:$C,3,)</f>
        <v/>
      </c>
      <c r="C590" s="29">
        <f>B590-B589</f>
        <v/>
      </c>
      <c r="D590" s="29">
        <f>VLOOKUP(A590,'Database Claims'!$A:$C,2,)</f>
        <v/>
      </c>
      <c r="E590" s="29">
        <f>D590-D589</f>
        <v/>
      </c>
    </row>
    <row r="591">
      <c r="A591" s="28" t="n">
        <v>28581</v>
      </c>
      <c r="B591" s="25">
        <f>VLOOKUP(A591,'Database Claims'!$A:$C,3,)</f>
        <v/>
      </c>
      <c r="C591" s="29">
        <f>B591-B590</f>
        <v/>
      </c>
      <c r="D591" s="25">
        <f>VLOOKUP(A591,'Database Claims'!$A:$C,2,)</f>
        <v/>
      </c>
      <c r="E591" s="29">
        <f>D591-D590</f>
        <v/>
      </c>
    </row>
    <row r="592">
      <c r="A592" s="28" t="n">
        <v>28588</v>
      </c>
      <c r="B592" s="29">
        <f>VLOOKUP(A592,'Database Claims'!$A:$C,3,)</f>
        <v/>
      </c>
      <c r="C592" s="29">
        <f>B592-B591</f>
        <v/>
      </c>
      <c r="D592" s="29">
        <f>VLOOKUP(A592,'Database Claims'!$A:$C,2,)</f>
        <v/>
      </c>
      <c r="E592" s="29">
        <f>D592-D591</f>
        <v/>
      </c>
    </row>
    <row r="593">
      <c r="A593" s="28" t="n">
        <v>28595</v>
      </c>
      <c r="B593" s="25">
        <f>VLOOKUP(A593,'Database Claims'!$A:$C,3,)</f>
        <v/>
      </c>
      <c r="C593" s="29">
        <f>B593-B592</f>
        <v/>
      </c>
      <c r="D593" s="25">
        <f>VLOOKUP(A593,'Database Claims'!$A:$C,2,)</f>
        <v/>
      </c>
      <c r="E593" s="29">
        <f>D593-D592</f>
        <v/>
      </c>
    </row>
    <row r="594">
      <c r="A594" s="28" t="n">
        <v>28602</v>
      </c>
      <c r="B594" s="29">
        <f>VLOOKUP(A594,'Database Claims'!$A:$C,3,)</f>
        <v/>
      </c>
      <c r="C594" s="29">
        <f>B594-B593</f>
        <v/>
      </c>
      <c r="D594" s="29">
        <f>VLOOKUP(A594,'Database Claims'!$A:$C,2,)</f>
        <v/>
      </c>
      <c r="E594" s="29">
        <f>D594-D593</f>
        <v/>
      </c>
    </row>
    <row r="595">
      <c r="A595" s="28" t="n">
        <v>28609</v>
      </c>
      <c r="B595" s="25">
        <f>VLOOKUP(A595,'Database Claims'!$A:$C,3,)</f>
        <v/>
      </c>
      <c r="C595" s="29">
        <f>B595-B594</f>
        <v/>
      </c>
      <c r="D595" s="25">
        <f>VLOOKUP(A595,'Database Claims'!$A:$C,2,)</f>
        <v/>
      </c>
      <c r="E595" s="29">
        <f>D595-D594</f>
        <v/>
      </c>
    </row>
    <row r="596">
      <c r="A596" s="28" t="n">
        <v>28616</v>
      </c>
      <c r="B596" s="29">
        <f>VLOOKUP(A596,'Database Claims'!$A:$C,3,)</f>
        <v/>
      </c>
      <c r="C596" s="29">
        <f>B596-B595</f>
        <v/>
      </c>
      <c r="D596" s="29">
        <f>VLOOKUP(A596,'Database Claims'!$A:$C,2,)</f>
        <v/>
      </c>
      <c r="E596" s="29">
        <f>D596-D595</f>
        <v/>
      </c>
    </row>
    <row r="597">
      <c r="A597" s="28" t="n">
        <v>28623</v>
      </c>
      <c r="B597" s="25">
        <f>VLOOKUP(A597,'Database Claims'!$A:$C,3,)</f>
        <v/>
      </c>
      <c r="C597" s="29">
        <f>B597-B596</f>
        <v/>
      </c>
      <c r="D597" s="25">
        <f>VLOOKUP(A597,'Database Claims'!$A:$C,2,)</f>
        <v/>
      </c>
      <c r="E597" s="29">
        <f>D597-D596</f>
        <v/>
      </c>
    </row>
    <row r="598">
      <c r="A598" s="28" t="n">
        <v>28630</v>
      </c>
      <c r="B598" s="29">
        <f>VLOOKUP(A598,'Database Claims'!$A:$C,3,)</f>
        <v/>
      </c>
      <c r="C598" s="29">
        <f>B598-B597</f>
        <v/>
      </c>
      <c r="D598" s="29">
        <f>VLOOKUP(A598,'Database Claims'!$A:$C,2,)</f>
        <v/>
      </c>
      <c r="E598" s="29">
        <f>D598-D597</f>
        <v/>
      </c>
    </row>
    <row r="599">
      <c r="A599" s="28" t="n">
        <v>28637</v>
      </c>
      <c r="B599" s="25">
        <f>VLOOKUP(A599,'Database Claims'!$A:$C,3,)</f>
        <v/>
      </c>
      <c r="C599" s="29">
        <f>B599-B598</f>
        <v/>
      </c>
      <c r="D599" s="25">
        <f>VLOOKUP(A599,'Database Claims'!$A:$C,2,)</f>
        <v/>
      </c>
      <c r="E599" s="29">
        <f>D599-D598</f>
        <v/>
      </c>
    </row>
    <row r="600">
      <c r="A600" s="28" t="n">
        <v>28644</v>
      </c>
      <c r="B600" s="29">
        <f>VLOOKUP(A600,'Database Claims'!$A:$C,3,)</f>
        <v/>
      </c>
      <c r="C600" s="29">
        <f>B600-B599</f>
        <v/>
      </c>
      <c r="D600" s="29">
        <f>VLOOKUP(A600,'Database Claims'!$A:$C,2,)</f>
        <v/>
      </c>
      <c r="E600" s="29">
        <f>D600-D599</f>
        <v/>
      </c>
    </row>
    <row r="601">
      <c r="A601" s="28" t="n">
        <v>28651</v>
      </c>
      <c r="B601" s="25">
        <f>VLOOKUP(A601,'Database Claims'!$A:$C,3,)</f>
        <v/>
      </c>
      <c r="C601" s="29">
        <f>B601-B600</f>
        <v/>
      </c>
      <c r="D601" s="25">
        <f>VLOOKUP(A601,'Database Claims'!$A:$C,2,)</f>
        <v/>
      </c>
      <c r="E601" s="29">
        <f>D601-D600</f>
        <v/>
      </c>
    </row>
    <row r="602">
      <c r="A602" s="28" t="n">
        <v>28658</v>
      </c>
      <c r="B602" s="29">
        <f>VLOOKUP(A602,'Database Claims'!$A:$C,3,)</f>
        <v/>
      </c>
      <c r="C602" s="29">
        <f>B602-B601</f>
        <v/>
      </c>
      <c r="D602" s="29">
        <f>VLOOKUP(A602,'Database Claims'!$A:$C,2,)</f>
        <v/>
      </c>
      <c r="E602" s="29">
        <f>D602-D601</f>
        <v/>
      </c>
    </row>
    <row r="603">
      <c r="A603" s="28" t="n">
        <v>28665</v>
      </c>
      <c r="B603" s="25">
        <f>VLOOKUP(A603,'Database Claims'!$A:$C,3,)</f>
        <v/>
      </c>
      <c r="C603" s="29">
        <f>B603-B602</f>
        <v/>
      </c>
      <c r="D603" s="25">
        <f>VLOOKUP(A603,'Database Claims'!$A:$C,2,)</f>
        <v/>
      </c>
      <c r="E603" s="29">
        <f>D603-D602</f>
        <v/>
      </c>
    </row>
    <row r="604">
      <c r="A604" s="28" t="n">
        <v>28672</v>
      </c>
      <c r="B604" s="29">
        <f>VLOOKUP(A604,'Database Claims'!$A:$C,3,)</f>
        <v/>
      </c>
      <c r="C604" s="29">
        <f>B604-B603</f>
        <v/>
      </c>
      <c r="D604" s="29">
        <f>VLOOKUP(A604,'Database Claims'!$A:$C,2,)</f>
        <v/>
      </c>
      <c r="E604" s="29">
        <f>D604-D603</f>
        <v/>
      </c>
    </row>
    <row r="605">
      <c r="A605" s="28" t="n">
        <v>28679</v>
      </c>
      <c r="B605" s="25">
        <f>VLOOKUP(A605,'Database Claims'!$A:$C,3,)</f>
        <v/>
      </c>
      <c r="C605" s="29">
        <f>B605-B604</f>
        <v/>
      </c>
      <c r="D605" s="25">
        <f>VLOOKUP(A605,'Database Claims'!$A:$C,2,)</f>
        <v/>
      </c>
      <c r="E605" s="29">
        <f>D605-D604</f>
        <v/>
      </c>
    </row>
    <row r="606">
      <c r="A606" s="28" t="n">
        <v>28686</v>
      </c>
      <c r="B606" s="29">
        <f>VLOOKUP(A606,'Database Claims'!$A:$C,3,)</f>
        <v/>
      </c>
      <c r="C606" s="29">
        <f>B606-B605</f>
        <v/>
      </c>
      <c r="D606" s="29">
        <f>VLOOKUP(A606,'Database Claims'!$A:$C,2,)</f>
        <v/>
      </c>
      <c r="E606" s="29">
        <f>D606-D605</f>
        <v/>
      </c>
    </row>
    <row r="607">
      <c r="A607" s="28" t="n">
        <v>28693</v>
      </c>
      <c r="B607" s="25">
        <f>VLOOKUP(A607,'Database Claims'!$A:$C,3,)</f>
        <v/>
      </c>
      <c r="C607" s="29">
        <f>B607-B606</f>
        <v/>
      </c>
      <c r="D607" s="25">
        <f>VLOOKUP(A607,'Database Claims'!$A:$C,2,)</f>
        <v/>
      </c>
      <c r="E607" s="29">
        <f>D607-D606</f>
        <v/>
      </c>
    </row>
    <row r="608">
      <c r="A608" s="28" t="n">
        <v>28700</v>
      </c>
      <c r="B608" s="29">
        <f>VLOOKUP(A608,'Database Claims'!$A:$C,3,)</f>
        <v/>
      </c>
      <c r="C608" s="29">
        <f>B608-B607</f>
        <v/>
      </c>
      <c r="D608" s="29">
        <f>VLOOKUP(A608,'Database Claims'!$A:$C,2,)</f>
        <v/>
      </c>
      <c r="E608" s="29">
        <f>D608-D607</f>
        <v/>
      </c>
    </row>
    <row r="609">
      <c r="A609" s="28" t="n">
        <v>28707</v>
      </c>
      <c r="B609" s="25">
        <f>VLOOKUP(A609,'Database Claims'!$A:$C,3,)</f>
        <v/>
      </c>
      <c r="C609" s="29">
        <f>B609-B608</f>
        <v/>
      </c>
      <c r="D609" s="25">
        <f>VLOOKUP(A609,'Database Claims'!$A:$C,2,)</f>
        <v/>
      </c>
      <c r="E609" s="29">
        <f>D609-D608</f>
        <v/>
      </c>
    </row>
    <row r="610">
      <c r="A610" s="28" t="n">
        <v>28714</v>
      </c>
      <c r="B610" s="29">
        <f>VLOOKUP(A610,'Database Claims'!$A:$C,3,)</f>
        <v/>
      </c>
      <c r="C610" s="29">
        <f>B610-B609</f>
        <v/>
      </c>
      <c r="D610" s="29">
        <f>VLOOKUP(A610,'Database Claims'!$A:$C,2,)</f>
        <v/>
      </c>
      <c r="E610" s="29">
        <f>D610-D609</f>
        <v/>
      </c>
    </row>
    <row r="611">
      <c r="A611" s="28" t="n">
        <v>28721</v>
      </c>
      <c r="B611" s="25">
        <f>VLOOKUP(A611,'Database Claims'!$A:$C,3,)</f>
        <v/>
      </c>
      <c r="C611" s="29">
        <f>B611-B610</f>
        <v/>
      </c>
      <c r="D611" s="25">
        <f>VLOOKUP(A611,'Database Claims'!$A:$C,2,)</f>
        <v/>
      </c>
      <c r="E611" s="29">
        <f>D611-D610</f>
        <v/>
      </c>
    </row>
    <row r="612">
      <c r="A612" s="28" t="n">
        <v>28728</v>
      </c>
      <c r="B612" s="29">
        <f>VLOOKUP(A612,'Database Claims'!$A:$C,3,)</f>
        <v/>
      </c>
      <c r="C612" s="29">
        <f>B612-B611</f>
        <v/>
      </c>
      <c r="D612" s="29">
        <f>VLOOKUP(A612,'Database Claims'!$A:$C,2,)</f>
        <v/>
      </c>
      <c r="E612" s="29">
        <f>D612-D611</f>
        <v/>
      </c>
    </row>
    <row r="613">
      <c r="A613" s="28" t="n">
        <v>28735</v>
      </c>
      <c r="B613" s="25">
        <f>VLOOKUP(A613,'Database Claims'!$A:$C,3,)</f>
        <v/>
      </c>
      <c r="C613" s="29">
        <f>B613-B612</f>
        <v/>
      </c>
      <c r="D613" s="25">
        <f>VLOOKUP(A613,'Database Claims'!$A:$C,2,)</f>
        <v/>
      </c>
      <c r="E613" s="29">
        <f>D613-D612</f>
        <v/>
      </c>
    </row>
    <row r="614">
      <c r="A614" s="28" t="n">
        <v>28742</v>
      </c>
      <c r="B614" s="29">
        <f>VLOOKUP(A614,'Database Claims'!$A:$C,3,)</f>
        <v/>
      </c>
      <c r="C614" s="29">
        <f>B614-B613</f>
        <v/>
      </c>
      <c r="D614" s="29">
        <f>VLOOKUP(A614,'Database Claims'!$A:$C,2,)</f>
        <v/>
      </c>
      <c r="E614" s="29">
        <f>D614-D613</f>
        <v/>
      </c>
    </row>
    <row r="615">
      <c r="A615" s="28" t="n">
        <v>28749</v>
      </c>
      <c r="B615" s="25">
        <f>VLOOKUP(A615,'Database Claims'!$A:$C,3,)</f>
        <v/>
      </c>
      <c r="C615" s="29">
        <f>B615-B614</f>
        <v/>
      </c>
      <c r="D615" s="25">
        <f>VLOOKUP(A615,'Database Claims'!$A:$C,2,)</f>
        <v/>
      </c>
      <c r="E615" s="29">
        <f>D615-D614</f>
        <v/>
      </c>
    </row>
    <row r="616">
      <c r="A616" s="28" t="n">
        <v>28756</v>
      </c>
      <c r="B616" s="29">
        <f>VLOOKUP(A616,'Database Claims'!$A:$C,3,)</f>
        <v/>
      </c>
      <c r="C616" s="29">
        <f>B616-B615</f>
        <v/>
      </c>
      <c r="D616" s="29">
        <f>VLOOKUP(A616,'Database Claims'!$A:$C,2,)</f>
        <v/>
      </c>
      <c r="E616" s="29">
        <f>D616-D615</f>
        <v/>
      </c>
    </row>
    <row r="617">
      <c r="A617" s="28" t="n">
        <v>28763</v>
      </c>
      <c r="B617" s="25">
        <f>VLOOKUP(A617,'Database Claims'!$A:$C,3,)</f>
        <v/>
      </c>
      <c r="C617" s="29">
        <f>B617-B616</f>
        <v/>
      </c>
      <c r="D617" s="25">
        <f>VLOOKUP(A617,'Database Claims'!$A:$C,2,)</f>
        <v/>
      </c>
      <c r="E617" s="29">
        <f>D617-D616</f>
        <v/>
      </c>
    </row>
    <row r="618">
      <c r="A618" s="28" t="n">
        <v>28770</v>
      </c>
      <c r="B618" s="29">
        <f>VLOOKUP(A618,'Database Claims'!$A:$C,3,)</f>
        <v/>
      </c>
      <c r="C618" s="29">
        <f>B618-B617</f>
        <v/>
      </c>
      <c r="D618" s="29">
        <f>VLOOKUP(A618,'Database Claims'!$A:$C,2,)</f>
        <v/>
      </c>
      <c r="E618" s="29">
        <f>D618-D617</f>
        <v/>
      </c>
    </row>
    <row r="619">
      <c r="A619" s="28" t="n">
        <v>28777</v>
      </c>
      <c r="B619" s="25">
        <f>VLOOKUP(A619,'Database Claims'!$A:$C,3,)</f>
        <v/>
      </c>
      <c r="C619" s="29">
        <f>B619-B618</f>
        <v/>
      </c>
      <c r="D619" s="25">
        <f>VLOOKUP(A619,'Database Claims'!$A:$C,2,)</f>
        <v/>
      </c>
      <c r="E619" s="29">
        <f>D619-D618</f>
        <v/>
      </c>
    </row>
    <row r="620">
      <c r="A620" s="28" t="n">
        <v>28784</v>
      </c>
      <c r="B620" s="29">
        <f>VLOOKUP(A620,'Database Claims'!$A:$C,3,)</f>
        <v/>
      </c>
      <c r="C620" s="29">
        <f>B620-B619</f>
        <v/>
      </c>
      <c r="D620" s="29">
        <f>VLOOKUP(A620,'Database Claims'!$A:$C,2,)</f>
        <v/>
      </c>
      <c r="E620" s="29">
        <f>D620-D619</f>
        <v/>
      </c>
    </row>
    <row r="621">
      <c r="A621" s="28" t="n">
        <v>28791</v>
      </c>
      <c r="B621" s="25">
        <f>VLOOKUP(A621,'Database Claims'!$A:$C,3,)</f>
        <v/>
      </c>
      <c r="C621" s="29">
        <f>B621-B620</f>
        <v/>
      </c>
      <c r="D621" s="25">
        <f>VLOOKUP(A621,'Database Claims'!$A:$C,2,)</f>
        <v/>
      </c>
      <c r="E621" s="29">
        <f>D621-D620</f>
        <v/>
      </c>
    </row>
    <row r="622">
      <c r="A622" s="28" t="n">
        <v>28798</v>
      </c>
      <c r="B622" s="29">
        <f>VLOOKUP(A622,'Database Claims'!$A:$C,3,)</f>
        <v/>
      </c>
      <c r="C622" s="29">
        <f>B622-B621</f>
        <v/>
      </c>
      <c r="D622" s="29">
        <f>VLOOKUP(A622,'Database Claims'!$A:$C,2,)</f>
        <v/>
      </c>
      <c r="E622" s="29">
        <f>D622-D621</f>
        <v/>
      </c>
    </row>
    <row r="623">
      <c r="A623" s="28" t="n">
        <v>28805</v>
      </c>
      <c r="B623" s="25">
        <f>VLOOKUP(A623,'Database Claims'!$A:$C,3,)</f>
        <v/>
      </c>
      <c r="C623" s="29">
        <f>B623-B622</f>
        <v/>
      </c>
      <c r="D623" s="25">
        <f>VLOOKUP(A623,'Database Claims'!$A:$C,2,)</f>
        <v/>
      </c>
      <c r="E623" s="29">
        <f>D623-D622</f>
        <v/>
      </c>
    </row>
    <row r="624">
      <c r="A624" s="28" t="n">
        <v>28812</v>
      </c>
      <c r="B624" s="29">
        <f>VLOOKUP(A624,'Database Claims'!$A:$C,3,)</f>
        <v/>
      </c>
      <c r="C624" s="29">
        <f>B624-B623</f>
        <v/>
      </c>
      <c r="D624" s="29">
        <f>VLOOKUP(A624,'Database Claims'!$A:$C,2,)</f>
        <v/>
      </c>
      <c r="E624" s="29">
        <f>D624-D623</f>
        <v/>
      </c>
    </row>
    <row r="625">
      <c r="A625" s="28" t="n">
        <v>28819</v>
      </c>
      <c r="B625" s="25">
        <f>VLOOKUP(A625,'Database Claims'!$A:$C,3,)</f>
        <v/>
      </c>
      <c r="C625" s="29">
        <f>B625-B624</f>
        <v/>
      </c>
      <c r="D625" s="25">
        <f>VLOOKUP(A625,'Database Claims'!$A:$C,2,)</f>
        <v/>
      </c>
      <c r="E625" s="29">
        <f>D625-D624</f>
        <v/>
      </c>
    </row>
    <row r="626">
      <c r="A626" s="28" t="n">
        <v>28826</v>
      </c>
      <c r="B626" s="29">
        <f>VLOOKUP(A626,'Database Claims'!$A:$C,3,)</f>
        <v/>
      </c>
      <c r="C626" s="29">
        <f>B626-B625</f>
        <v/>
      </c>
      <c r="D626" s="29">
        <f>VLOOKUP(A626,'Database Claims'!$A:$C,2,)</f>
        <v/>
      </c>
      <c r="E626" s="29">
        <f>D626-D625</f>
        <v/>
      </c>
    </row>
    <row r="627">
      <c r="A627" s="28" t="n">
        <v>28833</v>
      </c>
      <c r="B627" s="25">
        <f>VLOOKUP(A627,'Database Claims'!$A:$C,3,)</f>
        <v/>
      </c>
      <c r="C627" s="29">
        <f>B627-B626</f>
        <v/>
      </c>
      <c r="D627" s="25">
        <f>VLOOKUP(A627,'Database Claims'!$A:$C,2,)</f>
        <v/>
      </c>
      <c r="E627" s="29">
        <f>D627-D626</f>
        <v/>
      </c>
    </row>
    <row r="628">
      <c r="A628" s="28" t="n">
        <v>28840</v>
      </c>
      <c r="B628" s="29">
        <f>VLOOKUP(A628,'Database Claims'!$A:$C,3,)</f>
        <v/>
      </c>
      <c r="C628" s="29">
        <f>B628-B627</f>
        <v/>
      </c>
      <c r="D628" s="29">
        <f>VLOOKUP(A628,'Database Claims'!$A:$C,2,)</f>
        <v/>
      </c>
      <c r="E628" s="29">
        <f>D628-D627</f>
        <v/>
      </c>
    </row>
    <row r="629">
      <c r="A629" s="28" t="n">
        <v>28847</v>
      </c>
      <c r="B629" s="25">
        <f>VLOOKUP(A629,'Database Claims'!$A:$C,3,)</f>
        <v/>
      </c>
      <c r="C629" s="29">
        <f>B629-B628</f>
        <v/>
      </c>
      <c r="D629" s="25">
        <f>VLOOKUP(A629,'Database Claims'!$A:$C,2,)</f>
        <v/>
      </c>
      <c r="E629" s="29">
        <f>D629-D628</f>
        <v/>
      </c>
    </row>
    <row r="630">
      <c r="A630" s="28" t="n">
        <v>28854</v>
      </c>
      <c r="B630" s="29">
        <f>VLOOKUP(A630,'Database Claims'!$A:$C,3,)</f>
        <v/>
      </c>
      <c r="C630" s="29">
        <f>B630-B629</f>
        <v/>
      </c>
      <c r="D630" s="29">
        <f>VLOOKUP(A630,'Database Claims'!$A:$C,2,)</f>
        <v/>
      </c>
      <c r="E630" s="29">
        <f>D630-D629</f>
        <v/>
      </c>
    </row>
    <row r="631">
      <c r="A631" s="28" t="n">
        <v>28861</v>
      </c>
      <c r="B631" s="25">
        <f>VLOOKUP(A631,'Database Claims'!$A:$C,3,)</f>
        <v/>
      </c>
      <c r="C631" s="29">
        <f>B631-B630</f>
        <v/>
      </c>
      <c r="D631" s="25">
        <f>VLOOKUP(A631,'Database Claims'!$A:$C,2,)</f>
        <v/>
      </c>
      <c r="E631" s="29">
        <f>D631-D630</f>
        <v/>
      </c>
    </row>
    <row r="632">
      <c r="A632" s="28" t="n">
        <v>28868</v>
      </c>
      <c r="B632" s="29">
        <f>VLOOKUP(A632,'Database Claims'!$A:$C,3,)</f>
        <v/>
      </c>
      <c r="C632" s="29">
        <f>B632-B631</f>
        <v/>
      </c>
      <c r="D632" s="29">
        <f>VLOOKUP(A632,'Database Claims'!$A:$C,2,)</f>
        <v/>
      </c>
      <c r="E632" s="29">
        <f>D632-D631</f>
        <v/>
      </c>
    </row>
    <row r="633">
      <c r="A633" s="28" t="n">
        <v>28875</v>
      </c>
      <c r="B633" s="25">
        <f>VLOOKUP(A633,'Database Claims'!$A:$C,3,)</f>
        <v/>
      </c>
      <c r="C633" s="29">
        <f>B633-B632</f>
        <v/>
      </c>
      <c r="D633" s="25">
        <f>VLOOKUP(A633,'Database Claims'!$A:$C,2,)</f>
        <v/>
      </c>
      <c r="E633" s="29">
        <f>D633-D632</f>
        <v/>
      </c>
    </row>
    <row r="634">
      <c r="A634" s="28" t="n">
        <v>28882</v>
      </c>
      <c r="B634" s="29">
        <f>VLOOKUP(A634,'Database Claims'!$A:$C,3,)</f>
        <v/>
      </c>
      <c r="C634" s="29">
        <f>B634-B633</f>
        <v/>
      </c>
      <c r="D634" s="29">
        <f>VLOOKUP(A634,'Database Claims'!$A:$C,2,)</f>
        <v/>
      </c>
      <c r="E634" s="29">
        <f>D634-D633</f>
        <v/>
      </c>
    </row>
    <row r="635">
      <c r="A635" s="28" t="n">
        <v>28889</v>
      </c>
      <c r="B635" s="25">
        <f>VLOOKUP(A635,'Database Claims'!$A:$C,3,)</f>
        <v/>
      </c>
      <c r="C635" s="29">
        <f>B635-B634</f>
        <v/>
      </c>
      <c r="D635" s="25">
        <f>VLOOKUP(A635,'Database Claims'!$A:$C,2,)</f>
        <v/>
      </c>
      <c r="E635" s="29">
        <f>D635-D634</f>
        <v/>
      </c>
    </row>
    <row r="636">
      <c r="A636" s="28" t="n">
        <v>28896</v>
      </c>
      <c r="B636" s="29">
        <f>VLOOKUP(A636,'Database Claims'!$A:$C,3,)</f>
        <v/>
      </c>
      <c r="C636" s="29">
        <f>B636-B635</f>
        <v/>
      </c>
      <c r="D636" s="29">
        <f>VLOOKUP(A636,'Database Claims'!$A:$C,2,)</f>
        <v/>
      </c>
      <c r="E636" s="29">
        <f>D636-D635</f>
        <v/>
      </c>
    </row>
    <row r="637">
      <c r="A637" s="28" t="n">
        <v>28903</v>
      </c>
      <c r="B637" s="25">
        <f>VLOOKUP(A637,'Database Claims'!$A:$C,3,)</f>
        <v/>
      </c>
      <c r="C637" s="29">
        <f>B637-B636</f>
        <v/>
      </c>
      <c r="D637" s="25">
        <f>VLOOKUP(A637,'Database Claims'!$A:$C,2,)</f>
        <v/>
      </c>
      <c r="E637" s="29">
        <f>D637-D636</f>
        <v/>
      </c>
    </row>
    <row r="638">
      <c r="A638" s="28" t="n">
        <v>28910</v>
      </c>
      <c r="B638" s="29">
        <f>VLOOKUP(A638,'Database Claims'!$A:$C,3,)</f>
        <v/>
      </c>
      <c r="C638" s="29">
        <f>B638-B637</f>
        <v/>
      </c>
      <c r="D638" s="29">
        <f>VLOOKUP(A638,'Database Claims'!$A:$C,2,)</f>
        <v/>
      </c>
      <c r="E638" s="29">
        <f>D638-D637</f>
        <v/>
      </c>
    </row>
    <row r="639">
      <c r="A639" s="28" t="n">
        <v>28917</v>
      </c>
      <c r="B639" s="25">
        <f>VLOOKUP(A639,'Database Claims'!$A:$C,3,)</f>
        <v/>
      </c>
      <c r="C639" s="29">
        <f>B639-B638</f>
        <v/>
      </c>
      <c r="D639" s="25">
        <f>VLOOKUP(A639,'Database Claims'!$A:$C,2,)</f>
        <v/>
      </c>
      <c r="E639" s="29">
        <f>D639-D638</f>
        <v/>
      </c>
    </row>
    <row r="640">
      <c r="A640" s="28" t="n">
        <v>28924</v>
      </c>
      <c r="B640" s="29">
        <f>VLOOKUP(A640,'Database Claims'!$A:$C,3,)</f>
        <v/>
      </c>
      <c r="C640" s="29">
        <f>B640-B639</f>
        <v/>
      </c>
      <c r="D640" s="29">
        <f>VLOOKUP(A640,'Database Claims'!$A:$C,2,)</f>
        <v/>
      </c>
      <c r="E640" s="29">
        <f>D640-D639</f>
        <v/>
      </c>
    </row>
    <row r="641">
      <c r="A641" s="28" t="n">
        <v>28931</v>
      </c>
      <c r="B641" s="25">
        <f>VLOOKUP(A641,'Database Claims'!$A:$C,3,)</f>
        <v/>
      </c>
      <c r="C641" s="29">
        <f>B641-B640</f>
        <v/>
      </c>
      <c r="D641" s="25">
        <f>VLOOKUP(A641,'Database Claims'!$A:$C,2,)</f>
        <v/>
      </c>
      <c r="E641" s="29">
        <f>D641-D640</f>
        <v/>
      </c>
    </row>
    <row r="642">
      <c r="A642" s="28" t="n">
        <v>28938</v>
      </c>
      <c r="B642" s="29">
        <f>VLOOKUP(A642,'Database Claims'!$A:$C,3,)</f>
        <v/>
      </c>
      <c r="C642" s="29">
        <f>B642-B641</f>
        <v/>
      </c>
      <c r="D642" s="29">
        <f>VLOOKUP(A642,'Database Claims'!$A:$C,2,)</f>
        <v/>
      </c>
      <c r="E642" s="29">
        <f>D642-D641</f>
        <v/>
      </c>
    </row>
    <row r="643">
      <c r="A643" s="28" t="n">
        <v>28945</v>
      </c>
      <c r="B643" s="25">
        <f>VLOOKUP(A643,'Database Claims'!$A:$C,3,)</f>
        <v/>
      </c>
      <c r="C643" s="29">
        <f>B643-B642</f>
        <v/>
      </c>
      <c r="D643" s="25">
        <f>VLOOKUP(A643,'Database Claims'!$A:$C,2,)</f>
        <v/>
      </c>
      <c r="E643" s="29">
        <f>D643-D642</f>
        <v/>
      </c>
    </row>
    <row r="644">
      <c r="A644" s="28" t="n">
        <v>28952</v>
      </c>
      <c r="B644" s="29">
        <f>VLOOKUP(A644,'Database Claims'!$A:$C,3,)</f>
        <v/>
      </c>
      <c r="C644" s="29">
        <f>B644-B643</f>
        <v/>
      </c>
      <c r="D644" s="29">
        <f>VLOOKUP(A644,'Database Claims'!$A:$C,2,)</f>
        <v/>
      </c>
      <c r="E644" s="29">
        <f>D644-D643</f>
        <v/>
      </c>
    </row>
    <row r="645">
      <c r="A645" s="28" t="n">
        <v>28959</v>
      </c>
      <c r="B645" s="25">
        <f>VLOOKUP(A645,'Database Claims'!$A:$C,3,)</f>
        <v/>
      </c>
      <c r="C645" s="29">
        <f>B645-B644</f>
        <v/>
      </c>
      <c r="D645" s="25">
        <f>VLOOKUP(A645,'Database Claims'!$A:$C,2,)</f>
        <v/>
      </c>
      <c r="E645" s="29">
        <f>D645-D644</f>
        <v/>
      </c>
    </row>
    <row r="646">
      <c r="A646" s="28" t="n">
        <v>28966</v>
      </c>
      <c r="B646" s="29">
        <f>VLOOKUP(A646,'Database Claims'!$A:$C,3,)</f>
        <v/>
      </c>
      <c r="C646" s="29">
        <f>B646-B645</f>
        <v/>
      </c>
      <c r="D646" s="29">
        <f>VLOOKUP(A646,'Database Claims'!$A:$C,2,)</f>
        <v/>
      </c>
      <c r="E646" s="29">
        <f>D646-D645</f>
        <v/>
      </c>
    </row>
    <row r="647">
      <c r="A647" s="28" t="n">
        <v>28973</v>
      </c>
      <c r="B647" s="25">
        <f>VLOOKUP(A647,'Database Claims'!$A:$C,3,)</f>
        <v/>
      </c>
      <c r="C647" s="29">
        <f>B647-B646</f>
        <v/>
      </c>
      <c r="D647" s="25">
        <f>VLOOKUP(A647,'Database Claims'!$A:$C,2,)</f>
        <v/>
      </c>
      <c r="E647" s="29">
        <f>D647-D646</f>
        <v/>
      </c>
    </row>
    <row r="648">
      <c r="A648" s="28" t="n">
        <v>28980</v>
      </c>
      <c r="B648" s="29">
        <f>VLOOKUP(A648,'Database Claims'!$A:$C,3,)</f>
        <v/>
      </c>
      <c r="C648" s="29">
        <f>B648-B647</f>
        <v/>
      </c>
      <c r="D648" s="29">
        <f>VLOOKUP(A648,'Database Claims'!$A:$C,2,)</f>
        <v/>
      </c>
      <c r="E648" s="29">
        <f>D648-D647</f>
        <v/>
      </c>
    </row>
    <row r="649">
      <c r="A649" s="28" t="n">
        <v>28987</v>
      </c>
      <c r="B649" s="25">
        <f>VLOOKUP(A649,'Database Claims'!$A:$C,3,)</f>
        <v/>
      </c>
      <c r="C649" s="29">
        <f>B649-B648</f>
        <v/>
      </c>
      <c r="D649" s="25">
        <f>VLOOKUP(A649,'Database Claims'!$A:$C,2,)</f>
        <v/>
      </c>
      <c r="E649" s="29">
        <f>D649-D648</f>
        <v/>
      </c>
    </row>
    <row r="650">
      <c r="A650" s="28" t="n">
        <v>28994</v>
      </c>
      <c r="B650" s="29">
        <f>VLOOKUP(A650,'Database Claims'!$A:$C,3,)</f>
        <v/>
      </c>
      <c r="C650" s="29">
        <f>B650-B649</f>
        <v/>
      </c>
      <c r="D650" s="29">
        <f>VLOOKUP(A650,'Database Claims'!$A:$C,2,)</f>
        <v/>
      </c>
      <c r="E650" s="29">
        <f>D650-D649</f>
        <v/>
      </c>
    </row>
    <row r="651">
      <c r="A651" s="28" t="n">
        <v>29001</v>
      </c>
      <c r="B651" s="25">
        <f>VLOOKUP(A651,'Database Claims'!$A:$C,3,)</f>
        <v/>
      </c>
      <c r="C651" s="29">
        <f>B651-B650</f>
        <v/>
      </c>
      <c r="D651" s="25">
        <f>VLOOKUP(A651,'Database Claims'!$A:$C,2,)</f>
        <v/>
      </c>
      <c r="E651" s="29">
        <f>D651-D650</f>
        <v/>
      </c>
    </row>
    <row r="652">
      <c r="A652" s="28" t="n">
        <v>29008</v>
      </c>
      <c r="B652" s="29">
        <f>VLOOKUP(A652,'Database Claims'!$A:$C,3,)</f>
        <v/>
      </c>
      <c r="C652" s="29">
        <f>B652-B651</f>
        <v/>
      </c>
      <c r="D652" s="29">
        <f>VLOOKUP(A652,'Database Claims'!$A:$C,2,)</f>
        <v/>
      </c>
      <c r="E652" s="29">
        <f>D652-D651</f>
        <v/>
      </c>
    </row>
    <row r="653">
      <c r="A653" s="28" t="n">
        <v>29015</v>
      </c>
      <c r="B653" s="25">
        <f>VLOOKUP(A653,'Database Claims'!$A:$C,3,)</f>
        <v/>
      </c>
      <c r="C653" s="29">
        <f>B653-B652</f>
        <v/>
      </c>
      <c r="D653" s="25">
        <f>VLOOKUP(A653,'Database Claims'!$A:$C,2,)</f>
        <v/>
      </c>
      <c r="E653" s="29">
        <f>D653-D652</f>
        <v/>
      </c>
    </row>
    <row r="654">
      <c r="A654" s="28" t="n">
        <v>29022</v>
      </c>
      <c r="B654" s="29">
        <f>VLOOKUP(A654,'Database Claims'!$A:$C,3,)</f>
        <v/>
      </c>
      <c r="C654" s="29">
        <f>B654-B653</f>
        <v/>
      </c>
      <c r="D654" s="29">
        <f>VLOOKUP(A654,'Database Claims'!$A:$C,2,)</f>
        <v/>
      </c>
      <c r="E654" s="29">
        <f>D654-D653</f>
        <v/>
      </c>
    </row>
    <row r="655">
      <c r="A655" s="28" t="n">
        <v>29029</v>
      </c>
      <c r="B655" s="25">
        <f>VLOOKUP(A655,'Database Claims'!$A:$C,3,)</f>
        <v/>
      </c>
      <c r="C655" s="29">
        <f>B655-B654</f>
        <v/>
      </c>
      <c r="D655" s="25">
        <f>VLOOKUP(A655,'Database Claims'!$A:$C,2,)</f>
        <v/>
      </c>
      <c r="E655" s="29">
        <f>D655-D654</f>
        <v/>
      </c>
    </row>
    <row r="656">
      <c r="A656" s="28" t="n">
        <v>29036</v>
      </c>
      <c r="B656" s="29">
        <f>VLOOKUP(A656,'Database Claims'!$A:$C,3,)</f>
        <v/>
      </c>
      <c r="C656" s="29">
        <f>B656-B655</f>
        <v/>
      </c>
      <c r="D656" s="29">
        <f>VLOOKUP(A656,'Database Claims'!$A:$C,2,)</f>
        <v/>
      </c>
      <c r="E656" s="29">
        <f>D656-D655</f>
        <v/>
      </c>
    </row>
    <row r="657">
      <c r="A657" s="28" t="n">
        <v>29043</v>
      </c>
      <c r="B657" s="25">
        <f>VLOOKUP(A657,'Database Claims'!$A:$C,3,)</f>
        <v/>
      </c>
      <c r="C657" s="29">
        <f>B657-B656</f>
        <v/>
      </c>
      <c r="D657" s="25">
        <f>VLOOKUP(A657,'Database Claims'!$A:$C,2,)</f>
        <v/>
      </c>
      <c r="E657" s="29">
        <f>D657-D656</f>
        <v/>
      </c>
    </row>
    <row r="658">
      <c r="A658" s="28" t="n">
        <v>29050</v>
      </c>
      <c r="B658" s="29">
        <f>VLOOKUP(A658,'Database Claims'!$A:$C,3,)</f>
        <v/>
      </c>
      <c r="C658" s="29">
        <f>B658-B657</f>
        <v/>
      </c>
      <c r="D658" s="29">
        <f>VLOOKUP(A658,'Database Claims'!$A:$C,2,)</f>
        <v/>
      </c>
      <c r="E658" s="29">
        <f>D658-D657</f>
        <v/>
      </c>
    </row>
    <row r="659">
      <c r="A659" s="28" t="n">
        <v>29057</v>
      </c>
      <c r="B659" s="25">
        <f>VLOOKUP(A659,'Database Claims'!$A:$C,3,)</f>
        <v/>
      </c>
      <c r="C659" s="29">
        <f>B659-B658</f>
        <v/>
      </c>
      <c r="D659" s="25">
        <f>VLOOKUP(A659,'Database Claims'!$A:$C,2,)</f>
        <v/>
      </c>
      <c r="E659" s="29">
        <f>D659-D658</f>
        <v/>
      </c>
    </row>
    <row r="660">
      <c r="A660" s="28" t="n">
        <v>29064</v>
      </c>
      <c r="B660" s="29">
        <f>VLOOKUP(A660,'Database Claims'!$A:$C,3,)</f>
        <v/>
      </c>
      <c r="C660" s="29">
        <f>B660-B659</f>
        <v/>
      </c>
      <c r="D660" s="29">
        <f>VLOOKUP(A660,'Database Claims'!$A:$C,2,)</f>
        <v/>
      </c>
      <c r="E660" s="29">
        <f>D660-D659</f>
        <v/>
      </c>
    </row>
    <row r="661">
      <c r="A661" s="28" t="n">
        <v>29071</v>
      </c>
      <c r="B661" s="25">
        <f>VLOOKUP(A661,'Database Claims'!$A:$C,3,)</f>
        <v/>
      </c>
      <c r="C661" s="29">
        <f>B661-B660</f>
        <v/>
      </c>
      <c r="D661" s="25">
        <f>VLOOKUP(A661,'Database Claims'!$A:$C,2,)</f>
        <v/>
      </c>
      <c r="E661" s="29">
        <f>D661-D660</f>
        <v/>
      </c>
    </row>
    <row r="662">
      <c r="A662" s="28" t="n">
        <v>29078</v>
      </c>
      <c r="B662" s="29">
        <f>VLOOKUP(A662,'Database Claims'!$A:$C,3,)</f>
        <v/>
      </c>
      <c r="C662" s="29">
        <f>B662-B661</f>
        <v/>
      </c>
      <c r="D662" s="29">
        <f>VLOOKUP(A662,'Database Claims'!$A:$C,2,)</f>
        <v/>
      </c>
      <c r="E662" s="29">
        <f>D662-D661</f>
        <v/>
      </c>
    </row>
    <row r="663">
      <c r="A663" s="28" t="n">
        <v>29085</v>
      </c>
      <c r="B663" s="25">
        <f>VLOOKUP(A663,'Database Claims'!$A:$C,3,)</f>
        <v/>
      </c>
      <c r="C663" s="29">
        <f>B663-B662</f>
        <v/>
      </c>
      <c r="D663" s="25">
        <f>VLOOKUP(A663,'Database Claims'!$A:$C,2,)</f>
        <v/>
      </c>
      <c r="E663" s="29">
        <f>D663-D662</f>
        <v/>
      </c>
    </row>
    <row r="664">
      <c r="A664" s="28" t="n">
        <v>29092</v>
      </c>
      <c r="B664" s="29">
        <f>VLOOKUP(A664,'Database Claims'!$A:$C,3,)</f>
        <v/>
      </c>
      <c r="C664" s="29">
        <f>B664-B663</f>
        <v/>
      </c>
      <c r="D664" s="29">
        <f>VLOOKUP(A664,'Database Claims'!$A:$C,2,)</f>
        <v/>
      </c>
      <c r="E664" s="29">
        <f>D664-D663</f>
        <v/>
      </c>
    </row>
    <row r="665">
      <c r="A665" s="28" t="n">
        <v>29099</v>
      </c>
      <c r="B665" s="25">
        <f>VLOOKUP(A665,'Database Claims'!$A:$C,3,)</f>
        <v/>
      </c>
      <c r="C665" s="29">
        <f>B665-B664</f>
        <v/>
      </c>
      <c r="D665" s="25">
        <f>VLOOKUP(A665,'Database Claims'!$A:$C,2,)</f>
        <v/>
      </c>
      <c r="E665" s="29">
        <f>D665-D664</f>
        <v/>
      </c>
    </row>
    <row r="666">
      <c r="A666" s="28" t="n">
        <v>29106</v>
      </c>
      <c r="B666" s="29">
        <f>VLOOKUP(A666,'Database Claims'!$A:$C,3,)</f>
        <v/>
      </c>
      <c r="C666" s="29">
        <f>B666-B665</f>
        <v/>
      </c>
      <c r="D666" s="29">
        <f>VLOOKUP(A666,'Database Claims'!$A:$C,2,)</f>
        <v/>
      </c>
      <c r="E666" s="29">
        <f>D666-D665</f>
        <v/>
      </c>
    </row>
    <row r="667">
      <c r="A667" s="28" t="n">
        <v>29113</v>
      </c>
      <c r="B667" s="25">
        <f>VLOOKUP(A667,'Database Claims'!$A:$C,3,)</f>
        <v/>
      </c>
      <c r="C667" s="29">
        <f>B667-B666</f>
        <v/>
      </c>
      <c r="D667" s="25">
        <f>VLOOKUP(A667,'Database Claims'!$A:$C,2,)</f>
        <v/>
      </c>
      <c r="E667" s="29">
        <f>D667-D666</f>
        <v/>
      </c>
    </row>
    <row r="668">
      <c r="A668" s="28" t="n">
        <v>29120</v>
      </c>
      <c r="B668" s="29">
        <f>VLOOKUP(A668,'Database Claims'!$A:$C,3,)</f>
        <v/>
      </c>
      <c r="C668" s="29">
        <f>B668-B667</f>
        <v/>
      </c>
      <c r="D668" s="29">
        <f>VLOOKUP(A668,'Database Claims'!$A:$C,2,)</f>
        <v/>
      </c>
      <c r="E668" s="29">
        <f>D668-D667</f>
        <v/>
      </c>
    </row>
    <row r="669">
      <c r="A669" s="28" t="n">
        <v>29127</v>
      </c>
      <c r="B669" s="25">
        <f>VLOOKUP(A669,'Database Claims'!$A:$C,3,)</f>
        <v/>
      </c>
      <c r="C669" s="29">
        <f>B669-B668</f>
        <v/>
      </c>
      <c r="D669" s="25">
        <f>VLOOKUP(A669,'Database Claims'!$A:$C,2,)</f>
        <v/>
      </c>
      <c r="E669" s="29">
        <f>D669-D668</f>
        <v/>
      </c>
    </row>
    <row r="670">
      <c r="A670" s="28" t="n">
        <v>29134</v>
      </c>
      <c r="B670" s="29">
        <f>VLOOKUP(A670,'Database Claims'!$A:$C,3,)</f>
        <v/>
      </c>
      <c r="C670" s="29">
        <f>B670-B669</f>
        <v/>
      </c>
      <c r="D670" s="29">
        <f>VLOOKUP(A670,'Database Claims'!$A:$C,2,)</f>
        <v/>
      </c>
      <c r="E670" s="29">
        <f>D670-D669</f>
        <v/>
      </c>
    </row>
    <row r="671">
      <c r="A671" s="28" t="n">
        <v>29141</v>
      </c>
      <c r="B671" s="25">
        <f>VLOOKUP(A671,'Database Claims'!$A:$C,3,)</f>
        <v/>
      </c>
      <c r="C671" s="29">
        <f>B671-B670</f>
        <v/>
      </c>
      <c r="D671" s="25">
        <f>VLOOKUP(A671,'Database Claims'!$A:$C,2,)</f>
        <v/>
      </c>
      <c r="E671" s="29">
        <f>D671-D670</f>
        <v/>
      </c>
    </row>
    <row r="672">
      <c r="A672" s="28" t="n">
        <v>29148</v>
      </c>
      <c r="B672" s="29">
        <f>VLOOKUP(A672,'Database Claims'!$A:$C,3,)</f>
        <v/>
      </c>
      <c r="C672" s="29">
        <f>B672-B671</f>
        <v/>
      </c>
      <c r="D672" s="29">
        <f>VLOOKUP(A672,'Database Claims'!$A:$C,2,)</f>
        <v/>
      </c>
      <c r="E672" s="29">
        <f>D672-D671</f>
        <v/>
      </c>
    </row>
    <row r="673">
      <c r="A673" s="28" t="n">
        <v>29155</v>
      </c>
      <c r="B673" s="25">
        <f>VLOOKUP(A673,'Database Claims'!$A:$C,3,)</f>
        <v/>
      </c>
      <c r="C673" s="29">
        <f>B673-B672</f>
        <v/>
      </c>
      <c r="D673" s="25">
        <f>VLOOKUP(A673,'Database Claims'!$A:$C,2,)</f>
        <v/>
      </c>
      <c r="E673" s="29">
        <f>D673-D672</f>
        <v/>
      </c>
    </row>
    <row r="674">
      <c r="A674" s="28" t="n">
        <v>29162</v>
      </c>
      <c r="B674" s="29">
        <f>VLOOKUP(A674,'Database Claims'!$A:$C,3,)</f>
        <v/>
      </c>
      <c r="C674" s="29">
        <f>B674-B673</f>
        <v/>
      </c>
      <c r="D674" s="29">
        <f>VLOOKUP(A674,'Database Claims'!$A:$C,2,)</f>
        <v/>
      </c>
      <c r="E674" s="29">
        <f>D674-D673</f>
        <v/>
      </c>
    </row>
    <row r="675">
      <c r="A675" s="28" t="n">
        <v>29169</v>
      </c>
      <c r="B675" s="25">
        <f>VLOOKUP(A675,'Database Claims'!$A:$C,3,)</f>
        <v/>
      </c>
      <c r="C675" s="29">
        <f>B675-B674</f>
        <v/>
      </c>
      <c r="D675" s="25">
        <f>VLOOKUP(A675,'Database Claims'!$A:$C,2,)</f>
        <v/>
      </c>
      <c r="E675" s="29">
        <f>D675-D674</f>
        <v/>
      </c>
    </row>
    <row r="676">
      <c r="A676" s="28" t="n">
        <v>29176</v>
      </c>
      <c r="B676" s="29">
        <f>VLOOKUP(A676,'Database Claims'!$A:$C,3,)</f>
        <v/>
      </c>
      <c r="C676" s="29">
        <f>B676-B675</f>
        <v/>
      </c>
      <c r="D676" s="29">
        <f>VLOOKUP(A676,'Database Claims'!$A:$C,2,)</f>
        <v/>
      </c>
      <c r="E676" s="29">
        <f>D676-D675</f>
        <v/>
      </c>
    </row>
    <row r="677">
      <c r="A677" s="28" t="n">
        <v>29183</v>
      </c>
      <c r="B677" s="25">
        <f>VLOOKUP(A677,'Database Claims'!$A:$C,3,)</f>
        <v/>
      </c>
      <c r="C677" s="29">
        <f>B677-B676</f>
        <v/>
      </c>
      <c r="D677" s="25">
        <f>VLOOKUP(A677,'Database Claims'!$A:$C,2,)</f>
        <v/>
      </c>
      <c r="E677" s="29">
        <f>D677-D676</f>
        <v/>
      </c>
    </row>
    <row r="678">
      <c r="A678" s="28" t="n">
        <v>29190</v>
      </c>
      <c r="B678" s="29">
        <f>VLOOKUP(A678,'Database Claims'!$A:$C,3,)</f>
        <v/>
      </c>
      <c r="C678" s="29">
        <f>B678-B677</f>
        <v/>
      </c>
      <c r="D678" s="29">
        <f>VLOOKUP(A678,'Database Claims'!$A:$C,2,)</f>
        <v/>
      </c>
      <c r="E678" s="29">
        <f>D678-D677</f>
        <v/>
      </c>
    </row>
    <row r="679">
      <c r="A679" s="28" t="n">
        <v>29197</v>
      </c>
      <c r="B679" s="25">
        <f>VLOOKUP(A679,'Database Claims'!$A:$C,3,)</f>
        <v/>
      </c>
      <c r="C679" s="29">
        <f>B679-B678</f>
        <v/>
      </c>
      <c r="D679" s="25">
        <f>VLOOKUP(A679,'Database Claims'!$A:$C,2,)</f>
        <v/>
      </c>
      <c r="E679" s="29">
        <f>D679-D678</f>
        <v/>
      </c>
    </row>
    <row r="680">
      <c r="A680" s="28" t="n">
        <v>29204</v>
      </c>
      <c r="B680" s="29">
        <f>VLOOKUP(A680,'Database Claims'!$A:$C,3,)</f>
        <v/>
      </c>
      <c r="C680" s="29">
        <f>B680-B679</f>
        <v/>
      </c>
      <c r="D680" s="29">
        <f>VLOOKUP(A680,'Database Claims'!$A:$C,2,)</f>
        <v/>
      </c>
      <c r="E680" s="29">
        <f>D680-D679</f>
        <v/>
      </c>
    </row>
    <row r="681">
      <c r="A681" s="28" t="n">
        <v>29211</v>
      </c>
      <c r="B681" s="25">
        <f>VLOOKUP(A681,'Database Claims'!$A:$C,3,)</f>
        <v/>
      </c>
      <c r="C681" s="29">
        <f>B681-B680</f>
        <v/>
      </c>
      <c r="D681" s="25">
        <f>VLOOKUP(A681,'Database Claims'!$A:$C,2,)</f>
        <v/>
      </c>
      <c r="E681" s="29">
        <f>D681-D680</f>
        <v/>
      </c>
    </row>
    <row r="682">
      <c r="A682" s="28" t="n">
        <v>29218</v>
      </c>
      <c r="B682" s="29">
        <f>VLOOKUP(A682,'Database Claims'!$A:$C,3,)</f>
        <v/>
      </c>
      <c r="C682" s="29">
        <f>B682-B681</f>
        <v/>
      </c>
      <c r="D682" s="29">
        <f>VLOOKUP(A682,'Database Claims'!$A:$C,2,)</f>
        <v/>
      </c>
      <c r="E682" s="29">
        <f>D682-D681</f>
        <v/>
      </c>
    </row>
    <row r="683">
      <c r="A683" s="28" t="n">
        <v>29225</v>
      </c>
      <c r="B683" s="25">
        <f>VLOOKUP(A683,'Database Claims'!$A:$C,3,)</f>
        <v/>
      </c>
      <c r="C683" s="29">
        <f>B683-B682</f>
        <v/>
      </c>
      <c r="D683" s="25">
        <f>VLOOKUP(A683,'Database Claims'!$A:$C,2,)</f>
        <v/>
      </c>
      <c r="E683" s="29">
        <f>D683-D682</f>
        <v/>
      </c>
    </row>
    <row r="684">
      <c r="A684" s="28" t="n">
        <v>29232</v>
      </c>
      <c r="B684" s="29">
        <f>VLOOKUP(A684,'Database Claims'!$A:$C,3,)</f>
        <v/>
      </c>
      <c r="C684" s="29">
        <f>B684-B683</f>
        <v/>
      </c>
      <c r="D684" s="29">
        <f>VLOOKUP(A684,'Database Claims'!$A:$C,2,)</f>
        <v/>
      </c>
      <c r="E684" s="29">
        <f>D684-D683</f>
        <v/>
      </c>
    </row>
    <row r="685">
      <c r="A685" s="28" t="n">
        <v>29239</v>
      </c>
      <c r="B685" s="25">
        <f>VLOOKUP(A685,'Database Claims'!$A:$C,3,)</f>
        <v/>
      </c>
      <c r="C685" s="29">
        <f>B685-B684</f>
        <v/>
      </c>
      <c r="D685" s="25">
        <f>VLOOKUP(A685,'Database Claims'!$A:$C,2,)</f>
        <v/>
      </c>
      <c r="E685" s="29">
        <f>D685-D684</f>
        <v/>
      </c>
    </row>
    <row r="686">
      <c r="A686" s="28" t="n">
        <v>29246</v>
      </c>
      <c r="B686" s="29">
        <f>VLOOKUP(A686,'Database Claims'!$A:$C,3,)</f>
        <v/>
      </c>
      <c r="C686" s="29">
        <f>B686-B685</f>
        <v/>
      </c>
      <c r="D686" s="29">
        <f>VLOOKUP(A686,'Database Claims'!$A:$C,2,)</f>
        <v/>
      </c>
      <c r="E686" s="29">
        <f>D686-D685</f>
        <v/>
      </c>
    </row>
    <row r="687">
      <c r="A687" s="28" t="n">
        <v>29253</v>
      </c>
      <c r="B687" s="25">
        <f>VLOOKUP(A687,'Database Claims'!$A:$C,3,)</f>
        <v/>
      </c>
      <c r="C687" s="29">
        <f>B687-B686</f>
        <v/>
      </c>
      <c r="D687" s="25">
        <f>VLOOKUP(A687,'Database Claims'!$A:$C,2,)</f>
        <v/>
      </c>
      <c r="E687" s="29">
        <f>D687-D686</f>
        <v/>
      </c>
    </row>
    <row r="688">
      <c r="A688" s="28" t="n">
        <v>29260</v>
      </c>
      <c r="B688" s="29">
        <f>VLOOKUP(A688,'Database Claims'!$A:$C,3,)</f>
        <v/>
      </c>
      <c r="C688" s="29">
        <f>B688-B687</f>
        <v/>
      </c>
      <c r="D688" s="29">
        <f>VLOOKUP(A688,'Database Claims'!$A:$C,2,)</f>
        <v/>
      </c>
      <c r="E688" s="29">
        <f>D688-D687</f>
        <v/>
      </c>
    </row>
    <row r="689">
      <c r="A689" s="28" t="n">
        <v>29267</v>
      </c>
      <c r="B689" s="25">
        <f>VLOOKUP(A689,'Database Claims'!$A:$C,3,)</f>
        <v/>
      </c>
      <c r="C689" s="29">
        <f>B689-B688</f>
        <v/>
      </c>
      <c r="D689" s="25">
        <f>VLOOKUP(A689,'Database Claims'!$A:$C,2,)</f>
        <v/>
      </c>
      <c r="E689" s="29">
        <f>D689-D688</f>
        <v/>
      </c>
    </row>
    <row r="690">
      <c r="A690" s="28" t="n">
        <v>29274</v>
      </c>
      <c r="B690" s="29">
        <f>VLOOKUP(A690,'Database Claims'!$A:$C,3,)</f>
        <v/>
      </c>
      <c r="C690" s="29">
        <f>B690-B689</f>
        <v/>
      </c>
      <c r="D690" s="29">
        <f>VLOOKUP(A690,'Database Claims'!$A:$C,2,)</f>
        <v/>
      </c>
      <c r="E690" s="29">
        <f>D690-D689</f>
        <v/>
      </c>
    </row>
    <row r="691">
      <c r="A691" s="28" t="n">
        <v>29281</v>
      </c>
      <c r="B691" s="25">
        <f>VLOOKUP(A691,'Database Claims'!$A:$C,3,)</f>
        <v/>
      </c>
      <c r="C691" s="29">
        <f>B691-B690</f>
        <v/>
      </c>
      <c r="D691" s="25">
        <f>VLOOKUP(A691,'Database Claims'!$A:$C,2,)</f>
        <v/>
      </c>
      <c r="E691" s="29">
        <f>D691-D690</f>
        <v/>
      </c>
    </row>
    <row r="692">
      <c r="A692" s="28" t="n">
        <v>29288</v>
      </c>
      <c r="B692" s="29">
        <f>VLOOKUP(A692,'Database Claims'!$A:$C,3,)</f>
        <v/>
      </c>
      <c r="C692" s="29">
        <f>B692-B691</f>
        <v/>
      </c>
      <c r="D692" s="29">
        <f>VLOOKUP(A692,'Database Claims'!$A:$C,2,)</f>
        <v/>
      </c>
      <c r="E692" s="29">
        <f>D692-D691</f>
        <v/>
      </c>
    </row>
    <row r="693">
      <c r="A693" s="28" t="n">
        <v>29295</v>
      </c>
      <c r="B693" s="25">
        <f>VLOOKUP(A693,'Database Claims'!$A:$C,3,)</f>
        <v/>
      </c>
      <c r="C693" s="29">
        <f>B693-B692</f>
        <v/>
      </c>
      <c r="D693" s="25">
        <f>VLOOKUP(A693,'Database Claims'!$A:$C,2,)</f>
        <v/>
      </c>
      <c r="E693" s="29">
        <f>D693-D692</f>
        <v/>
      </c>
    </row>
    <row r="694">
      <c r="A694" s="28" t="n">
        <v>29302</v>
      </c>
      <c r="B694" s="29">
        <f>VLOOKUP(A694,'Database Claims'!$A:$C,3,)</f>
        <v/>
      </c>
      <c r="C694" s="29">
        <f>B694-B693</f>
        <v/>
      </c>
      <c r="D694" s="29">
        <f>VLOOKUP(A694,'Database Claims'!$A:$C,2,)</f>
        <v/>
      </c>
      <c r="E694" s="29">
        <f>D694-D693</f>
        <v/>
      </c>
    </row>
    <row r="695">
      <c r="A695" s="28" t="n">
        <v>29309</v>
      </c>
      <c r="B695" s="25">
        <f>VLOOKUP(A695,'Database Claims'!$A:$C,3,)</f>
        <v/>
      </c>
      <c r="C695" s="29">
        <f>B695-B694</f>
        <v/>
      </c>
      <c r="D695" s="25">
        <f>VLOOKUP(A695,'Database Claims'!$A:$C,2,)</f>
        <v/>
      </c>
      <c r="E695" s="29">
        <f>D695-D694</f>
        <v/>
      </c>
    </row>
    <row r="696">
      <c r="A696" s="28" t="n">
        <v>29316</v>
      </c>
      <c r="B696" s="29">
        <f>VLOOKUP(A696,'Database Claims'!$A:$C,3,)</f>
        <v/>
      </c>
      <c r="C696" s="29">
        <f>B696-B695</f>
        <v/>
      </c>
      <c r="D696" s="29">
        <f>VLOOKUP(A696,'Database Claims'!$A:$C,2,)</f>
        <v/>
      </c>
      <c r="E696" s="29">
        <f>D696-D695</f>
        <v/>
      </c>
    </row>
    <row r="697">
      <c r="A697" s="28" t="n">
        <v>29323</v>
      </c>
      <c r="B697" s="25">
        <f>VLOOKUP(A697,'Database Claims'!$A:$C,3,)</f>
        <v/>
      </c>
      <c r="C697" s="29">
        <f>B697-B696</f>
        <v/>
      </c>
      <c r="D697" s="25">
        <f>VLOOKUP(A697,'Database Claims'!$A:$C,2,)</f>
        <v/>
      </c>
      <c r="E697" s="29">
        <f>D697-D696</f>
        <v/>
      </c>
    </row>
    <row r="698">
      <c r="A698" s="28" t="n">
        <v>29330</v>
      </c>
      <c r="B698" s="29">
        <f>VLOOKUP(A698,'Database Claims'!$A:$C,3,)</f>
        <v/>
      </c>
      <c r="C698" s="29">
        <f>B698-B697</f>
        <v/>
      </c>
      <c r="D698" s="29">
        <f>VLOOKUP(A698,'Database Claims'!$A:$C,2,)</f>
        <v/>
      </c>
      <c r="E698" s="29">
        <f>D698-D697</f>
        <v/>
      </c>
    </row>
    <row r="699">
      <c r="A699" s="28" t="n">
        <v>29337</v>
      </c>
      <c r="B699" s="25">
        <f>VLOOKUP(A699,'Database Claims'!$A:$C,3,)</f>
        <v/>
      </c>
      <c r="C699" s="29">
        <f>B699-B698</f>
        <v/>
      </c>
      <c r="D699" s="25">
        <f>VLOOKUP(A699,'Database Claims'!$A:$C,2,)</f>
        <v/>
      </c>
      <c r="E699" s="29">
        <f>D699-D698</f>
        <v/>
      </c>
    </row>
    <row r="700">
      <c r="A700" s="28" t="n">
        <v>29344</v>
      </c>
      <c r="B700" s="29">
        <f>VLOOKUP(A700,'Database Claims'!$A:$C,3,)</f>
        <v/>
      </c>
      <c r="C700" s="29">
        <f>B700-B699</f>
        <v/>
      </c>
      <c r="D700" s="29">
        <f>VLOOKUP(A700,'Database Claims'!$A:$C,2,)</f>
        <v/>
      </c>
      <c r="E700" s="29">
        <f>D700-D699</f>
        <v/>
      </c>
    </row>
    <row r="701">
      <c r="A701" s="28" t="n">
        <v>29351</v>
      </c>
      <c r="B701" s="25">
        <f>VLOOKUP(A701,'Database Claims'!$A:$C,3,)</f>
        <v/>
      </c>
      <c r="C701" s="29">
        <f>B701-B700</f>
        <v/>
      </c>
      <c r="D701" s="25">
        <f>VLOOKUP(A701,'Database Claims'!$A:$C,2,)</f>
        <v/>
      </c>
      <c r="E701" s="29">
        <f>D701-D700</f>
        <v/>
      </c>
    </row>
    <row r="702">
      <c r="A702" s="28" t="n">
        <v>29358</v>
      </c>
      <c r="B702" s="29">
        <f>VLOOKUP(A702,'Database Claims'!$A:$C,3,)</f>
        <v/>
      </c>
      <c r="C702" s="29">
        <f>B702-B701</f>
        <v/>
      </c>
      <c r="D702" s="29">
        <f>VLOOKUP(A702,'Database Claims'!$A:$C,2,)</f>
        <v/>
      </c>
      <c r="E702" s="29">
        <f>D702-D701</f>
        <v/>
      </c>
    </row>
    <row r="703">
      <c r="A703" s="28" t="n">
        <v>29365</v>
      </c>
      <c r="B703" s="25">
        <f>VLOOKUP(A703,'Database Claims'!$A:$C,3,)</f>
        <v/>
      </c>
      <c r="C703" s="29">
        <f>B703-B702</f>
        <v/>
      </c>
      <c r="D703" s="25">
        <f>VLOOKUP(A703,'Database Claims'!$A:$C,2,)</f>
        <v/>
      </c>
      <c r="E703" s="29">
        <f>D703-D702</f>
        <v/>
      </c>
    </row>
    <row r="704">
      <c r="A704" s="28" t="n">
        <v>29372</v>
      </c>
      <c r="B704" s="29">
        <f>VLOOKUP(A704,'Database Claims'!$A:$C,3,)</f>
        <v/>
      </c>
      <c r="C704" s="29">
        <f>B704-B703</f>
        <v/>
      </c>
      <c r="D704" s="29">
        <f>VLOOKUP(A704,'Database Claims'!$A:$C,2,)</f>
        <v/>
      </c>
      <c r="E704" s="29">
        <f>D704-D703</f>
        <v/>
      </c>
    </row>
    <row r="705">
      <c r="A705" s="28" t="n">
        <v>29379</v>
      </c>
      <c r="B705" s="25">
        <f>VLOOKUP(A705,'Database Claims'!$A:$C,3,)</f>
        <v/>
      </c>
      <c r="C705" s="29">
        <f>B705-B704</f>
        <v/>
      </c>
      <c r="D705" s="25">
        <f>VLOOKUP(A705,'Database Claims'!$A:$C,2,)</f>
        <v/>
      </c>
      <c r="E705" s="29">
        <f>D705-D704</f>
        <v/>
      </c>
    </row>
    <row r="706">
      <c r="A706" s="28" t="n">
        <v>29386</v>
      </c>
      <c r="B706" s="29">
        <f>VLOOKUP(A706,'Database Claims'!$A:$C,3,)</f>
        <v/>
      </c>
      <c r="C706" s="29">
        <f>B706-B705</f>
        <v/>
      </c>
      <c r="D706" s="29">
        <f>VLOOKUP(A706,'Database Claims'!$A:$C,2,)</f>
        <v/>
      </c>
      <c r="E706" s="29">
        <f>D706-D705</f>
        <v/>
      </c>
    </row>
    <row r="707">
      <c r="A707" s="28" t="n">
        <v>29393</v>
      </c>
      <c r="B707" s="25">
        <f>VLOOKUP(A707,'Database Claims'!$A:$C,3,)</f>
        <v/>
      </c>
      <c r="C707" s="29">
        <f>B707-B706</f>
        <v/>
      </c>
      <c r="D707" s="25">
        <f>VLOOKUP(A707,'Database Claims'!$A:$C,2,)</f>
        <v/>
      </c>
      <c r="E707" s="29">
        <f>D707-D706</f>
        <v/>
      </c>
    </row>
    <row r="708">
      <c r="A708" s="28" t="n">
        <v>29400</v>
      </c>
      <c r="B708" s="29">
        <f>VLOOKUP(A708,'Database Claims'!$A:$C,3,)</f>
        <v/>
      </c>
      <c r="C708" s="29">
        <f>B708-B707</f>
        <v/>
      </c>
      <c r="D708" s="29">
        <f>VLOOKUP(A708,'Database Claims'!$A:$C,2,)</f>
        <v/>
      </c>
      <c r="E708" s="29">
        <f>D708-D707</f>
        <v/>
      </c>
    </row>
    <row r="709">
      <c r="A709" s="28" t="n">
        <v>29407</v>
      </c>
      <c r="B709" s="25">
        <f>VLOOKUP(A709,'Database Claims'!$A:$C,3,)</f>
        <v/>
      </c>
      <c r="C709" s="29">
        <f>B709-B708</f>
        <v/>
      </c>
      <c r="D709" s="25">
        <f>VLOOKUP(A709,'Database Claims'!$A:$C,2,)</f>
        <v/>
      </c>
      <c r="E709" s="29">
        <f>D709-D708</f>
        <v/>
      </c>
    </row>
    <row r="710">
      <c r="A710" s="28" t="n">
        <v>29414</v>
      </c>
      <c r="B710" s="29">
        <f>VLOOKUP(A710,'Database Claims'!$A:$C,3,)</f>
        <v/>
      </c>
      <c r="C710" s="29">
        <f>B710-B709</f>
        <v/>
      </c>
      <c r="D710" s="29">
        <f>VLOOKUP(A710,'Database Claims'!$A:$C,2,)</f>
        <v/>
      </c>
      <c r="E710" s="29">
        <f>D710-D709</f>
        <v/>
      </c>
    </row>
    <row r="711">
      <c r="A711" s="28" t="n">
        <v>29421</v>
      </c>
      <c r="B711" s="25">
        <f>VLOOKUP(A711,'Database Claims'!$A:$C,3,)</f>
        <v/>
      </c>
      <c r="C711" s="29">
        <f>B711-B710</f>
        <v/>
      </c>
      <c r="D711" s="25">
        <f>VLOOKUP(A711,'Database Claims'!$A:$C,2,)</f>
        <v/>
      </c>
      <c r="E711" s="29">
        <f>D711-D710</f>
        <v/>
      </c>
    </row>
    <row r="712">
      <c r="A712" s="28" t="n">
        <v>29428</v>
      </c>
      <c r="B712" s="29">
        <f>VLOOKUP(A712,'Database Claims'!$A:$C,3,)</f>
        <v/>
      </c>
      <c r="C712" s="29">
        <f>B712-B711</f>
        <v/>
      </c>
      <c r="D712" s="29">
        <f>VLOOKUP(A712,'Database Claims'!$A:$C,2,)</f>
        <v/>
      </c>
      <c r="E712" s="29">
        <f>D712-D711</f>
        <v/>
      </c>
    </row>
    <row r="713">
      <c r="A713" s="28" t="n">
        <v>29435</v>
      </c>
      <c r="B713" s="25">
        <f>VLOOKUP(A713,'Database Claims'!$A:$C,3,)</f>
        <v/>
      </c>
      <c r="C713" s="29">
        <f>B713-B712</f>
        <v/>
      </c>
      <c r="D713" s="25">
        <f>VLOOKUP(A713,'Database Claims'!$A:$C,2,)</f>
        <v/>
      </c>
      <c r="E713" s="29">
        <f>D713-D712</f>
        <v/>
      </c>
    </row>
    <row r="714">
      <c r="A714" s="28" t="n">
        <v>29442</v>
      </c>
      <c r="B714" s="29">
        <f>VLOOKUP(A714,'Database Claims'!$A:$C,3,)</f>
        <v/>
      </c>
      <c r="C714" s="29">
        <f>B714-B713</f>
        <v/>
      </c>
      <c r="D714" s="29">
        <f>VLOOKUP(A714,'Database Claims'!$A:$C,2,)</f>
        <v/>
      </c>
      <c r="E714" s="29">
        <f>D714-D713</f>
        <v/>
      </c>
    </row>
    <row r="715">
      <c r="A715" s="28" t="n">
        <v>29449</v>
      </c>
      <c r="B715" s="25">
        <f>VLOOKUP(A715,'Database Claims'!$A:$C,3,)</f>
        <v/>
      </c>
      <c r="C715" s="29">
        <f>B715-B714</f>
        <v/>
      </c>
      <c r="D715" s="25">
        <f>VLOOKUP(A715,'Database Claims'!$A:$C,2,)</f>
        <v/>
      </c>
      <c r="E715" s="29">
        <f>D715-D714</f>
        <v/>
      </c>
    </row>
    <row r="716">
      <c r="A716" s="28" t="n">
        <v>29456</v>
      </c>
      <c r="B716" s="29">
        <f>VLOOKUP(A716,'Database Claims'!$A:$C,3,)</f>
        <v/>
      </c>
      <c r="C716" s="29">
        <f>B716-B715</f>
        <v/>
      </c>
      <c r="D716" s="29">
        <f>VLOOKUP(A716,'Database Claims'!$A:$C,2,)</f>
        <v/>
      </c>
      <c r="E716" s="29">
        <f>D716-D715</f>
        <v/>
      </c>
    </row>
    <row r="717">
      <c r="A717" s="28" t="n">
        <v>29463</v>
      </c>
      <c r="B717" s="25">
        <f>VLOOKUP(A717,'Database Claims'!$A:$C,3,)</f>
        <v/>
      </c>
      <c r="C717" s="29">
        <f>B717-B716</f>
        <v/>
      </c>
      <c r="D717" s="25">
        <f>VLOOKUP(A717,'Database Claims'!$A:$C,2,)</f>
        <v/>
      </c>
      <c r="E717" s="29">
        <f>D717-D716</f>
        <v/>
      </c>
    </row>
    <row r="718">
      <c r="A718" s="28" t="n">
        <v>29470</v>
      </c>
      <c r="B718" s="29">
        <f>VLOOKUP(A718,'Database Claims'!$A:$C,3,)</f>
        <v/>
      </c>
      <c r="C718" s="29">
        <f>B718-B717</f>
        <v/>
      </c>
      <c r="D718" s="29">
        <f>VLOOKUP(A718,'Database Claims'!$A:$C,2,)</f>
        <v/>
      </c>
      <c r="E718" s="29">
        <f>D718-D717</f>
        <v/>
      </c>
    </row>
    <row r="719">
      <c r="A719" s="28" t="n">
        <v>29477</v>
      </c>
      <c r="B719" s="25">
        <f>VLOOKUP(A719,'Database Claims'!$A:$C,3,)</f>
        <v/>
      </c>
      <c r="C719" s="29">
        <f>B719-B718</f>
        <v/>
      </c>
      <c r="D719" s="25">
        <f>VLOOKUP(A719,'Database Claims'!$A:$C,2,)</f>
        <v/>
      </c>
      <c r="E719" s="29">
        <f>D719-D718</f>
        <v/>
      </c>
    </row>
    <row r="720">
      <c r="A720" s="28" t="n">
        <v>29484</v>
      </c>
      <c r="B720" s="29">
        <f>VLOOKUP(A720,'Database Claims'!$A:$C,3,)</f>
        <v/>
      </c>
      <c r="C720" s="29">
        <f>B720-B719</f>
        <v/>
      </c>
      <c r="D720" s="29">
        <f>VLOOKUP(A720,'Database Claims'!$A:$C,2,)</f>
        <v/>
      </c>
      <c r="E720" s="29">
        <f>D720-D719</f>
        <v/>
      </c>
    </row>
    <row r="721">
      <c r="A721" s="28" t="n">
        <v>29491</v>
      </c>
      <c r="B721" s="25">
        <f>VLOOKUP(A721,'Database Claims'!$A:$C,3,)</f>
        <v/>
      </c>
      <c r="C721" s="29">
        <f>B721-B720</f>
        <v/>
      </c>
      <c r="D721" s="25">
        <f>VLOOKUP(A721,'Database Claims'!$A:$C,2,)</f>
        <v/>
      </c>
      <c r="E721" s="29">
        <f>D721-D720</f>
        <v/>
      </c>
    </row>
    <row r="722">
      <c r="A722" s="28" t="n">
        <v>29498</v>
      </c>
      <c r="B722" s="29">
        <f>VLOOKUP(A722,'Database Claims'!$A:$C,3,)</f>
        <v/>
      </c>
      <c r="C722" s="29">
        <f>B722-B721</f>
        <v/>
      </c>
      <c r="D722" s="29">
        <f>VLOOKUP(A722,'Database Claims'!$A:$C,2,)</f>
        <v/>
      </c>
      <c r="E722" s="29">
        <f>D722-D721</f>
        <v/>
      </c>
    </row>
    <row r="723">
      <c r="A723" s="28" t="n">
        <v>29505</v>
      </c>
      <c r="B723" s="25">
        <f>VLOOKUP(A723,'Database Claims'!$A:$C,3,)</f>
        <v/>
      </c>
      <c r="C723" s="29">
        <f>B723-B722</f>
        <v/>
      </c>
      <c r="D723" s="25">
        <f>VLOOKUP(A723,'Database Claims'!$A:$C,2,)</f>
        <v/>
      </c>
      <c r="E723" s="29">
        <f>D723-D722</f>
        <v/>
      </c>
    </row>
    <row r="724">
      <c r="A724" s="28" t="n">
        <v>29512</v>
      </c>
      <c r="B724" s="29">
        <f>VLOOKUP(A724,'Database Claims'!$A:$C,3,)</f>
        <v/>
      </c>
      <c r="C724" s="29">
        <f>B724-B723</f>
        <v/>
      </c>
      <c r="D724" s="29">
        <f>VLOOKUP(A724,'Database Claims'!$A:$C,2,)</f>
        <v/>
      </c>
      <c r="E724" s="29">
        <f>D724-D723</f>
        <v/>
      </c>
    </row>
    <row r="725">
      <c r="A725" s="28" t="n">
        <v>29519</v>
      </c>
      <c r="B725" s="25">
        <f>VLOOKUP(A725,'Database Claims'!$A:$C,3,)</f>
        <v/>
      </c>
      <c r="C725" s="29">
        <f>B725-B724</f>
        <v/>
      </c>
      <c r="D725" s="25">
        <f>VLOOKUP(A725,'Database Claims'!$A:$C,2,)</f>
        <v/>
      </c>
      <c r="E725" s="29">
        <f>D725-D724</f>
        <v/>
      </c>
    </row>
    <row r="726">
      <c r="A726" s="28" t="n">
        <v>29526</v>
      </c>
      <c r="B726" s="29">
        <f>VLOOKUP(A726,'Database Claims'!$A:$C,3,)</f>
        <v/>
      </c>
      <c r="C726" s="29">
        <f>B726-B725</f>
        <v/>
      </c>
      <c r="D726" s="29">
        <f>VLOOKUP(A726,'Database Claims'!$A:$C,2,)</f>
        <v/>
      </c>
      <c r="E726" s="29">
        <f>D726-D725</f>
        <v/>
      </c>
    </row>
    <row r="727">
      <c r="A727" s="28" t="n">
        <v>29533</v>
      </c>
      <c r="B727" s="25">
        <f>VLOOKUP(A727,'Database Claims'!$A:$C,3,)</f>
        <v/>
      </c>
      <c r="C727" s="29">
        <f>B727-B726</f>
        <v/>
      </c>
      <c r="D727" s="25">
        <f>VLOOKUP(A727,'Database Claims'!$A:$C,2,)</f>
        <v/>
      </c>
      <c r="E727" s="29">
        <f>D727-D726</f>
        <v/>
      </c>
    </row>
    <row r="728">
      <c r="A728" s="28" t="n">
        <v>29540</v>
      </c>
      <c r="B728" s="29">
        <f>VLOOKUP(A728,'Database Claims'!$A:$C,3,)</f>
        <v/>
      </c>
      <c r="C728" s="29">
        <f>B728-B727</f>
        <v/>
      </c>
      <c r="D728" s="29">
        <f>VLOOKUP(A728,'Database Claims'!$A:$C,2,)</f>
        <v/>
      </c>
      <c r="E728" s="29">
        <f>D728-D727</f>
        <v/>
      </c>
    </row>
    <row r="729">
      <c r="A729" s="28" t="n">
        <v>29547</v>
      </c>
      <c r="B729" s="25">
        <f>VLOOKUP(A729,'Database Claims'!$A:$C,3,)</f>
        <v/>
      </c>
      <c r="C729" s="29">
        <f>B729-B728</f>
        <v/>
      </c>
      <c r="D729" s="25">
        <f>VLOOKUP(A729,'Database Claims'!$A:$C,2,)</f>
        <v/>
      </c>
      <c r="E729" s="29">
        <f>D729-D728</f>
        <v/>
      </c>
    </row>
    <row r="730">
      <c r="A730" s="28" t="n">
        <v>29554</v>
      </c>
      <c r="B730" s="29">
        <f>VLOOKUP(A730,'Database Claims'!$A:$C,3,)</f>
        <v/>
      </c>
      <c r="C730" s="29">
        <f>B730-B729</f>
        <v/>
      </c>
      <c r="D730" s="29">
        <f>VLOOKUP(A730,'Database Claims'!$A:$C,2,)</f>
        <v/>
      </c>
      <c r="E730" s="29">
        <f>D730-D729</f>
        <v/>
      </c>
    </row>
    <row r="731">
      <c r="A731" s="28" t="n">
        <v>29561</v>
      </c>
      <c r="B731" s="25">
        <f>VLOOKUP(A731,'Database Claims'!$A:$C,3,)</f>
        <v/>
      </c>
      <c r="C731" s="29">
        <f>B731-B730</f>
        <v/>
      </c>
      <c r="D731" s="25">
        <f>VLOOKUP(A731,'Database Claims'!$A:$C,2,)</f>
        <v/>
      </c>
      <c r="E731" s="29">
        <f>D731-D730</f>
        <v/>
      </c>
    </row>
    <row r="732">
      <c r="A732" s="28" t="n">
        <v>29568</v>
      </c>
      <c r="B732" s="29">
        <f>VLOOKUP(A732,'Database Claims'!$A:$C,3,)</f>
        <v/>
      </c>
      <c r="C732" s="29">
        <f>B732-B731</f>
        <v/>
      </c>
      <c r="D732" s="29">
        <f>VLOOKUP(A732,'Database Claims'!$A:$C,2,)</f>
        <v/>
      </c>
      <c r="E732" s="29">
        <f>D732-D731</f>
        <v/>
      </c>
    </row>
    <row r="733">
      <c r="A733" s="28" t="n">
        <v>29575</v>
      </c>
      <c r="B733" s="25">
        <f>VLOOKUP(A733,'Database Claims'!$A:$C,3,)</f>
        <v/>
      </c>
      <c r="C733" s="29">
        <f>B733-B732</f>
        <v/>
      </c>
      <c r="D733" s="25">
        <f>VLOOKUP(A733,'Database Claims'!$A:$C,2,)</f>
        <v/>
      </c>
      <c r="E733" s="29">
        <f>D733-D732</f>
        <v/>
      </c>
    </row>
    <row r="734">
      <c r="A734" s="28" t="n">
        <v>29582</v>
      </c>
      <c r="B734" s="29">
        <f>VLOOKUP(A734,'Database Claims'!$A:$C,3,)</f>
        <v/>
      </c>
      <c r="C734" s="29">
        <f>B734-B733</f>
        <v/>
      </c>
      <c r="D734" s="29">
        <f>VLOOKUP(A734,'Database Claims'!$A:$C,2,)</f>
        <v/>
      </c>
      <c r="E734" s="29">
        <f>D734-D733</f>
        <v/>
      </c>
    </row>
    <row r="735">
      <c r="A735" s="28" t="n">
        <v>29589</v>
      </c>
      <c r="B735" s="25">
        <f>VLOOKUP(A735,'Database Claims'!$A:$C,3,)</f>
        <v/>
      </c>
      <c r="C735" s="29">
        <f>B735-B734</f>
        <v/>
      </c>
      <c r="D735" s="25">
        <f>VLOOKUP(A735,'Database Claims'!$A:$C,2,)</f>
        <v/>
      </c>
      <c r="E735" s="29">
        <f>D735-D734</f>
        <v/>
      </c>
    </row>
    <row r="736">
      <c r="A736" s="28" t="n">
        <v>29596</v>
      </c>
      <c r="B736" s="29">
        <f>VLOOKUP(A736,'Database Claims'!$A:$C,3,)</f>
        <v/>
      </c>
      <c r="C736" s="29">
        <f>B736-B735</f>
        <v/>
      </c>
      <c r="D736" s="29">
        <f>VLOOKUP(A736,'Database Claims'!$A:$C,2,)</f>
        <v/>
      </c>
      <c r="E736" s="29">
        <f>D736-D735</f>
        <v/>
      </c>
    </row>
    <row r="737">
      <c r="A737" s="28" t="n">
        <v>29603</v>
      </c>
      <c r="B737" s="25">
        <f>VLOOKUP(A737,'Database Claims'!$A:$C,3,)</f>
        <v/>
      </c>
      <c r="C737" s="29">
        <f>B737-B736</f>
        <v/>
      </c>
      <c r="D737" s="25">
        <f>VLOOKUP(A737,'Database Claims'!$A:$C,2,)</f>
        <v/>
      </c>
      <c r="E737" s="29">
        <f>D737-D736</f>
        <v/>
      </c>
    </row>
    <row r="738">
      <c r="A738" s="28" t="n">
        <v>29610</v>
      </c>
      <c r="B738" s="29">
        <f>VLOOKUP(A738,'Database Claims'!$A:$C,3,)</f>
        <v/>
      </c>
      <c r="C738" s="29">
        <f>B738-B737</f>
        <v/>
      </c>
      <c r="D738" s="29">
        <f>VLOOKUP(A738,'Database Claims'!$A:$C,2,)</f>
        <v/>
      </c>
      <c r="E738" s="29">
        <f>D738-D737</f>
        <v/>
      </c>
    </row>
    <row r="739">
      <c r="A739" s="28" t="n">
        <v>29617</v>
      </c>
      <c r="B739" s="25">
        <f>VLOOKUP(A739,'Database Claims'!$A:$C,3,)</f>
        <v/>
      </c>
      <c r="C739" s="29">
        <f>B739-B738</f>
        <v/>
      </c>
      <c r="D739" s="25">
        <f>VLOOKUP(A739,'Database Claims'!$A:$C,2,)</f>
        <v/>
      </c>
      <c r="E739" s="29">
        <f>D739-D738</f>
        <v/>
      </c>
    </row>
    <row r="740">
      <c r="A740" s="28" t="n">
        <v>29624</v>
      </c>
      <c r="B740" s="29">
        <f>VLOOKUP(A740,'Database Claims'!$A:$C,3,)</f>
        <v/>
      </c>
      <c r="C740" s="29">
        <f>B740-B739</f>
        <v/>
      </c>
      <c r="D740" s="29">
        <f>VLOOKUP(A740,'Database Claims'!$A:$C,2,)</f>
        <v/>
      </c>
      <c r="E740" s="29">
        <f>D740-D739</f>
        <v/>
      </c>
    </row>
    <row r="741">
      <c r="A741" s="28" t="n">
        <v>29631</v>
      </c>
      <c r="B741" s="25">
        <f>VLOOKUP(A741,'Database Claims'!$A:$C,3,)</f>
        <v/>
      </c>
      <c r="C741" s="29">
        <f>B741-B740</f>
        <v/>
      </c>
      <c r="D741" s="25">
        <f>VLOOKUP(A741,'Database Claims'!$A:$C,2,)</f>
        <v/>
      </c>
      <c r="E741" s="29">
        <f>D741-D740</f>
        <v/>
      </c>
    </row>
    <row r="742">
      <c r="A742" s="28" t="n">
        <v>29638</v>
      </c>
      <c r="B742" s="29">
        <f>VLOOKUP(A742,'Database Claims'!$A:$C,3,)</f>
        <v/>
      </c>
      <c r="C742" s="29">
        <f>B742-B741</f>
        <v/>
      </c>
      <c r="D742" s="29">
        <f>VLOOKUP(A742,'Database Claims'!$A:$C,2,)</f>
        <v/>
      </c>
      <c r="E742" s="29">
        <f>D742-D741</f>
        <v/>
      </c>
    </row>
    <row r="743">
      <c r="A743" s="28" t="n">
        <v>29645</v>
      </c>
      <c r="B743" s="25">
        <f>VLOOKUP(A743,'Database Claims'!$A:$C,3,)</f>
        <v/>
      </c>
      <c r="C743" s="29">
        <f>B743-B742</f>
        <v/>
      </c>
      <c r="D743" s="25">
        <f>VLOOKUP(A743,'Database Claims'!$A:$C,2,)</f>
        <v/>
      </c>
      <c r="E743" s="29">
        <f>D743-D742</f>
        <v/>
      </c>
    </row>
    <row r="744">
      <c r="A744" s="28" t="n">
        <v>29652</v>
      </c>
      <c r="B744" s="29">
        <f>VLOOKUP(A744,'Database Claims'!$A:$C,3,)</f>
        <v/>
      </c>
      <c r="C744" s="29">
        <f>B744-B743</f>
        <v/>
      </c>
      <c r="D744" s="29">
        <f>VLOOKUP(A744,'Database Claims'!$A:$C,2,)</f>
        <v/>
      </c>
      <c r="E744" s="29">
        <f>D744-D743</f>
        <v/>
      </c>
    </row>
    <row r="745">
      <c r="A745" s="28" t="n">
        <v>29659</v>
      </c>
      <c r="B745" s="25">
        <f>VLOOKUP(A745,'Database Claims'!$A:$C,3,)</f>
        <v/>
      </c>
      <c r="C745" s="29">
        <f>B745-B744</f>
        <v/>
      </c>
      <c r="D745" s="25">
        <f>VLOOKUP(A745,'Database Claims'!$A:$C,2,)</f>
        <v/>
      </c>
      <c r="E745" s="29">
        <f>D745-D744</f>
        <v/>
      </c>
    </row>
    <row r="746">
      <c r="A746" s="28" t="n">
        <v>29666</v>
      </c>
      <c r="B746" s="29">
        <f>VLOOKUP(A746,'Database Claims'!$A:$C,3,)</f>
        <v/>
      </c>
      <c r="C746" s="29">
        <f>B746-B745</f>
        <v/>
      </c>
      <c r="D746" s="29">
        <f>VLOOKUP(A746,'Database Claims'!$A:$C,2,)</f>
        <v/>
      </c>
      <c r="E746" s="29">
        <f>D746-D745</f>
        <v/>
      </c>
    </row>
    <row r="747">
      <c r="A747" s="28" t="n">
        <v>29673</v>
      </c>
      <c r="B747" s="25">
        <f>VLOOKUP(A747,'Database Claims'!$A:$C,3,)</f>
        <v/>
      </c>
      <c r="C747" s="29">
        <f>B747-B746</f>
        <v/>
      </c>
      <c r="D747" s="25">
        <f>VLOOKUP(A747,'Database Claims'!$A:$C,2,)</f>
        <v/>
      </c>
      <c r="E747" s="29">
        <f>D747-D746</f>
        <v/>
      </c>
    </row>
    <row r="748">
      <c r="A748" s="28" t="n">
        <v>29680</v>
      </c>
      <c r="B748" s="29">
        <f>VLOOKUP(A748,'Database Claims'!$A:$C,3,)</f>
        <v/>
      </c>
      <c r="C748" s="29">
        <f>B748-B747</f>
        <v/>
      </c>
      <c r="D748" s="29">
        <f>VLOOKUP(A748,'Database Claims'!$A:$C,2,)</f>
        <v/>
      </c>
      <c r="E748" s="29">
        <f>D748-D747</f>
        <v/>
      </c>
    </row>
    <row r="749">
      <c r="A749" s="28" t="n">
        <v>29687</v>
      </c>
      <c r="B749" s="25">
        <f>VLOOKUP(A749,'Database Claims'!$A:$C,3,)</f>
        <v/>
      </c>
      <c r="C749" s="29">
        <f>B749-B748</f>
        <v/>
      </c>
      <c r="D749" s="25">
        <f>VLOOKUP(A749,'Database Claims'!$A:$C,2,)</f>
        <v/>
      </c>
      <c r="E749" s="29">
        <f>D749-D748</f>
        <v/>
      </c>
    </row>
    <row r="750">
      <c r="A750" s="28" t="n">
        <v>29694</v>
      </c>
      <c r="B750" s="29">
        <f>VLOOKUP(A750,'Database Claims'!$A:$C,3,)</f>
        <v/>
      </c>
      <c r="C750" s="29">
        <f>B750-B749</f>
        <v/>
      </c>
      <c r="D750" s="29">
        <f>VLOOKUP(A750,'Database Claims'!$A:$C,2,)</f>
        <v/>
      </c>
      <c r="E750" s="29">
        <f>D750-D749</f>
        <v/>
      </c>
    </row>
    <row r="751">
      <c r="A751" s="28" t="n">
        <v>29701</v>
      </c>
      <c r="B751" s="25">
        <f>VLOOKUP(A751,'Database Claims'!$A:$C,3,)</f>
        <v/>
      </c>
      <c r="C751" s="29">
        <f>B751-B750</f>
        <v/>
      </c>
      <c r="D751" s="25">
        <f>VLOOKUP(A751,'Database Claims'!$A:$C,2,)</f>
        <v/>
      </c>
      <c r="E751" s="29">
        <f>D751-D750</f>
        <v/>
      </c>
    </row>
    <row r="752">
      <c r="A752" s="28" t="n">
        <v>29708</v>
      </c>
      <c r="B752" s="29">
        <f>VLOOKUP(A752,'Database Claims'!$A:$C,3,)</f>
        <v/>
      </c>
      <c r="C752" s="29">
        <f>B752-B751</f>
        <v/>
      </c>
      <c r="D752" s="29">
        <f>VLOOKUP(A752,'Database Claims'!$A:$C,2,)</f>
        <v/>
      </c>
      <c r="E752" s="29">
        <f>D752-D751</f>
        <v/>
      </c>
    </row>
    <row r="753">
      <c r="A753" s="28" t="n">
        <v>29715</v>
      </c>
      <c r="B753" s="25">
        <f>VLOOKUP(A753,'Database Claims'!$A:$C,3,)</f>
        <v/>
      </c>
      <c r="C753" s="29">
        <f>B753-B752</f>
        <v/>
      </c>
      <c r="D753" s="25">
        <f>VLOOKUP(A753,'Database Claims'!$A:$C,2,)</f>
        <v/>
      </c>
      <c r="E753" s="29">
        <f>D753-D752</f>
        <v/>
      </c>
    </row>
    <row r="754">
      <c r="A754" s="28" t="n">
        <v>29722</v>
      </c>
      <c r="B754" s="29">
        <f>VLOOKUP(A754,'Database Claims'!$A:$C,3,)</f>
        <v/>
      </c>
      <c r="C754" s="29">
        <f>B754-B753</f>
        <v/>
      </c>
      <c r="D754" s="29">
        <f>VLOOKUP(A754,'Database Claims'!$A:$C,2,)</f>
        <v/>
      </c>
      <c r="E754" s="29">
        <f>D754-D753</f>
        <v/>
      </c>
    </row>
    <row r="755">
      <c r="A755" s="28" t="n">
        <v>29729</v>
      </c>
      <c r="B755" s="25">
        <f>VLOOKUP(A755,'Database Claims'!$A:$C,3,)</f>
        <v/>
      </c>
      <c r="C755" s="29">
        <f>B755-B754</f>
        <v/>
      </c>
      <c r="D755" s="25">
        <f>VLOOKUP(A755,'Database Claims'!$A:$C,2,)</f>
        <v/>
      </c>
      <c r="E755" s="29">
        <f>D755-D754</f>
        <v/>
      </c>
    </row>
    <row r="756">
      <c r="A756" s="28" t="n">
        <v>29736</v>
      </c>
      <c r="B756" s="29">
        <f>VLOOKUP(A756,'Database Claims'!$A:$C,3,)</f>
        <v/>
      </c>
      <c r="C756" s="29">
        <f>B756-B755</f>
        <v/>
      </c>
      <c r="D756" s="29">
        <f>VLOOKUP(A756,'Database Claims'!$A:$C,2,)</f>
        <v/>
      </c>
      <c r="E756" s="29">
        <f>D756-D755</f>
        <v/>
      </c>
    </row>
    <row r="757">
      <c r="A757" s="28" t="n">
        <v>29743</v>
      </c>
      <c r="B757" s="25">
        <f>VLOOKUP(A757,'Database Claims'!$A:$C,3,)</f>
        <v/>
      </c>
      <c r="C757" s="29">
        <f>B757-B756</f>
        <v/>
      </c>
      <c r="D757" s="25">
        <f>VLOOKUP(A757,'Database Claims'!$A:$C,2,)</f>
        <v/>
      </c>
      <c r="E757" s="29">
        <f>D757-D756</f>
        <v/>
      </c>
    </row>
    <row r="758">
      <c r="A758" s="28" t="n">
        <v>29750</v>
      </c>
      <c r="B758" s="29">
        <f>VLOOKUP(A758,'Database Claims'!$A:$C,3,)</f>
        <v/>
      </c>
      <c r="C758" s="29">
        <f>B758-B757</f>
        <v/>
      </c>
      <c r="D758" s="29">
        <f>VLOOKUP(A758,'Database Claims'!$A:$C,2,)</f>
        <v/>
      </c>
      <c r="E758" s="29">
        <f>D758-D757</f>
        <v/>
      </c>
    </row>
    <row r="759">
      <c r="A759" s="28" t="n">
        <v>29757</v>
      </c>
      <c r="B759" s="25">
        <f>VLOOKUP(A759,'Database Claims'!$A:$C,3,)</f>
        <v/>
      </c>
      <c r="C759" s="29">
        <f>B759-B758</f>
        <v/>
      </c>
      <c r="D759" s="25">
        <f>VLOOKUP(A759,'Database Claims'!$A:$C,2,)</f>
        <v/>
      </c>
      <c r="E759" s="29">
        <f>D759-D758</f>
        <v/>
      </c>
    </row>
    <row r="760">
      <c r="A760" s="28" t="n">
        <v>29764</v>
      </c>
      <c r="B760" s="29">
        <f>VLOOKUP(A760,'Database Claims'!$A:$C,3,)</f>
        <v/>
      </c>
      <c r="C760" s="29">
        <f>B760-B759</f>
        <v/>
      </c>
      <c r="D760" s="29">
        <f>VLOOKUP(A760,'Database Claims'!$A:$C,2,)</f>
        <v/>
      </c>
      <c r="E760" s="29">
        <f>D760-D759</f>
        <v/>
      </c>
    </row>
    <row r="761">
      <c r="A761" s="28" t="n">
        <v>29771</v>
      </c>
      <c r="B761" s="25">
        <f>VLOOKUP(A761,'Database Claims'!$A:$C,3,)</f>
        <v/>
      </c>
      <c r="C761" s="29">
        <f>B761-B760</f>
        <v/>
      </c>
      <c r="D761" s="25">
        <f>VLOOKUP(A761,'Database Claims'!$A:$C,2,)</f>
        <v/>
      </c>
      <c r="E761" s="29">
        <f>D761-D760</f>
        <v/>
      </c>
    </row>
    <row r="762">
      <c r="A762" s="28" t="n">
        <v>29778</v>
      </c>
      <c r="B762" s="29">
        <f>VLOOKUP(A762,'Database Claims'!$A:$C,3,)</f>
        <v/>
      </c>
      <c r="C762" s="29">
        <f>B762-B761</f>
        <v/>
      </c>
      <c r="D762" s="29">
        <f>VLOOKUP(A762,'Database Claims'!$A:$C,2,)</f>
        <v/>
      </c>
      <c r="E762" s="29">
        <f>D762-D761</f>
        <v/>
      </c>
    </row>
    <row r="763">
      <c r="A763" s="28" t="n">
        <v>29785</v>
      </c>
      <c r="B763" s="25">
        <f>VLOOKUP(A763,'Database Claims'!$A:$C,3,)</f>
        <v/>
      </c>
      <c r="C763" s="29">
        <f>B763-B762</f>
        <v/>
      </c>
      <c r="D763" s="25">
        <f>VLOOKUP(A763,'Database Claims'!$A:$C,2,)</f>
        <v/>
      </c>
      <c r="E763" s="29">
        <f>D763-D762</f>
        <v/>
      </c>
    </row>
    <row r="764">
      <c r="A764" s="28" t="n">
        <v>29792</v>
      </c>
      <c r="B764" s="29">
        <f>VLOOKUP(A764,'Database Claims'!$A:$C,3,)</f>
        <v/>
      </c>
      <c r="C764" s="29">
        <f>B764-B763</f>
        <v/>
      </c>
      <c r="D764" s="29">
        <f>VLOOKUP(A764,'Database Claims'!$A:$C,2,)</f>
        <v/>
      </c>
      <c r="E764" s="29">
        <f>D764-D763</f>
        <v/>
      </c>
    </row>
    <row r="765">
      <c r="A765" s="28" t="n">
        <v>29799</v>
      </c>
      <c r="B765" s="25">
        <f>VLOOKUP(A765,'Database Claims'!$A:$C,3,)</f>
        <v/>
      </c>
      <c r="C765" s="29">
        <f>B765-B764</f>
        <v/>
      </c>
      <c r="D765" s="25">
        <f>VLOOKUP(A765,'Database Claims'!$A:$C,2,)</f>
        <v/>
      </c>
      <c r="E765" s="29">
        <f>D765-D764</f>
        <v/>
      </c>
    </row>
    <row r="766">
      <c r="A766" s="28" t="n">
        <v>29806</v>
      </c>
      <c r="B766" s="29">
        <f>VLOOKUP(A766,'Database Claims'!$A:$C,3,)</f>
        <v/>
      </c>
      <c r="C766" s="29">
        <f>B766-B765</f>
        <v/>
      </c>
      <c r="D766" s="29">
        <f>VLOOKUP(A766,'Database Claims'!$A:$C,2,)</f>
        <v/>
      </c>
      <c r="E766" s="29">
        <f>D766-D765</f>
        <v/>
      </c>
    </row>
    <row r="767">
      <c r="A767" s="28" t="n">
        <v>29813</v>
      </c>
      <c r="B767" s="25">
        <f>VLOOKUP(A767,'Database Claims'!$A:$C,3,)</f>
        <v/>
      </c>
      <c r="C767" s="29">
        <f>B767-B766</f>
        <v/>
      </c>
      <c r="D767" s="25">
        <f>VLOOKUP(A767,'Database Claims'!$A:$C,2,)</f>
        <v/>
      </c>
      <c r="E767" s="29">
        <f>D767-D766</f>
        <v/>
      </c>
    </row>
    <row r="768">
      <c r="A768" s="28" t="n">
        <v>29820</v>
      </c>
      <c r="B768" s="29">
        <f>VLOOKUP(A768,'Database Claims'!$A:$C,3,)</f>
        <v/>
      </c>
      <c r="C768" s="29">
        <f>B768-B767</f>
        <v/>
      </c>
      <c r="D768" s="29">
        <f>VLOOKUP(A768,'Database Claims'!$A:$C,2,)</f>
        <v/>
      </c>
      <c r="E768" s="29">
        <f>D768-D767</f>
        <v/>
      </c>
    </row>
    <row r="769">
      <c r="A769" s="28" t="n">
        <v>29827</v>
      </c>
      <c r="B769" s="25">
        <f>VLOOKUP(A769,'Database Claims'!$A:$C,3,)</f>
        <v/>
      </c>
      <c r="C769" s="29">
        <f>B769-B768</f>
        <v/>
      </c>
      <c r="D769" s="25">
        <f>VLOOKUP(A769,'Database Claims'!$A:$C,2,)</f>
        <v/>
      </c>
      <c r="E769" s="29">
        <f>D769-D768</f>
        <v/>
      </c>
    </row>
    <row r="770">
      <c r="A770" s="28" t="n">
        <v>29834</v>
      </c>
      <c r="B770" s="29">
        <f>VLOOKUP(A770,'Database Claims'!$A:$C,3,)</f>
        <v/>
      </c>
      <c r="C770" s="29">
        <f>B770-B769</f>
        <v/>
      </c>
      <c r="D770" s="29">
        <f>VLOOKUP(A770,'Database Claims'!$A:$C,2,)</f>
        <v/>
      </c>
      <c r="E770" s="29">
        <f>D770-D769</f>
        <v/>
      </c>
    </row>
    <row r="771">
      <c r="A771" s="28" t="n">
        <v>29841</v>
      </c>
      <c r="B771" s="25">
        <f>VLOOKUP(A771,'Database Claims'!$A:$C,3,)</f>
        <v/>
      </c>
      <c r="C771" s="29">
        <f>B771-B770</f>
        <v/>
      </c>
      <c r="D771" s="25">
        <f>VLOOKUP(A771,'Database Claims'!$A:$C,2,)</f>
        <v/>
      </c>
      <c r="E771" s="29">
        <f>D771-D770</f>
        <v/>
      </c>
    </row>
    <row r="772">
      <c r="A772" s="28" t="n">
        <v>29848</v>
      </c>
      <c r="B772" s="29">
        <f>VLOOKUP(A772,'Database Claims'!$A:$C,3,)</f>
        <v/>
      </c>
      <c r="C772" s="29">
        <f>B772-B771</f>
        <v/>
      </c>
      <c r="D772" s="29">
        <f>VLOOKUP(A772,'Database Claims'!$A:$C,2,)</f>
        <v/>
      </c>
      <c r="E772" s="29">
        <f>D772-D771</f>
        <v/>
      </c>
    </row>
    <row r="773">
      <c r="A773" s="28" t="n">
        <v>29855</v>
      </c>
      <c r="B773" s="25">
        <f>VLOOKUP(A773,'Database Claims'!$A:$C,3,)</f>
        <v/>
      </c>
      <c r="C773" s="29">
        <f>B773-B772</f>
        <v/>
      </c>
      <c r="D773" s="25">
        <f>VLOOKUP(A773,'Database Claims'!$A:$C,2,)</f>
        <v/>
      </c>
      <c r="E773" s="29">
        <f>D773-D772</f>
        <v/>
      </c>
    </row>
    <row r="774">
      <c r="A774" s="28" t="n">
        <v>29862</v>
      </c>
      <c r="B774" s="29">
        <f>VLOOKUP(A774,'Database Claims'!$A:$C,3,)</f>
        <v/>
      </c>
      <c r="C774" s="29">
        <f>B774-B773</f>
        <v/>
      </c>
      <c r="D774" s="29">
        <f>VLOOKUP(A774,'Database Claims'!$A:$C,2,)</f>
        <v/>
      </c>
      <c r="E774" s="29">
        <f>D774-D773</f>
        <v/>
      </c>
    </row>
    <row r="775">
      <c r="A775" s="28" t="n">
        <v>29869</v>
      </c>
      <c r="B775" s="25">
        <f>VLOOKUP(A775,'Database Claims'!$A:$C,3,)</f>
        <v/>
      </c>
      <c r="C775" s="29">
        <f>B775-B774</f>
        <v/>
      </c>
      <c r="D775" s="25">
        <f>VLOOKUP(A775,'Database Claims'!$A:$C,2,)</f>
        <v/>
      </c>
      <c r="E775" s="29">
        <f>D775-D774</f>
        <v/>
      </c>
    </row>
    <row r="776">
      <c r="A776" s="28" t="n">
        <v>29876</v>
      </c>
      <c r="B776" s="29">
        <f>VLOOKUP(A776,'Database Claims'!$A:$C,3,)</f>
        <v/>
      </c>
      <c r="C776" s="29">
        <f>B776-B775</f>
        <v/>
      </c>
      <c r="D776" s="29">
        <f>VLOOKUP(A776,'Database Claims'!$A:$C,2,)</f>
        <v/>
      </c>
      <c r="E776" s="29">
        <f>D776-D775</f>
        <v/>
      </c>
    </row>
    <row r="777">
      <c r="A777" s="28" t="n">
        <v>29883</v>
      </c>
      <c r="B777" s="25">
        <f>VLOOKUP(A777,'Database Claims'!$A:$C,3,)</f>
        <v/>
      </c>
      <c r="C777" s="29">
        <f>B777-B776</f>
        <v/>
      </c>
      <c r="D777" s="25">
        <f>VLOOKUP(A777,'Database Claims'!$A:$C,2,)</f>
        <v/>
      </c>
      <c r="E777" s="29">
        <f>D777-D776</f>
        <v/>
      </c>
    </row>
    <row r="778">
      <c r="A778" s="28" t="n">
        <v>29890</v>
      </c>
      <c r="B778" s="29">
        <f>VLOOKUP(A778,'Database Claims'!$A:$C,3,)</f>
        <v/>
      </c>
      <c r="C778" s="29">
        <f>B778-B777</f>
        <v/>
      </c>
      <c r="D778" s="29">
        <f>VLOOKUP(A778,'Database Claims'!$A:$C,2,)</f>
        <v/>
      </c>
      <c r="E778" s="29">
        <f>D778-D777</f>
        <v/>
      </c>
    </row>
    <row r="779">
      <c r="A779" s="28" t="n">
        <v>29897</v>
      </c>
      <c r="B779" s="25">
        <f>VLOOKUP(A779,'Database Claims'!$A:$C,3,)</f>
        <v/>
      </c>
      <c r="C779" s="29">
        <f>B779-B778</f>
        <v/>
      </c>
      <c r="D779" s="25">
        <f>VLOOKUP(A779,'Database Claims'!$A:$C,2,)</f>
        <v/>
      </c>
      <c r="E779" s="29">
        <f>D779-D778</f>
        <v/>
      </c>
    </row>
    <row r="780">
      <c r="A780" s="28" t="n">
        <v>29904</v>
      </c>
      <c r="B780" s="29">
        <f>VLOOKUP(A780,'Database Claims'!$A:$C,3,)</f>
        <v/>
      </c>
      <c r="C780" s="29">
        <f>B780-B779</f>
        <v/>
      </c>
      <c r="D780" s="29">
        <f>VLOOKUP(A780,'Database Claims'!$A:$C,2,)</f>
        <v/>
      </c>
      <c r="E780" s="29">
        <f>D780-D779</f>
        <v/>
      </c>
    </row>
    <row r="781">
      <c r="A781" s="28" t="n">
        <v>29911</v>
      </c>
      <c r="B781" s="25">
        <f>VLOOKUP(A781,'Database Claims'!$A:$C,3,)</f>
        <v/>
      </c>
      <c r="C781" s="29">
        <f>B781-B780</f>
        <v/>
      </c>
      <c r="D781" s="25">
        <f>VLOOKUP(A781,'Database Claims'!$A:$C,2,)</f>
        <v/>
      </c>
      <c r="E781" s="29">
        <f>D781-D780</f>
        <v/>
      </c>
    </row>
    <row r="782">
      <c r="A782" s="28" t="n">
        <v>29918</v>
      </c>
      <c r="B782" s="29">
        <f>VLOOKUP(A782,'Database Claims'!$A:$C,3,)</f>
        <v/>
      </c>
      <c r="C782" s="29">
        <f>B782-B781</f>
        <v/>
      </c>
      <c r="D782" s="29">
        <f>VLOOKUP(A782,'Database Claims'!$A:$C,2,)</f>
        <v/>
      </c>
      <c r="E782" s="29">
        <f>D782-D781</f>
        <v/>
      </c>
    </row>
    <row r="783">
      <c r="A783" s="28" t="n">
        <v>29925</v>
      </c>
      <c r="B783" s="25">
        <f>VLOOKUP(A783,'Database Claims'!$A:$C,3,)</f>
        <v/>
      </c>
      <c r="C783" s="29">
        <f>B783-B782</f>
        <v/>
      </c>
      <c r="D783" s="25">
        <f>VLOOKUP(A783,'Database Claims'!$A:$C,2,)</f>
        <v/>
      </c>
      <c r="E783" s="29">
        <f>D783-D782</f>
        <v/>
      </c>
    </row>
    <row r="784">
      <c r="A784" s="28" t="n">
        <v>29932</v>
      </c>
      <c r="B784" s="29">
        <f>VLOOKUP(A784,'Database Claims'!$A:$C,3,)</f>
        <v/>
      </c>
      <c r="C784" s="29">
        <f>B784-B783</f>
        <v/>
      </c>
      <c r="D784" s="29">
        <f>VLOOKUP(A784,'Database Claims'!$A:$C,2,)</f>
        <v/>
      </c>
      <c r="E784" s="29">
        <f>D784-D783</f>
        <v/>
      </c>
    </row>
    <row r="785">
      <c r="A785" s="28" t="n">
        <v>29939</v>
      </c>
      <c r="B785" s="25">
        <f>VLOOKUP(A785,'Database Claims'!$A:$C,3,)</f>
        <v/>
      </c>
      <c r="C785" s="29">
        <f>B785-B784</f>
        <v/>
      </c>
      <c r="D785" s="25">
        <f>VLOOKUP(A785,'Database Claims'!$A:$C,2,)</f>
        <v/>
      </c>
      <c r="E785" s="29">
        <f>D785-D784</f>
        <v/>
      </c>
    </row>
    <row r="786">
      <c r="A786" s="28" t="n">
        <v>29946</v>
      </c>
      <c r="B786" s="29">
        <f>VLOOKUP(A786,'Database Claims'!$A:$C,3,)</f>
        <v/>
      </c>
      <c r="C786" s="29">
        <f>B786-B785</f>
        <v/>
      </c>
      <c r="D786" s="29">
        <f>VLOOKUP(A786,'Database Claims'!$A:$C,2,)</f>
        <v/>
      </c>
      <c r="E786" s="29">
        <f>D786-D785</f>
        <v/>
      </c>
    </row>
    <row r="787">
      <c r="A787" s="28" t="n">
        <v>29953</v>
      </c>
      <c r="B787" s="25">
        <f>VLOOKUP(A787,'Database Claims'!$A:$C,3,)</f>
        <v/>
      </c>
      <c r="C787" s="29">
        <f>B787-B786</f>
        <v/>
      </c>
      <c r="D787" s="25">
        <f>VLOOKUP(A787,'Database Claims'!$A:$C,2,)</f>
        <v/>
      </c>
      <c r="E787" s="29">
        <f>D787-D786</f>
        <v/>
      </c>
    </row>
    <row r="788">
      <c r="A788" s="28" t="n">
        <v>29960</v>
      </c>
      <c r="B788" s="29">
        <f>VLOOKUP(A788,'Database Claims'!$A:$C,3,)</f>
        <v/>
      </c>
      <c r="C788" s="29">
        <f>B788-B787</f>
        <v/>
      </c>
      <c r="D788" s="29">
        <f>VLOOKUP(A788,'Database Claims'!$A:$C,2,)</f>
        <v/>
      </c>
      <c r="E788" s="29">
        <f>D788-D787</f>
        <v/>
      </c>
    </row>
    <row r="789">
      <c r="A789" s="28" t="n">
        <v>29967</v>
      </c>
      <c r="B789" s="25">
        <f>VLOOKUP(A789,'Database Claims'!$A:$C,3,)</f>
        <v/>
      </c>
      <c r="C789" s="29">
        <f>B789-B788</f>
        <v/>
      </c>
      <c r="D789" s="25">
        <f>VLOOKUP(A789,'Database Claims'!$A:$C,2,)</f>
        <v/>
      </c>
      <c r="E789" s="29">
        <f>D789-D788</f>
        <v/>
      </c>
    </row>
    <row r="790">
      <c r="A790" s="28" t="n">
        <v>29974</v>
      </c>
      <c r="B790" s="29">
        <f>VLOOKUP(A790,'Database Claims'!$A:$C,3,)</f>
        <v/>
      </c>
      <c r="C790" s="29">
        <f>B790-B789</f>
        <v/>
      </c>
      <c r="D790" s="29">
        <f>VLOOKUP(A790,'Database Claims'!$A:$C,2,)</f>
        <v/>
      </c>
      <c r="E790" s="29">
        <f>D790-D789</f>
        <v/>
      </c>
    </row>
    <row r="791">
      <c r="A791" s="28" t="n">
        <v>29981</v>
      </c>
      <c r="B791" s="25">
        <f>VLOOKUP(A791,'Database Claims'!$A:$C,3,)</f>
        <v/>
      </c>
      <c r="C791" s="29">
        <f>B791-B790</f>
        <v/>
      </c>
      <c r="D791" s="25">
        <f>VLOOKUP(A791,'Database Claims'!$A:$C,2,)</f>
        <v/>
      </c>
      <c r="E791" s="29">
        <f>D791-D790</f>
        <v/>
      </c>
    </row>
    <row r="792">
      <c r="A792" s="28" t="n">
        <v>29988</v>
      </c>
      <c r="B792" s="29">
        <f>VLOOKUP(A792,'Database Claims'!$A:$C,3,)</f>
        <v/>
      </c>
      <c r="C792" s="29">
        <f>B792-B791</f>
        <v/>
      </c>
      <c r="D792" s="29">
        <f>VLOOKUP(A792,'Database Claims'!$A:$C,2,)</f>
        <v/>
      </c>
      <c r="E792" s="29">
        <f>D792-D791</f>
        <v/>
      </c>
    </row>
    <row r="793">
      <c r="A793" s="28" t="n">
        <v>29995</v>
      </c>
      <c r="B793" s="25">
        <f>VLOOKUP(A793,'Database Claims'!$A:$C,3,)</f>
        <v/>
      </c>
      <c r="C793" s="29">
        <f>B793-B792</f>
        <v/>
      </c>
      <c r="D793" s="25">
        <f>VLOOKUP(A793,'Database Claims'!$A:$C,2,)</f>
        <v/>
      </c>
      <c r="E793" s="29">
        <f>D793-D792</f>
        <v/>
      </c>
    </row>
    <row r="794">
      <c r="A794" s="28" t="n">
        <v>30002</v>
      </c>
      <c r="B794" s="29">
        <f>VLOOKUP(A794,'Database Claims'!$A:$C,3,)</f>
        <v/>
      </c>
      <c r="C794" s="29">
        <f>B794-B793</f>
        <v/>
      </c>
      <c r="D794" s="29">
        <f>VLOOKUP(A794,'Database Claims'!$A:$C,2,)</f>
        <v/>
      </c>
      <c r="E794" s="29">
        <f>D794-D793</f>
        <v/>
      </c>
    </row>
    <row r="795">
      <c r="A795" s="28" t="n">
        <v>30009</v>
      </c>
      <c r="B795" s="25">
        <f>VLOOKUP(A795,'Database Claims'!$A:$C,3,)</f>
        <v/>
      </c>
      <c r="C795" s="29">
        <f>B795-B794</f>
        <v/>
      </c>
      <c r="D795" s="25">
        <f>VLOOKUP(A795,'Database Claims'!$A:$C,2,)</f>
        <v/>
      </c>
      <c r="E795" s="29">
        <f>D795-D794</f>
        <v/>
      </c>
    </row>
    <row r="796">
      <c r="A796" s="28" t="n">
        <v>30016</v>
      </c>
      <c r="B796" s="29">
        <f>VLOOKUP(A796,'Database Claims'!$A:$C,3,)</f>
        <v/>
      </c>
      <c r="C796" s="29">
        <f>B796-B795</f>
        <v/>
      </c>
      <c r="D796" s="29">
        <f>VLOOKUP(A796,'Database Claims'!$A:$C,2,)</f>
        <v/>
      </c>
      <c r="E796" s="29">
        <f>D796-D795</f>
        <v/>
      </c>
    </row>
    <row r="797">
      <c r="A797" s="28" t="n">
        <v>30023</v>
      </c>
      <c r="B797" s="25">
        <f>VLOOKUP(A797,'Database Claims'!$A:$C,3,)</f>
        <v/>
      </c>
      <c r="C797" s="29">
        <f>B797-B796</f>
        <v/>
      </c>
      <c r="D797" s="25">
        <f>VLOOKUP(A797,'Database Claims'!$A:$C,2,)</f>
        <v/>
      </c>
      <c r="E797" s="29">
        <f>D797-D796</f>
        <v/>
      </c>
    </row>
    <row r="798">
      <c r="A798" s="28" t="n">
        <v>30030</v>
      </c>
      <c r="B798" s="29">
        <f>VLOOKUP(A798,'Database Claims'!$A:$C,3,)</f>
        <v/>
      </c>
      <c r="C798" s="29">
        <f>B798-B797</f>
        <v/>
      </c>
      <c r="D798" s="29">
        <f>VLOOKUP(A798,'Database Claims'!$A:$C,2,)</f>
        <v/>
      </c>
      <c r="E798" s="29">
        <f>D798-D797</f>
        <v/>
      </c>
    </row>
    <row r="799">
      <c r="A799" s="28" t="n">
        <v>30037</v>
      </c>
      <c r="B799" s="25">
        <f>VLOOKUP(A799,'Database Claims'!$A:$C,3,)</f>
        <v/>
      </c>
      <c r="C799" s="29">
        <f>B799-B798</f>
        <v/>
      </c>
      <c r="D799" s="25">
        <f>VLOOKUP(A799,'Database Claims'!$A:$C,2,)</f>
        <v/>
      </c>
      <c r="E799" s="29">
        <f>D799-D798</f>
        <v/>
      </c>
    </row>
    <row r="800">
      <c r="A800" s="28" t="n">
        <v>30044</v>
      </c>
      <c r="B800" s="29">
        <f>VLOOKUP(A800,'Database Claims'!$A:$C,3,)</f>
        <v/>
      </c>
      <c r="C800" s="29">
        <f>B800-B799</f>
        <v/>
      </c>
      <c r="D800" s="29">
        <f>VLOOKUP(A800,'Database Claims'!$A:$C,2,)</f>
        <v/>
      </c>
      <c r="E800" s="29">
        <f>D800-D799</f>
        <v/>
      </c>
    </row>
    <row r="801">
      <c r="A801" s="28" t="n">
        <v>30051</v>
      </c>
      <c r="B801" s="25">
        <f>VLOOKUP(A801,'Database Claims'!$A:$C,3,)</f>
        <v/>
      </c>
      <c r="C801" s="29">
        <f>B801-B800</f>
        <v/>
      </c>
      <c r="D801" s="25">
        <f>VLOOKUP(A801,'Database Claims'!$A:$C,2,)</f>
        <v/>
      </c>
      <c r="E801" s="29">
        <f>D801-D800</f>
        <v/>
      </c>
    </row>
    <row r="802">
      <c r="A802" s="28" t="n">
        <v>30058</v>
      </c>
      <c r="B802" s="29">
        <f>VLOOKUP(A802,'Database Claims'!$A:$C,3,)</f>
        <v/>
      </c>
      <c r="C802" s="29">
        <f>B802-B801</f>
        <v/>
      </c>
      <c r="D802" s="29">
        <f>VLOOKUP(A802,'Database Claims'!$A:$C,2,)</f>
        <v/>
      </c>
      <c r="E802" s="29">
        <f>D802-D801</f>
        <v/>
      </c>
    </row>
    <row r="803">
      <c r="A803" s="28" t="n">
        <v>30065</v>
      </c>
      <c r="B803" s="25">
        <f>VLOOKUP(A803,'Database Claims'!$A:$C,3,)</f>
        <v/>
      </c>
      <c r="C803" s="29">
        <f>B803-B802</f>
        <v/>
      </c>
      <c r="D803" s="25">
        <f>VLOOKUP(A803,'Database Claims'!$A:$C,2,)</f>
        <v/>
      </c>
      <c r="E803" s="29">
        <f>D803-D802</f>
        <v/>
      </c>
    </row>
    <row r="804">
      <c r="A804" s="28" t="n">
        <v>30072</v>
      </c>
      <c r="B804" s="29">
        <f>VLOOKUP(A804,'Database Claims'!$A:$C,3,)</f>
        <v/>
      </c>
      <c r="C804" s="29">
        <f>B804-B803</f>
        <v/>
      </c>
      <c r="D804" s="29">
        <f>VLOOKUP(A804,'Database Claims'!$A:$C,2,)</f>
        <v/>
      </c>
      <c r="E804" s="29">
        <f>D804-D803</f>
        <v/>
      </c>
    </row>
    <row r="805">
      <c r="A805" s="28" t="n">
        <v>30079</v>
      </c>
      <c r="B805" s="25">
        <f>VLOOKUP(A805,'Database Claims'!$A:$C,3,)</f>
        <v/>
      </c>
      <c r="C805" s="29">
        <f>B805-B804</f>
        <v/>
      </c>
      <c r="D805" s="25">
        <f>VLOOKUP(A805,'Database Claims'!$A:$C,2,)</f>
        <v/>
      </c>
      <c r="E805" s="29">
        <f>D805-D804</f>
        <v/>
      </c>
    </row>
    <row r="806">
      <c r="A806" s="28" t="n">
        <v>30086</v>
      </c>
      <c r="B806" s="29">
        <f>VLOOKUP(A806,'Database Claims'!$A:$C,3,)</f>
        <v/>
      </c>
      <c r="C806" s="29">
        <f>B806-B805</f>
        <v/>
      </c>
      <c r="D806" s="29">
        <f>VLOOKUP(A806,'Database Claims'!$A:$C,2,)</f>
        <v/>
      </c>
      <c r="E806" s="29">
        <f>D806-D805</f>
        <v/>
      </c>
    </row>
    <row r="807">
      <c r="A807" s="28" t="n">
        <v>30093</v>
      </c>
      <c r="B807" s="25">
        <f>VLOOKUP(A807,'Database Claims'!$A:$C,3,)</f>
        <v/>
      </c>
      <c r="C807" s="29">
        <f>B807-B806</f>
        <v/>
      </c>
      <c r="D807" s="25">
        <f>VLOOKUP(A807,'Database Claims'!$A:$C,2,)</f>
        <v/>
      </c>
      <c r="E807" s="29">
        <f>D807-D806</f>
        <v/>
      </c>
    </row>
    <row r="808">
      <c r="A808" s="28" t="n">
        <v>30100</v>
      </c>
      <c r="B808" s="29">
        <f>VLOOKUP(A808,'Database Claims'!$A:$C,3,)</f>
        <v/>
      </c>
      <c r="C808" s="29">
        <f>B808-B807</f>
        <v/>
      </c>
      <c r="D808" s="29">
        <f>VLOOKUP(A808,'Database Claims'!$A:$C,2,)</f>
        <v/>
      </c>
      <c r="E808" s="29">
        <f>D808-D807</f>
        <v/>
      </c>
    </row>
    <row r="809">
      <c r="A809" s="28" t="n">
        <v>30107</v>
      </c>
      <c r="B809" s="25">
        <f>VLOOKUP(A809,'Database Claims'!$A:$C,3,)</f>
        <v/>
      </c>
      <c r="C809" s="29">
        <f>B809-B808</f>
        <v/>
      </c>
      <c r="D809" s="25">
        <f>VLOOKUP(A809,'Database Claims'!$A:$C,2,)</f>
        <v/>
      </c>
      <c r="E809" s="29">
        <f>D809-D808</f>
        <v/>
      </c>
    </row>
    <row r="810">
      <c r="A810" s="28" t="n">
        <v>30114</v>
      </c>
      <c r="B810" s="29">
        <f>VLOOKUP(A810,'Database Claims'!$A:$C,3,)</f>
        <v/>
      </c>
      <c r="C810" s="29">
        <f>B810-B809</f>
        <v/>
      </c>
      <c r="D810" s="29">
        <f>VLOOKUP(A810,'Database Claims'!$A:$C,2,)</f>
        <v/>
      </c>
      <c r="E810" s="29">
        <f>D810-D809</f>
        <v/>
      </c>
    </row>
    <row r="811">
      <c r="A811" s="28" t="n">
        <v>30121</v>
      </c>
      <c r="B811" s="25">
        <f>VLOOKUP(A811,'Database Claims'!$A:$C,3,)</f>
        <v/>
      </c>
      <c r="C811" s="29">
        <f>B811-B810</f>
        <v/>
      </c>
      <c r="D811" s="25">
        <f>VLOOKUP(A811,'Database Claims'!$A:$C,2,)</f>
        <v/>
      </c>
      <c r="E811" s="29">
        <f>D811-D810</f>
        <v/>
      </c>
    </row>
    <row r="812">
      <c r="A812" s="28" t="n">
        <v>30128</v>
      </c>
      <c r="B812" s="29">
        <f>VLOOKUP(A812,'Database Claims'!$A:$C,3,)</f>
        <v/>
      </c>
      <c r="C812" s="29">
        <f>B812-B811</f>
        <v/>
      </c>
      <c r="D812" s="29">
        <f>VLOOKUP(A812,'Database Claims'!$A:$C,2,)</f>
        <v/>
      </c>
      <c r="E812" s="29">
        <f>D812-D811</f>
        <v/>
      </c>
    </row>
    <row r="813">
      <c r="A813" s="28" t="n">
        <v>30135</v>
      </c>
      <c r="B813" s="25">
        <f>VLOOKUP(A813,'Database Claims'!$A:$C,3,)</f>
        <v/>
      </c>
      <c r="C813" s="29">
        <f>B813-B812</f>
        <v/>
      </c>
      <c r="D813" s="25">
        <f>VLOOKUP(A813,'Database Claims'!$A:$C,2,)</f>
        <v/>
      </c>
      <c r="E813" s="29">
        <f>D813-D812</f>
        <v/>
      </c>
    </row>
    <row r="814">
      <c r="A814" s="28" t="n">
        <v>30142</v>
      </c>
      <c r="B814" s="29">
        <f>VLOOKUP(A814,'Database Claims'!$A:$C,3,)</f>
        <v/>
      </c>
      <c r="C814" s="29">
        <f>B814-B813</f>
        <v/>
      </c>
      <c r="D814" s="29">
        <f>VLOOKUP(A814,'Database Claims'!$A:$C,2,)</f>
        <v/>
      </c>
      <c r="E814" s="29">
        <f>D814-D813</f>
        <v/>
      </c>
    </row>
    <row r="815">
      <c r="A815" s="28" t="n">
        <v>30149</v>
      </c>
      <c r="B815" s="25">
        <f>VLOOKUP(A815,'Database Claims'!$A:$C,3,)</f>
        <v/>
      </c>
      <c r="C815" s="29">
        <f>B815-B814</f>
        <v/>
      </c>
      <c r="D815" s="25">
        <f>VLOOKUP(A815,'Database Claims'!$A:$C,2,)</f>
        <v/>
      </c>
      <c r="E815" s="29">
        <f>D815-D814</f>
        <v/>
      </c>
    </row>
    <row r="816">
      <c r="A816" s="28" t="n">
        <v>30156</v>
      </c>
      <c r="B816" s="29">
        <f>VLOOKUP(A816,'Database Claims'!$A:$C,3,)</f>
        <v/>
      </c>
      <c r="C816" s="29">
        <f>B816-B815</f>
        <v/>
      </c>
      <c r="D816" s="29">
        <f>VLOOKUP(A816,'Database Claims'!$A:$C,2,)</f>
        <v/>
      </c>
      <c r="E816" s="29">
        <f>D816-D815</f>
        <v/>
      </c>
    </row>
    <row r="817">
      <c r="A817" s="28" t="n">
        <v>30163</v>
      </c>
      <c r="B817" s="25">
        <f>VLOOKUP(A817,'Database Claims'!$A:$C,3,)</f>
        <v/>
      </c>
      <c r="C817" s="29">
        <f>B817-B816</f>
        <v/>
      </c>
      <c r="D817" s="25">
        <f>VLOOKUP(A817,'Database Claims'!$A:$C,2,)</f>
        <v/>
      </c>
      <c r="E817" s="29">
        <f>D817-D816</f>
        <v/>
      </c>
    </row>
    <row r="818">
      <c r="A818" s="28" t="n">
        <v>30170</v>
      </c>
      <c r="B818" s="29">
        <f>VLOOKUP(A818,'Database Claims'!$A:$C,3,)</f>
        <v/>
      </c>
      <c r="C818" s="29">
        <f>B818-B817</f>
        <v/>
      </c>
      <c r="D818" s="29">
        <f>VLOOKUP(A818,'Database Claims'!$A:$C,2,)</f>
        <v/>
      </c>
      <c r="E818" s="29">
        <f>D818-D817</f>
        <v/>
      </c>
    </row>
    <row r="819">
      <c r="A819" s="28" t="n">
        <v>30177</v>
      </c>
      <c r="B819" s="25">
        <f>VLOOKUP(A819,'Database Claims'!$A:$C,3,)</f>
        <v/>
      </c>
      <c r="C819" s="29">
        <f>B819-B818</f>
        <v/>
      </c>
      <c r="D819" s="25">
        <f>VLOOKUP(A819,'Database Claims'!$A:$C,2,)</f>
        <v/>
      </c>
      <c r="E819" s="29">
        <f>D819-D818</f>
        <v/>
      </c>
    </row>
    <row r="820">
      <c r="A820" s="28" t="n">
        <v>30184</v>
      </c>
      <c r="B820" s="29">
        <f>VLOOKUP(A820,'Database Claims'!$A:$C,3,)</f>
        <v/>
      </c>
      <c r="C820" s="29">
        <f>B820-B819</f>
        <v/>
      </c>
      <c r="D820" s="29">
        <f>VLOOKUP(A820,'Database Claims'!$A:$C,2,)</f>
        <v/>
      </c>
      <c r="E820" s="29">
        <f>D820-D819</f>
        <v/>
      </c>
    </row>
    <row r="821">
      <c r="A821" s="28" t="n">
        <v>30191</v>
      </c>
      <c r="B821" s="25">
        <f>VLOOKUP(A821,'Database Claims'!$A:$C,3,)</f>
        <v/>
      </c>
      <c r="C821" s="29">
        <f>B821-B820</f>
        <v/>
      </c>
      <c r="D821" s="25">
        <f>VLOOKUP(A821,'Database Claims'!$A:$C,2,)</f>
        <v/>
      </c>
      <c r="E821" s="29">
        <f>D821-D820</f>
        <v/>
      </c>
    </row>
    <row r="822">
      <c r="A822" s="28" t="n">
        <v>30198</v>
      </c>
      <c r="B822" s="29">
        <f>VLOOKUP(A822,'Database Claims'!$A:$C,3,)</f>
        <v/>
      </c>
      <c r="C822" s="29">
        <f>B822-B821</f>
        <v/>
      </c>
      <c r="D822" s="29">
        <f>VLOOKUP(A822,'Database Claims'!$A:$C,2,)</f>
        <v/>
      </c>
      <c r="E822" s="29">
        <f>D822-D821</f>
        <v/>
      </c>
    </row>
    <row r="823">
      <c r="A823" s="28" t="n">
        <v>30205</v>
      </c>
      <c r="B823" s="25">
        <f>VLOOKUP(A823,'Database Claims'!$A:$C,3,)</f>
        <v/>
      </c>
      <c r="C823" s="29">
        <f>B823-B822</f>
        <v/>
      </c>
      <c r="D823" s="25">
        <f>VLOOKUP(A823,'Database Claims'!$A:$C,2,)</f>
        <v/>
      </c>
      <c r="E823" s="29">
        <f>D823-D822</f>
        <v/>
      </c>
    </row>
    <row r="824">
      <c r="A824" s="28" t="n">
        <v>30212</v>
      </c>
      <c r="B824" s="29">
        <f>VLOOKUP(A824,'Database Claims'!$A:$C,3,)</f>
        <v/>
      </c>
      <c r="C824" s="29">
        <f>B824-B823</f>
        <v/>
      </c>
      <c r="D824" s="29">
        <f>VLOOKUP(A824,'Database Claims'!$A:$C,2,)</f>
        <v/>
      </c>
      <c r="E824" s="29">
        <f>D824-D823</f>
        <v/>
      </c>
    </row>
    <row r="825">
      <c r="A825" s="28" t="n">
        <v>30219</v>
      </c>
      <c r="B825" s="25">
        <f>VLOOKUP(A825,'Database Claims'!$A:$C,3,)</f>
        <v/>
      </c>
      <c r="C825" s="29">
        <f>B825-B824</f>
        <v/>
      </c>
      <c r="D825" s="25">
        <f>VLOOKUP(A825,'Database Claims'!$A:$C,2,)</f>
        <v/>
      </c>
      <c r="E825" s="29">
        <f>D825-D824</f>
        <v/>
      </c>
    </row>
    <row r="826">
      <c r="A826" s="28" t="n">
        <v>30226</v>
      </c>
      <c r="B826" s="29">
        <f>VLOOKUP(A826,'Database Claims'!$A:$C,3,)</f>
        <v/>
      </c>
      <c r="C826" s="29">
        <f>B826-B825</f>
        <v/>
      </c>
      <c r="D826" s="29">
        <f>VLOOKUP(A826,'Database Claims'!$A:$C,2,)</f>
        <v/>
      </c>
      <c r="E826" s="29">
        <f>D826-D825</f>
        <v/>
      </c>
    </row>
    <row r="827">
      <c r="A827" s="28" t="n">
        <v>30233</v>
      </c>
      <c r="B827" s="25">
        <f>VLOOKUP(A827,'Database Claims'!$A:$C,3,)</f>
        <v/>
      </c>
      <c r="C827" s="29">
        <f>B827-B826</f>
        <v/>
      </c>
      <c r="D827" s="25">
        <f>VLOOKUP(A827,'Database Claims'!$A:$C,2,)</f>
        <v/>
      </c>
      <c r="E827" s="29">
        <f>D827-D826</f>
        <v/>
      </c>
    </row>
    <row r="828">
      <c r="A828" s="28" t="n">
        <v>30240</v>
      </c>
      <c r="B828" s="29">
        <f>VLOOKUP(A828,'Database Claims'!$A:$C,3,)</f>
        <v/>
      </c>
      <c r="C828" s="29">
        <f>B828-B827</f>
        <v/>
      </c>
      <c r="D828" s="29">
        <f>VLOOKUP(A828,'Database Claims'!$A:$C,2,)</f>
        <v/>
      </c>
      <c r="E828" s="29">
        <f>D828-D827</f>
        <v/>
      </c>
    </row>
    <row r="829">
      <c r="A829" s="28" t="n">
        <v>30247</v>
      </c>
      <c r="B829" s="25">
        <f>VLOOKUP(A829,'Database Claims'!$A:$C,3,)</f>
        <v/>
      </c>
      <c r="C829" s="29">
        <f>B829-B828</f>
        <v/>
      </c>
      <c r="D829" s="25">
        <f>VLOOKUP(A829,'Database Claims'!$A:$C,2,)</f>
        <v/>
      </c>
      <c r="E829" s="29">
        <f>D829-D828</f>
        <v/>
      </c>
    </row>
    <row r="830">
      <c r="A830" s="28" t="n">
        <v>30254</v>
      </c>
      <c r="B830" s="29">
        <f>VLOOKUP(A830,'Database Claims'!$A:$C,3,)</f>
        <v/>
      </c>
      <c r="C830" s="29">
        <f>B830-B829</f>
        <v/>
      </c>
      <c r="D830" s="29">
        <f>VLOOKUP(A830,'Database Claims'!$A:$C,2,)</f>
        <v/>
      </c>
      <c r="E830" s="29">
        <f>D830-D829</f>
        <v/>
      </c>
    </row>
    <row r="831">
      <c r="A831" s="28" t="n">
        <v>30261</v>
      </c>
      <c r="B831" s="25">
        <f>VLOOKUP(A831,'Database Claims'!$A:$C,3,)</f>
        <v/>
      </c>
      <c r="C831" s="29">
        <f>B831-B830</f>
        <v/>
      </c>
      <c r="D831" s="25">
        <f>VLOOKUP(A831,'Database Claims'!$A:$C,2,)</f>
        <v/>
      </c>
      <c r="E831" s="29">
        <f>D831-D830</f>
        <v/>
      </c>
    </row>
    <row r="832">
      <c r="A832" s="28" t="n">
        <v>30268</v>
      </c>
      <c r="B832" s="29">
        <f>VLOOKUP(A832,'Database Claims'!$A:$C,3,)</f>
        <v/>
      </c>
      <c r="C832" s="29">
        <f>B832-B831</f>
        <v/>
      </c>
      <c r="D832" s="29">
        <f>VLOOKUP(A832,'Database Claims'!$A:$C,2,)</f>
        <v/>
      </c>
      <c r="E832" s="29">
        <f>D832-D831</f>
        <v/>
      </c>
    </row>
    <row r="833">
      <c r="A833" s="28" t="n">
        <v>30275</v>
      </c>
      <c r="B833" s="25">
        <f>VLOOKUP(A833,'Database Claims'!$A:$C,3,)</f>
        <v/>
      </c>
      <c r="C833" s="29">
        <f>B833-B832</f>
        <v/>
      </c>
      <c r="D833" s="25">
        <f>VLOOKUP(A833,'Database Claims'!$A:$C,2,)</f>
        <v/>
      </c>
      <c r="E833" s="29">
        <f>D833-D832</f>
        <v/>
      </c>
    </row>
    <row r="834">
      <c r="A834" s="28" t="n">
        <v>30282</v>
      </c>
      <c r="B834" s="29">
        <f>VLOOKUP(A834,'Database Claims'!$A:$C,3,)</f>
        <v/>
      </c>
      <c r="C834" s="29">
        <f>B834-B833</f>
        <v/>
      </c>
      <c r="D834" s="29">
        <f>VLOOKUP(A834,'Database Claims'!$A:$C,2,)</f>
        <v/>
      </c>
      <c r="E834" s="29">
        <f>D834-D833</f>
        <v/>
      </c>
    </row>
    <row r="835">
      <c r="A835" s="28" t="n">
        <v>30289</v>
      </c>
      <c r="B835" s="25">
        <f>VLOOKUP(A835,'Database Claims'!$A:$C,3,)</f>
        <v/>
      </c>
      <c r="C835" s="29">
        <f>B835-B834</f>
        <v/>
      </c>
      <c r="D835" s="25">
        <f>VLOOKUP(A835,'Database Claims'!$A:$C,2,)</f>
        <v/>
      </c>
      <c r="E835" s="29">
        <f>D835-D834</f>
        <v/>
      </c>
    </row>
    <row r="836">
      <c r="A836" s="28" t="n">
        <v>30296</v>
      </c>
      <c r="B836" s="29">
        <f>VLOOKUP(A836,'Database Claims'!$A:$C,3,)</f>
        <v/>
      </c>
      <c r="C836" s="29">
        <f>B836-B835</f>
        <v/>
      </c>
      <c r="D836" s="29">
        <f>VLOOKUP(A836,'Database Claims'!$A:$C,2,)</f>
        <v/>
      </c>
      <c r="E836" s="29">
        <f>D836-D835</f>
        <v/>
      </c>
    </row>
    <row r="837">
      <c r="A837" s="28" t="n">
        <v>30303</v>
      </c>
      <c r="B837" s="25">
        <f>VLOOKUP(A837,'Database Claims'!$A:$C,3,)</f>
        <v/>
      </c>
      <c r="C837" s="29">
        <f>B837-B836</f>
        <v/>
      </c>
      <c r="D837" s="25">
        <f>VLOOKUP(A837,'Database Claims'!$A:$C,2,)</f>
        <v/>
      </c>
      <c r="E837" s="29">
        <f>D837-D836</f>
        <v/>
      </c>
    </row>
    <row r="838">
      <c r="A838" s="28" t="n">
        <v>30310</v>
      </c>
      <c r="B838" s="29">
        <f>VLOOKUP(A838,'Database Claims'!$A:$C,3,)</f>
        <v/>
      </c>
      <c r="C838" s="29">
        <f>B838-B837</f>
        <v/>
      </c>
      <c r="D838" s="29">
        <f>VLOOKUP(A838,'Database Claims'!$A:$C,2,)</f>
        <v/>
      </c>
      <c r="E838" s="29">
        <f>D838-D837</f>
        <v/>
      </c>
    </row>
    <row r="839">
      <c r="A839" s="28" t="n">
        <v>30317</v>
      </c>
      <c r="B839" s="25">
        <f>VLOOKUP(A839,'Database Claims'!$A:$C,3,)</f>
        <v/>
      </c>
      <c r="C839" s="29">
        <f>B839-B838</f>
        <v/>
      </c>
      <c r="D839" s="25">
        <f>VLOOKUP(A839,'Database Claims'!$A:$C,2,)</f>
        <v/>
      </c>
      <c r="E839" s="29">
        <f>D839-D838</f>
        <v/>
      </c>
    </row>
    <row r="840">
      <c r="A840" s="28" t="n">
        <v>30324</v>
      </c>
      <c r="B840" s="29">
        <f>VLOOKUP(A840,'Database Claims'!$A:$C,3,)</f>
        <v/>
      </c>
      <c r="C840" s="29">
        <f>B840-B839</f>
        <v/>
      </c>
      <c r="D840" s="29">
        <f>VLOOKUP(A840,'Database Claims'!$A:$C,2,)</f>
        <v/>
      </c>
      <c r="E840" s="29">
        <f>D840-D839</f>
        <v/>
      </c>
    </row>
    <row r="841">
      <c r="A841" s="28" t="n">
        <v>30331</v>
      </c>
      <c r="B841" s="25">
        <f>VLOOKUP(A841,'Database Claims'!$A:$C,3,)</f>
        <v/>
      </c>
      <c r="C841" s="29">
        <f>B841-B840</f>
        <v/>
      </c>
      <c r="D841" s="25">
        <f>VLOOKUP(A841,'Database Claims'!$A:$C,2,)</f>
        <v/>
      </c>
      <c r="E841" s="29">
        <f>D841-D840</f>
        <v/>
      </c>
    </row>
    <row r="842">
      <c r="A842" s="28" t="n">
        <v>30338</v>
      </c>
      <c r="B842" s="29">
        <f>VLOOKUP(A842,'Database Claims'!$A:$C,3,)</f>
        <v/>
      </c>
      <c r="C842" s="29">
        <f>B842-B841</f>
        <v/>
      </c>
      <c r="D842" s="29">
        <f>VLOOKUP(A842,'Database Claims'!$A:$C,2,)</f>
        <v/>
      </c>
      <c r="E842" s="29">
        <f>D842-D841</f>
        <v/>
      </c>
    </row>
    <row r="843">
      <c r="A843" s="28" t="n">
        <v>30345</v>
      </c>
      <c r="B843" s="25">
        <f>VLOOKUP(A843,'Database Claims'!$A:$C,3,)</f>
        <v/>
      </c>
      <c r="C843" s="29">
        <f>B843-B842</f>
        <v/>
      </c>
      <c r="D843" s="25">
        <f>VLOOKUP(A843,'Database Claims'!$A:$C,2,)</f>
        <v/>
      </c>
      <c r="E843" s="29">
        <f>D843-D842</f>
        <v/>
      </c>
    </row>
    <row r="844">
      <c r="A844" s="28" t="n">
        <v>30352</v>
      </c>
      <c r="B844" s="29">
        <f>VLOOKUP(A844,'Database Claims'!$A:$C,3,)</f>
        <v/>
      </c>
      <c r="C844" s="29">
        <f>B844-B843</f>
        <v/>
      </c>
      <c r="D844" s="29">
        <f>VLOOKUP(A844,'Database Claims'!$A:$C,2,)</f>
        <v/>
      </c>
      <c r="E844" s="29">
        <f>D844-D843</f>
        <v/>
      </c>
    </row>
    <row r="845">
      <c r="A845" s="28" t="n">
        <v>30359</v>
      </c>
      <c r="B845" s="25">
        <f>VLOOKUP(A845,'Database Claims'!$A:$C,3,)</f>
        <v/>
      </c>
      <c r="C845" s="29">
        <f>B845-B844</f>
        <v/>
      </c>
      <c r="D845" s="25">
        <f>VLOOKUP(A845,'Database Claims'!$A:$C,2,)</f>
        <v/>
      </c>
      <c r="E845" s="29">
        <f>D845-D844</f>
        <v/>
      </c>
    </row>
    <row r="846">
      <c r="A846" s="28" t="n">
        <v>30366</v>
      </c>
      <c r="B846" s="29">
        <f>VLOOKUP(A846,'Database Claims'!$A:$C,3,)</f>
        <v/>
      </c>
      <c r="C846" s="29">
        <f>B846-B845</f>
        <v/>
      </c>
      <c r="D846" s="29">
        <f>VLOOKUP(A846,'Database Claims'!$A:$C,2,)</f>
        <v/>
      </c>
      <c r="E846" s="29">
        <f>D846-D845</f>
        <v/>
      </c>
    </row>
    <row r="847">
      <c r="A847" s="28" t="n">
        <v>30373</v>
      </c>
      <c r="B847" s="25">
        <f>VLOOKUP(A847,'Database Claims'!$A:$C,3,)</f>
        <v/>
      </c>
      <c r="C847" s="29">
        <f>B847-B846</f>
        <v/>
      </c>
      <c r="D847" s="25">
        <f>VLOOKUP(A847,'Database Claims'!$A:$C,2,)</f>
        <v/>
      </c>
      <c r="E847" s="29">
        <f>D847-D846</f>
        <v/>
      </c>
    </row>
    <row r="848">
      <c r="A848" s="28" t="n">
        <v>30380</v>
      </c>
      <c r="B848" s="29">
        <f>VLOOKUP(A848,'Database Claims'!$A:$C,3,)</f>
        <v/>
      </c>
      <c r="C848" s="29">
        <f>B848-B847</f>
        <v/>
      </c>
      <c r="D848" s="29">
        <f>VLOOKUP(A848,'Database Claims'!$A:$C,2,)</f>
        <v/>
      </c>
      <c r="E848" s="29">
        <f>D848-D847</f>
        <v/>
      </c>
    </row>
    <row r="849">
      <c r="A849" s="28" t="n">
        <v>30387</v>
      </c>
      <c r="B849" s="25">
        <f>VLOOKUP(A849,'Database Claims'!$A:$C,3,)</f>
        <v/>
      </c>
      <c r="C849" s="29">
        <f>B849-B848</f>
        <v/>
      </c>
      <c r="D849" s="25">
        <f>VLOOKUP(A849,'Database Claims'!$A:$C,2,)</f>
        <v/>
      </c>
      <c r="E849" s="29">
        <f>D849-D848</f>
        <v/>
      </c>
    </row>
    <row r="850">
      <c r="A850" s="28" t="n">
        <v>30394</v>
      </c>
      <c r="B850" s="29">
        <f>VLOOKUP(A850,'Database Claims'!$A:$C,3,)</f>
        <v/>
      </c>
      <c r="C850" s="29">
        <f>B850-B849</f>
        <v/>
      </c>
      <c r="D850" s="29">
        <f>VLOOKUP(A850,'Database Claims'!$A:$C,2,)</f>
        <v/>
      </c>
      <c r="E850" s="29">
        <f>D850-D849</f>
        <v/>
      </c>
    </row>
    <row r="851">
      <c r="A851" s="28" t="n">
        <v>30401</v>
      </c>
      <c r="B851" s="25">
        <f>VLOOKUP(A851,'Database Claims'!$A:$C,3,)</f>
        <v/>
      </c>
      <c r="C851" s="29">
        <f>B851-B850</f>
        <v/>
      </c>
      <c r="D851" s="25">
        <f>VLOOKUP(A851,'Database Claims'!$A:$C,2,)</f>
        <v/>
      </c>
      <c r="E851" s="29">
        <f>D851-D850</f>
        <v/>
      </c>
    </row>
    <row r="852">
      <c r="A852" s="28" t="n">
        <v>30408</v>
      </c>
      <c r="B852" s="29">
        <f>VLOOKUP(A852,'Database Claims'!$A:$C,3,)</f>
        <v/>
      </c>
      <c r="C852" s="29">
        <f>B852-B851</f>
        <v/>
      </c>
      <c r="D852" s="29">
        <f>VLOOKUP(A852,'Database Claims'!$A:$C,2,)</f>
        <v/>
      </c>
      <c r="E852" s="29">
        <f>D852-D851</f>
        <v/>
      </c>
    </row>
    <row r="853">
      <c r="A853" s="28" t="n">
        <v>30415</v>
      </c>
      <c r="B853" s="25">
        <f>VLOOKUP(A853,'Database Claims'!$A:$C,3,)</f>
        <v/>
      </c>
      <c r="C853" s="29">
        <f>B853-B852</f>
        <v/>
      </c>
      <c r="D853" s="25">
        <f>VLOOKUP(A853,'Database Claims'!$A:$C,2,)</f>
        <v/>
      </c>
      <c r="E853" s="29">
        <f>D853-D852</f>
        <v/>
      </c>
    </row>
    <row r="854">
      <c r="A854" s="28" t="n">
        <v>30422</v>
      </c>
      <c r="B854" s="29">
        <f>VLOOKUP(A854,'Database Claims'!$A:$C,3,)</f>
        <v/>
      </c>
      <c r="C854" s="29">
        <f>B854-B853</f>
        <v/>
      </c>
      <c r="D854" s="29">
        <f>VLOOKUP(A854,'Database Claims'!$A:$C,2,)</f>
        <v/>
      </c>
      <c r="E854" s="29">
        <f>D854-D853</f>
        <v/>
      </c>
    </row>
    <row r="855">
      <c r="A855" s="28" t="n">
        <v>30429</v>
      </c>
      <c r="B855" s="25">
        <f>VLOOKUP(A855,'Database Claims'!$A:$C,3,)</f>
        <v/>
      </c>
      <c r="C855" s="29">
        <f>B855-B854</f>
        <v/>
      </c>
      <c r="D855" s="25">
        <f>VLOOKUP(A855,'Database Claims'!$A:$C,2,)</f>
        <v/>
      </c>
      <c r="E855" s="29">
        <f>D855-D854</f>
        <v/>
      </c>
    </row>
    <row r="856">
      <c r="A856" s="28" t="n">
        <v>30436</v>
      </c>
      <c r="B856" s="29">
        <f>VLOOKUP(A856,'Database Claims'!$A:$C,3,)</f>
        <v/>
      </c>
      <c r="C856" s="29">
        <f>B856-B855</f>
        <v/>
      </c>
      <c r="D856" s="29">
        <f>VLOOKUP(A856,'Database Claims'!$A:$C,2,)</f>
        <v/>
      </c>
      <c r="E856" s="29">
        <f>D856-D855</f>
        <v/>
      </c>
    </row>
    <row r="857">
      <c r="A857" s="28" t="n">
        <v>30443</v>
      </c>
      <c r="B857" s="25">
        <f>VLOOKUP(A857,'Database Claims'!$A:$C,3,)</f>
        <v/>
      </c>
      <c r="C857" s="29">
        <f>B857-B856</f>
        <v/>
      </c>
      <c r="D857" s="25">
        <f>VLOOKUP(A857,'Database Claims'!$A:$C,2,)</f>
        <v/>
      </c>
      <c r="E857" s="29">
        <f>D857-D856</f>
        <v/>
      </c>
    </row>
    <row r="858">
      <c r="A858" s="28" t="n">
        <v>30450</v>
      </c>
      <c r="B858" s="29">
        <f>VLOOKUP(A858,'Database Claims'!$A:$C,3,)</f>
        <v/>
      </c>
      <c r="C858" s="29">
        <f>B858-B857</f>
        <v/>
      </c>
      <c r="D858" s="29">
        <f>VLOOKUP(A858,'Database Claims'!$A:$C,2,)</f>
        <v/>
      </c>
      <c r="E858" s="29">
        <f>D858-D857</f>
        <v/>
      </c>
    </row>
    <row r="859">
      <c r="A859" s="28" t="n">
        <v>30457</v>
      </c>
      <c r="B859" s="25">
        <f>VLOOKUP(A859,'Database Claims'!$A:$C,3,)</f>
        <v/>
      </c>
      <c r="C859" s="29">
        <f>B859-B858</f>
        <v/>
      </c>
      <c r="D859" s="25">
        <f>VLOOKUP(A859,'Database Claims'!$A:$C,2,)</f>
        <v/>
      </c>
      <c r="E859" s="29">
        <f>D859-D858</f>
        <v/>
      </c>
    </row>
    <row r="860">
      <c r="A860" s="28" t="n">
        <v>30464</v>
      </c>
      <c r="B860" s="29">
        <f>VLOOKUP(A860,'Database Claims'!$A:$C,3,)</f>
        <v/>
      </c>
      <c r="C860" s="29">
        <f>B860-B859</f>
        <v/>
      </c>
      <c r="D860" s="29">
        <f>VLOOKUP(A860,'Database Claims'!$A:$C,2,)</f>
        <v/>
      </c>
      <c r="E860" s="29">
        <f>D860-D859</f>
        <v/>
      </c>
    </row>
    <row r="861">
      <c r="A861" s="28" t="n">
        <v>30471</v>
      </c>
      <c r="B861" s="25">
        <f>VLOOKUP(A861,'Database Claims'!$A:$C,3,)</f>
        <v/>
      </c>
      <c r="C861" s="29">
        <f>B861-B860</f>
        <v/>
      </c>
      <c r="D861" s="25">
        <f>VLOOKUP(A861,'Database Claims'!$A:$C,2,)</f>
        <v/>
      </c>
      <c r="E861" s="29">
        <f>D861-D860</f>
        <v/>
      </c>
    </row>
    <row r="862">
      <c r="A862" s="28" t="n">
        <v>30478</v>
      </c>
      <c r="B862" s="29">
        <f>VLOOKUP(A862,'Database Claims'!$A:$C,3,)</f>
        <v/>
      </c>
      <c r="C862" s="29">
        <f>B862-B861</f>
        <v/>
      </c>
      <c r="D862" s="29">
        <f>VLOOKUP(A862,'Database Claims'!$A:$C,2,)</f>
        <v/>
      </c>
      <c r="E862" s="29">
        <f>D862-D861</f>
        <v/>
      </c>
    </row>
    <row r="863">
      <c r="A863" s="28" t="n">
        <v>30485</v>
      </c>
      <c r="B863" s="25">
        <f>VLOOKUP(A863,'Database Claims'!$A:$C,3,)</f>
        <v/>
      </c>
      <c r="C863" s="29">
        <f>B863-B862</f>
        <v/>
      </c>
      <c r="D863" s="25">
        <f>VLOOKUP(A863,'Database Claims'!$A:$C,2,)</f>
        <v/>
      </c>
      <c r="E863" s="29">
        <f>D863-D862</f>
        <v/>
      </c>
    </row>
    <row r="864">
      <c r="A864" s="28" t="n">
        <v>30492</v>
      </c>
      <c r="B864" s="29">
        <f>VLOOKUP(A864,'Database Claims'!$A:$C,3,)</f>
        <v/>
      </c>
      <c r="C864" s="29">
        <f>B864-B863</f>
        <v/>
      </c>
      <c r="D864" s="29">
        <f>VLOOKUP(A864,'Database Claims'!$A:$C,2,)</f>
        <v/>
      </c>
      <c r="E864" s="29">
        <f>D864-D863</f>
        <v/>
      </c>
    </row>
    <row r="865">
      <c r="A865" s="28" t="n">
        <v>30499</v>
      </c>
      <c r="B865" s="25">
        <f>VLOOKUP(A865,'Database Claims'!$A:$C,3,)</f>
        <v/>
      </c>
      <c r="C865" s="29">
        <f>B865-B864</f>
        <v/>
      </c>
      <c r="D865" s="25">
        <f>VLOOKUP(A865,'Database Claims'!$A:$C,2,)</f>
        <v/>
      </c>
      <c r="E865" s="29">
        <f>D865-D864</f>
        <v/>
      </c>
    </row>
    <row r="866">
      <c r="A866" s="28" t="n">
        <v>30506</v>
      </c>
      <c r="B866" s="29">
        <f>VLOOKUP(A866,'Database Claims'!$A:$C,3,)</f>
        <v/>
      </c>
      <c r="C866" s="29">
        <f>B866-B865</f>
        <v/>
      </c>
      <c r="D866" s="29">
        <f>VLOOKUP(A866,'Database Claims'!$A:$C,2,)</f>
        <v/>
      </c>
      <c r="E866" s="29">
        <f>D866-D865</f>
        <v/>
      </c>
    </row>
    <row r="867">
      <c r="A867" s="28" t="n">
        <v>30513</v>
      </c>
      <c r="B867" s="25">
        <f>VLOOKUP(A867,'Database Claims'!$A:$C,3,)</f>
        <v/>
      </c>
      <c r="C867" s="29">
        <f>B867-B866</f>
        <v/>
      </c>
      <c r="D867" s="25">
        <f>VLOOKUP(A867,'Database Claims'!$A:$C,2,)</f>
        <v/>
      </c>
      <c r="E867" s="29">
        <f>D867-D866</f>
        <v/>
      </c>
    </row>
    <row r="868">
      <c r="A868" s="28" t="n">
        <v>30520</v>
      </c>
      <c r="B868" s="29">
        <f>VLOOKUP(A868,'Database Claims'!$A:$C,3,)</f>
        <v/>
      </c>
      <c r="C868" s="29">
        <f>B868-B867</f>
        <v/>
      </c>
      <c r="D868" s="29">
        <f>VLOOKUP(A868,'Database Claims'!$A:$C,2,)</f>
        <v/>
      </c>
      <c r="E868" s="29">
        <f>D868-D867</f>
        <v/>
      </c>
    </row>
    <row r="869">
      <c r="A869" s="28" t="n">
        <v>30527</v>
      </c>
      <c r="B869" s="25">
        <f>VLOOKUP(A869,'Database Claims'!$A:$C,3,)</f>
        <v/>
      </c>
      <c r="C869" s="29">
        <f>B869-B868</f>
        <v/>
      </c>
      <c r="D869" s="25">
        <f>VLOOKUP(A869,'Database Claims'!$A:$C,2,)</f>
        <v/>
      </c>
      <c r="E869" s="29">
        <f>D869-D868</f>
        <v/>
      </c>
    </row>
    <row r="870">
      <c r="A870" s="28" t="n">
        <v>30534</v>
      </c>
      <c r="B870" s="29">
        <f>VLOOKUP(A870,'Database Claims'!$A:$C,3,)</f>
        <v/>
      </c>
      <c r="C870" s="29">
        <f>B870-B869</f>
        <v/>
      </c>
      <c r="D870" s="29">
        <f>VLOOKUP(A870,'Database Claims'!$A:$C,2,)</f>
        <v/>
      </c>
      <c r="E870" s="29">
        <f>D870-D869</f>
        <v/>
      </c>
    </row>
    <row r="871">
      <c r="A871" s="28" t="n">
        <v>30541</v>
      </c>
      <c r="B871" s="25">
        <f>VLOOKUP(A871,'Database Claims'!$A:$C,3,)</f>
        <v/>
      </c>
      <c r="C871" s="29">
        <f>B871-B870</f>
        <v/>
      </c>
      <c r="D871" s="25">
        <f>VLOOKUP(A871,'Database Claims'!$A:$C,2,)</f>
        <v/>
      </c>
      <c r="E871" s="29">
        <f>D871-D870</f>
        <v/>
      </c>
    </row>
    <row r="872">
      <c r="A872" s="28" t="n">
        <v>30548</v>
      </c>
      <c r="B872" s="29">
        <f>VLOOKUP(A872,'Database Claims'!$A:$C,3,)</f>
        <v/>
      </c>
      <c r="C872" s="29">
        <f>B872-B871</f>
        <v/>
      </c>
      <c r="D872" s="29">
        <f>VLOOKUP(A872,'Database Claims'!$A:$C,2,)</f>
        <v/>
      </c>
      <c r="E872" s="29">
        <f>D872-D871</f>
        <v/>
      </c>
    </row>
    <row r="873">
      <c r="A873" s="28" t="n">
        <v>30555</v>
      </c>
      <c r="B873" s="25">
        <f>VLOOKUP(A873,'Database Claims'!$A:$C,3,)</f>
        <v/>
      </c>
      <c r="C873" s="29">
        <f>B873-B872</f>
        <v/>
      </c>
      <c r="D873" s="25">
        <f>VLOOKUP(A873,'Database Claims'!$A:$C,2,)</f>
        <v/>
      </c>
      <c r="E873" s="29">
        <f>D873-D872</f>
        <v/>
      </c>
    </row>
    <row r="874">
      <c r="A874" s="28" t="n">
        <v>30562</v>
      </c>
      <c r="B874" s="29">
        <f>VLOOKUP(A874,'Database Claims'!$A:$C,3,)</f>
        <v/>
      </c>
      <c r="C874" s="29">
        <f>B874-B873</f>
        <v/>
      </c>
      <c r="D874" s="29">
        <f>VLOOKUP(A874,'Database Claims'!$A:$C,2,)</f>
        <v/>
      </c>
      <c r="E874" s="29">
        <f>D874-D873</f>
        <v/>
      </c>
    </row>
    <row r="875">
      <c r="A875" s="28" t="n">
        <v>30569</v>
      </c>
      <c r="B875" s="25">
        <f>VLOOKUP(A875,'Database Claims'!$A:$C,3,)</f>
        <v/>
      </c>
      <c r="C875" s="29">
        <f>B875-B874</f>
        <v/>
      </c>
      <c r="D875" s="25">
        <f>VLOOKUP(A875,'Database Claims'!$A:$C,2,)</f>
        <v/>
      </c>
      <c r="E875" s="29">
        <f>D875-D874</f>
        <v/>
      </c>
    </row>
    <row r="876">
      <c r="A876" s="28" t="n">
        <v>30576</v>
      </c>
      <c r="B876" s="29">
        <f>VLOOKUP(A876,'Database Claims'!$A:$C,3,)</f>
        <v/>
      </c>
      <c r="C876" s="29">
        <f>B876-B875</f>
        <v/>
      </c>
      <c r="D876" s="29">
        <f>VLOOKUP(A876,'Database Claims'!$A:$C,2,)</f>
        <v/>
      </c>
      <c r="E876" s="29">
        <f>D876-D875</f>
        <v/>
      </c>
    </row>
    <row r="877">
      <c r="A877" s="28" t="n">
        <v>30583</v>
      </c>
      <c r="B877" s="25">
        <f>VLOOKUP(A877,'Database Claims'!$A:$C,3,)</f>
        <v/>
      </c>
      <c r="C877" s="29">
        <f>B877-B876</f>
        <v/>
      </c>
      <c r="D877" s="25">
        <f>VLOOKUP(A877,'Database Claims'!$A:$C,2,)</f>
        <v/>
      </c>
      <c r="E877" s="29">
        <f>D877-D876</f>
        <v/>
      </c>
    </row>
    <row r="878">
      <c r="A878" s="28" t="n">
        <v>30590</v>
      </c>
      <c r="B878" s="29">
        <f>VLOOKUP(A878,'Database Claims'!$A:$C,3,)</f>
        <v/>
      </c>
      <c r="C878" s="29">
        <f>B878-B877</f>
        <v/>
      </c>
      <c r="D878" s="29">
        <f>VLOOKUP(A878,'Database Claims'!$A:$C,2,)</f>
        <v/>
      </c>
      <c r="E878" s="29">
        <f>D878-D877</f>
        <v/>
      </c>
    </row>
    <row r="879">
      <c r="A879" s="28" t="n">
        <v>30597</v>
      </c>
      <c r="B879" s="25">
        <f>VLOOKUP(A879,'Database Claims'!$A:$C,3,)</f>
        <v/>
      </c>
      <c r="C879" s="29">
        <f>B879-B878</f>
        <v/>
      </c>
      <c r="D879" s="25">
        <f>VLOOKUP(A879,'Database Claims'!$A:$C,2,)</f>
        <v/>
      </c>
      <c r="E879" s="29">
        <f>D879-D878</f>
        <v/>
      </c>
    </row>
    <row r="880">
      <c r="A880" s="28" t="n">
        <v>30604</v>
      </c>
      <c r="B880" s="29">
        <f>VLOOKUP(A880,'Database Claims'!$A:$C,3,)</f>
        <v/>
      </c>
      <c r="C880" s="29">
        <f>B880-B879</f>
        <v/>
      </c>
      <c r="D880" s="29">
        <f>VLOOKUP(A880,'Database Claims'!$A:$C,2,)</f>
        <v/>
      </c>
      <c r="E880" s="29">
        <f>D880-D879</f>
        <v/>
      </c>
    </row>
    <row r="881">
      <c r="A881" s="28" t="n">
        <v>30611</v>
      </c>
      <c r="B881" s="25">
        <f>VLOOKUP(A881,'Database Claims'!$A:$C,3,)</f>
        <v/>
      </c>
      <c r="C881" s="29">
        <f>B881-B880</f>
        <v/>
      </c>
      <c r="D881" s="25">
        <f>VLOOKUP(A881,'Database Claims'!$A:$C,2,)</f>
        <v/>
      </c>
      <c r="E881" s="29">
        <f>D881-D880</f>
        <v/>
      </c>
    </row>
    <row r="882">
      <c r="A882" s="28" t="n">
        <v>30618</v>
      </c>
      <c r="B882" s="29">
        <f>VLOOKUP(A882,'Database Claims'!$A:$C,3,)</f>
        <v/>
      </c>
      <c r="C882" s="29">
        <f>B882-B881</f>
        <v/>
      </c>
      <c r="D882" s="29">
        <f>VLOOKUP(A882,'Database Claims'!$A:$C,2,)</f>
        <v/>
      </c>
      <c r="E882" s="29">
        <f>D882-D881</f>
        <v/>
      </c>
    </row>
    <row r="883">
      <c r="A883" s="28" t="n">
        <v>30625</v>
      </c>
      <c r="B883" s="25">
        <f>VLOOKUP(A883,'Database Claims'!$A:$C,3,)</f>
        <v/>
      </c>
      <c r="C883" s="29">
        <f>B883-B882</f>
        <v/>
      </c>
      <c r="D883" s="25">
        <f>VLOOKUP(A883,'Database Claims'!$A:$C,2,)</f>
        <v/>
      </c>
      <c r="E883" s="29">
        <f>D883-D882</f>
        <v/>
      </c>
    </row>
    <row r="884">
      <c r="A884" s="28" t="n">
        <v>30632</v>
      </c>
      <c r="B884" s="29">
        <f>VLOOKUP(A884,'Database Claims'!$A:$C,3,)</f>
        <v/>
      </c>
      <c r="C884" s="29">
        <f>B884-B883</f>
        <v/>
      </c>
      <c r="D884" s="29">
        <f>VLOOKUP(A884,'Database Claims'!$A:$C,2,)</f>
        <v/>
      </c>
      <c r="E884" s="29">
        <f>D884-D883</f>
        <v/>
      </c>
    </row>
    <row r="885">
      <c r="A885" s="28" t="n">
        <v>30639</v>
      </c>
      <c r="B885" s="25">
        <f>VLOOKUP(A885,'Database Claims'!$A:$C,3,)</f>
        <v/>
      </c>
      <c r="C885" s="29">
        <f>B885-B884</f>
        <v/>
      </c>
      <c r="D885" s="25">
        <f>VLOOKUP(A885,'Database Claims'!$A:$C,2,)</f>
        <v/>
      </c>
      <c r="E885" s="29">
        <f>D885-D884</f>
        <v/>
      </c>
    </row>
    <row r="886">
      <c r="A886" s="28" t="n">
        <v>30646</v>
      </c>
      <c r="B886" s="29">
        <f>VLOOKUP(A886,'Database Claims'!$A:$C,3,)</f>
        <v/>
      </c>
      <c r="C886" s="29">
        <f>B886-B885</f>
        <v/>
      </c>
      <c r="D886" s="29">
        <f>VLOOKUP(A886,'Database Claims'!$A:$C,2,)</f>
        <v/>
      </c>
      <c r="E886" s="29">
        <f>D886-D885</f>
        <v/>
      </c>
    </row>
    <row r="887">
      <c r="A887" s="28" t="n">
        <v>30653</v>
      </c>
      <c r="B887" s="25">
        <f>VLOOKUP(A887,'Database Claims'!$A:$C,3,)</f>
        <v/>
      </c>
      <c r="C887" s="29">
        <f>B887-B886</f>
        <v/>
      </c>
      <c r="D887" s="25">
        <f>VLOOKUP(A887,'Database Claims'!$A:$C,2,)</f>
        <v/>
      </c>
      <c r="E887" s="29">
        <f>D887-D886</f>
        <v/>
      </c>
    </row>
    <row r="888">
      <c r="A888" s="28" t="n">
        <v>30660</v>
      </c>
      <c r="B888" s="29">
        <f>VLOOKUP(A888,'Database Claims'!$A:$C,3,)</f>
        <v/>
      </c>
      <c r="C888" s="29">
        <f>B888-B887</f>
        <v/>
      </c>
      <c r="D888" s="29">
        <f>VLOOKUP(A888,'Database Claims'!$A:$C,2,)</f>
        <v/>
      </c>
      <c r="E888" s="29">
        <f>D888-D887</f>
        <v/>
      </c>
    </row>
    <row r="889">
      <c r="A889" s="28" t="n">
        <v>30667</v>
      </c>
      <c r="B889" s="25">
        <f>VLOOKUP(A889,'Database Claims'!$A:$C,3,)</f>
        <v/>
      </c>
      <c r="C889" s="29">
        <f>B889-B888</f>
        <v/>
      </c>
      <c r="D889" s="25">
        <f>VLOOKUP(A889,'Database Claims'!$A:$C,2,)</f>
        <v/>
      </c>
      <c r="E889" s="29">
        <f>D889-D888</f>
        <v/>
      </c>
    </row>
    <row r="890">
      <c r="A890" s="28" t="n">
        <v>30674</v>
      </c>
      <c r="B890" s="29">
        <f>VLOOKUP(A890,'Database Claims'!$A:$C,3,)</f>
        <v/>
      </c>
      <c r="C890" s="29">
        <f>B890-B889</f>
        <v/>
      </c>
      <c r="D890" s="29">
        <f>VLOOKUP(A890,'Database Claims'!$A:$C,2,)</f>
        <v/>
      </c>
      <c r="E890" s="29">
        <f>D890-D889</f>
        <v/>
      </c>
    </row>
    <row r="891">
      <c r="A891" s="28" t="n">
        <v>30681</v>
      </c>
      <c r="B891" s="25">
        <f>VLOOKUP(A891,'Database Claims'!$A:$C,3,)</f>
        <v/>
      </c>
      <c r="C891" s="29">
        <f>B891-B890</f>
        <v/>
      </c>
      <c r="D891" s="25">
        <f>VLOOKUP(A891,'Database Claims'!$A:$C,2,)</f>
        <v/>
      </c>
      <c r="E891" s="29">
        <f>D891-D890</f>
        <v/>
      </c>
    </row>
    <row r="892">
      <c r="A892" s="28" t="n">
        <v>30688</v>
      </c>
      <c r="B892" s="29">
        <f>VLOOKUP(A892,'Database Claims'!$A:$C,3,)</f>
        <v/>
      </c>
      <c r="C892" s="29">
        <f>B892-B891</f>
        <v/>
      </c>
      <c r="D892" s="29">
        <f>VLOOKUP(A892,'Database Claims'!$A:$C,2,)</f>
        <v/>
      </c>
      <c r="E892" s="29">
        <f>D892-D891</f>
        <v/>
      </c>
    </row>
    <row r="893">
      <c r="A893" s="28" t="n">
        <v>30695</v>
      </c>
      <c r="B893" s="25">
        <f>VLOOKUP(A893,'Database Claims'!$A:$C,3,)</f>
        <v/>
      </c>
      <c r="C893" s="29">
        <f>B893-B892</f>
        <v/>
      </c>
      <c r="D893" s="25">
        <f>VLOOKUP(A893,'Database Claims'!$A:$C,2,)</f>
        <v/>
      </c>
      <c r="E893" s="29">
        <f>D893-D892</f>
        <v/>
      </c>
    </row>
    <row r="894">
      <c r="A894" s="28" t="n">
        <v>30702</v>
      </c>
      <c r="B894" s="29">
        <f>VLOOKUP(A894,'Database Claims'!$A:$C,3,)</f>
        <v/>
      </c>
      <c r="C894" s="29">
        <f>B894-B893</f>
        <v/>
      </c>
      <c r="D894" s="29">
        <f>VLOOKUP(A894,'Database Claims'!$A:$C,2,)</f>
        <v/>
      </c>
      <c r="E894" s="29">
        <f>D894-D893</f>
        <v/>
      </c>
    </row>
    <row r="895">
      <c r="A895" s="28" t="n">
        <v>30709</v>
      </c>
      <c r="B895" s="25">
        <f>VLOOKUP(A895,'Database Claims'!$A:$C,3,)</f>
        <v/>
      </c>
      <c r="C895" s="29">
        <f>B895-B894</f>
        <v/>
      </c>
      <c r="D895" s="25">
        <f>VLOOKUP(A895,'Database Claims'!$A:$C,2,)</f>
        <v/>
      </c>
      <c r="E895" s="29">
        <f>D895-D894</f>
        <v/>
      </c>
    </row>
    <row r="896">
      <c r="A896" s="28" t="n">
        <v>30716</v>
      </c>
      <c r="B896" s="29">
        <f>VLOOKUP(A896,'Database Claims'!$A:$C,3,)</f>
        <v/>
      </c>
      <c r="C896" s="29">
        <f>B896-B895</f>
        <v/>
      </c>
      <c r="D896" s="29">
        <f>VLOOKUP(A896,'Database Claims'!$A:$C,2,)</f>
        <v/>
      </c>
      <c r="E896" s="29">
        <f>D896-D895</f>
        <v/>
      </c>
    </row>
    <row r="897">
      <c r="A897" s="28" t="n">
        <v>30723</v>
      </c>
      <c r="B897" s="25">
        <f>VLOOKUP(A897,'Database Claims'!$A:$C,3,)</f>
        <v/>
      </c>
      <c r="C897" s="29">
        <f>B897-B896</f>
        <v/>
      </c>
      <c r="D897" s="25">
        <f>VLOOKUP(A897,'Database Claims'!$A:$C,2,)</f>
        <v/>
      </c>
      <c r="E897" s="29">
        <f>D897-D896</f>
        <v/>
      </c>
    </row>
    <row r="898">
      <c r="A898" s="28" t="n">
        <v>30730</v>
      </c>
      <c r="B898" s="29">
        <f>VLOOKUP(A898,'Database Claims'!$A:$C,3,)</f>
        <v/>
      </c>
      <c r="C898" s="29">
        <f>B898-B897</f>
        <v/>
      </c>
      <c r="D898" s="29">
        <f>VLOOKUP(A898,'Database Claims'!$A:$C,2,)</f>
        <v/>
      </c>
      <c r="E898" s="29">
        <f>D898-D897</f>
        <v/>
      </c>
    </row>
    <row r="899">
      <c r="A899" s="28" t="n">
        <v>30737</v>
      </c>
      <c r="B899" s="25">
        <f>VLOOKUP(A899,'Database Claims'!$A:$C,3,)</f>
        <v/>
      </c>
      <c r="C899" s="29">
        <f>B899-B898</f>
        <v/>
      </c>
      <c r="D899" s="25">
        <f>VLOOKUP(A899,'Database Claims'!$A:$C,2,)</f>
        <v/>
      </c>
      <c r="E899" s="29">
        <f>D899-D898</f>
        <v/>
      </c>
    </row>
    <row r="900">
      <c r="A900" s="28" t="n">
        <v>30744</v>
      </c>
      <c r="B900" s="29">
        <f>VLOOKUP(A900,'Database Claims'!$A:$C,3,)</f>
        <v/>
      </c>
      <c r="C900" s="29">
        <f>B900-B899</f>
        <v/>
      </c>
      <c r="D900" s="29">
        <f>VLOOKUP(A900,'Database Claims'!$A:$C,2,)</f>
        <v/>
      </c>
      <c r="E900" s="29">
        <f>D900-D899</f>
        <v/>
      </c>
    </row>
    <row r="901">
      <c r="A901" s="28" t="n">
        <v>30751</v>
      </c>
      <c r="B901" s="25">
        <f>VLOOKUP(A901,'Database Claims'!$A:$C,3,)</f>
        <v/>
      </c>
      <c r="C901" s="29">
        <f>B901-B900</f>
        <v/>
      </c>
      <c r="D901" s="25">
        <f>VLOOKUP(A901,'Database Claims'!$A:$C,2,)</f>
        <v/>
      </c>
      <c r="E901" s="29">
        <f>D901-D900</f>
        <v/>
      </c>
    </row>
    <row r="902">
      <c r="A902" s="28" t="n">
        <v>30758</v>
      </c>
      <c r="B902" s="29">
        <f>VLOOKUP(A902,'Database Claims'!$A:$C,3,)</f>
        <v/>
      </c>
      <c r="C902" s="29">
        <f>B902-B901</f>
        <v/>
      </c>
      <c r="D902" s="29">
        <f>VLOOKUP(A902,'Database Claims'!$A:$C,2,)</f>
        <v/>
      </c>
      <c r="E902" s="29">
        <f>D902-D901</f>
        <v/>
      </c>
    </row>
    <row r="903">
      <c r="A903" s="28" t="n">
        <v>30765</v>
      </c>
      <c r="B903" s="25">
        <f>VLOOKUP(A903,'Database Claims'!$A:$C,3,)</f>
        <v/>
      </c>
      <c r="C903" s="29">
        <f>B903-B902</f>
        <v/>
      </c>
      <c r="D903" s="25">
        <f>VLOOKUP(A903,'Database Claims'!$A:$C,2,)</f>
        <v/>
      </c>
      <c r="E903" s="29">
        <f>D903-D902</f>
        <v/>
      </c>
    </row>
    <row r="904">
      <c r="A904" s="28" t="n">
        <v>30772</v>
      </c>
      <c r="B904" s="29">
        <f>VLOOKUP(A904,'Database Claims'!$A:$C,3,)</f>
        <v/>
      </c>
      <c r="C904" s="29">
        <f>B904-B903</f>
        <v/>
      </c>
      <c r="D904" s="29">
        <f>VLOOKUP(A904,'Database Claims'!$A:$C,2,)</f>
        <v/>
      </c>
      <c r="E904" s="29">
        <f>D904-D903</f>
        <v/>
      </c>
    </row>
    <row r="905">
      <c r="A905" s="28" t="n">
        <v>30779</v>
      </c>
      <c r="B905" s="25">
        <f>VLOOKUP(A905,'Database Claims'!$A:$C,3,)</f>
        <v/>
      </c>
      <c r="C905" s="29">
        <f>B905-B904</f>
        <v/>
      </c>
      <c r="D905" s="25">
        <f>VLOOKUP(A905,'Database Claims'!$A:$C,2,)</f>
        <v/>
      </c>
      <c r="E905" s="29">
        <f>D905-D904</f>
        <v/>
      </c>
    </row>
    <row r="906">
      <c r="A906" s="28" t="n">
        <v>30786</v>
      </c>
      <c r="B906" s="29">
        <f>VLOOKUP(A906,'Database Claims'!$A:$C,3,)</f>
        <v/>
      </c>
      <c r="C906" s="29">
        <f>B906-B905</f>
        <v/>
      </c>
      <c r="D906" s="29">
        <f>VLOOKUP(A906,'Database Claims'!$A:$C,2,)</f>
        <v/>
      </c>
      <c r="E906" s="29">
        <f>D906-D905</f>
        <v/>
      </c>
    </row>
    <row r="907">
      <c r="A907" s="28" t="n">
        <v>30793</v>
      </c>
      <c r="B907" s="25">
        <f>VLOOKUP(A907,'Database Claims'!$A:$C,3,)</f>
        <v/>
      </c>
      <c r="C907" s="29">
        <f>B907-B906</f>
        <v/>
      </c>
      <c r="D907" s="25">
        <f>VLOOKUP(A907,'Database Claims'!$A:$C,2,)</f>
        <v/>
      </c>
      <c r="E907" s="29">
        <f>D907-D906</f>
        <v/>
      </c>
    </row>
    <row r="908">
      <c r="A908" s="28" t="n">
        <v>30800</v>
      </c>
      <c r="B908" s="29">
        <f>VLOOKUP(A908,'Database Claims'!$A:$C,3,)</f>
        <v/>
      </c>
      <c r="C908" s="29">
        <f>B908-B907</f>
        <v/>
      </c>
      <c r="D908" s="29">
        <f>VLOOKUP(A908,'Database Claims'!$A:$C,2,)</f>
        <v/>
      </c>
      <c r="E908" s="29">
        <f>D908-D907</f>
        <v/>
      </c>
    </row>
    <row r="909">
      <c r="A909" s="28" t="n">
        <v>30807</v>
      </c>
      <c r="B909" s="25">
        <f>VLOOKUP(A909,'Database Claims'!$A:$C,3,)</f>
        <v/>
      </c>
      <c r="C909" s="29">
        <f>B909-B908</f>
        <v/>
      </c>
      <c r="D909" s="25">
        <f>VLOOKUP(A909,'Database Claims'!$A:$C,2,)</f>
        <v/>
      </c>
      <c r="E909" s="29">
        <f>D909-D908</f>
        <v/>
      </c>
    </row>
    <row r="910">
      <c r="A910" s="28" t="n">
        <v>30814</v>
      </c>
      <c r="B910" s="29">
        <f>VLOOKUP(A910,'Database Claims'!$A:$C,3,)</f>
        <v/>
      </c>
      <c r="C910" s="29">
        <f>B910-B909</f>
        <v/>
      </c>
      <c r="D910" s="29">
        <f>VLOOKUP(A910,'Database Claims'!$A:$C,2,)</f>
        <v/>
      </c>
      <c r="E910" s="29">
        <f>D910-D909</f>
        <v/>
      </c>
    </row>
    <row r="911">
      <c r="A911" s="28" t="n">
        <v>30821</v>
      </c>
      <c r="B911" s="25">
        <f>VLOOKUP(A911,'Database Claims'!$A:$C,3,)</f>
        <v/>
      </c>
      <c r="C911" s="29">
        <f>B911-B910</f>
        <v/>
      </c>
      <c r="D911" s="25">
        <f>VLOOKUP(A911,'Database Claims'!$A:$C,2,)</f>
        <v/>
      </c>
      <c r="E911" s="29">
        <f>D911-D910</f>
        <v/>
      </c>
    </row>
    <row r="912">
      <c r="A912" s="28" t="n">
        <v>30828</v>
      </c>
      <c r="B912" s="29">
        <f>VLOOKUP(A912,'Database Claims'!$A:$C,3,)</f>
        <v/>
      </c>
      <c r="C912" s="29">
        <f>B912-B911</f>
        <v/>
      </c>
      <c r="D912" s="29">
        <f>VLOOKUP(A912,'Database Claims'!$A:$C,2,)</f>
        <v/>
      </c>
      <c r="E912" s="29">
        <f>D912-D911</f>
        <v/>
      </c>
    </row>
    <row r="913">
      <c r="A913" s="28" t="n">
        <v>30835</v>
      </c>
      <c r="B913" s="25">
        <f>VLOOKUP(A913,'Database Claims'!$A:$C,3,)</f>
        <v/>
      </c>
      <c r="C913" s="29">
        <f>B913-B912</f>
        <v/>
      </c>
      <c r="D913" s="25">
        <f>VLOOKUP(A913,'Database Claims'!$A:$C,2,)</f>
        <v/>
      </c>
      <c r="E913" s="29">
        <f>D913-D912</f>
        <v/>
      </c>
    </row>
    <row r="914">
      <c r="A914" s="28" t="n">
        <v>30842</v>
      </c>
      <c r="B914" s="29">
        <f>VLOOKUP(A914,'Database Claims'!$A:$C,3,)</f>
        <v/>
      </c>
      <c r="C914" s="29">
        <f>B914-B913</f>
        <v/>
      </c>
      <c r="D914" s="29">
        <f>VLOOKUP(A914,'Database Claims'!$A:$C,2,)</f>
        <v/>
      </c>
      <c r="E914" s="29">
        <f>D914-D913</f>
        <v/>
      </c>
    </row>
    <row r="915">
      <c r="A915" s="28" t="n">
        <v>30849</v>
      </c>
      <c r="B915" s="25">
        <f>VLOOKUP(A915,'Database Claims'!$A:$C,3,)</f>
        <v/>
      </c>
      <c r="C915" s="29">
        <f>B915-B914</f>
        <v/>
      </c>
      <c r="D915" s="25">
        <f>VLOOKUP(A915,'Database Claims'!$A:$C,2,)</f>
        <v/>
      </c>
      <c r="E915" s="29">
        <f>D915-D914</f>
        <v/>
      </c>
    </row>
    <row r="916">
      <c r="A916" s="28" t="n">
        <v>30856</v>
      </c>
      <c r="B916" s="29">
        <f>VLOOKUP(A916,'Database Claims'!$A:$C,3,)</f>
        <v/>
      </c>
      <c r="C916" s="29">
        <f>B916-B915</f>
        <v/>
      </c>
      <c r="D916" s="29">
        <f>VLOOKUP(A916,'Database Claims'!$A:$C,2,)</f>
        <v/>
      </c>
      <c r="E916" s="29">
        <f>D916-D915</f>
        <v/>
      </c>
    </row>
    <row r="917">
      <c r="A917" s="28" t="n">
        <v>30863</v>
      </c>
      <c r="B917" s="25">
        <f>VLOOKUP(A917,'Database Claims'!$A:$C,3,)</f>
        <v/>
      </c>
      <c r="C917" s="29">
        <f>B917-B916</f>
        <v/>
      </c>
      <c r="D917" s="25">
        <f>VLOOKUP(A917,'Database Claims'!$A:$C,2,)</f>
        <v/>
      </c>
      <c r="E917" s="29">
        <f>D917-D916</f>
        <v/>
      </c>
    </row>
    <row r="918">
      <c r="A918" s="28" t="n">
        <v>30870</v>
      </c>
      <c r="B918" s="29">
        <f>VLOOKUP(A918,'Database Claims'!$A:$C,3,)</f>
        <v/>
      </c>
      <c r="C918" s="29">
        <f>B918-B917</f>
        <v/>
      </c>
      <c r="D918" s="29">
        <f>VLOOKUP(A918,'Database Claims'!$A:$C,2,)</f>
        <v/>
      </c>
      <c r="E918" s="29">
        <f>D918-D917</f>
        <v/>
      </c>
    </row>
    <row r="919">
      <c r="A919" s="28" t="n">
        <v>30877</v>
      </c>
      <c r="B919" s="25">
        <f>VLOOKUP(A919,'Database Claims'!$A:$C,3,)</f>
        <v/>
      </c>
      <c r="C919" s="29">
        <f>B919-B918</f>
        <v/>
      </c>
      <c r="D919" s="25">
        <f>VLOOKUP(A919,'Database Claims'!$A:$C,2,)</f>
        <v/>
      </c>
      <c r="E919" s="29">
        <f>D919-D918</f>
        <v/>
      </c>
    </row>
    <row r="920">
      <c r="A920" s="28" t="n">
        <v>30884</v>
      </c>
      <c r="B920" s="29">
        <f>VLOOKUP(A920,'Database Claims'!$A:$C,3,)</f>
        <v/>
      </c>
      <c r="C920" s="29">
        <f>B920-B919</f>
        <v/>
      </c>
      <c r="D920" s="29">
        <f>VLOOKUP(A920,'Database Claims'!$A:$C,2,)</f>
        <v/>
      </c>
      <c r="E920" s="29">
        <f>D920-D919</f>
        <v/>
      </c>
    </row>
    <row r="921">
      <c r="A921" s="28" t="n">
        <v>30891</v>
      </c>
      <c r="B921" s="25">
        <f>VLOOKUP(A921,'Database Claims'!$A:$C,3,)</f>
        <v/>
      </c>
      <c r="C921" s="29">
        <f>B921-B920</f>
        <v/>
      </c>
      <c r="D921" s="25">
        <f>VLOOKUP(A921,'Database Claims'!$A:$C,2,)</f>
        <v/>
      </c>
      <c r="E921" s="29">
        <f>D921-D920</f>
        <v/>
      </c>
    </row>
    <row r="922">
      <c r="A922" s="28" t="n">
        <v>30898</v>
      </c>
      <c r="B922" s="29">
        <f>VLOOKUP(A922,'Database Claims'!$A:$C,3,)</f>
        <v/>
      </c>
      <c r="C922" s="29">
        <f>B922-B921</f>
        <v/>
      </c>
      <c r="D922" s="29">
        <f>VLOOKUP(A922,'Database Claims'!$A:$C,2,)</f>
        <v/>
      </c>
      <c r="E922" s="29">
        <f>D922-D921</f>
        <v/>
      </c>
    </row>
    <row r="923">
      <c r="A923" s="28" t="n">
        <v>30905</v>
      </c>
      <c r="B923" s="25">
        <f>VLOOKUP(A923,'Database Claims'!$A:$C,3,)</f>
        <v/>
      </c>
      <c r="C923" s="29">
        <f>B923-B922</f>
        <v/>
      </c>
      <c r="D923" s="25">
        <f>VLOOKUP(A923,'Database Claims'!$A:$C,2,)</f>
        <v/>
      </c>
      <c r="E923" s="29">
        <f>D923-D922</f>
        <v/>
      </c>
    </row>
    <row r="924">
      <c r="A924" s="28" t="n">
        <v>30912</v>
      </c>
      <c r="B924" s="29">
        <f>VLOOKUP(A924,'Database Claims'!$A:$C,3,)</f>
        <v/>
      </c>
      <c r="C924" s="29">
        <f>B924-B923</f>
        <v/>
      </c>
      <c r="D924" s="29">
        <f>VLOOKUP(A924,'Database Claims'!$A:$C,2,)</f>
        <v/>
      </c>
      <c r="E924" s="29">
        <f>D924-D923</f>
        <v/>
      </c>
    </row>
    <row r="925">
      <c r="A925" s="28" t="n">
        <v>30919</v>
      </c>
      <c r="B925" s="25">
        <f>VLOOKUP(A925,'Database Claims'!$A:$C,3,)</f>
        <v/>
      </c>
      <c r="C925" s="29">
        <f>B925-B924</f>
        <v/>
      </c>
      <c r="D925" s="25">
        <f>VLOOKUP(A925,'Database Claims'!$A:$C,2,)</f>
        <v/>
      </c>
      <c r="E925" s="29">
        <f>D925-D924</f>
        <v/>
      </c>
    </row>
    <row r="926">
      <c r="A926" s="28" t="n">
        <v>30926</v>
      </c>
      <c r="B926" s="29">
        <f>VLOOKUP(A926,'Database Claims'!$A:$C,3,)</f>
        <v/>
      </c>
      <c r="C926" s="29">
        <f>B926-B925</f>
        <v/>
      </c>
      <c r="D926" s="29">
        <f>VLOOKUP(A926,'Database Claims'!$A:$C,2,)</f>
        <v/>
      </c>
      <c r="E926" s="29">
        <f>D926-D925</f>
        <v/>
      </c>
    </row>
    <row r="927">
      <c r="A927" s="28" t="n">
        <v>30933</v>
      </c>
      <c r="B927" s="25">
        <f>VLOOKUP(A927,'Database Claims'!$A:$C,3,)</f>
        <v/>
      </c>
      <c r="C927" s="29">
        <f>B927-B926</f>
        <v/>
      </c>
      <c r="D927" s="25">
        <f>VLOOKUP(A927,'Database Claims'!$A:$C,2,)</f>
        <v/>
      </c>
      <c r="E927" s="29">
        <f>D927-D926</f>
        <v/>
      </c>
    </row>
    <row r="928">
      <c r="A928" s="28" t="n">
        <v>30940</v>
      </c>
      <c r="B928" s="29">
        <f>VLOOKUP(A928,'Database Claims'!$A:$C,3,)</f>
        <v/>
      </c>
      <c r="C928" s="29">
        <f>B928-B927</f>
        <v/>
      </c>
      <c r="D928" s="29">
        <f>VLOOKUP(A928,'Database Claims'!$A:$C,2,)</f>
        <v/>
      </c>
      <c r="E928" s="29">
        <f>D928-D927</f>
        <v/>
      </c>
    </row>
    <row r="929">
      <c r="A929" s="28" t="n">
        <v>30947</v>
      </c>
      <c r="B929" s="25">
        <f>VLOOKUP(A929,'Database Claims'!$A:$C,3,)</f>
        <v/>
      </c>
      <c r="C929" s="29">
        <f>B929-B928</f>
        <v/>
      </c>
      <c r="D929" s="25">
        <f>VLOOKUP(A929,'Database Claims'!$A:$C,2,)</f>
        <v/>
      </c>
      <c r="E929" s="29">
        <f>D929-D928</f>
        <v/>
      </c>
    </row>
    <row r="930">
      <c r="A930" s="28" t="n">
        <v>30954</v>
      </c>
      <c r="B930" s="29">
        <f>VLOOKUP(A930,'Database Claims'!$A:$C,3,)</f>
        <v/>
      </c>
      <c r="C930" s="29">
        <f>B930-B929</f>
        <v/>
      </c>
      <c r="D930" s="29">
        <f>VLOOKUP(A930,'Database Claims'!$A:$C,2,)</f>
        <v/>
      </c>
      <c r="E930" s="29">
        <f>D930-D929</f>
        <v/>
      </c>
    </row>
    <row r="931">
      <c r="A931" s="28" t="n">
        <v>30961</v>
      </c>
      <c r="B931" s="25">
        <f>VLOOKUP(A931,'Database Claims'!$A:$C,3,)</f>
        <v/>
      </c>
      <c r="C931" s="29">
        <f>B931-B930</f>
        <v/>
      </c>
      <c r="D931" s="25">
        <f>VLOOKUP(A931,'Database Claims'!$A:$C,2,)</f>
        <v/>
      </c>
      <c r="E931" s="29">
        <f>D931-D930</f>
        <v/>
      </c>
    </row>
    <row r="932">
      <c r="A932" s="28" t="n">
        <v>30968</v>
      </c>
      <c r="B932" s="29">
        <f>VLOOKUP(A932,'Database Claims'!$A:$C,3,)</f>
        <v/>
      </c>
      <c r="C932" s="29">
        <f>B932-B931</f>
        <v/>
      </c>
      <c r="D932" s="29">
        <f>VLOOKUP(A932,'Database Claims'!$A:$C,2,)</f>
        <v/>
      </c>
      <c r="E932" s="29">
        <f>D932-D931</f>
        <v/>
      </c>
    </row>
    <row r="933">
      <c r="A933" s="28" t="n">
        <v>30975</v>
      </c>
      <c r="B933" s="25">
        <f>VLOOKUP(A933,'Database Claims'!$A:$C,3,)</f>
        <v/>
      </c>
      <c r="C933" s="29">
        <f>B933-B932</f>
        <v/>
      </c>
      <c r="D933" s="25">
        <f>VLOOKUP(A933,'Database Claims'!$A:$C,2,)</f>
        <v/>
      </c>
      <c r="E933" s="29">
        <f>D933-D932</f>
        <v/>
      </c>
    </row>
    <row r="934">
      <c r="A934" s="28" t="n">
        <v>30982</v>
      </c>
      <c r="B934" s="29">
        <f>VLOOKUP(A934,'Database Claims'!$A:$C,3,)</f>
        <v/>
      </c>
      <c r="C934" s="29">
        <f>B934-B933</f>
        <v/>
      </c>
      <c r="D934" s="29">
        <f>VLOOKUP(A934,'Database Claims'!$A:$C,2,)</f>
        <v/>
      </c>
      <c r="E934" s="29">
        <f>D934-D933</f>
        <v/>
      </c>
    </row>
    <row r="935">
      <c r="A935" s="28" t="n">
        <v>30989</v>
      </c>
      <c r="B935" s="25">
        <f>VLOOKUP(A935,'Database Claims'!$A:$C,3,)</f>
        <v/>
      </c>
      <c r="C935" s="29">
        <f>B935-B934</f>
        <v/>
      </c>
      <c r="D935" s="25">
        <f>VLOOKUP(A935,'Database Claims'!$A:$C,2,)</f>
        <v/>
      </c>
      <c r="E935" s="29">
        <f>D935-D934</f>
        <v/>
      </c>
    </row>
    <row r="936">
      <c r="A936" s="28" t="n">
        <v>30996</v>
      </c>
      <c r="B936" s="29">
        <f>VLOOKUP(A936,'Database Claims'!$A:$C,3,)</f>
        <v/>
      </c>
      <c r="C936" s="29">
        <f>B936-B935</f>
        <v/>
      </c>
      <c r="D936" s="29">
        <f>VLOOKUP(A936,'Database Claims'!$A:$C,2,)</f>
        <v/>
      </c>
      <c r="E936" s="29">
        <f>D936-D935</f>
        <v/>
      </c>
    </row>
    <row r="937">
      <c r="A937" s="28" t="n">
        <v>31003</v>
      </c>
      <c r="B937" s="25">
        <f>VLOOKUP(A937,'Database Claims'!$A:$C,3,)</f>
        <v/>
      </c>
      <c r="C937" s="29">
        <f>B937-B936</f>
        <v/>
      </c>
      <c r="D937" s="25">
        <f>VLOOKUP(A937,'Database Claims'!$A:$C,2,)</f>
        <v/>
      </c>
      <c r="E937" s="29">
        <f>D937-D936</f>
        <v/>
      </c>
    </row>
    <row r="938">
      <c r="A938" s="28" t="n">
        <v>31010</v>
      </c>
      <c r="B938" s="29">
        <f>VLOOKUP(A938,'Database Claims'!$A:$C,3,)</f>
        <v/>
      </c>
      <c r="C938" s="29">
        <f>B938-B937</f>
        <v/>
      </c>
      <c r="D938" s="29">
        <f>VLOOKUP(A938,'Database Claims'!$A:$C,2,)</f>
        <v/>
      </c>
      <c r="E938" s="29">
        <f>D938-D937</f>
        <v/>
      </c>
    </row>
    <row r="939">
      <c r="A939" s="28" t="n">
        <v>31017</v>
      </c>
      <c r="B939" s="25">
        <f>VLOOKUP(A939,'Database Claims'!$A:$C,3,)</f>
        <v/>
      </c>
      <c r="C939" s="29">
        <f>B939-B938</f>
        <v/>
      </c>
      <c r="D939" s="25">
        <f>VLOOKUP(A939,'Database Claims'!$A:$C,2,)</f>
        <v/>
      </c>
      <c r="E939" s="29">
        <f>D939-D938</f>
        <v/>
      </c>
    </row>
    <row r="940">
      <c r="A940" s="28" t="n">
        <v>31024</v>
      </c>
      <c r="B940" s="29">
        <f>VLOOKUP(A940,'Database Claims'!$A:$C,3,)</f>
        <v/>
      </c>
      <c r="C940" s="29">
        <f>B940-B939</f>
        <v/>
      </c>
      <c r="D940" s="29">
        <f>VLOOKUP(A940,'Database Claims'!$A:$C,2,)</f>
        <v/>
      </c>
      <c r="E940" s="29">
        <f>D940-D939</f>
        <v/>
      </c>
    </row>
    <row r="941">
      <c r="A941" s="28" t="n">
        <v>31031</v>
      </c>
      <c r="B941" s="25">
        <f>VLOOKUP(A941,'Database Claims'!$A:$C,3,)</f>
        <v/>
      </c>
      <c r="C941" s="29">
        <f>B941-B940</f>
        <v/>
      </c>
      <c r="D941" s="25">
        <f>VLOOKUP(A941,'Database Claims'!$A:$C,2,)</f>
        <v/>
      </c>
      <c r="E941" s="29">
        <f>D941-D940</f>
        <v/>
      </c>
    </row>
    <row r="942">
      <c r="A942" s="28" t="n">
        <v>31038</v>
      </c>
      <c r="B942" s="29">
        <f>VLOOKUP(A942,'Database Claims'!$A:$C,3,)</f>
        <v/>
      </c>
      <c r="C942" s="29">
        <f>B942-B941</f>
        <v/>
      </c>
      <c r="D942" s="29">
        <f>VLOOKUP(A942,'Database Claims'!$A:$C,2,)</f>
        <v/>
      </c>
      <c r="E942" s="29">
        <f>D942-D941</f>
        <v/>
      </c>
    </row>
    <row r="943">
      <c r="A943" s="28" t="n">
        <v>31045</v>
      </c>
      <c r="B943" s="25">
        <f>VLOOKUP(A943,'Database Claims'!$A:$C,3,)</f>
        <v/>
      </c>
      <c r="C943" s="29">
        <f>B943-B942</f>
        <v/>
      </c>
      <c r="D943" s="25">
        <f>VLOOKUP(A943,'Database Claims'!$A:$C,2,)</f>
        <v/>
      </c>
      <c r="E943" s="29">
        <f>D943-D942</f>
        <v/>
      </c>
    </row>
    <row r="944">
      <c r="A944" s="28" t="n">
        <v>31052</v>
      </c>
      <c r="B944" s="29">
        <f>VLOOKUP(A944,'Database Claims'!$A:$C,3,)</f>
        <v/>
      </c>
      <c r="C944" s="29">
        <f>B944-B943</f>
        <v/>
      </c>
      <c r="D944" s="29">
        <f>VLOOKUP(A944,'Database Claims'!$A:$C,2,)</f>
        <v/>
      </c>
      <c r="E944" s="29">
        <f>D944-D943</f>
        <v/>
      </c>
    </row>
    <row r="945">
      <c r="A945" s="28" t="n">
        <v>31059</v>
      </c>
      <c r="B945" s="25">
        <f>VLOOKUP(A945,'Database Claims'!$A:$C,3,)</f>
        <v/>
      </c>
      <c r="C945" s="29">
        <f>B945-B944</f>
        <v/>
      </c>
      <c r="D945" s="25">
        <f>VLOOKUP(A945,'Database Claims'!$A:$C,2,)</f>
        <v/>
      </c>
      <c r="E945" s="29">
        <f>D945-D944</f>
        <v/>
      </c>
    </row>
    <row r="946">
      <c r="A946" s="28" t="n">
        <v>31066</v>
      </c>
      <c r="B946" s="29">
        <f>VLOOKUP(A946,'Database Claims'!$A:$C,3,)</f>
        <v/>
      </c>
      <c r="C946" s="29">
        <f>B946-B945</f>
        <v/>
      </c>
      <c r="D946" s="29">
        <f>VLOOKUP(A946,'Database Claims'!$A:$C,2,)</f>
        <v/>
      </c>
      <c r="E946" s="29">
        <f>D946-D945</f>
        <v/>
      </c>
    </row>
    <row r="947">
      <c r="A947" s="28" t="n">
        <v>31073</v>
      </c>
      <c r="B947" s="25">
        <f>VLOOKUP(A947,'Database Claims'!$A:$C,3,)</f>
        <v/>
      </c>
      <c r="C947" s="29">
        <f>B947-B946</f>
        <v/>
      </c>
      <c r="D947" s="25">
        <f>VLOOKUP(A947,'Database Claims'!$A:$C,2,)</f>
        <v/>
      </c>
      <c r="E947" s="29">
        <f>D947-D946</f>
        <v/>
      </c>
    </row>
    <row r="948">
      <c r="A948" s="28" t="n">
        <v>31080</v>
      </c>
      <c r="B948" s="29">
        <f>VLOOKUP(A948,'Database Claims'!$A:$C,3,)</f>
        <v/>
      </c>
      <c r="C948" s="29">
        <f>B948-B947</f>
        <v/>
      </c>
      <c r="D948" s="29">
        <f>VLOOKUP(A948,'Database Claims'!$A:$C,2,)</f>
        <v/>
      </c>
      <c r="E948" s="29">
        <f>D948-D947</f>
        <v/>
      </c>
    </row>
    <row r="949">
      <c r="A949" s="28" t="n">
        <v>31087</v>
      </c>
      <c r="B949" s="25">
        <f>VLOOKUP(A949,'Database Claims'!$A:$C,3,)</f>
        <v/>
      </c>
      <c r="C949" s="29">
        <f>B949-B948</f>
        <v/>
      </c>
      <c r="D949" s="25">
        <f>VLOOKUP(A949,'Database Claims'!$A:$C,2,)</f>
        <v/>
      </c>
      <c r="E949" s="29">
        <f>D949-D948</f>
        <v/>
      </c>
    </row>
    <row r="950">
      <c r="A950" s="28" t="n">
        <v>31094</v>
      </c>
      <c r="B950" s="29">
        <f>VLOOKUP(A950,'Database Claims'!$A:$C,3,)</f>
        <v/>
      </c>
      <c r="C950" s="29">
        <f>B950-B949</f>
        <v/>
      </c>
      <c r="D950" s="29">
        <f>VLOOKUP(A950,'Database Claims'!$A:$C,2,)</f>
        <v/>
      </c>
      <c r="E950" s="29">
        <f>D950-D949</f>
        <v/>
      </c>
    </row>
    <row r="951">
      <c r="A951" s="28" t="n">
        <v>31101</v>
      </c>
      <c r="B951" s="25">
        <f>VLOOKUP(A951,'Database Claims'!$A:$C,3,)</f>
        <v/>
      </c>
      <c r="C951" s="29">
        <f>B951-B950</f>
        <v/>
      </c>
      <c r="D951" s="25">
        <f>VLOOKUP(A951,'Database Claims'!$A:$C,2,)</f>
        <v/>
      </c>
      <c r="E951" s="29">
        <f>D951-D950</f>
        <v/>
      </c>
    </row>
    <row r="952">
      <c r="A952" s="28" t="n">
        <v>31108</v>
      </c>
      <c r="B952" s="29">
        <f>VLOOKUP(A952,'Database Claims'!$A:$C,3,)</f>
        <v/>
      </c>
      <c r="C952" s="29">
        <f>B952-B951</f>
        <v/>
      </c>
      <c r="D952" s="29">
        <f>VLOOKUP(A952,'Database Claims'!$A:$C,2,)</f>
        <v/>
      </c>
      <c r="E952" s="29">
        <f>D952-D951</f>
        <v/>
      </c>
    </row>
    <row r="953">
      <c r="A953" s="28" t="n">
        <v>31115</v>
      </c>
      <c r="B953" s="25">
        <f>VLOOKUP(A953,'Database Claims'!$A:$C,3,)</f>
        <v/>
      </c>
      <c r="C953" s="29">
        <f>B953-B952</f>
        <v/>
      </c>
      <c r="D953" s="25">
        <f>VLOOKUP(A953,'Database Claims'!$A:$C,2,)</f>
        <v/>
      </c>
      <c r="E953" s="29">
        <f>D953-D952</f>
        <v/>
      </c>
    </row>
    <row r="954">
      <c r="A954" s="28" t="n">
        <v>31122</v>
      </c>
      <c r="B954" s="29">
        <f>VLOOKUP(A954,'Database Claims'!$A:$C,3,)</f>
        <v/>
      </c>
      <c r="C954" s="29">
        <f>B954-B953</f>
        <v/>
      </c>
      <c r="D954" s="29">
        <f>VLOOKUP(A954,'Database Claims'!$A:$C,2,)</f>
        <v/>
      </c>
      <c r="E954" s="29">
        <f>D954-D953</f>
        <v/>
      </c>
    </row>
    <row r="955">
      <c r="A955" s="28" t="n">
        <v>31129</v>
      </c>
      <c r="B955" s="25">
        <f>VLOOKUP(A955,'Database Claims'!$A:$C,3,)</f>
        <v/>
      </c>
      <c r="C955" s="29">
        <f>B955-B954</f>
        <v/>
      </c>
      <c r="D955" s="25">
        <f>VLOOKUP(A955,'Database Claims'!$A:$C,2,)</f>
        <v/>
      </c>
      <c r="E955" s="29">
        <f>D955-D954</f>
        <v/>
      </c>
    </row>
    <row r="956">
      <c r="A956" s="28" t="n">
        <v>31136</v>
      </c>
      <c r="B956" s="29">
        <f>VLOOKUP(A956,'Database Claims'!$A:$C,3,)</f>
        <v/>
      </c>
      <c r="C956" s="29">
        <f>B956-B955</f>
        <v/>
      </c>
      <c r="D956" s="29">
        <f>VLOOKUP(A956,'Database Claims'!$A:$C,2,)</f>
        <v/>
      </c>
      <c r="E956" s="29">
        <f>D956-D955</f>
        <v/>
      </c>
    </row>
    <row r="957">
      <c r="A957" s="28" t="n">
        <v>31143</v>
      </c>
      <c r="B957" s="25">
        <f>VLOOKUP(A957,'Database Claims'!$A:$C,3,)</f>
        <v/>
      </c>
      <c r="C957" s="29">
        <f>B957-B956</f>
        <v/>
      </c>
      <c r="D957" s="25">
        <f>VLOOKUP(A957,'Database Claims'!$A:$C,2,)</f>
        <v/>
      </c>
      <c r="E957" s="29">
        <f>D957-D956</f>
        <v/>
      </c>
    </row>
    <row r="958">
      <c r="A958" s="28" t="n">
        <v>31150</v>
      </c>
      <c r="B958" s="29">
        <f>VLOOKUP(A958,'Database Claims'!$A:$C,3,)</f>
        <v/>
      </c>
      <c r="C958" s="29">
        <f>B958-B957</f>
        <v/>
      </c>
      <c r="D958" s="29">
        <f>VLOOKUP(A958,'Database Claims'!$A:$C,2,)</f>
        <v/>
      </c>
      <c r="E958" s="29">
        <f>D958-D957</f>
        <v/>
      </c>
    </row>
    <row r="959">
      <c r="A959" s="28" t="n">
        <v>31157</v>
      </c>
      <c r="B959" s="25">
        <f>VLOOKUP(A959,'Database Claims'!$A:$C,3,)</f>
        <v/>
      </c>
      <c r="C959" s="29">
        <f>B959-B958</f>
        <v/>
      </c>
      <c r="D959" s="25">
        <f>VLOOKUP(A959,'Database Claims'!$A:$C,2,)</f>
        <v/>
      </c>
      <c r="E959" s="29">
        <f>D959-D958</f>
        <v/>
      </c>
    </row>
    <row r="960">
      <c r="A960" s="28" t="n">
        <v>31164</v>
      </c>
      <c r="B960" s="29">
        <f>VLOOKUP(A960,'Database Claims'!$A:$C,3,)</f>
        <v/>
      </c>
      <c r="C960" s="29">
        <f>B960-B959</f>
        <v/>
      </c>
      <c r="D960" s="29">
        <f>VLOOKUP(A960,'Database Claims'!$A:$C,2,)</f>
        <v/>
      </c>
      <c r="E960" s="29">
        <f>D960-D959</f>
        <v/>
      </c>
    </row>
    <row r="961">
      <c r="A961" s="28" t="n">
        <v>31171</v>
      </c>
      <c r="B961" s="25">
        <f>VLOOKUP(A961,'Database Claims'!$A:$C,3,)</f>
        <v/>
      </c>
      <c r="C961" s="29">
        <f>B961-B960</f>
        <v/>
      </c>
      <c r="D961" s="25">
        <f>VLOOKUP(A961,'Database Claims'!$A:$C,2,)</f>
        <v/>
      </c>
      <c r="E961" s="29">
        <f>D961-D960</f>
        <v/>
      </c>
    </row>
    <row r="962">
      <c r="A962" s="28" t="n">
        <v>31178</v>
      </c>
      <c r="B962" s="29">
        <f>VLOOKUP(A962,'Database Claims'!$A:$C,3,)</f>
        <v/>
      </c>
      <c r="C962" s="29">
        <f>B962-B961</f>
        <v/>
      </c>
      <c r="D962" s="29">
        <f>VLOOKUP(A962,'Database Claims'!$A:$C,2,)</f>
        <v/>
      </c>
      <c r="E962" s="29">
        <f>D962-D961</f>
        <v/>
      </c>
    </row>
    <row r="963">
      <c r="A963" s="28" t="n">
        <v>31185</v>
      </c>
      <c r="B963" s="25">
        <f>VLOOKUP(A963,'Database Claims'!$A:$C,3,)</f>
        <v/>
      </c>
      <c r="C963" s="29">
        <f>B963-B962</f>
        <v/>
      </c>
      <c r="D963" s="25">
        <f>VLOOKUP(A963,'Database Claims'!$A:$C,2,)</f>
        <v/>
      </c>
      <c r="E963" s="29">
        <f>D963-D962</f>
        <v/>
      </c>
    </row>
    <row r="964">
      <c r="A964" s="28" t="n">
        <v>31192</v>
      </c>
      <c r="B964" s="29">
        <f>VLOOKUP(A964,'Database Claims'!$A:$C,3,)</f>
        <v/>
      </c>
      <c r="C964" s="29">
        <f>B964-B963</f>
        <v/>
      </c>
      <c r="D964" s="29">
        <f>VLOOKUP(A964,'Database Claims'!$A:$C,2,)</f>
        <v/>
      </c>
      <c r="E964" s="29">
        <f>D964-D963</f>
        <v/>
      </c>
    </row>
    <row r="965">
      <c r="A965" s="28" t="n">
        <v>31199</v>
      </c>
      <c r="B965" s="25">
        <f>VLOOKUP(A965,'Database Claims'!$A:$C,3,)</f>
        <v/>
      </c>
      <c r="C965" s="29">
        <f>B965-B964</f>
        <v/>
      </c>
      <c r="D965" s="25">
        <f>VLOOKUP(A965,'Database Claims'!$A:$C,2,)</f>
        <v/>
      </c>
      <c r="E965" s="29">
        <f>D965-D964</f>
        <v/>
      </c>
    </row>
    <row r="966">
      <c r="A966" s="28" t="n">
        <v>31206</v>
      </c>
      <c r="B966" s="29">
        <f>VLOOKUP(A966,'Database Claims'!$A:$C,3,)</f>
        <v/>
      </c>
      <c r="C966" s="29">
        <f>B966-B965</f>
        <v/>
      </c>
      <c r="D966" s="29">
        <f>VLOOKUP(A966,'Database Claims'!$A:$C,2,)</f>
        <v/>
      </c>
      <c r="E966" s="29">
        <f>D966-D965</f>
        <v/>
      </c>
    </row>
    <row r="967">
      <c r="A967" s="28" t="n">
        <v>31213</v>
      </c>
      <c r="B967" s="25">
        <f>VLOOKUP(A967,'Database Claims'!$A:$C,3,)</f>
        <v/>
      </c>
      <c r="C967" s="29">
        <f>B967-B966</f>
        <v/>
      </c>
      <c r="D967" s="25">
        <f>VLOOKUP(A967,'Database Claims'!$A:$C,2,)</f>
        <v/>
      </c>
      <c r="E967" s="29">
        <f>D967-D966</f>
        <v/>
      </c>
    </row>
    <row r="968">
      <c r="A968" s="28" t="n">
        <v>31220</v>
      </c>
      <c r="B968" s="29">
        <f>VLOOKUP(A968,'Database Claims'!$A:$C,3,)</f>
        <v/>
      </c>
      <c r="C968" s="29">
        <f>B968-B967</f>
        <v/>
      </c>
      <c r="D968" s="29">
        <f>VLOOKUP(A968,'Database Claims'!$A:$C,2,)</f>
        <v/>
      </c>
      <c r="E968" s="29">
        <f>D968-D967</f>
        <v/>
      </c>
    </row>
    <row r="969">
      <c r="A969" s="28" t="n">
        <v>31227</v>
      </c>
      <c r="B969" s="25">
        <f>VLOOKUP(A969,'Database Claims'!$A:$C,3,)</f>
        <v/>
      </c>
      <c r="C969" s="29">
        <f>B969-B968</f>
        <v/>
      </c>
      <c r="D969" s="25">
        <f>VLOOKUP(A969,'Database Claims'!$A:$C,2,)</f>
        <v/>
      </c>
      <c r="E969" s="29">
        <f>D969-D968</f>
        <v/>
      </c>
    </row>
    <row r="970">
      <c r="A970" s="28" t="n">
        <v>31234</v>
      </c>
      <c r="B970" s="29">
        <f>VLOOKUP(A970,'Database Claims'!$A:$C,3,)</f>
        <v/>
      </c>
      <c r="C970" s="29">
        <f>B970-B969</f>
        <v/>
      </c>
      <c r="D970" s="29">
        <f>VLOOKUP(A970,'Database Claims'!$A:$C,2,)</f>
        <v/>
      </c>
      <c r="E970" s="29">
        <f>D970-D969</f>
        <v/>
      </c>
    </row>
    <row r="971">
      <c r="A971" s="28" t="n">
        <v>31241</v>
      </c>
      <c r="B971" s="25">
        <f>VLOOKUP(A971,'Database Claims'!$A:$C,3,)</f>
        <v/>
      </c>
      <c r="C971" s="29">
        <f>B971-B970</f>
        <v/>
      </c>
      <c r="D971" s="25">
        <f>VLOOKUP(A971,'Database Claims'!$A:$C,2,)</f>
        <v/>
      </c>
      <c r="E971" s="29">
        <f>D971-D970</f>
        <v/>
      </c>
    </row>
    <row r="972">
      <c r="A972" s="28" t="n">
        <v>31248</v>
      </c>
      <c r="B972" s="29">
        <f>VLOOKUP(A972,'Database Claims'!$A:$C,3,)</f>
        <v/>
      </c>
      <c r="C972" s="29">
        <f>B972-B971</f>
        <v/>
      </c>
      <c r="D972" s="29">
        <f>VLOOKUP(A972,'Database Claims'!$A:$C,2,)</f>
        <v/>
      </c>
      <c r="E972" s="29">
        <f>D972-D971</f>
        <v/>
      </c>
    </row>
    <row r="973">
      <c r="A973" s="28" t="n">
        <v>31255</v>
      </c>
      <c r="B973" s="25">
        <f>VLOOKUP(A973,'Database Claims'!$A:$C,3,)</f>
        <v/>
      </c>
      <c r="C973" s="29">
        <f>B973-B972</f>
        <v/>
      </c>
      <c r="D973" s="25">
        <f>VLOOKUP(A973,'Database Claims'!$A:$C,2,)</f>
        <v/>
      </c>
      <c r="E973" s="29">
        <f>D973-D972</f>
        <v/>
      </c>
    </row>
    <row r="974">
      <c r="A974" s="28" t="n">
        <v>31262</v>
      </c>
      <c r="B974" s="29">
        <f>VLOOKUP(A974,'Database Claims'!$A:$C,3,)</f>
        <v/>
      </c>
      <c r="C974" s="29">
        <f>B974-B973</f>
        <v/>
      </c>
      <c r="D974" s="29">
        <f>VLOOKUP(A974,'Database Claims'!$A:$C,2,)</f>
        <v/>
      </c>
      <c r="E974" s="29">
        <f>D974-D973</f>
        <v/>
      </c>
    </row>
    <row r="975">
      <c r="A975" s="28" t="n">
        <v>31269</v>
      </c>
      <c r="B975" s="25">
        <f>VLOOKUP(A975,'Database Claims'!$A:$C,3,)</f>
        <v/>
      </c>
      <c r="C975" s="29">
        <f>B975-B974</f>
        <v/>
      </c>
      <c r="D975" s="25">
        <f>VLOOKUP(A975,'Database Claims'!$A:$C,2,)</f>
        <v/>
      </c>
      <c r="E975" s="29">
        <f>D975-D974</f>
        <v/>
      </c>
    </row>
    <row r="976">
      <c r="A976" s="28" t="n">
        <v>31276</v>
      </c>
      <c r="B976" s="29">
        <f>VLOOKUP(A976,'Database Claims'!$A:$C,3,)</f>
        <v/>
      </c>
      <c r="C976" s="29">
        <f>B976-B975</f>
        <v/>
      </c>
      <c r="D976" s="29">
        <f>VLOOKUP(A976,'Database Claims'!$A:$C,2,)</f>
        <v/>
      </c>
      <c r="E976" s="29">
        <f>D976-D975</f>
        <v/>
      </c>
    </row>
    <row r="977">
      <c r="A977" s="28" t="n">
        <v>31283</v>
      </c>
      <c r="B977" s="25">
        <f>VLOOKUP(A977,'Database Claims'!$A:$C,3,)</f>
        <v/>
      </c>
      <c r="C977" s="29">
        <f>B977-B976</f>
        <v/>
      </c>
      <c r="D977" s="25">
        <f>VLOOKUP(A977,'Database Claims'!$A:$C,2,)</f>
        <v/>
      </c>
      <c r="E977" s="29">
        <f>D977-D976</f>
        <v/>
      </c>
    </row>
    <row r="978">
      <c r="A978" s="28" t="n">
        <v>31290</v>
      </c>
      <c r="B978" s="29">
        <f>VLOOKUP(A978,'Database Claims'!$A:$C,3,)</f>
        <v/>
      </c>
      <c r="C978" s="29">
        <f>B978-B977</f>
        <v/>
      </c>
      <c r="D978" s="29">
        <f>VLOOKUP(A978,'Database Claims'!$A:$C,2,)</f>
        <v/>
      </c>
      <c r="E978" s="29">
        <f>D978-D977</f>
        <v/>
      </c>
    </row>
    <row r="979">
      <c r="A979" s="28" t="n">
        <v>31297</v>
      </c>
      <c r="B979" s="25">
        <f>VLOOKUP(A979,'Database Claims'!$A:$C,3,)</f>
        <v/>
      </c>
      <c r="C979" s="29">
        <f>B979-B978</f>
        <v/>
      </c>
      <c r="D979" s="25">
        <f>VLOOKUP(A979,'Database Claims'!$A:$C,2,)</f>
        <v/>
      </c>
      <c r="E979" s="29">
        <f>D979-D978</f>
        <v/>
      </c>
    </row>
    <row r="980">
      <c r="A980" s="28" t="n">
        <v>31304</v>
      </c>
      <c r="B980" s="29">
        <f>VLOOKUP(A980,'Database Claims'!$A:$C,3,)</f>
        <v/>
      </c>
      <c r="C980" s="29">
        <f>B980-B979</f>
        <v/>
      </c>
      <c r="D980" s="29">
        <f>VLOOKUP(A980,'Database Claims'!$A:$C,2,)</f>
        <v/>
      </c>
      <c r="E980" s="29">
        <f>D980-D979</f>
        <v/>
      </c>
    </row>
    <row r="981">
      <c r="A981" s="28" t="n">
        <v>31311</v>
      </c>
      <c r="B981" s="25">
        <f>VLOOKUP(A981,'Database Claims'!$A:$C,3,)</f>
        <v/>
      </c>
      <c r="C981" s="29">
        <f>B981-B980</f>
        <v/>
      </c>
      <c r="D981" s="25">
        <f>VLOOKUP(A981,'Database Claims'!$A:$C,2,)</f>
        <v/>
      </c>
      <c r="E981" s="29">
        <f>D981-D980</f>
        <v/>
      </c>
    </row>
    <row r="982">
      <c r="A982" s="28" t="n">
        <v>31318</v>
      </c>
      <c r="B982" s="29">
        <f>VLOOKUP(A982,'Database Claims'!$A:$C,3,)</f>
        <v/>
      </c>
      <c r="C982" s="29">
        <f>B982-B981</f>
        <v/>
      </c>
      <c r="D982" s="29">
        <f>VLOOKUP(A982,'Database Claims'!$A:$C,2,)</f>
        <v/>
      </c>
      <c r="E982" s="29">
        <f>D982-D981</f>
        <v/>
      </c>
    </row>
    <row r="983">
      <c r="A983" s="28" t="n">
        <v>31325</v>
      </c>
      <c r="B983" s="25">
        <f>VLOOKUP(A983,'Database Claims'!$A:$C,3,)</f>
        <v/>
      </c>
      <c r="C983" s="29">
        <f>B983-B982</f>
        <v/>
      </c>
      <c r="D983" s="25">
        <f>VLOOKUP(A983,'Database Claims'!$A:$C,2,)</f>
        <v/>
      </c>
      <c r="E983" s="29">
        <f>D983-D982</f>
        <v/>
      </c>
    </row>
    <row r="984">
      <c r="A984" s="28" t="n">
        <v>31332</v>
      </c>
      <c r="B984" s="29">
        <f>VLOOKUP(A984,'Database Claims'!$A:$C,3,)</f>
        <v/>
      </c>
      <c r="C984" s="29">
        <f>B984-B983</f>
        <v/>
      </c>
      <c r="D984" s="29">
        <f>VLOOKUP(A984,'Database Claims'!$A:$C,2,)</f>
        <v/>
      </c>
      <c r="E984" s="29">
        <f>D984-D983</f>
        <v/>
      </c>
    </row>
    <row r="985">
      <c r="A985" s="28" t="n">
        <v>31339</v>
      </c>
      <c r="B985" s="25">
        <f>VLOOKUP(A985,'Database Claims'!$A:$C,3,)</f>
        <v/>
      </c>
      <c r="C985" s="29">
        <f>B985-B984</f>
        <v/>
      </c>
      <c r="D985" s="25">
        <f>VLOOKUP(A985,'Database Claims'!$A:$C,2,)</f>
        <v/>
      </c>
      <c r="E985" s="29">
        <f>D985-D984</f>
        <v/>
      </c>
    </row>
    <row r="986">
      <c r="A986" s="28" t="n">
        <v>31346</v>
      </c>
      <c r="B986" s="29">
        <f>VLOOKUP(A986,'Database Claims'!$A:$C,3,)</f>
        <v/>
      </c>
      <c r="C986" s="29">
        <f>B986-B985</f>
        <v/>
      </c>
      <c r="D986" s="29">
        <f>VLOOKUP(A986,'Database Claims'!$A:$C,2,)</f>
        <v/>
      </c>
      <c r="E986" s="29">
        <f>D986-D985</f>
        <v/>
      </c>
    </row>
    <row r="987">
      <c r="A987" s="28" t="n">
        <v>31353</v>
      </c>
      <c r="B987" s="25">
        <f>VLOOKUP(A987,'Database Claims'!$A:$C,3,)</f>
        <v/>
      </c>
      <c r="C987" s="29">
        <f>B987-B986</f>
        <v/>
      </c>
      <c r="D987" s="25">
        <f>VLOOKUP(A987,'Database Claims'!$A:$C,2,)</f>
        <v/>
      </c>
      <c r="E987" s="29">
        <f>D987-D986</f>
        <v/>
      </c>
    </row>
    <row r="988">
      <c r="A988" s="28" t="n">
        <v>31360</v>
      </c>
      <c r="B988" s="29">
        <f>VLOOKUP(A988,'Database Claims'!$A:$C,3,)</f>
        <v/>
      </c>
      <c r="C988" s="29">
        <f>B988-B987</f>
        <v/>
      </c>
      <c r="D988" s="29">
        <f>VLOOKUP(A988,'Database Claims'!$A:$C,2,)</f>
        <v/>
      </c>
      <c r="E988" s="29">
        <f>D988-D987</f>
        <v/>
      </c>
    </row>
    <row r="989">
      <c r="A989" s="28" t="n">
        <v>31367</v>
      </c>
      <c r="B989" s="25">
        <f>VLOOKUP(A989,'Database Claims'!$A:$C,3,)</f>
        <v/>
      </c>
      <c r="C989" s="29">
        <f>B989-B988</f>
        <v/>
      </c>
      <c r="D989" s="25">
        <f>VLOOKUP(A989,'Database Claims'!$A:$C,2,)</f>
        <v/>
      </c>
      <c r="E989" s="29">
        <f>D989-D988</f>
        <v/>
      </c>
    </row>
    <row r="990">
      <c r="A990" s="28" t="n">
        <v>31374</v>
      </c>
      <c r="B990" s="29">
        <f>VLOOKUP(A990,'Database Claims'!$A:$C,3,)</f>
        <v/>
      </c>
      <c r="C990" s="29">
        <f>B990-B989</f>
        <v/>
      </c>
      <c r="D990" s="29">
        <f>VLOOKUP(A990,'Database Claims'!$A:$C,2,)</f>
        <v/>
      </c>
      <c r="E990" s="29">
        <f>D990-D989</f>
        <v/>
      </c>
    </row>
    <row r="991">
      <c r="A991" s="28" t="n">
        <v>31381</v>
      </c>
      <c r="B991" s="25">
        <f>VLOOKUP(A991,'Database Claims'!$A:$C,3,)</f>
        <v/>
      </c>
      <c r="C991" s="29">
        <f>B991-B990</f>
        <v/>
      </c>
      <c r="D991" s="25">
        <f>VLOOKUP(A991,'Database Claims'!$A:$C,2,)</f>
        <v/>
      </c>
      <c r="E991" s="29">
        <f>D991-D990</f>
        <v/>
      </c>
    </row>
    <row r="992">
      <c r="A992" s="28" t="n">
        <v>31388</v>
      </c>
      <c r="B992" s="29">
        <f>VLOOKUP(A992,'Database Claims'!$A:$C,3,)</f>
        <v/>
      </c>
      <c r="C992" s="29">
        <f>B992-B991</f>
        <v/>
      </c>
      <c r="D992" s="29">
        <f>VLOOKUP(A992,'Database Claims'!$A:$C,2,)</f>
        <v/>
      </c>
      <c r="E992" s="29">
        <f>D992-D991</f>
        <v/>
      </c>
    </row>
    <row r="993">
      <c r="A993" s="28" t="n">
        <v>31395</v>
      </c>
      <c r="B993" s="25">
        <f>VLOOKUP(A993,'Database Claims'!$A:$C,3,)</f>
        <v/>
      </c>
      <c r="C993" s="29">
        <f>B993-B992</f>
        <v/>
      </c>
      <c r="D993" s="25">
        <f>VLOOKUP(A993,'Database Claims'!$A:$C,2,)</f>
        <v/>
      </c>
      <c r="E993" s="29">
        <f>D993-D992</f>
        <v/>
      </c>
    </row>
    <row r="994">
      <c r="A994" s="28" t="n">
        <v>31402</v>
      </c>
      <c r="B994" s="29">
        <f>VLOOKUP(A994,'Database Claims'!$A:$C,3,)</f>
        <v/>
      </c>
      <c r="C994" s="29">
        <f>B994-B993</f>
        <v/>
      </c>
      <c r="D994" s="29">
        <f>VLOOKUP(A994,'Database Claims'!$A:$C,2,)</f>
        <v/>
      </c>
      <c r="E994" s="29">
        <f>D994-D993</f>
        <v/>
      </c>
    </row>
    <row r="995">
      <c r="A995" s="28" t="n">
        <v>31409</v>
      </c>
      <c r="B995" s="25">
        <f>VLOOKUP(A995,'Database Claims'!$A:$C,3,)</f>
        <v/>
      </c>
      <c r="C995" s="29">
        <f>B995-B994</f>
        <v/>
      </c>
      <c r="D995" s="25">
        <f>VLOOKUP(A995,'Database Claims'!$A:$C,2,)</f>
        <v/>
      </c>
      <c r="E995" s="29">
        <f>D995-D994</f>
        <v/>
      </c>
    </row>
    <row r="996">
      <c r="A996" s="28" t="n">
        <v>31416</v>
      </c>
      <c r="B996" s="29">
        <f>VLOOKUP(A996,'Database Claims'!$A:$C,3,)</f>
        <v/>
      </c>
      <c r="C996" s="29">
        <f>B996-B995</f>
        <v/>
      </c>
      <c r="D996" s="29">
        <f>VLOOKUP(A996,'Database Claims'!$A:$C,2,)</f>
        <v/>
      </c>
      <c r="E996" s="29">
        <f>D996-D995</f>
        <v/>
      </c>
    </row>
    <row r="997">
      <c r="A997" s="28" t="n">
        <v>31423</v>
      </c>
      <c r="B997" s="25">
        <f>VLOOKUP(A997,'Database Claims'!$A:$C,3,)</f>
        <v/>
      </c>
      <c r="C997" s="29">
        <f>B997-B996</f>
        <v/>
      </c>
      <c r="D997" s="25">
        <f>VLOOKUP(A997,'Database Claims'!$A:$C,2,)</f>
        <v/>
      </c>
      <c r="E997" s="29">
        <f>D997-D996</f>
        <v/>
      </c>
    </row>
    <row r="998">
      <c r="A998" s="28" t="n">
        <v>31430</v>
      </c>
      <c r="B998" s="29">
        <f>VLOOKUP(A998,'Database Claims'!$A:$C,3,)</f>
        <v/>
      </c>
      <c r="C998" s="29">
        <f>B998-B997</f>
        <v/>
      </c>
      <c r="D998" s="29">
        <f>VLOOKUP(A998,'Database Claims'!$A:$C,2,)</f>
        <v/>
      </c>
      <c r="E998" s="29">
        <f>D998-D997</f>
        <v/>
      </c>
    </row>
    <row r="999">
      <c r="A999" s="28" t="n">
        <v>31437</v>
      </c>
      <c r="B999" s="25">
        <f>VLOOKUP(A999,'Database Claims'!$A:$C,3,)</f>
        <v/>
      </c>
      <c r="C999" s="29">
        <f>B999-B998</f>
        <v/>
      </c>
      <c r="D999" s="25">
        <f>VLOOKUP(A999,'Database Claims'!$A:$C,2,)</f>
        <v/>
      </c>
      <c r="E999" s="29">
        <f>D999-D998</f>
        <v/>
      </c>
    </row>
    <row r="1000">
      <c r="A1000" s="28" t="n">
        <v>31444</v>
      </c>
      <c r="B1000" s="29">
        <f>VLOOKUP(A1000,'Database Claims'!$A:$C,3,)</f>
        <v/>
      </c>
      <c r="C1000" s="29">
        <f>B1000-B999</f>
        <v/>
      </c>
      <c r="D1000" s="29">
        <f>VLOOKUP(A1000,'Database Claims'!$A:$C,2,)</f>
        <v/>
      </c>
      <c r="E1000" s="29">
        <f>D1000-D999</f>
        <v/>
      </c>
    </row>
    <row r="1001">
      <c r="A1001" s="28" t="n">
        <v>31451</v>
      </c>
      <c r="B1001" s="25">
        <f>VLOOKUP(A1001,'Database Claims'!$A:$C,3,)</f>
        <v/>
      </c>
      <c r="C1001" s="29">
        <f>B1001-B1000</f>
        <v/>
      </c>
      <c r="D1001" s="25">
        <f>VLOOKUP(A1001,'Database Claims'!$A:$C,2,)</f>
        <v/>
      </c>
      <c r="E1001" s="29">
        <f>D1001-D1000</f>
        <v/>
      </c>
    </row>
    <row r="1002">
      <c r="A1002" s="28" t="n">
        <v>31458</v>
      </c>
      <c r="B1002" s="29">
        <f>VLOOKUP(A1002,'Database Claims'!$A:$C,3,)</f>
        <v/>
      </c>
      <c r="C1002" s="29">
        <f>B1002-B1001</f>
        <v/>
      </c>
      <c r="D1002" s="29">
        <f>VLOOKUP(A1002,'Database Claims'!$A:$C,2,)</f>
        <v/>
      </c>
      <c r="E1002" s="29">
        <f>D1002-D1001</f>
        <v/>
      </c>
    </row>
    <row r="1003">
      <c r="A1003" s="28" t="n">
        <v>31465</v>
      </c>
      <c r="B1003" s="25">
        <f>VLOOKUP(A1003,'Database Claims'!$A:$C,3,)</f>
        <v/>
      </c>
      <c r="C1003" s="29">
        <f>B1003-B1002</f>
        <v/>
      </c>
      <c r="D1003" s="25">
        <f>VLOOKUP(A1003,'Database Claims'!$A:$C,2,)</f>
        <v/>
      </c>
      <c r="E1003" s="29">
        <f>D1003-D1002</f>
        <v/>
      </c>
    </row>
    <row r="1004">
      <c r="A1004" s="28" t="n">
        <v>31472</v>
      </c>
      <c r="B1004" s="29">
        <f>VLOOKUP(A1004,'Database Claims'!$A:$C,3,)</f>
        <v/>
      </c>
      <c r="C1004" s="29">
        <f>B1004-B1003</f>
        <v/>
      </c>
      <c r="D1004" s="29">
        <f>VLOOKUP(A1004,'Database Claims'!$A:$C,2,)</f>
        <v/>
      </c>
      <c r="E1004" s="29">
        <f>D1004-D1003</f>
        <v/>
      </c>
    </row>
    <row r="1005">
      <c r="A1005" s="28" t="n">
        <v>31479</v>
      </c>
      <c r="B1005" s="25">
        <f>VLOOKUP(A1005,'Database Claims'!$A:$C,3,)</f>
        <v/>
      </c>
      <c r="C1005" s="29">
        <f>B1005-B1004</f>
        <v/>
      </c>
      <c r="D1005" s="25">
        <f>VLOOKUP(A1005,'Database Claims'!$A:$C,2,)</f>
        <v/>
      </c>
      <c r="E1005" s="29">
        <f>D1005-D1004</f>
        <v/>
      </c>
    </row>
    <row r="1006">
      <c r="A1006" s="28" t="n">
        <v>31486</v>
      </c>
      <c r="B1006" s="29">
        <f>VLOOKUP(A1006,'Database Claims'!$A:$C,3,)</f>
        <v/>
      </c>
      <c r="C1006" s="29">
        <f>B1006-B1005</f>
        <v/>
      </c>
      <c r="D1006" s="29">
        <f>VLOOKUP(A1006,'Database Claims'!$A:$C,2,)</f>
        <v/>
      </c>
      <c r="E1006" s="29">
        <f>D1006-D1005</f>
        <v/>
      </c>
    </row>
    <row r="1007">
      <c r="A1007" s="28" t="n">
        <v>31493</v>
      </c>
      <c r="B1007" s="25">
        <f>VLOOKUP(A1007,'Database Claims'!$A:$C,3,)</f>
        <v/>
      </c>
      <c r="C1007" s="29">
        <f>B1007-B1006</f>
        <v/>
      </c>
      <c r="D1007" s="25">
        <f>VLOOKUP(A1007,'Database Claims'!$A:$C,2,)</f>
        <v/>
      </c>
      <c r="E1007" s="29">
        <f>D1007-D1006</f>
        <v/>
      </c>
    </row>
    <row r="1008">
      <c r="A1008" s="28" t="n">
        <v>31500</v>
      </c>
      <c r="B1008" s="29">
        <f>VLOOKUP(A1008,'Database Claims'!$A:$C,3,)</f>
        <v/>
      </c>
      <c r="C1008" s="29">
        <f>B1008-B1007</f>
        <v/>
      </c>
      <c r="D1008" s="29">
        <f>VLOOKUP(A1008,'Database Claims'!$A:$C,2,)</f>
        <v/>
      </c>
      <c r="E1008" s="29">
        <f>D1008-D1007</f>
        <v/>
      </c>
    </row>
    <row r="1009">
      <c r="A1009" s="28" t="n">
        <v>31507</v>
      </c>
      <c r="B1009" s="25">
        <f>VLOOKUP(A1009,'Database Claims'!$A:$C,3,)</f>
        <v/>
      </c>
      <c r="C1009" s="29">
        <f>B1009-B1008</f>
        <v/>
      </c>
      <c r="D1009" s="25">
        <f>VLOOKUP(A1009,'Database Claims'!$A:$C,2,)</f>
        <v/>
      </c>
      <c r="E1009" s="29">
        <f>D1009-D1008</f>
        <v/>
      </c>
    </row>
    <row r="1010">
      <c r="A1010" s="28" t="n">
        <v>31514</v>
      </c>
      <c r="B1010" s="29">
        <f>VLOOKUP(A1010,'Database Claims'!$A:$C,3,)</f>
        <v/>
      </c>
      <c r="C1010" s="29">
        <f>B1010-B1009</f>
        <v/>
      </c>
      <c r="D1010" s="29">
        <f>VLOOKUP(A1010,'Database Claims'!$A:$C,2,)</f>
        <v/>
      </c>
      <c r="E1010" s="29">
        <f>D1010-D1009</f>
        <v/>
      </c>
    </row>
    <row r="1011">
      <c r="A1011" s="28" t="n">
        <v>31521</v>
      </c>
      <c r="B1011" s="25">
        <f>VLOOKUP(A1011,'Database Claims'!$A:$C,3,)</f>
        <v/>
      </c>
      <c r="C1011" s="29">
        <f>B1011-B1010</f>
        <v/>
      </c>
      <c r="D1011" s="25">
        <f>VLOOKUP(A1011,'Database Claims'!$A:$C,2,)</f>
        <v/>
      </c>
      <c r="E1011" s="29">
        <f>D1011-D1010</f>
        <v/>
      </c>
    </row>
    <row r="1012">
      <c r="A1012" s="28" t="n">
        <v>31528</v>
      </c>
      <c r="B1012" s="29">
        <f>VLOOKUP(A1012,'Database Claims'!$A:$C,3,)</f>
        <v/>
      </c>
      <c r="C1012" s="29">
        <f>B1012-B1011</f>
        <v/>
      </c>
      <c r="D1012" s="29">
        <f>VLOOKUP(A1012,'Database Claims'!$A:$C,2,)</f>
        <v/>
      </c>
      <c r="E1012" s="29">
        <f>D1012-D1011</f>
        <v/>
      </c>
    </row>
    <row r="1013">
      <c r="A1013" s="28" t="n">
        <v>31535</v>
      </c>
      <c r="B1013" s="25">
        <f>VLOOKUP(A1013,'Database Claims'!$A:$C,3,)</f>
        <v/>
      </c>
      <c r="C1013" s="29">
        <f>B1013-B1012</f>
        <v/>
      </c>
      <c r="D1013" s="25">
        <f>VLOOKUP(A1013,'Database Claims'!$A:$C,2,)</f>
        <v/>
      </c>
      <c r="E1013" s="29">
        <f>D1013-D1012</f>
        <v/>
      </c>
    </row>
    <row r="1014">
      <c r="A1014" s="28" t="n">
        <v>31542</v>
      </c>
      <c r="B1014" s="29">
        <f>VLOOKUP(A1014,'Database Claims'!$A:$C,3,)</f>
        <v/>
      </c>
      <c r="C1014" s="29">
        <f>B1014-B1013</f>
        <v/>
      </c>
      <c r="D1014" s="29">
        <f>VLOOKUP(A1014,'Database Claims'!$A:$C,2,)</f>
        <v/>
      </c>
      <c r="E1014" s="29">
        <f>D1014-D1013</f>
        <v/>
      </c>
    </row>
    <row r="1015">
      <c r="A1015" s="28" t="n">
        <v>31549</v>
      </c>
      <c r="B1015" s="25">
        <f>VLOOKUP(A1015,'Database Claims'!$A:$C,3,)</f>
        <v/>
      </c>
      <c r="C1015" s="29">
        <f>B1015-B1014</f>
        <v/>
      </c>
      <c r="D1015" s="25">
        <f>VLOOKUP(A1015,'Database Claims'!$A:$C,2,)</f>
        <v/>
      </c>
      <c r="E1015" s="29">
        <f>D1015-D1014</f>
        <v/>
      </c>
    </row>
    <row r="1016">
      <c r="A1016" s="28" t="n">
        <v>31556</v>
      </c>
      <c r="B1016" s="29">
        <f>VLOOKUP(A1016,'Database Claims'!$A:$C,3,)</f>
        <v/>
      </c>
      <c r="C1016" s="29">
        <f>B1016-B1015</f>
        <v/>
      </c>
      <c r="D1016" s="29">
        <f>VLOOKUP(A1016,'Database Claims'!$A:$C,2,)</f>
        <v/>
      </c>
      <c r="E1016" s="29">
        <f>D1016-D1015</f>
        <v/>
      </c>
    </row>
    <row r="1017">
      <c r="A1017" s="28" t="n">
        <v>31563</v>
      </c>
      <c r="B1017" s="25">
        <f>VLOOKUP(A1017,'Database Claims'!$A:$C,3,)</f>
        <v/>
      </c>
      <c r="C1017" s="29">
        <f>B1017-B1016</f>
        <v/>
      </c>
      <c r="D1017" s="25">
        <f>VLOOKUP(A1017,'Database Claims'!$A:$C,2,)</f>
        <v/>
      </c>
      <c r="E1017" s="29">
        <f>D1017-D1016</f>
        <v/>
      </c>
    </row>
    <row r="1018">
      <c r="A1018" s="28" t="n">
        <v>31570</v>
      </c>
      <c r="B1018" s="29">
        <f>VLOOKUP(A1018,'Database Claims'!$A:$C,3,)</f>
        <v/>
      </c>
      <c r="C1018" s="29">
        <f>B1018-B1017</f>
        <v/>
      </c>
      <c r="D1018" s="29">
        <f>VLOOKUP(A1018,'Database Claims'!$A:$C,2,)</f>
        <v/>
      </c>
      <c r="E1018" s="29">
        <f>D1018-D1017</f>
        <v/>
      </c>
    </row>
    <row r="1019">
      <c r="A1019" s="28" t="n">
        <v>31577</v>
      </c>
      <c r="B1019" s="25">
        <f>VLOOKUP(A1019,'Database Claims'!$A:$C,3,)</f>
        <v/>
      </c>
      <c r="C1019" s="29">
        <f>B1019-B1018</f>
        <v/>
      </c>
      <c r="D1019" s="25">
        <f>VLOOKUP(A1019,'Database Claims'!$A:$C,2,)</f>
        <v/>
      </c>
      <c r="E1019" s="29">
        <f>D1019-D1018</f>
        <v/>
      </c>
    </row>
    <row r="1020">
      <c r="A1020" s="28" t="n">
        <v>31584</v>
      </c>
      <c r="B1020" s="29">
        <f>VLOOKUP(A1020,'Database Claims'!$A:$C,3,)</f>
        <v/>
      </c>
      <c r="C1020" s="29">
        <f>B1020-B1019</f>
        <v/>
      </c>
      <c r="D1020" s="29">
        <f>VLOOKUP(A1020,'Database Claims'!$A:$C,2,)</f>
        <v/>
      </c>
      <c r="E1020" s="29">
        <f>D1020-D1019</f>
        <v/>
      </c>
    </row>
    <row r="1021">
      <c r="A1021" s="28" t="n">
        <v>31591</v>
      </c>
      <c r="B1021" s="25">
        <f>VLOOKUP(A1021,'Database Claims'!$A:$C,3,)</f>
        <v/>
      </c>
      <c r="C1021" s="29">
        <f>B1021-B1020</f>
        <v/>
      </c>
      <c r="D1021" s="25">
        <f>VLOOKUP(A1021,'Database Claims'!$A:$C,2,)</f>
        <v/>
      </c>
      <c r="E1021" s="29">
        <f>D1021-D1020</f>
        <v/>
      </c>
    </row>
    <row r="1022">
      <c r="A1022" s="28" t="n">
        <v>31598</v>
      </c>
      <c r="B1022" s="29">
        <f>VLOOKUP(A1022,'Database Claims'!$A:$C,3,)</f>
        <v/>
      </c>
      <c r="C1022" s="29">
        <f>B1022-B1021</f>
        <v/>
      </c>
      <c r="D1022" s="29">
        <f>VLOOKUP(A1022,'Database Claims'!$A:$C,2,)</f>
        <v/>
      </c>
      <c r="E1022" s="29">
        <f>D1022-D1021</f>
        <v/>
      </c>
    </row>
    <row r="1023">
      <c r="A1023" s="28" t="n">
        <v>31605</v>
      </c>
      <c r="B1023" s="25">
        <f>VLOOKUP(A1023,'Database Claims'!$A:$C,3,)</f>
        <v/>
      </c>
      <c r="C1023" s="29">
        <f>B1023-B1022</f>
        <v/>
      </c>
      <c r="D1023" s="25">
        <f>VLOOKUP(A1023,'Database Claims'!$A:$C,2,)</f>
        <v/>
      </c>
      <c r="E1023" s="29">
        <f>D1023-D1022</f>
        <v/>
      </c>
    </row>
    <row r="1024">
      <c r="A1024" s="28" t="n">
        <v>31612</v>
      </c>
      <c r="B1024" s="29">
        <f>VLOOKUP(A1024,'Database Claims'!$A:$C,3,)</f>
        <v/>
      </c>
      <c r="C1024" s="29">
        <f>B1024-B1023</f>
        <v/>
      </c>
      <c r="D1024" s="29">
        <f>VLOOKUP(A1024,'Database Claims'!$A:$C,2,)</f>
        <v/>
      </c>
      <c r="E1024" s="29">
        <f>D1024-D1023</f>
        <v/>
      </c>
    </row>
    <row r="1025">
      <c r="A1025" s="28" t="n">
        <v>31619</v>
      </c>
      <c r="B1025" s="25">
        <f>VLOOKUP(A1025,'Database Claims'!$A:$C,3,)</f>
        <v/>
      </c>
      <c r="C1025" s="29">
        <f>B1025-B1024</f>
        <v/>
      </c>
      <c r="D1025" s="25">
        <f>VLOOKUP(A1025,'Database Claims'!$A:$C,2,)</f>
        <v/>
      </c>
      <c r="E1025" s="29">
        <f>D1025-D1024</f>
        <v/>
      </c>
    </row>
    <row r="1026">
      <c r="A1026" s="28" t="n">
        <v>31626</v>
      </c>
      <c r="B1026" s="29">
        <f>VLOOKUP(A1026,'Database Claims'!$A:$C,3,)</f>
        <v/>
      </c>
      <c r="C1026" s="29">
        <f>B1026-B1025</f>
        <v/>
      </c>
      <c r="D1026" s="29">
        <f>VLOOKUP(A1026,'Database Claims'!$A:$C,2,)</f>
        <v/>
      </c>
      <c r="E1026" s="29">
        <f>D1026-D1025</f>
        <v/>
      </c>
    </row>
    <row r="1027">
      <c r="A1027" s="28" t="n">
        <v>31633</v>
      </c>
      <c r="B1027" s="25">
        <f>VLOOKUP(A1027,'Database Claims'!$A:$C,3,)</f>
        <v/>
      </c>
      <c r="C1027" s="29">
        <f>B1027-B1026</f>
        <v/>
      </c>
      <c r="D1027" s="25">
        <f>VLOOKUP(A1027,'Database Claims'!$A:$C,2,)</f>
        <v/>
      </c>
      <c r="E1027" s="29">
        <f>D1027-D1026</f>
        <v/>
      </c>
    </row>
    <row r="1028">
      <c r="A1028" s="28" t="n">
        <v>31640</v>
      </c>
      <c r="B1028" s="29">
        <f>VLOOKUP(A1028,'Database Claims'!$A:$C,3,)</f>
        <v/>
      </c>
      <c r="C1028" s="29">
        <f>B1028-B1027</f>
        <v/>
      </c>
      <c r="D1028" s="29">
        <f>VLOOKUP(A1028,'Database Claims'!$A:$C,2,)</f>
        <v/>
      </c>
      <c r="E1028" s="29">
        <f>D1028-D1027</f>
        <v/>
      </c>
    </row>
    <row r="1029">
      <c r="A1029" s="28" t="n">
        <v>31647</v>
      </c>
      <c r="B1029" s="25">
        <f>VLOOKUP(A1029,'Database Claims'!$A:$C,3,)</f>
        <v/>
      </c>
      <c r="C1029" s="29">
        <f>B1029-B1028</f>
        <v/>
      </c>
      <c r="D1029" s="25">
        <f>VLOOKUP(A1029,'Database Claims'!$A:$C,2,)</f>
        <v/>
      </c>
      <c r="E1029" s="29">
        <f>D1029-D1028</f>
        <v/>
      </c>
    </row>
    <row r="1030">
      <c r="A1030" s="28" t="n">
        <v>31654</v>
      </c>
      <c r="B1030" s="29">
        <f>VLOOKUP(A1030,'Database Claims'!$A:$C,3,)</f>
        <v/>
      </c>
      <c r="C1030" s="29">
        <f>B1030-B1029</f>
        <v/>
      </c>
      <c r="D1030" s="29">
        <f>VLOOKUP(A1030,'Database Claims'!$A:$C,2,)</f>
        <v/>
      </c>
      <c r="E1030" s="29">
        <f>D1030-D1029</f>
        <v/>
      </c>
    </row>
    <row r="1031">
      <c r="A1031" s="28" t="n">
        <v>31661</v>
      </c>
      <c r="B1031" s="25">
        <f>VLOOKUP(A1031,'Database Claims'!$A:$C,3,)</f>
        <v/>
      </c>
      <c r="C1031" s="29">
        <f>B1031-B1030</f>
        <v/>
      </c>
      <c r="D1031" s="25">
        <f>VLOOKUP(A1031,'Database Claims'!$A:$C,2,)</f>
        <v/>
      </c>
      <c r="E1031" s="29">
        <f>D1031-D1030</f>
        <v/>
      </c>
    </row>
    <row r="1032">
      <c r="A1032" s="28" t="n">
        <v>31668</v>
      </c>
      <c r="B1032" s="29">
        <f>VLOOKUP(A1032,'Database Claims'!$A:$C,3,)</f>
        <v/>
      </c>
      <c r="C1032" s="29">
        <f>B1032-B1031</f>
        <v/>
      </c>
      <c r="D1032" s="29">
        <f>VLOOKUP(A1032,'Database Claims'!$A:$C,2,)</f>
        <v/>
      </c>
      <c r="E1032" s="29">
        <f>D1032-D1031</f>
        <v/>
      </c>
    </row>
    <row r="1033">
      <c r="A1033" s="28" t="n">
        <v>31675</v>
      </c>
      <c r="B1033" s="25">
        <f>VLOOKUP(A1033,'Database Claims'!$A:$C,3,)</f>
        <v/>
      </c>
      <c r="C1033" s="29">
        <f>B1033-B1032</f>
        <v/>
      </c>
      <c r="D1033" s="25">
        <f>VLOOKUP(A1033,'Database Claims'!$A:$C,2,)</f>
        <v/>
      </c>
      <c r="E1033" s="29">
        <f>D1033-D1032</f>
        <v/>
      </c>
    </row>
    <row r="1034">
      <c r="A1034" s="28" t="n">
        <v>31682</v>
      </c>
      <c r="B1034" s="29">
        <f>VLOOKUP(A1034,'Database Claims'!$A:$C,3,)</f>
        <v/>
      </c>
      <c r="C1034" s="29">
        <f>B1034-B1033</f>
        <v/>
      </c>
      <c r="D1034" s="29">
        <f>VLOOKUP(A1034,'Database Claims'!$A:$C,2,)</f>
        <v/>
      </c>
      <c r="E1034" s="29">
        <f>D1034-D1033</f>
        <v/>
      </c>
    </row>
    <row r="1035">
      <c r="A1035" s="28" t="n">
        <v>31689</v>
      </c>
      <c r="B1035" s="25">
        <f>VLOOKUP(A1035,'Database Claims'!$A:$C,3,)</f>
        <v/>
      </c>
      <c r="C1035" s="29">
        <f>B1035-B1034</f>
        <v/>
      </c>
      <c r="D1035" s="25">
        <f>VLOOKUP(A1035,'Database Claims'!$A:$C,2,)</f>
        <v/>
      </c>
      <c r="E1035" s="29">
        <f>D1035-D1034</f>
        <v/>
      </c>
    </row>
    <row r="1036">
      <c r="A1036" s="28" t="n">
        <v>31696</v>
      </c>
      <c r="B1036" s="29">
        <f>VLOOKUP(A1036,'Database Claims'!$A:$C,3,)</f>
        <v/>
      </c>
      <c r="C1036" s="29">
        <f>B1036-B1035</f>
        <v/>
      </c>
      <c r="D1036" s="29">
        <f>VLOOKUP(A1036,'Database Claims'!$A:$C,2,)</f>
        <v/>
      </c>
      <c r="E1036" s="29">
        <f>D1036-D1035</f>
        <v/>
      </c>
    </row>
    <row r="1037">
      <c r="A1037" s="28" t="n">
        <v>31703</v>
      </c>
      <c r="B1037" s="25">
        <f>VLOOKUP(A1037,'Database Claims'!$A:$C,3,)</f>
        <v/>
      </c>
      <c r="C1037" s="29">
        <f>B1037-B1036</f>
        <v/>
      </c>
      <c r="D1037" s="25">
        <f>VLOOKUP(A1037,'Database Claims'!$A:$C,2,)</f>
        <v/>
      </c>
      <c r="E1037" s="29">
        <f>D1037-D1036</f>
        <v/>
      </c>
    </row>
    <row r="1038">
      <c r="A1038" s="28" t="n">
        <v>31710</v>
      </c>
      <c r="B1038" s="29">
        <f>VLOOKUP(A1038,'Database Claims'!$A:$C,3,)</f>
        <v/>
      </c>
      <c r="C1038" s="29">
        <f>B1038-B1037</f>
        <v/>
      </c>
      <c r="D1038" s="29">
        <f>VLOOKUP(A1038,'Database Claims'!$A:$C,2,)</f>
        <v/>
      </c>
      <c r="E1038" s="29">
        <f>D1038-D1037</f>
        <v/>
      </c>
    </row>
    <row r="1039">
      <c r="A1039" s="28" t="n">
        <v>31717</v>
      </c>
      <c r="B1039" s="25">
        <f>VLOOKUP(A1039,'Database Claims'!$A:$C,3,)</f>
        <v/>
      </c>
      <c r="C1039" s="29">
        <f>B1039-B1038</f>
        <v/>
      </c>
      <c r="D1039" s="25">
        <f>VLOOKUP(A1039,'Database Claims'!$A:$C,2,)</f>
        <v/>
      </c>
      <c r="E1039" s="29">
        <f>D1039-D1038</f>
        <v/>
      </c>
    </row>
    <row r="1040">
      <c r="A1040" s="28" t="n">
        <v>31724</v>
      </c>
      <c r="B1040" s="29">
        <f>VLOOKUP(A1040,'Database Claims'!$A:$C,3,)</f>
        <v/>
      </c>
      <c r="C1040" s="29">
        <f>B1040-B1039</f>
        <v/>
      </c>
      <c r="D1040" s="29">
        <f>VLOOKUP(A1040,'Database Claims'!$A:$C,2,)</f>
        <v/>
      </c>
      <c r="E1040" s="29">
        <f>D1040-D1039</f>
        <v/>
      </c>
    </row>
    <row r="1041">
      <c r="A1041" s="28" t="n">
        <v>31731</v>
      </c>
      <c r="B1041" s="25">
        <f>VLOOKUP(A1041,'Database Claims'!$A:$C,3,)</f>
        <v/>
      </c>
      <c r="C1041" s="29">
        <f>B1041-B1040</f>
        <v/>
      </c>
      <c r="D1041" s="25">
        <f>VLOOKUP(A1041,'Database Claims'!$A:$C,2,)</f>
        <v/>
      </c>
      <c r="E1041" s="29">
        <f>D1041-D1040</f>
        <v/>
      </c>
    </row>
    <row r="1042">
      <c r="A1042" s="28" t="n">
        <v>31738</v>
      </c>
      <c r="B1042" s="29">
        <f>VLOOKUP(A1042,'Database Claims'!$A:$C,3,)</f>
        <v/>
      </c>
      <c r="C1042" s="29">
        <f>B1042-B1041</f>
        <v/>
      </c>
      <c r="D1042" s="29">
        <f>VLOOKUP(A1042,'Database Claims'!$A:$C,2,)</f>
        <v/>
      </c>
      <c r="E1042" s="29">
        <f>D1042-D1041</f>
        <v/>
      </c>
    </row>
    <row r="1043">
      <c r="A1043" s="28" t="n">
        <v>31745</v>
      </c>
      <c r="B1043" s="25">
        <f>VLOOKUP(A1043,'Database Claims'!$A:$C,3,)</f>
        <v/>
      </c>
      <c r="C1043" s="29">
        <f>B1043-B1042</f>
        <v/>
      </c>
      <c r="D1043" s="25">
        <f>VLOOKUP(A1043,'Database Claims'!$A:$C,2,)</f>
        <v/>
      </c>
      <c r="E1043" s="29">
        <f>D1043-D1042</f>
        <v/>
      </c>
    </row>
    <row r="1044">
      <c r="A1044" s="28" t="n">
        <v>31752</v>
      </c>
      <c r="B1044" s="29">
        <f>VLOOKUP(A1044,'Database Claims'!$A:$C,3,)</f>
        <v/>
      </c>
      <c r="C1044" s="29">
        <f>B1044-B1043</f>
        <v/>
      </c>
      <c r="D1044" s="29">
        <f>VLOOKUP(A1044,'Database Claims'!$A:$C,2,)</f>
        <v/>
      </c>
      <c r="E1044" s="29">
        <f>D1044-D1043</f>
        <v/>
      </c>
    </row>
    <row r="1045">
      <c r="A1045" s="28" t="n">
        <v>31759</v>
      </c>
      <c r="B1045" s="25">
        <f>VLOOKUP(A1045,'Database Claims'!$A:$C,3,)</f>
        <v/>
      </c>
      <c r="C1045" s="29">
        <f>B1045-B1044</f>
        <v/>
      </c>
      <c r="D1045" s="25">
        <f>VLOOKUP(A1045,'Database Claims'!$A:$C,2,)</f>
        <v/>
      </c>
      <c r="E1045" s="29">
        <f>D1045-D1044</f>
        <v/>
      </c>
    </row>
    <row r="1046">
      <c r="A1046" s="28" t="n">
        <v>31766</v>
      </c>
      <c r="B1046" s="29">
        <f>VLOOKUP(A1046,'Database Claims'!$A:$C,3,)</f>
        <v/>
      </c>
      <c r="C1046" s="29">
        <f>B1046-B1045</f>
        <v/>
      </c>
      <c r="D1046" s="29">
        <f>VLOOKUP(A1046,'Database Claims'!$A:$C,2,)</f>
        <v/>
      </c>
      <c r="E1046" s="29">
        <f>D1046-D1045</f>
        <v/>
      </c>
    </row>
    <row r="1047">
      <c r="A1047" s="28" t="n">
        <v>31773</v>
      </c>
      <c r="B1047" s="25">
        <f>VLOOKUP(A1047,'Database Claims'!$A:$C,3,)</f>
        <v/>
      </c>
      <c r="C1047" s="29">
        <f>B1047-B1046</f>
        <v/>
      </c>
      <c r="D1047" s="25">
        <f>VLOOKUP(A1047,'Database Claims'!$A:$C,2,)</f>
        <v/>
      </c>
      <c r="E1047" s="29">
        <f>D1047-D1046</f>
        <v/>
      </c>
    </row>
    <row r="1048">
      <c r="A1048" s="28" t="n">
        <v>31780</v>
      </c>
      <c r="B1048" s="29">
        <f>VLOOKUP(A1048,'Database Claims'!$A:$C,3,)</f>
        <v/>
      </c>
      <c r="C1048" s="29">
        <f>B1048-B1047</f>
        <v/>
      </c>
      <c r="D1048" s="29">
        <f>VLOOKUP(A1048,'Database Claims'!$A:$C,2,)</f>
        <v/>
      </c>
      <c r="E1048" s="29">
        <f>D1048-D1047</f>
        <v/>
      </c>
    </row>
    <row r="1049">
      <c r="A1049" s="28" t="n">
        <v>31787</v>
      </c>
      <c r="B1049" s="25">
        <f>VLOOKUP(A1049,'Database Claims'!$A:$C,3,)</f>
        <v/>
      </c>
      <c r="C1049" s="29">
        <f>B1049-B1048</f>
        <v/>
      </c>
      <c r="D1049" s="25">
        <f>VLOOKUP(A1049,'Database Claims'!$A:$C,2,)</f>
        <v/>
      </c>
      <c r="E1049" s="29">
        <f>D1049-D1048</f>
        <v/>
      </c>
    </row>
    <row r="1050">
      <c r="A1050" s="28" t="n">
        <v>31794</v>
      </c>
      <c r="B1050" s="29">
        <f>VLOOKUP(A1050,'Database Claims'!$A:$C,3,)</f>
        <v/>
      </c>
      <c r="C1050" s="29">
        <f>B1050-B1049</f>
        <v/>
      </c>
      <c r="D1050" s="29">
        <f>VLOOKUP(A1050,'Database Claims'!$A:$C,2,)</f>
        <v/>
      </c>
      <c r="E1050" s="29">
        <f>D1050-D1049</f>
        <v/>
      </c>
    </row>
    <row r="1051">
      <c r="A1051" s="28" t="n">
        <v>31801</v>
      </c>
      <c r="B1051" s="25">
        <f>VLOOKUP(A1051,'Database Claims'!$A:$C,3,)</f>
        <v/>
      </c>
      <c r="C1051" s="29">
        <f>B1051-B1050</f>
        <v/>
      </c>
      <c r="D1051" s="25">
        <f>VLOOKUP(A1051,'Database Claims'!$A:$C,2,)</f>
        <v/>
      </c>
      <c r="E1051" s="29">
        <f>D1051-D1050</f>
        <v/>
      </c>
    </row>
    <row r="1052">
      <c r="A1052" s="28" t="n">
        <v>31808</v>
      </c>
      <c r="B1052" s="29">
        <f>VLOOKUP(A1052,'Database Claims'!$A:$C,3,)</f>
        <v/>
      </c>
      <c r="C1052" s="29">
        <f>B1052-B1051</f>
        <v/>
      </c>
      <c r="D1052" s="29">
        <f>VLOOKUP(A1052,'Database Claims'!$A:$C,2,)</f>
        <v/>
      </c>
      <c r="E1052" s="29">
        <f>D1052-D1051</f>
        <v/>
      </c>
    </row>
    <row r="1053">
      <c r="A1053" s="28" t="n">
        <v>31815</v>
      </c>
      <c r="B1053" s="25">
        <f>VLOOKUP(A1053,'Database Claims'!$A:$C,3,)</f>
        <v/>
      </c>
      <c r="C1053" s="29">
        <f>B1053-B1052</f>
        <v/>
      </c>
      <c r="D1053" s="25">
        <f>VLOOKUP(A1053,'Database Claims'!$A:$C,2,)</f>
        <v/>
      </c>
      <c r="E1053" s="29">
        <f>D1053-D1052</f>
        <v/>
      </c>
    </row>
    <row r="1054">
      <c r="A1054" s="28" t="n">
        <v>31822</v>
      </c>
      <c r="B1054" s="29">
        <f>VLOOKUP(A1054,'Database Claims'!$A:$C,3,)</f>
        <v/>
      </c>
      <c r="C1054" s="29">
        <f>B1054-B1053</f>
        <v/>
      </c>
      <c r="D1054" s="29">
        <f>VLOOKUP(A1054,'Database Claims'!$A:$C,2,)</f>
        <v/>
      </c>
      <c r="E1054" s="29">
        <f>D1054-D1053</f>
        <v/>
      </c>
    </row>
    <row r="1055">
      <c r="A1055" s="28" t="n">
        <v>31829</v>
      </c>
      <c r="B1055" s="25">
        <f>VLOOKUP(A1055,'Database Claims'!$A:$C,3,)</f>
        <v/>
      </c>
      <c r="C1055" s="29">
        <f>B1055-B1054</f>
        <v/>
      </c>
      <c r="D1055" s="25">
        <f>VLOOKUP(A1055,'Database Claims'!$A:$C,2,)</f>
        <v/>
      </c>
      <c r="E1055" s="29">
        <f>D1055-D1054</f>
        <v/>
      </c>
    </row>
    <row r="1056">
      <c r="A1056" s="28" t="n">
        <v>31836</v>
      </c>
      <c r="B1056" s="29">
        <f>VLOOKUP(A1056,'Database Claims'!$A:$C,3,)</f>
        <v/>
      </c>
      <c r="C1056" s="29">
        <f>B1056-B1055</f>
        <v/>
      </c>
      <c r="D1056" s="29">
        <f>VLOOKUP(A1056,'Database Claims'!$A:$C,2,)</f>
        <v/>
      </c>
      <c r="E1056" s="29">
        <f>D1056-D1055</f>
        <v/>
      </c>
    </row>
    <row r="1057">
      <c r="A1057" s="28" t="n">
        <v>31843</v>
      </c>
      <c r="B1057" s="25">
        <f>VLOOKUP(A1057,'Database Claims'!$A:$C,3,)</f>
        <v/>
      </c>
      <c r="C1057" s="29">
        <f>B1057-B1056</f>
        <v/>
      </c>
      <c r="D1057" s="25">
        <f>VLOOKUP(A1057,'Database Claims'!$A:$C,2,)</f>
        <v/>
      </c>
      <c r="E1057" s="29">
        <f>D1057-D1056</f>
        <v/>
      </c>
    </row>
    <row r="1058">
      <c r="A1058" s="28" t="n">
        <v>31850</v>
      </c>
      <c r="B1058" s="29">
        <f>VLOOKUP(A1058,'Database Claims'!$A:$C,3,)</f>
        <v/>
      </c>
      <c r="C1058" s="29">
        <f>B1058-B1057</f>
        <v/>
      </c>
      <c r="D1058" s="29">
        <f>VLOOKUP(A1058,'Database Claims'!$A:$C,2,)</f>
        <v/>
      </c>
      <c r="E1058" s="29">
        <f>D1058-D1057</f>
        <v/>
      </c>
    </row>
    <row r="1059">
      <c r="A1059" s="28" t="n">
        <v>31857</v>
      </c>
      <c r="B1059" s="25">
        <f>VLOOKUP(A1059,'Database Claims'!$A:$C,3,)</f>
        <v/>
      </c>
      <c r="C1059" s="29">
        <f>B1059-B1058</f>
        <v/>
      </c>
      <c r="D1059" s="25">
        <f>VLOOKUP(A1059,'Database Claims'!$A:$C,2,)</f>
        <v/>
      </c>
      <c r="E1059" s="29">
        <f>D1059-D1058</f>
        <v/>
      </c>
    </row>
    <row r="1060">
      <c r="A1060" s="28" t="n">
        <v>31864</v>
      </c>
      <c r="B1060" s="29">
        <f>VLOOKUP(A1060,'Database Claims'!$A:$C,3,)</f>
        <v/>
      </c>
      <c r="C1060" s="29">
        <f>B1060-B1059</f>
        <v/>
      </c>
      <c r="D1060" s="29">
        <f>VLOOKUP(A1060,'Database Claims'!$A:$C,2,)</f>
        <v/>
      </c>
      <c r="E1060" s="29">
        <f>D1060-D1059</f>
        <v/>
      </c>
    </row>
    <row r="1061">
      <c r="A1061" s="28" t="n">
        <v>31871</v>
      </c>
      <c r="B1061" s="25">
        <f>VLOOKUP(A1061,'Database Claims'!$A:$C,3,)</f>
        <v/>
      </c>
      <c r="C1061" s="29">
        <f>B1061-B1060</f>
        <v/>
      </c>
      <c r="D1061" s="25">
        <f>VLOOKUP(A1061,'Database Claims'!$A:$C,2,)</f>
        <v/>
      </c>
      <c r="E1061" s="29">
        <f>D1061-D1060</f>
        <v/>
      </c>
    </row>
    <row r="1062">
      <c r="A1062" s="28" t="n">
        <v>31878</v>
      </c>
      <c r="B1062" s="29">
        <f>VLOOKUP(A1062,'Database Claims'!$A:$C,3,)</f>
        <v/>
      </c>
      <c r="C1062" s="29">
        <f>B1062-B1061</f>
        <v/>
      </c>
      <c r="D1062" s="29">
        <f>VLOOKUP(A1062,'Database Claims'!$A:$C,2,)</f>
        <v/>
      </c>
      <c r="E1062" s="29">
        <f>D1062-D1061</f>
        <v/>
      </c>
    </row>
    <row r="1063">
      <c r="A1063" s="28" t="n">
        <v>31885</v>
      </c>
      <c r="B1063" s="25">
        <f>VLOOKUP(A1063,'Database Claims'!$A:$C,3,)</f>
        <v/>
      </c>
      <c r="C1063" s="29">
        <f>B1063-B1062</f>
        <v/>
      </c>
      <c r="D1063" s="25">
        <f>VLOOKUP(A1063,'Database Claims'!$A:$C,2,)</f>
        <v/>
      </c>
      <c r="E1063" s="29">
        <f>D1063-D1062</f>
        <v/>
      </c>
    </row>
    <row r="1064">
      <c r="A1064" s="28" t="n">
        <v>31892</v>
      </c>
      <c r="B1064" s="29">
        <f>VLOOKUP(A1064,'Database Claims'!$A:$C,3,)</f>
        <v/>
      </c>
      <c r="C1064" s="29">
        <f>B1064-B1063</f>
        <v/>
      </c>
      <c r="D1064" s="29">
        <f>VLOOKUP(A1064,'Database Claims'!$A:$C,2,)</f>
        <v/>
      </c>
      <c r="E1064" s="29">
        <f>D1064-D1063</f>
        <v/>
      </c>
    </row>
    <row r="1065">
      <c r="A1065" s="28" t="n">
        <v>31899</v>
      </c>
      <c r="B1065" s="25">
        <f>VLOOKUP(A1065,'Database Claims'!$A:$C,3,)</f>
        <v/>
      </c>
      <c r="C1065" s="29">
        <f>B1065-B1064</f>
        <v/>
      </c>
      <c r="D1065" s="25">
        <f>VLOOKUP(A1065,'Database Claims'!$A:$C,2,)</f>
        <v/>
      </c>
      <c r="E1065" s="29">
        <f>D1065-D1064</f>
        <v/>
      </c>
    </row>
    <row r="1066">
      <c r="A1066" s="28" t="n">
        <v>31906</v>
      </c>
      <c r="B1066" s="29">
        <f>VLOOKUP(A1066,'Database Claims'!$A:$C,3,)</f>
        <v/>
      </c>
      <c r="C1066" s="29">
        <f>B1066-B1065</f>
        <v/>
      </c>
      <c r="D1066" s="29">
        <f>VLOOKUP(A1066,'Database Claims'!$A:$C,2,)</f>
        <v/>
      </c>
      <c r="E1066" s="29">
        <f>D1066-D1065</f>
        <v/>
      </c>
    </row>
    <row r="1067">
      <c r="A1067" s="28" t="n">
        <v>31913</v>
      </c>
      <c r="B1067" s="25">
        <f>VLOOKUP(A1067,'Database Claims'!$A:$C,3,)</f>
        <v/>
      </c>
      <c r="C1067" s="29">
        <f>B1067-B1066</f>
        <v/>
      </c>
      <c r="D1067" s="25">
        <f>VLOOKUP(A1067,'Database Claims'!$A:$C,2,)</f>
        <v/>
      </c>
      <c r="E1067" s="29">
        <f>D1067-D1066</f>
        <v/>
      </c>
    </row>
    <row r="1068">
      <c r="A1068" s="28" t="n">
        <v>31920</v>
      </c>
      <c r="B1068" s="29">
        <f>VLOOKUP(A1068,'Database Claims'!$A:$C,3,)</f>
        <v/>
      </c>
      <c r="C1068" s="29">
        <f>B1068-B1067</f>
        <v/>
      </c>
      <c r="D1068" s="29">
        <f>VLOOKUP(A1068,'Database Claims'!$A:$C,2,)</f>
        <v/>
      </c>
      <c r="E1068" s="29">
        <f>D1068-D1067</f>
        <v/>
      </c>
    </row>
    <row r="1069">
      <c r="A1069" s="28" t="n">
        <v>31927</v>
      </c>
      <c r="B1069" s="25">
        <f>VLOOKUP(A1069,'Database Claims'!$A:$C,3,)</f>
        <v/>
      </c>
      <c r="C1069" s="29">
        <f>B1069-B1068</f>
        <v/>
      </c>
      <c r="D1069" s="25">
        <f>VLOOKUP(A1069,'Database Claims'!$A:$C,2,)</f>
        <v/>
      </c>
      <c r="E1069" s="29">
        <f>D1069-D1068</f>
        <v/>
      </c>
    </row>
    <row r="1070">
      <c r="A1070" s="28" t="n">
        <v>31934</v>
      </c>
      <c r="B1070" s="29">
        <f>VLOOKUP(A1070,'Database Claims'!$A:$C,3,)</f>
        <v/>
      </c>
      <c r="C1070" s="29">
        <f>B1070-B1069</f>
        <v/>
      </c>
      <c r="D1070" s="29">
        <f>VLOOKUP(A1070,'Database Claims'!$A:$C,2,)</f>
        <v/>
      </c>
      <c r="E1070" s="29">
        <f>D1070-D1069</f>
        <v/>
      </c>
    </row>
    <row r="1071">
      <c r="A1071" s="28" t="n">
        <v>31941</v>
      </c>
      <c r="B1071" s="25">
        <f>VLOOKUP(A1071,'Database Claims'!$A:$C,3,)</f>
        <v/>
      </c>
      <c r="C1071" s="29">
        <f>B1071-B1070</f>
        <v/>
      </c>
      <c r="D1071" s="25">
        <f>VLOOKUP(A1071,'Database Claims'!$A:$C,2,)</f>
        <v/>
      </c>
      <c r="E1071" s="29">
        <f>D1071-D1070</f>
        <v/>
      </c>
    </row>
    <row r="1072">
      <c r="A1072" s="28" t="n">
        <v>31948</v>
      </c>
      <c r="B1072" s="29">
        <f>VLOOKUP(A1072,'Database Claims'!$A:$C,3,)</f>
        <v/>
      </c>
      <c r="C1072" s="29">
        <f>B1072-B1071</f>
        <v/>
      </c>
      <c r="D1072" s="29">
        <f>VLOOKUP(A1072,'Database Claims'!$A:$C,2,)</f>
        <v/>
      </c>
      <c r="E1072" s="29">
        <f>D1072-D1071</f>
        <v/>
      </c>
    </row>
    <row r="1073">
      <c r="A1073" s="28" t="n">
        <v>31955</v>
      </c>
      <c r="B1073" s="25">
        <f>VLOOKUP(A1073,'Database Claims'!$A:$C,3,)</f>
        <v/>
      </c>
      <c r="C1073" s="29">
        <f>B1073-B1072</f>
        <v/>
      </c>
      <c r="D1073" s="25">
        <f>VLOOKUP(A1073,'Database Claims'!$A:$C,2,)</f>
        <v/>
      </c>
      <c r="E1073" s="29">
        <f>D1073-D1072</f>
        <v/>
      </c>
    </row>
    <row r="1074">
      <c r="A1074" s="28" t="n">
        <v>31962</v>
      </c>
      <c r="B1074" s="29">
        <f>VLOOKUP(A1074,'Database Claims'!$A:$C,3,)</f>
        <v/>
      </c>
      <c r="C1074" s="29">
        <f>B1074-B1073</f>
        <v/>
      </c>
      <c r="D1074" s="29">
        <f>VLOOKUP(A1074,'Database Claims'!$A:$C,2,)</f>
        <v/>
      </c>
      <c r="E1074" s="29">
        <f>D1074-D1073</f>
        <v/>
      </c>
    </row>
    <row r="1075">
      <c r="A1075" s="28" t="n">
        <v>31969</v>
      </c>
      <c r="B1075" s="25">
        <f>VLOOKUP(A1075,'Database Claims'!$A:$C,3,)</f>
        <v/>
      </c>
      <c r="C1075" s="29">
        <f>B1075-B1074</f>
        <v/>
      </c>
      <c r="D1075" s="25">
        <f>VLOOKUP(A1075,'Database Claims'!$A:$C,2,)</f>
        <v/>
      </c>
      <c r="E1075" s="29">
        <f>D1075-D1074</f>
        <v/>
      </c>
    </row>
    <row r="1076">
      <c r="A1076" s="28" t="n">
        <v>31976</v>
      </c>
      <c r="B1076" s="29">
        <f>VLOOKUP(A1076,'Database Claims'!$A:$C,3,)</f>
        <v/>
      </c>
      <c r="C1076" s="29">
        <f>B1076-B1075</f>
        <v/>
      </c>
      <c r="D1076" s="29">
        <f>VLOOKUP(A1076,'Database Claims'!$A:$C,2,)</f>
        <v/>
      </c>
      <c r="E1076" s="29">
        <f>D1076-D1075</f>
        <v/>
      </c>
    </row>
    <row r="1077">
      <c r="A1077" s="28" t="n">
        <v>31983</v>
      </c>
      <c r="B1077" s="25">
        <f>VLOOKUP(A1077,'Database Claims'!$A:$C,3,)</f>
        <v/>
      </c>
      <c r="C1077" s="29">
        <f>B1077-B1076</f>
        <v/>
      </c>
      <c r="D1077" s="25">
        <f>VLOOKUP(A1077,'Database Claims'!$A:$C,2,)</f>
        <v/>
      </c>
      <c r="E1077" s="29">
        <f>D1077-D1076</f>
        <v/>
      </c>
    </row>
    <row r="1078">
      <c r="A1078" s="28" t="n">
        <v>31990</v>
      </c>
      <c r="B1078" s="29">
        <f>VLOOKUP(A1078,'Database Claims'!$A:$C,3,)</f>
        <v/>
      </c>
      <c r="C1078" s="29">
        <f>B1078-B1077</f>
        <v/>
      </c>
      <c r="D1078" s="29">
        <f>VLOOKUP(A1078,'Database Claims'!$A:$C,2,)</f>
        <v/>
      </c>
      <c r="E1078" s="29">
        <f>D1078-D1077</f>
        <v/>
      </c>
    </row>
    <row r="1079">
      <c r="A1079" s="28" t="n">
        <v>31997</v>
      </c>
      <c r="B1079" s="25">
        <f>VLOOKUP(A1079,'Database Claims'!$A:$C,3,)</f>
        <v/>
      </c>
      <c r="C1079" s="29">
        <f>B1079-B1078</f>
        <v/>
      </c>
      <c r="D1079" s="25">
        <f>VLOOKUP(A1079,'Database Claims'!$A:$C,2,)</f>
        <v/>
      </c>
      <c r="E1079" s="29">
        <f>D1079-D1078</f>
        <v/>
      </c>
    </row>
    <row r="1080">
      <c r="A1080" s="28" t="n">
        <v>32004</v>
      </c>
      <c r="B1080" s="29">
        <f>VLOOKUP(A1080,'Database Claims'!$A:$C,3,)</f>
        <v/>
      </c>
      <c r="C1080" s="29">
        <f>B1080-B1079</f>
        <v/>
      </c>
      <c r="D1080" s="29">
        <f>VLOOKUP(A1080,'Database Claims'!$A:$C,2,)</f>
        <v/>
      </c>
      <c r="E1080" s="29">
        <f>D1080-D1079</f>
        <v/>
      </c>
    </row>
    <row r="1081">
      <c r="A1081" s="28" t="n">
        <v>32011</v>
      </c>
      <c r="B1081" s="25">
        <f>VLOOKUP(A1081,'Database Claims'!$A:$C,3,)</f>
        <v/>
      </c>
      <c r="C1081" s="29">
        <f>B1081-B1080</f>
        <v/>
      </c>
      <c r="D1081" s="25">
        <f>VLOOKUP(A1081,'Database Claims'!$A:$C,2,)</f>
        <v/>
      </c>
      <c r="E1081" s="29">
        <f>D1081-D1080</f>
        <v/>
      </c>
    </row>
    <row r="1082">
      <c r="A1082" s="28" t="n">
        <v>32018</v>
      </c>
      <c r="B1082" s="29">
        <f>VLOOKUP(A1082,'Database Claims'!$A:$C,3,)</f>
        <v/>
      </c>
      <c r="C1082" s="29">
        <f>B1082-B1081</f>
        <v/>
      </c>
      <c r="D1082" s="29">
        <f>VLOOKUP(A1082,'Database Claims'!$A:$C,2,)</f>
        <v/>
      </c>
      <c r="E1082" s="29">
        <f>D1082-D1081</f>
        <v/>
      </c>
    </row>
    <row r="1083">
      <c r="A1083" s="28" t="n">
        <v>32025</v>
      </c>
      <c r="B1083" s="25">
        <f>VLOOKUP(A1083,'Database Claims'!$A:$C,3,)</f>
        <v/>
      </c>
      <c r="C1083" s="29">
        <f>B1083-B1082</f>
        <v/>
      </c>
      <c r="D1083" s="25">
        <f>VLOOKUP(A1083,'Database Claims'!$A:$C,2,)</f>
        <v/>
      </c>
      <c r="E1083" s="29">
        <f>D1083-D1082</f>
        <v/>
      </c>
    </row>
    <row r="1084">
      <c r="A1084" s="28" t="n">
        <v>32032</v>
      </c>
      <c r="B1084" s="29">
        <f>VLOOKUP(A1084,'Database Claims'!$A:$C,3,)</f>
        <v/>
      </c>
      <c r="C1084" s="29">
        <f>B1084-B1083</f>
        <v/>
      </c>
      <c r="D1084" s="29">
        <f>VLOOKUP(A1084,'Database Claims'!$A:$C,2,)</f>
        <v/>
      </c>
      <c r="E1084" s="29">
        <f>D1084-D1083</f>
        <v/>
      </c>
    </row>
    <row r="1085">
      <c r="A1085" s="28" t="n">
        <v>32039</v>
      </c>
      <c r="B1085" s="25">
        <f>VLOOKUP(A1085,'Database Claims'!$A:$C,3,)</f>
        <v/>
      </c>
      <c r="C1085" s="29">
        <f>B1085-B1084</f>
        <v/>
      </c>
      <c r="D1085" s="25">
        <f>VLOOKUP(A1085,'Database Claims'!$A:$C,2,)</f>
        <v/>
      </c>
      <c r="E1085" s="29">
        <f>D1085-D1084</f>
        <v/>
      </c>
    </row>
    <row r="1086">
      <c r="A1086" s="28" t="n">
        <v>32046</v>
      </c>
      <c r="B1086" s="29">
        <f>VLOOKUP(A1086,'Database Claims'!$A:$C,3,)</f>
        <v/>
      </c>
      <c r="C1086" s="29">
        <f>B1086-B1085</f>
        <v/>
      </c>
      <c r="D1086" s="29">
        <f>VLOOKUP(A1086,'Database Claims'!$A:$C,2,)</f>
        <v/>
      </c>
      <c r="E1086" s="29">
        <f>D1086-D1085</f>
        <v/>
      </c>
    </row>
    <row r="1087">
      <c r="A1087" s="28" t="n">
        <v>32053</v>
      </c>
      <c r="B1087" s="25">
        <f>VLOOKUP(A1087,'Database Claims'!$A:$C,3,)</f>
        <v/>
      </c>
      <c r="C1087" s="29">
        <f>B1087-B1086</f>
        <v/>
      </c>
      <c r="D1087" s="25">
        <f>VLOOKUP(A1087,'Database Claims'!$A:$C,2,)</f>
        <v/>
      </c>
      <c r="E1087" s="29">
        <f>D1087-D1086</f>
        <v/>
      </c>
    </row>
    <row r="1088">
      <c r="A1088" s="28" t="n">
        <v>32060</v>
      </c>
      <c r="B1088" s="29">
        <f>VLOOKUP(A1088,'Database Claims'!$A:$C,3,)</f>
        <v/>
      </c>
      <c r="C1088" s="29">
        <f>B1088-B1087</f>
        <v/>
      </c>
      <c r="D1088" s="29">
        <f>VLOOKUP(A1088,'Database Claims'!$A:$C,2,)</f>
        <v/>
      </c>
      <c r="E1088" s="29">
        <f>D1088-D1087</f>
        <v/>
      </c>
    </row>
    <row r="1089">
      <c r="A1089" s="28" t="n">
        <v>32067</v>
      </c>
      <c r="B1089" s="25">
        <f>VLOOKUP(A1089,'Database Claims'!$A:$C,3,)</f>
        <v/>
      </c>
      <c r="C1089" s="29">
        <f>B1089-B1088</f>
        <v/>
      </c>
      <c r="D1089" s="25">
        <f>VLOOKUP(A1089,'Database Claims'!$A:$C,2,)</f>
        <v/>
      </c>
      <c r="E1089" s="29">
        <f>D1089-D1088</f>
        <v/>
      </c>
    </row>
    <row r="1090">
      <c r="A1090" s="28" t="n">
        <v>32074</v>
      </c>
      <c r="B1090" s="29">
        <f>VLOOKUP(A1090,'Database Claims'!$A:$C,3,)</f>
        <v/>
      </c>
      <c r="C1090" s="29">
        <f>B1090-B1089</f>
        <v/>
      </c>
      <c r="D1090" s="29">
        <f>VLOOKUP(A1090,'Database Claims'!$A:$C,2,)</f>
        <v/>
      </c>
      <c r="E1090" s="29">
        <f>D1090-D1089</f>
        <v/>
      </c>
    </row>
    <row r="1091">
      <c r="A1091" s="28" t="n">
        <v>32081</v>
      </c>
      <c r="B1091" s="25">
        <f>VLOOKUP(A1091,'Database Claims'!$A:$C,3,)</f>
        <v/>
      </c>
      <c r="C1091" s="29">
        <f>B1091-B1090</f>
        <v/>
      </c>
      <c r="D1091" s="25">
        <f>VLOOKUP(A1091,'Database Claims'!$A:$C,2,)</f>
        <v/>
      </c>
      <c r="E1091" s="29">
        <f>D1091-D1090</f>
        <v/>
      </c>
    </row>
    <row r="1092">
      <c r="A1092" s="28" t="n">
        <v>32088</v>
      </c>
      <c r="B1092" s="29">
        <f>VLOOKUP(A1092,'Database Claims'!$A:$C,3,)</f>
        <v/>
      </c>
      <c r="C1092" s="29">
        <f>B1092-B1091</f>
        <v/>
      </c>
      <c r="D1092" s="29">
        <f>VLOOKUP(A1092,'Database Claims'!$A:$C,2,)</f>
        <v/>
      </c>
      <c r="E1092" s="29">
        <f>D1092-D1091</f>
        <v/>
      </c>
    </row>
    <row r="1093">
      <c r="A1093" s="28" t="n">
        <v>32095</v>
      </c>
      <c r="B1093" s="25">
        <f>VLOOKUP(A1093,'Database Claims'!$A:$C,3,)</f>
        <v/>
      </c>
      <c r="C1093" s="29">
        <f>B1093-B1092</f>
        <v/>
      </c>
      <c r="D1093" s="25">
        <f>VLOOKUP(A1093,'Database Claims'!$A:$C,2,)</f>
        <v/>
      </c>
      <c r="E1093" s="29">
        <f>D1093-D1092</f>
        <v/>
      </c>
    </row>
    <row r="1094">
      <c r="A1094" s="28" t="n">
        <v>32102</v>
      </c>
      <c r="B1094" s="29">
        <f>VLOOKUP(A1094,'Database Claims'!$A:$C,3,)</f>
        <v/>
      </c>
      <c r="C1094" s="29">
        <f>B1094-B1093</f>
        <v/>
      </c>
      <c r="D1094" s="29">
        <f>VLOOKUP(A1094,'Database Claims'!$A:$C,2,)</f>
        <v/>
      </c>
      <c r="E1094" s="29">
        <f>D1094-D1093</f>
        <v/>
      </c>
    </row>
    <row r="1095">
      <c r="A1095" s="28" t="n">
        <v>32109</v>
      </c>
      <c r="B1095" s="25">
        <f>VLOOKUP(A1095,'Database Claims'!$A:$C,3,)</f>
        <v/>
      </c>
      <c r="C1095" s="29">
        <f>B1095-B1094</f>
        <v/>
      </c>
      <c r="D1095" s="25">
        <f>VLOOKUP(A1095,'Database Claims'!$A:$C,2,)</f>
        <v/>
      </c>
      <c r="E1095" s="29">
        <f>D1095-D1094</f>
        <v/>
      </c>
    </row>
    <row r="1096">
      <c r="A1096" s="28" t="n">
        <v>32116</v>
      </c>
      <c r="B1096" s="29">
        <f>VLOOKUP(A1096,'Database Claims'!$A:$C,3,)</f>
        <v/>
      </c>
      <c r="C1096" s="29">
        <f>B1096-B1095</f>
        <v/>
      </c>
      <c r="D1096" s="29">
        <f>VLOOKUP(A1096,'Database Claims'!$A:$C,2,)</f>
        <v/>
      </c>
      <c r="E1096" s="29">
        <f>D1096-D1095</f>
        <v/>
      </c>
    </row>
    <row r="1097">
      <c r="A1097" s="28" t="n">
        <v>32123</v>
      </c>
      <c r="B1097" s="25">
        <f>VLOOKUP(A1097,'Database Claims'!$A:$C,3,)</f>
        <v/>
      </c>
      <c r="C1097" s="29">
        <f>B1097-B1096</f>
        <v/>
      </c>
      <c r="D1097" s="25">
        <f>VLOOKUP(A1097,'Database Claims'!$A:$C,2,)</f>
        <v/>
      </c>
      <c r="E1097" s="29">
        <f>D1097-D1096</f>
        <v/>
      </c>
    </row>
    <row r="1098">
      <c r="A1098" s="28" t="n">
        <v>32130</v>
      </c>
      <c r="B1098" s="29">
        <f>VLOOKUP(A1098,'Database Claims'!$A:$C,3,)</f>
        <v/>
      </c>
      <c r="C1098" s="29">
        <f>B1098-B1097</f>
        <v/>
      </c>
      <c r="D1098" s="29">
        <f>VLOOKUP(A1098,'Database Claims'!$A:$C,2,)</f>
        <v/>
      </c>
      <c r="E1098" s="29">
        <f>D1098-D1097</f>
        <v/>
      </c>
    </row>
    <row r="1099">
      <c r="A1099" s="28" t="n">
        <v>32137</v>
      </c>
      <c r="B1099" s="25">
        <f>VLOOKUP(A1099,'Database Claims'!$A:$C,3,)</f>
        <v/>
      </c>
      <c r="C1099" s="29">
        <f>B1099-B1098</f>
        <v/>
      </c>
      <c r="D1099" s="25">
        <f>VLOOKUP(A1099,'Database Claims'!$A:$C,2,)</f>
        <v/>
      </c>
      <c r="E1099" s="29">
        <f>D1099-D1098</f>
        <v/>
      </c>
    </row>
    <row r="1100">
      <c r="A1100" s="28" t="n">
        <v>32144</v>
      </c>
      <c r="B1100" s="29">
        <f>VLOOKUP(A1100,'Database Claims'!$A:$C,3,)</f>
        <v/>
      </c>
      <c r="C1100" s="29">
        <f>B1100-B1099</f>
        <v/>
      </c>
      <c r="D1100" s="29">
        <f>VLOOKUP(A1100,'Database Claims'!$A:$C,2,)</f>
        <v/>
      </c>
      <c r="E1100" s="29">
        <f>D1100-D1099</f>
        <v/>
      </c>
    </row>
    <row r="1101">
      <c r="A1101" s="28" t="n">
        <v>32151</v>
      </c>
      <c r="B1101" s="25">
        <f>VLOOKUP(A1101,'Database Claims'!$A:$C,3,)</f>
        <v/>
      </c>
      <c r="C1101" s="29">
        <f>B1101-B1100</f>
        <v/>
      </c>
      <c r="D1101" s="25">
        <f>VLOOKUP(A1101,'Database Claims'!$A:$C,2,)</f>
        <v/>
      </c>
      <c r="E1101" s="29">
        <f>D1101-D1100</f>
        <v/>
      </c>
    </row>
    <row r="1102">
      <c r="A1102" s="28" t="n">
        <v>32158</v>
      </c>
      <c r="B1102" s="29">
        <f>VLOOKUP(A1102,'Database Claims'!$A:$C,3,)</f>
        <v/>
      </c>
      <c r="C1102" s="29">
        <f>B1102-B1101</f>
        <v/>
      </c>
      <c r="D1102" s="29">
        <f>VLOOKUP(A1102,'Database Claims'!$A:$C,2,)</f>
        <v/>
      </c>
      <c r="E1102" s="29">
        <f>D1102-D1101</f>
        <v/>
      </c>
    </row>
    <row r="1103">
      <c r="A1103" s="28" t="n">
        <v>32165</v>
      </c>
      <c r="B1103" s="25">
        <f>VLOOKUP(A1103,'Database Claims'!$A:$C,3,)</f>
        <v/>
      </c>
      <c r="C1103" s="29">
        <f>B1103-B1102</f>
        <v/>
      </c>
      <c r="D1103" s="25">
        <f>VLOOKUP(A1103,'Database Claims'!$A:$C,2,)</f>
        <v/>
      </c>
      <c r="E1103" s="29">
        <f>D1103-D1102</f>
        <v/>
      </c>
    </row>
    <row r="1104">
      <c r="A1104" s="28" t="n">
        <v>32172</v>
      </c>
      <c r="B1104" s="29">
        <f>VLOOKUP(A1104,'Database Claims'!$A:$C,3,)</f>
        <v/>
      </c>
      <c r="C1104" s="29">
        <f>B1104-B1103</f>
        <v/>
      </c>
      <c r="D1104" s="29">
        <f>VLOOKUP(A1104,'Database Claims'!$A:$C,2,)</f>
        <v/>
      </c>
      <c r="E1104" s="29">
        <f>D1104-D1103</f>
        <v/>
      </c>
    </row>
    <row r="1105">
      <c r="A1105" s="28" t="n">
        <v>32179</v>
      </c>
      <c r="B1105" s="25">
        <f>VLOOKUP(A1105,'Database Claims'!$A:$C,3,)</f>
        <v/>
      </c>
      <c r="C1105" s="29">
        <f>B1105-B1104</f>
        <v/>
      </c>
      <c r="D1105" s="25">
        <f>VLOOKUP(A1105,'Database Claims'!$A:$C,2,)</f>
        <v/>
      </c>
      <c r="E1105" s="29">
        <f>D1105-D1104</f>
        <v/>
      </c>
    </row>
    <row r="1106">
      <c r="A1106" s="28" t="n">
        <v>32186</v>
      </c>
      <c r="B1106" s="29">
        <f>VLOOKUP(A1106,'Database Claims'!$A:$C,3,)</f>
        <v/>
      </c>
      <c r="C1106" s="29">
        <f>B1106-B1105</f>
        <v/>
      </c>
      <c r="D1106" s="29">
        <f>VLOOKUP(A1106,'Database Claims'!$A:$C,2,)</f>
        <v/>
      </c>
      <c r="E1106" s="29">
        <f>D1106-D1105</f>
        <v/>
      </c>
    </row>
    <row r="1107">
      <c r="A1107" s="28" t="n">
        <v>32193</v>
      </c>
      <c r="B1107" s="25">
        <f>VLOOKUP(A1107,'Database Claims'!$A:$C,3,)</f>
        <v/>
      </c>
      <c r="C1107" s="29">
        <f>B1107-B1106</f>
        <v/>
      </c>
      <c r="D1107" s="25">
        <f>VLOOKUP(A1107,'Database Claims'!$A:$C,2,)</f>
        <v/>
      </c>
      <c r="E1107" s="29">
        <f>D1107-D1106</f>
        <v/>
      </c>
    </row>
    <row r="1108">
      <c r="A1108" s="28" t="n">
        <v>32200</v>
      </c>
      <c r="B1108" s="29">
        <f>VLOOKUP(A1108,'Database Claims'!$A:$C,3,)</f>
        <v/>
      </c>
      <c r="C1108" s="29">
        <f>B1108-B1107</f>
        <v/>
      </c>
      <c r="D1108" s="29">
        <f>VLOOKUP(A1108,'Database Claims'!$A:$C,2,)</f>
        <v/>
      </c>
      <c r="E1108" s="29">
        <f>D1108-D1107</f>
        <v/>
      </c>
    </row>
    <row r="1109">
      <c r="A1109" s="28" t="n">
        <v>32207</v>
      </c>
      <c r="B1109" s="25">
        <f>VLOOKUP(A1109,'Database Claims'!$A:$C,3,)</f>
        <v/>
      </c>
      <c r="C1109" s="29">
        <f>B1109-B1108</f>
        <v/>
      </c>
      <c r="D1109" s="25">
        <f>VLOOKUP(A1109,'Database Claims'!$A:$C,2,)</f>
        <v/>
      </c>
      <c r="E1109" s="29">
        <f>D1109-D1108</f>
        <v/>
      </c>
    </row>
    <row r="1110">
      <c r="A1110" s="28" t="n">
        <v>32214</v>
      </c>
      <c r="B1110" s="29">
        <f>VLOOKUP(A1110,'Database Claims'!$A:$C,3,)</f>
        <v/>
      </c>
      <c r="C1110" s="29">
        <f>B1110-B1109</f>
        <v/>
      </c>
      <c r="D1110" s="29">
        <f>VLOOKUP(A1110,'Database Claims'!$A:$C,2,)</f>
        <v/>
      </c>
      <c r="E1110" s="29">
        <f>D1110-D1109</f>
        <v/>
      </c>
    </row>
    <row r="1111">
      <c r="A1111" s="28" t="n">
        <v>32221</v>
      </c>
      <c r="B1111" s="25">
        <f>VLOOKUP(A1111,'Database Claims'!$A:$C,3,)</f>
        <v/>
      </c>
      <c r="C1111" s="29">
        <f>B1111-B1110</f>
        <v/>
      </c>
      <c r="D1111" s="25">
        <f>VLOOKUP(A1111,'Database Claims'!$A:$C,2,)</f>
        <v/>
      </c>
      <c r="E1111" s="29">
        <f>D1111-D1110</f>
        <v/>
      </c>
    </row>
    <row r="1112">
      <c r="A1112" s="28" t="n">
        <v>32228</v>
      </c>
      <c r="B1112" s="29">
        <f>VLOOKUP(A1112,'Database Claims'!$A:$C,3,)</f>
        <v/>
      </c>
      <c r="C1112" s="29">
        <f>B1112-B1111</f>
        <v/>
      </c>
      <c r="D1112" s="29">
        <f>VLOOKUP(A1112,'Database Claims'!$A:$C,2,)</f>
        <v/>
      </c>
      <c r="E1112" s="29">
        <f>D1112-D1111</f>
        <v/>
      </c>
    </row>
    <row r="1113">
      <c r="A1113" s="28" t="n">
        <v>32235</v>
      </c>
      <c r="B1113" s="25">
        <f>VLOOKUP(A1113,'Database Claims'!$A:$C,3,)</f>
        <v/>
      </c>
      <c r="C1113" s="29">
        <f>B1113-B1112</f>
        <v/>
      </c>
      <c r="D1113" s="25">
        <f>VLOOKUP(A1113,'Database Claims'!$A:$C,2,)</f>
        <v/>
      </c>
      <c r="E1113" s="29">
        <f>D1113-D1112</f>
        <v/>
      </c>
    </row>
    <row r="1114">
      <c r="A1114" s="28" t="n">
        <v>32242</v>
      </c>
      <c r="B1114" s="29">
        <f>VLOOKUP(A1114,'Database Claims'!$A:$C,3,)</f>
        <v/>
      </c>
      <c r="C1114" s="29">
        <f>B1114-B1113</f>
        <v/>
      </c>
      <c r="D1114" s="29">
        <f>VLOOKUP(A1114,'Database Claims'!$A:$C,2,)</f>
        <v/>
      </c>
      <c r="E1114" s="29">
        <f>D1114-D1113</f>
        <v/>
      </c>
    </row>
    <row r="1115">
      <c r="A1115" s="28" t="n">
        <v>32249</v>
      </c>
      <c r="B1115" s="25">
        <f>VLOOKUP(A1115,'Database Claims'!$A:$C,3,)</f>
        <v/>
      </c>
      <c r="C1115" s="29">
        <f>B1115-B1114</f>
        <v/>
      </c>
      <c r="D1115" s="25">
        <f>VLOOKUP(A1115,'Database Claims'!$A:$C,2,)</f>
        <v/>
      </c>
      <c r="E1115" s="29">
        <f>D1115-D1114</f>
        <v/>
      </c>
    </row>
    <row r="1116">
      <c r="A1116" s="28" t="n">
        <v>32256</v>
      </c>
      <c r="B1116" s="29">
        <f>VLOOKUP(A1116,'Database Claims'!$A:$C,3,)</f>
        <v/>
      </c>
      <c r="C1116" s="29">
        <f>B1116-B1115</f>
        <v/>
      </c>
      <c r="D1116" s="29">
        <f>VLOOKUP(A1116,'Database Claims'!$A:$C,2,)</f>
        <v/>
      </c>
      <c r="E1116" s="29">
        <f>D1116-D1115</f>
        <v/>
      </c>
    </row>
    <row r="1117">
      <c r="A1117" s="28" t="n">
        <v>32263</v>
      </c>
      <c r="B1117" s="25">
        <f>VLOOKUP(A1117,'Database Claims'!$A:$C,3,)</f>
        <v/>
      </c>
      <c r="C1117" s="29">
        <f>B1117-B1116</f>
        <v/>
      </c>
      <c r="D1117" s="25">
        <f>VLOOKUP(A1117,'Database Claims'!$A:$C,2,)</f>
        <v/>
      </c>
      <c r="E1117" s="29">
        <f>D1117-D1116</f>
        <v/>
      </c>
    </row>
    <row r="1118">
      <c r="A1118" s="28" t="n">
        <v>32270</v>
      </c>
      <c r="B1118" s="29">
        <f>VLOOKUP(A1118,'Database Claims'!$A:$C,3,)</f>
        <v/>
      </c>
      <c r="C1118" s="29">
        <f>B1118-B1117</f>
        <v/>
      </c>
      <c r="D1118" s="29">
        <f>VLOOKUP(A1118,'Database Claims'!$A:$C,2,)</f>
        <v/>
      </c>
      <c r="E1118" s="29">
        <f>D1118-D1117</f>
        <v/>
      </c>
    </row>
    <row r="1119">
      <c r="A1119" s="28" t="n">
        <v>32277</v>
      </c>
      <c r="B1119" s="25">
        <f>VLOOKUP(A1119,'Database Claims'!$A:$C,3,)</f>
        <v/>
      </c>
      <c r="C1119" s="29">
        <f>B1119-B1118</f>
        <v/>
      </c>
      <c r="D1119" s="25">
        <f>VLOOKUP(A1119,'Database Claims'!$A:$C,2,)</f>
        <v/>
      </c>
      <c r="E1119" s="29">
        <f>D1119-D1118</f>
        <v/>
      </c>
    </row>
    <row r="1120">
      <c r="A1120" s="28" t="n">
        <v>32284</v>
      </c>
      <c r="B1120" s="29">
        <f>VLOOKUP(A1120,'Database Claims'!$A:$C,3,)</f>
        <v/>
      </c>
      <c r="C1120" s="29">
        <f>B1120-B1119</f>
        <v/>
      </c>
      <c r="D1120" s="29">
        <f>VLOOKUP(A1120,'Database Claims'!$A:$C,2,)</f>
        <v/>
      </c>
      <c r="E1120" s="29">
        <f>D1120-D1119</f>
        <v/>
      </c>
    </row>
    <row r="1121">
      <c r="A1121" s="28" t="n">
        <v>32291</v>
      </c>
      <c r="B1121" s="25">
        <f>VLOOKUP(A1121,'Database Claims'!$A:$C,3,)</f>
        <v/>
      </c>
      <c r="C1121" s="29">
        <f>B1121-B1120</f>
        <v/>
      </c>
      <c r="D1121" s="25">
        <f>VLOOKUP(A1121,'Database Claims'!$A:$C,2,)</f>
        <v/>
      </c>
      <c r="E1121" s="29">
        <f>D1121-D1120</f>
        <v/>
      </c>
    </row>
    <row r="1122">
      <c r="A1122" s="28" t="n">
        <v>32298</v>
      </c>
      <c r="B1122" s="29">
        <f>VLOOKUP(A1122,'Database Claims'!$A:$C,3,)</f>
        <v/>
      </c>
      <c r="C1122" s="29">
        <f>B1122-B1121</f>
        <v/>
      </c>
      <c r="D1122" s="29">
        <f>VLOOKUP(A1122,'Database Claims'!$A:$C,2,)</f>
        <v/>
      </c>
      <c r="E1122" s="29">
        <f>D1122-D1121</f>
        <v/>
      </c>
    </row>
    <row r="1123">
      <c r="A1123" s="28" t="n">
        <v>32305</v>
      </c>
      <c r="B1123" s="25">
        <f>VLOOKUP(A1123,'Database Claims'!$A:$C,3,)</f>
        <v/>
      </c>
      <c r="C1123" s="29">
        <f>B1123-B1122</f>
        <v/>
      </c>
      <c r="D1123" s="25">
        <f>VLOOKUP(A1123,'Database Claims'!$A:$C,2,)</f>
        <v/>
      </c>
      <c r="E1123" s="29">
        <f>D1123-D1122</f>
        <v/>
      </c>
    </row>
    <row r="1124">
      <c r="A1124" s="28" t="n">
        <v>32312</v>
      </c>
      <c r="B1124" s="29">
        <f>VLOOKUP(A1124,'Database Claims'!$A:$C,3,)</f>
        <v/>
      </c>
      <c r="C1124" s="29">
        <f>B1124-B1123</f>
        <v/>
      </c>
      <c r="D1124" s="29">
        <f>VLOOKUP(A1124,'Database Claims'!$A:$C,2,)</f>
        <v/>
      </c>
      <c r="E1124" s="29">
        <f>D1124-D1123</f>
        <v/>
      </c>
    </row>
    <row r="1125">
      <c r="A1125" s="28" t="n">
        <v>32319</v>
      </c>
      <c r="B1125" s="25">
        <f>VLOOKUP(A1125,'Database Claims'!$A:$C,3,)</f>
        <v/>
      </c>
      <c r="C1125" s="29">
        <f>B1125-B1124</f>
        <v/>
      </c>
      <c r="D1125" s="25">
        <f>VLOOKUP(A1125,'Database Claims'!$A:$C,2,)</f>
        <v/>
      </c>
      <c r="E1125" s="29">
        <f>D1125-D1124</f>
        <v/>
      </c>
    </row>
    <row r="1126">
      <c r="A1126" s="28" t="n">
        <v>32326</v>
      </c>
      <c r="B1126" s="29">
        <f>VLOOKUP(A1126,'Database Claims'!$A:$C,3,)</f>
        <v/>
      </c>
      <c r="C1126" s="29">
        <f>B1126-B1125</f>
        <v/>
      </c>
      <c r="D1126" s="29">
        <f>VLOOKUP(A1126,'Database Claims'!$A:$C,2,)</f>
        <v/>
      </c>
      <c r="E1126" s="29">
        <f>D1126-D1125</f>
        <v/>
      </c>
    </row>
    <row r="1127">
      <c r="A1127" s="28" t="n">
        <v>32333</v>
      </c>
      <c r="B1127" s="25">
        <f>VLOOKUP(A1127,'Database Claims'!$A:$C,3,)</f>
        <v/>
      </c>
      <c r="C1127" s="29">
        <f>B1127-B1126</f>
        <v/>
      </c>
      <c r="D1127" s="25">
        <f>VLOOKUP(A1127,'Database Claims'!$A:$C,2,)</f>
        <v/>
      </c>
      <c r="E1127" s="29">
        <f>D1127-D1126</f>
        <v/>
      </c>
    </row>
    <row r="1128">
      <c r="A1128" s="28" t="n">
        <v>32340</v>
      </c>
      <c r="B1128" s="29">
        <f>VLOOKUP(A1128,'Database Claims'!$A:$C,3,)</f>
        <v/>
      </c>
      <c r="C1128" s="29">
        <f>B1128-B1127</f>
        <v/>
      </c>
      <c r="D1128" s="29">
        <f>VLOOKUP(A1128,'Database Claims'!$A:$C,2,)</f>
        <v/>
      </c>
      <c r="E1128" s="29">
        <f>D1128-D1127</f>
        <v/>
      </c>
    </row>
    <row r="1129">
      <c r="A1129" s="28" t="n">
        <v>32347</v>
      </c>
      <c r="B1129" s="25">
        <f>VLOOKUP(A1129,'Database Claims'!$A:$C,3,)</f>
        <v/>
      </c>
      <c r="C1129" s="29">
        <f>B1129-B1128</f>
        <v/>
      </c>
      <c r="D1129" s="25">
        <f>VLOOKUP(A1129,'Database Claims'!$A:$C,2,)</f>
        <v/>
      </c>
      <c r="E1129" s="29">
        <f>D1129-D1128</f>
        <v/>
      </c>
    </row>
    <row r="1130">
      <c r="A1130" s="28" t="n">
        <v>32354</v>
      </c>
      <c r="B1130" s="29">
        <f>VLOOKUP(A1130,'Database Claims'!$A:$C,3,)</f>
        <v/>
      </c>
      <c r="C1130" s="29">
        <f>B1130-B1129</f>
        <v/>
      </c>
      <c r="D1130" s="29">
        <f>VLOOKUP(A1130,'Database Claims'!$A:$C,2,)</f>
        <v/>
      </c>
      <c r="E1130" s="29">
        <f>D1130-D1129</f>
        <v/>
      </c>
    </row>
    <row r="1131">
      <c r="A1131" s="28" t="n">
        <v>32361</v>
      </c>
      <c r="B1131" s="25">
        <f>VLOOKUP(A1131,'Database Claims'!$A:$C,3,)</f>
        <v/>
      </c>
      <c r="C1131" s="29">
        <f>B1131-B1130</f>
        <v/>
      </c>
      <c r="D1131" s="25">
        <f>VLOOKUP(A1131,'Database Claims'!$A:$C,2,)</f>
        <v/>
      </c>
      <c r="E1131" s="29">
        <f>D1131-D1130</f>
        <v/>
      </c>
    </row>
    <row r="1132">
      <c r="A1132" s="28" t="n">
        <v>32368</v>
      </c>
      <c r="B1132" s="29">
        <f>VLOOKUP(A1132,'Database Claims'!$A:$C,3,)</f>
        <v/>
      </c>
      <c r="C1132" s="29">
        <f>B1132-B1131</f>
        <v/>
      </c>
      <c r="D1132" s="29">
        <f>VLOOKUP(A1132,'Database Claims'!$A:$C,2,)</f>
        <v/>
      </c>
      <c r="E1132" s="29">
        <f>D1132-D1131</f>
        <v/>
      </c>
    </row>
    <row r="1133">
      <c r="A1133" s="28" t="n">
        <v>32375</v>
      </c>
      <c r="B1133" s="25">
        <f>VLOOKUP(A1133,'Database Claims'!$A:$C,3,)</f>
        <v/>
      </c>
      <c r="C1133" s="29">
        <f>B1133-B1132</f>
        <v/>
      </c>
      <c r="D1133" s="25">
        <f>VLOOKUP(A1133,'Database Claims'!$A:$C,2,)</f>
        <v/>
      </c>
      <c r="E1133" s="29">
        <f>D1133-D1132</f>
        <v/>
      </c>
    </row>
    <row r="1134">
      <c r="A1134" s="28" t="n">
        <v>32382</v>
      </c>
      <c r="B1134" s="29">
        <f>VLOOKUP(A1134,'Database Claims'!$A:$C,3,)</f>
        <v/>
      </c>
      <c r="C1134" s="29">
        <f>B1134-B1133</f>
        <v/>
      </c>
      <c r="D1134" s="29">
        <f>VLOOKUP(A1134,'Database Claims'!$A:$C,2,)</f>
        <v/>
      </c>
      <c r="E1134" s="29">
        <f>D1134-D1133</f>
        <v/>
      </c>
    </row>
    <row r="1135">
      <c r="A1135" s="28" t="n">
        <v>32389</v>
      </c>
      <c r="B1135" s="25">
        <f>VLOOKUP(A1135,'Database Claims'!$A:$C,3,)</f>
        <v/>
      </c>
      <c r="C1135" s="29">
        <f>B1135-B1134</f>
        <v/>
      </c>
      <c r="D1135" s="25">
        <f>VLOOKUP(A1135,'Database Claims'!$A:$C,2,)</f>
        <v/>
      </c>
      <c r="E1135" s="29">
        <f>D1135-D1134</f>
        <v/>
      </c>
    </row>
    <row r="1136">
      <c r="A1136" s="28" t="n">
        <v>32396</v>
      </c>
      <c r="B1136" s="29">
        <f>VLOOKUP(A1136,'Database Claims'!$A:$C,3,)</f>
        <v/>
      </c>
      <c r="C1136" s="29">
        <f>B1136-B1135</f>
        <v/>
      </c>
      <c r="D1136" s="29">
        <f>VLOOKUP(A1136,'Database Claims'!$A:$C,2,)</f>
        <v/>
      </c>
      <c r="E1136" s="29">
        <f>D1136-D1135</f>
        <v/>
      </c>
    </row>
    <row r="1137">
      <c r="A1137" s="28" t="n">
        <v>32403</v>
      </c>
      <c r="B1137" s="25">
        <f>VLOOKUP(A1137,'Database Claims'!$A:$C,3,)</f>
        <v/>
      </c>
      <c r="C1137" s="29">
        <f>B1137-B1136</f>
        <v/>
      </c>
      <c r="D1137" s="25">
        <f>VLOOKUP(A1137,'Database Claims'!$A:$C,2,)</f>
        <v/>
      </c>
      <c r="E1137" s="29">
        <f>D1137-D1136</f>
        <v/>
      </c>
    </row>
    <row r="1138">
      <c r="A1138" s="28" t="n">
        <v>32410</v>
      </c>
      <c r="B1138" s="29">
        <f>VLOOKUP(A1138,'Database Claims'!$A:$C,3,)</f>
        <v/>
      </c>
      <c r="C1138" s="29">
        <f>B1138-B1137</f>
        <v/>
      </c>
      <c r="D1138" s="29">
        <f>VLOOKUP(A1138,'Database Claims'!$A:$C,2,)</f>
        <v/>
      </c>
      <c r="E1138" s="29">
        <f>D1138-D1137</f>
        <v/>
      </c>
    </row>
    <row r="1139">
      <c r="A1139" s="28" t="n">
        <v>32417</v>
      </c>
      <c r="B1139" s="25">
        <f>VLOOKUP(A1139,'Database Claims'!$A:$C,3,)</f>
        <v/>
      </c>
      <c r="C1139" s="29">
        <f>B1139-B1138</f>
        <v/>
      </c>
      <c r="D1139" s="25">
        <f>VLOOKUP(A1139,'Database Claims'!$A:$C,2,)</f>
        <v/>
      </c>
      <c r="E1139" s="29">
        <f>D1139-D1138</f>
        <v/>
      </c>
    </row>
    <row r="1140">
      <c r="A1140" s="28" t="n">
        <v>32424</v>
      </c>
      <c r="B1140" s="29">
        <f>VLOOKUP(A1140,'Database Claims'!$A:$C,3,)</f>
        <v/>
      </c>
      <c r="C1140" s="29">
        <f>B1140-B1139</f>
        <v/>
      </c>
      <c r="D1140" s="29">
        <f>VLOOKUP(A1140,'Database Claims'!$A:$C,2,)</f>
        <v/>
      </c>
      <c r="E1140" s="29">
        <f>D1140-D1139</f>
        <v/>
      </c>
    </row>
    <row r="1141">
      <c r="A1141" s="28" t="n">
        <v>32431</v>
      </c>
      <c r="B1141" s="25">
        <f>VLOOKUP(A1141,'Database Claims'!$A:$C,3,)</f>
        <v/>
      </c>
      <c r="C1141" s="29">
        <f>B1141-B1140</f>
        <v/>
      </c>
      <c r="D1141" s="25">
        <f>VLOOKUP(A1141,'Database Claims'!$A:$C,2,)</f>
        <v/>
      </c>
      <c r="E1141" s="29">
        <f>D1141-D1140</f>
        <v/>
      </c>
    </row>
    <row r="1142">
      <c r="A1142" s="28" t="n">
        <v>32438</v>
      </c>
      <c r="B1142" s="29">
        <f>VLOOKUP(A1142,'Database Claims'!$A:$C,3,)</f>
        <v/>
      </c>
      <c r="C1142" s="29">
        <f>B1142-B1141</f>
        <v/>
      </c>
      <c r="D1142" s="29">
        <f>VLOOKUP(A1142,'Database Claims'!$A:$C,2,)</f>
        <v/>
      </c>
      <c r="E1142" s="29">
        <f>D1142-D1141</f>
        <v/>
      </c>
    </row>
    <row r="1143">
      <c r="A1143" s="28" t="n">
        <v>32445</v>
      </c>
      <c r="B1143" s="25">
        <f>VLOOKUP(A1143,'Database Claims'!$A:$C,3,)</f>
        <v/>
      </c>
      <c r="C1143" s="29">
        <f>B1143-B1142</f>
        <v/>
      </c>
      <c r="D1143" s="25">
        <f>VLOOKUP(A1143,'Database Claims'!$A:$C,2,)</f>
        <v/>
      </c>
      <c r="E1143" s="29">
        <f>D1143-D1142</f>
        <v/>
      </c>
    </row>
    <row r="1144">
      <c r="A1144" s="28" t="n">
        <v>32452</v>
      </c>
      <c r="B1144" s="29">
        <f>VLOOKUP(A1144,'Database Claims'!$A:$C,3,)</f>
        <v/>
      </c>
      <c r="C1144" s="29">
        <f>B1144-B1143</f>
        <v/>
      </c>
      <c r="D1144" s="29">
        <f>VLOOKUP(A1144,'Database Claims'!$A:$C,2,)</f>
        <v/>
      </c>
      <c r="E1144" s="29">
        <f>D1144-D1143</f>
        <v/>
      </c>
    </row>
    <row r="1145">
      <c r="A1145" s="28" t="n">
        <v>32459</v>
      </c>
      <c r="B1145" s="25">
        <f>VLOOKUP(A1145,'Database Claims'!$A:$C,3,)</f>
        <v/>
      </c>
      <c r="C1145" s="29">
        <f>B1145-B1144</f>
        <v/>
      </c>
      <c r="D1145" s="25">
        <f>VLOOKUP(A1145,'Database Claims'!$A:$C,2,)</f>
        <v/>
      </c>
      <c r="E1145" s="29">
        <f>D1145-D1144</f>
        <v/>
      </c>
    </row>
    <row r="1146">
      <c r="A1146" s="28" t="n">
        <v>32466</v>
      </c>
      <c r="B1146" s="29">
        <f>VLOOKUP(A1146,'Database Claims'!$A:$C,3,)</f>
        <v/>
      </c>
      <c r="C1146" s="29">
        <f>B1146-B1145</f>
        <v/>
      </c>
      <c r="D1146" s="29">
        <f>VLOOKUP(A1146,'Database Claims'!$A:$C,2,)</f>
        <v/>
      </c>
      <c r="E1146" s="29">
        <f>D1146-D1145</f>
        <v/>
      </c>
    </row>
    <row r="1147">
      <c r="A1147" s="28" t="n">
        <v>32473</v>
      </c>
      <c r="B1147" s="25">
        <f>VLOOKUP(A1147,'Database Claims'!$A:$C,3,)</f>
        <v/>
      </c>
      <c r="C1147" s="29">
        <f>B1147-B1146</f>
        <v/>
      </c>
      <c r="D1147" s="25">
        <f>VLOOKUP(A1147,'Database Claims'!$A:$C,2,)</f>
        <v/>
      </c>
      <c r="E1147" s="29">
        <f>D1147-D1146</f>
        <v/>
      </c>
    </row>
    <row r="1148">
      <c r="A1148" s="28" t="n">
        <v>32480</v>
      </c>
      <c r="B1148" s="29">
        <f>VLOOKUP(A1148,'Database Claims'!$A:$C,3,)</f>
        <v/>
      </c>
      <c r="C1148" s="29">
        <f>B1148-B1147</f>
        <v/>
      </c>
      <c r="D1148" s="29">
        <f>VLOOKUP(A1148,'Database Claims'!$A:$C,2,)</f>
        <v/>
      </c>
      <c r="E1148" s="29">
        <f>D1148-D1147</f>
        <v/>
      </c>
    </row>
    <row r="1149">
      <c r="A1149" s="28" t="n">
        <v>32487</v>
      </c>
      <c r="B1149" s="25">
        <f>VLOOKUP(A1149,'Database Claims'!$A:$C,3,)</f>
        <v/>
      </c>
      <c r="C1149" s="29">
        <f>B1149-B1148</f>
        <v/>
      </c>
      <c r="D1149" s="25">
        <f>VLOOKUP(A1149,'Database Claims'!$A:$C,2,)</f>
        <v/>
      </c>
      <c r="E1149" s="29">
        <f>D1149-D1148</f>
        <v/>
      </c>
    </row>
    <row r="1150">
      <c r="A1150" s="28" t="n">
        <v>32494</v>
      </c>
      <c r="B1150" s="29">
        <f>VLOOKUP(A1150,'Database Claims'!$A:$C,3,)</f>
        <v/>
      </c>
      <c r="C1150" s="29">
        <f>B1150-B1149</f>
        <v/>
      </c>
      <c r="D1150" s="29">
        <f>VLOOKUP(A1150,'Database Claims'!$A:$C,2,)</f>
        <v/>
      </c>
      <c r="E1150" s="29">
        <f>D1150-D1149</f>
        <v/>
      </c>
    </row>
    <row r="1151">
      <c r="A1151" s="28" t="n">
        <v>32501</v>
      </c>
      <c r="B1151" s="25">
        <f>VLOOKUP(A1151,'Database Claims'!$A:$C,3,)</f>
        <v/>
      </c>
      <c r="C1151" s="29">
        <f>B1151-B1150</f>
        <v/>
      </c>
      <c r="D1151" s="25">
        <f>VLOOKUP(A1151,'Database Claims'!$A:$C,2,)</f>
        <v/>
      </c>
      <c r="E1151" s="29">
        <f>D1151-D1150</f>
        <v/>
      </c>
    </row>
    <row r="1152">
      <c r="A1152" s="28" t="n">
        <v>32508</v>
      </c>
      <c r="B1152" s="29">
        <f>VLOOKUP(A1152,'Database Claims'!$A:$C,3,)</f>
        <v/>
      </c>
      <c r="C1152" s="29">
        <f>B1152-B1151</f>
        <v/>
      </c>
      <c r="D1152" s="29">
        <f>VLOOKUP(A1152,'Database Claims'!$A:$C,2,)</f>
        <v/>
      </c>
      <c r="E1152" s="29">
        <f>D1152-D1151</f>
        <v/>
      </c>
    </row>
    <row r="1153">
      <c r="A1153" s="28" t="n">
        <v>32515</v>
      </c>
      <c r="B1153" s="25">
        <f>VLOOKUP(A1153,'Database Claims'!$A:$C,3,)</f>
        <v/>
      </c>
      <c r="C1153" s="29">
        <f>B1153-B1152</f>
        <v/>
      </c>
      <c r="D1153" s="25">
        <f>VLOOKUP(A1153,'Database Claims'!$A:$C,2,)</f>
        <v/>
      </c>
      <c r="E1153" s="29">
        <f>D1153-D1152</f>
        <v/>
      </c>
    </row>
    <row r="1154">
      <c r="A1154" s="28" t="n">
        <v>32522</v>
      </c>
      <c r="B1154" s="29">
        <f>VLOOKUP(A1154,'Database Claims'!$A:$C,3,)</f>
        <v/>
      </c>
      <c r="C1154" s="29">
        <f>B1154-B1153</f>
        <v/>
      </c>
      <c r="D1154" s="29">
        <f>VLOOKUP(A1154,'Database Claims'!$A:$C,2,)</f>
        <v/>
      </c>
      <c r="E1154" s="29">
        <f>D1154-D1153</f>
        <v/>
      </c>
    </row>
    <row r="1155">
      <c r="A1155" s="28" t="n">
        <v>32529</v>
      </c>
      <c r="B1155" s="25">
        <f>VLOOKUP(A1155,'Database Claims'!$A:$C,3,)</f>
        <v/>
      </c>
      <c r="C1155" s="29">
        <f>B1155-B1154</f>
        <v/>
      </c>
      <c r="D1155" s="25">
        <f>VLOOKUP(A1155,'Database Claims'!$A:$C,2,)</f>
        <v/>
      </c>
      <c r="E1155" s="29">
        <f>D1155-D1154</f>
        <v/>
      </c>
    </row>
    <row r="1156">
      <c r="A1156" s="28" t="n">
        <v>32536</v>
      </c>
      <c r="B1156" s="29">
        <f>VLOOKUP(A1156,'Database Claims'!$A:$C,3,)</f>
        <v/>
      </c>
      <c r="C1156" s="29">
        <f>B1156-B1155</f>
        <v/>
      </c>
      <c r="D1156" s="29">
        <f>VLOOKUP(A1156,'Database Claims'!$A:$C,2,)</f>
        <v/>
      </c>
      <c r="E1156" s="29">
        <f>D1156-D1155</f>
        <v/>
      </c>
    </row>
    <row r="1157">
      <c r="A1157" s="28" t="n">
        <v>32543</v>
      </c>
      <c r="B1157" s="25">
        <f>VLOOKUP(A1157,'Database Claims'!$A:$C,3,)</f>
        <v/>
      </c>
      <c r="C1157" s="29">
        <f>B1157-B1156</f>
        <v/>
      </c>
      <c r="D1157" s="25">
        <f>VLOOKUP(A1157,'Database Claims'!$A:$C,2,)</f>
        <v/>
      </c>
      <c r="E1157" s="29">
        <f>D1157-D1156</f>
        <v/>
      </c>
    </row>
    <row r="1158">
      <c r="A1158" s="28" t="n">
        <v>32550</v>
      </c>
      <c r="B1158" s="29">
        <f>VLOOKUP(A1158,'Database Claims'!$A:$C,3,)</f>
        <v/>
      </c>
      <c r="C1158" s="29">
        <f>B1158-B1157</f>
        <v/>
      </c>
      <c r="D1158" s="29">
        <f>VLOOKUP(A1158,'Database Claims'!$A:$C,2,)</f>
        <v/>
      </c>
      <c r="E1158" s="29">
        <f>D1158-D1157</f>
        <v/>
      </c>
    </row>
    <row r="1159">
      <c r="A1159" s="28" t="n">
        <v>32557</v>
      </c>
      <c r="B1159" s="25">
        <f>VLOOKUP(A1159,'Database Claims'!$A:$C,3,)</f>
        <v/>
      </c>
      <c r="C1159" s="29">
        <f>B1159-B1158</f>
        <v/>
      </c>
      <c r="D1159" s="25">
        <f>VLOOKUP(A1159,'Database Claims'!$A:$C,2,)</f>
        <v/>
      </c>
      <c r="E1159" s="29">
        <f>D1159-D1158</f>
        <v/>
      </c>
    </row>
    <row r="1160">
      <c r="A1160" s="28" t="n">
        <v>32564</v>
      </c>
      <c r="B1160" s="29">
        <f>VLOOKUP(A1160,'Database Claims'!$A:$C,3,)</f>
        <v/>
      </c>
      <c r="C1160" s="29">
        <f>B1160-B1159</f>
        <v/>
      </c>
      <c r="D1160" s="29">
        <f>VLOOKUP(A1160,'Database Claims'!$A:$C,2,)</f>
        <v/>
      </c>
      <c r="E1160" s="29">
        <f>D1160-D1159</f>
        <v/>
      </c>
    </row>
    <row r="1161">
      <c r="A1161" s="28" t="n">
        <v>32571</v>
      </c>
      <c r="B1161" s="25">
        <f>VLOOKUP(A1161,'Database Claims'!$A:$C,3,)</f>
        <v/>
      </c>
      <c r="C1161" s="29">
        <f>B1161-B1160</f>
        <v/>
      </c>
      <c r="D1161" s="25">
        <f>VLOOKUP(A1161,'Database Claims'!$A:$C,2,)</f>
        <v/>
      </c>
      <c r="E1161" s="29">
        <f>D1161-D1160</f>
        <v/>
      </c>
    </row>
    <row r="1162">
      <c r="A1162" s="28" t="n">
        <v>32578</v>
      </c>
      <c r="B1162" s="29">
        <f>VLOOKUP(A1162,'Database Claims'!$A:$C,3,)</f>
        <v/>
      </c>
      <c r="C1162" s="29">
        <f>B1162-B1161</f>
        <v/>
      </c>
      <c r="D1162" s="29">
        <f>VLOOKUP(A1162,'Database Claims'!$A:$C,2,)</f>
        <v/>
      </c>
      <c r="E1162" s="29">
        <f>D1162-D1161</f>
        <v/>
      </c>
    </row>
    <row r="1163">
      <c r="A1163" s="28" t="n">
        <v>32585</v>
      </c>
      <c r="B1163" s="25">
        <f>VLOOKUP(A1163,'Database Claims'!$A:$C,3,)</f>
        <v/>
      </c>
      <c r="C1163" s="29">
        <f>B1163-B1162</f>
        <v/>
      </c>
      <c r="D1163" s="25">
        <f>VLOOKUP(A1163,'Database Claims'!$A:$C,2,)</f>
        <v/>
      </c>
      <c r="E1163" s="29">
        <f>D1163-D1162</f>
        <v/>
      </c>
    </row>
    <row r="1164">
      <c r="A1164" s="28" t="n">
        <v>32592</v>
      </c>
      <c r="B1164" s="29">
        <f>VLOOKUP(A1164,'Database Claims'!$A:$C,3,)</f>
        <v/>
      </c>
      <c r="C1164" s="29">
        <f>B1164-B1163</f>
        <v/>
      </c>
      <c r="D1164" s="29">
        <f>VLOOKUP(A1164,'Database Claims'!$A:$C,2,)</f>
        <v/>
      </c>
      <c r="E1164" s="29">
        <f>D1164-D1163</f>
        <v/>
      </c>
    </row>
    <row r="1165">
      <c r="A1165" s="28" t="n">
        <v>32599</v>
      </c>
      <c r="B1165" s="25">
        <f>VLOOKUP(A1165,'Database Claims'!$A:$C,3,)</f>
        <v/>
      </c>
      <c r="C1165" s="29">
        <f>B1165-B1164</f>
        <v/>
      </c>
      <c r="D1165" s="25">
        <f>VLOOKUP(A1165,'Database Claims'!$A:$C,2,)</f>
        <v/>
      </c>
      <c r="E1165" s="29">
        <f>D1165-D1164</f>
        <v/>
      </c>
    </row>
    <row r="1166">
      <c r="A1166" s="28" t="n">
        <v>32606</v>
      </c>
      <c r="B1166" s="29">
        <f>VLOOKUP(A1166,'Database Claims'!$A:$C,3,)</f>
        <v/>
      </c>
      <c r="C1166" s="29">
        <f>B1166-B1165</f>
        <v/>
      </c>
      <c r="D1166" s="29">
        <f>VLOOKUP(A1166,'Database Claims'!$A:$C,2,)</f>
        <v/>
      </c>
      <c r="E1166" s="29">
        <f>D1166-D1165</f>
        <v/>
      </c>
    </row>
    <row r="1167">
      <c r="A1167" s="28" t="n">
        <v>32613</v>
      </c>
      <c r="B1167" s="25">
        <f>VLOOKUP(A1167,'Database Claims'!$A:$C,3,)</f>
        <v/>
      </c>
      <c r="C1167" s="29">
        <f>B1167-B1166</f>
        <v/>
      </c>
      <c r="D1167" s="25">
        <f>VLOOKUP(A1167,'Database Claims'!$A:$C,2,)</f>
        <v/>
      </c>
      <c r="E1167" s="29">
        <f>D1167-D1166</f>
        <v/>
      </c>
    </row>
    <row r="1168">
      <c r="A1168" s="28" t="n">
        <v>32620</v>
      </c>
      <c r="B1168" s="29">
        <f>VLOOKUP(A1168,'Database Claims'!$A:$C,3,)</f>
        <v/>
      </c>
      <c r="C1168" s="29">
        <f>B1168-B1167</f>
        <v/>
      </c>
      <c r="D1168" s="29">
        <f>VLOOKUP(A1168,'Database Claims'!$A:$C,2,)</f>
        <v/>
      </c>
      <c r="E1168" s="29">
        <f>D1168-D1167</f>
        <v/>
      </c>
    </row>
    <row r="1169">
      <c r="A1169" s="28" t="n">
        <v>32627</v>
      </c>
      <c r="B1169" s="25">
        <f>VLOOKUP(A1169,'Database Claims'!$A:$C,3,)</f>
        <v/>
      </c>
      <c r="C1169" s="29">
        <f>B1169-B1168</f>
        <v/>
      </c>
      <c r="D1169" s="25">
        <f>VLOOKUP(A1169,'Database Claims'!$A:$C,2,)</f>
        <v/>
      </c>
      <c r="E1169" s="29">
        <f>D1169-D1168</f>
        <v/>
      </c>
    </row>
    <row r="1170">
      <c r="A1170" s="28" t="n">
        <v>32634</v>
      </c>
      <c r="B1170" s="29">
        <f>VLOOKUP(A1170,'Database Claims'!$A:$C,3,)</f>
        <v/>
      </c>
      <c r="C1170" s="29">
        <f>B1170-B1169</f>
        <v/>
      </c>
      <c r="D1170" s="29">
        <f>VLOOKUP(A1170,'Database Claims'!$A:$C,2,)</f>
        <v/>
      </c>
      <c r="E1170" s="29">
        <f>D1170-D1169</f>
        <v/>
      </c>
    </row>
    <row r="1171">
      <c r="A1171" s="28" t="n">
        <v>32641</v>
      </c>
      <c r="B1171" s="25">
        <f>VLOOKUP(A1171,'Database Claims'!$A:$C,3,)</f>
        <v/>
      </c>
      <c r="C1171" s="29">
        <f>B1171-B1170</f>
        <v/>
      </c>
      <c r="D1171" s="25">
        <f>VLOOKUP(A1171,'Database Claims'!$A:$C,2,)</f>
        <v/>
      </c>
      <c r="E1171" s="29">
        <f>D1171-D1170</f>
        <v/>
      </c>
    </row>
    <row r="1172">
      <c r="A1172" s="28" t="n">
        <v>32648</v>
      </c>
      <c r="B1172" s="29">
        <f>VLOOKUP(A1172,'Database Claims'!$A:$C,3,)</f>
        <v/>
      </c>
      <c r="C1172" s="29">
        <f>B1172-B1171</f>
        <v/>
      </c>
      <c r="D1172" s="29">
        <f>VLOOKUP(A1172,'Database Claims'!$A:$C,2,)</f>
        <v/>
      </c>
      <c r="E1172" s="29">
        <f>D1172-D1171</f>
        <v/>
      </c>
    </row>
    <row r="1173">
      <c r="A1173" s="28" t="n">
        <v>32655</v>
      </c>
      <c r="B1173" s="25">
        <f>VLOOKUP(A1173,'Database Claims'!$A:$C,3,)</f>
        <v/>
      </c>
      <c r="C1173" s="29">
        <f>B1173-B1172</f>
        <v/>
      </c>
      <c r="D1173" s="25">
        <f>VLOOKUP(A1173,'Database Claims'!$A:$C,2,)</f>
        <v/>
      </c>
      <c r="E1173" s="29">
        <f>D1173-D1172</f>
        <v/>
      </c>
    </row>
    <row r="1174">
      <c r="A1174" s="28" t="n">
        <v>32662</v>
      </c>
      <c r="B1174" s="29">
        <f>VLOOKUP(A1174,'Database Claims'!$A:$C,3,)</f>
        <v/>
      </c>
      <c r="C1174" s="29">
        <f>B1174-B1173</f>
        <v/>
      </c>
      <c r="D1174" s="29">
        <f>VLOOKUP(A1174,'Database Claims'!$A:$C,2,)</f>
        <v/>
      </c>
      <c r="E1174" s="29">
        <f>D1174-D1173</f>
        <v/>
      </c>
    </row>
    <row r="1175">
      <c r="A1175" s="28" t="n">
        <v>32669</v>
      </c>
      <c r="B1175" s="25">
        <f>VLOOKUP(A1175,'Database Claims'!$A:$C,3,)</f>
        <v/>
      </c>
      <c r="C1175" s="29">
        <f>B1175-B1174</f>
        <v/>
      </c>
      <c r="D1175" s="25">
        <f>VLOOKUP(A1175,'Database Claims'!$A:$C,2,)</f>
        <v/>
      </c>
      <c r="E1175" s="29">
        <f>D1175-D1174</f>
        <v/>
      </c>
    </row>
    <row r="1176">
      <c r="A1176" s="28" t="n">
        <v>32676</v>
      </c>
      <c r="B1176" s="29">
        <f>VLOOKUP(A1176,'Database Claims'!$A:$C,3,)</f>
        <v/>
      </c>
      <c r="C1176" s="29">
        <f>B1176-B1175</f>
        <v/>
      </c>
      <c r="D1176" s="29">
        <f>VLOOKUP(A1176,'Database Claims'!$A:$C,2,)</f>
        <v/>
      </c>
      <c r="E1176" s="29">
        <f>D1176-D1175</f>
        <v/>
      </c>
    </row>
    <row r="1177">
      <c r="A1177" s="28" t="n">
        <v>32683</v>
      </c>
      <c r="B1177" s="25">
        <f>VLOOKUP(A1177,'Database Claims'!$A:$C,3,)</f>
        <v/>
      </c>
      <c r="C1177" s="29">
        <f>B1177-B1176</f>
        <v/>
      </c>
      <c r="D1177" s="25">
        <f>VLOOKUP(A1177,'Database Claims'!$A:$C,2,)</f>
        <v/>
      </c>
      <c r="E1177" s="29">
        <f>D1177-D1176</f>
        <v/>
      </c>
    </row>
    <row r="1178">
      <c r="A1178" s="28" t="n">
        <v>32690</v>
      </c>
      <c r="B1178" s="29">
        <f>VLOOKUP(A1178,'Database Claims'!$A:$C,3,)</f>
        <v/>
      </c>
      <c r="C1178" s="29">
        <f>B1178-B1177</f>
        <v/>
      </c>
      <c r="D1178" s="29">
        <f>VLOOKUP(A1178,'Database Claims'!$A:$C,2,)</f>
        <v/>
      </c>
      <c r="E1178" s="29">
        <f>D1178-D1177</f>
        <v/>
      </c>
    </row>
    <row r="1179">
      <c r="A1179" s="28" t="n">
        <v>32697</v>
      </c>
      <c r="B1179" s="25">
        <f>VLOOKUP(A1179,'Database Claims'!$A:$C,3,)</f>
        <v/>
      </c>
      <c r="C1179" s="29">
        <f>B1179-B1178</f>
        <v/>
      </c>
      <c r="D1179" s="25">
        <f>VLOOKUP(A1179,'Database Claims'!$A:$C,2,)</f>
        <v/>
      </c>
      <c r="E1179" s="29">
        <f>D1179-D1178</f>
        <v/>
      </c>
    </row>
    <row r="1180">
      <c r="A1180" s="28" t="n">
        <v>32704</v>
      </c>
      <c r="B1180" s="29">
        <f>VLOOKUP(A1180,'Database Claims'!$A:$C,3,)</f>
        <v/>
      </c>
      <c r="C1180" s="29">
        <f>B1180-B1179</f>
        <v/>
      </c>
      <c r="D1180" s="29">
        <f>VLOOKUP(A1180,'Database Claims'!$A:$C,2,)</f>
        <v/>
      </c>
      <c r="E1180" s="29">
        <f>D1180-D1179</f>
        <v/>
      </c>
    </row>
    <row r="1181">
      <c r="A1181" s="28" t="n">
        <v>32711</v>
      </c>
      <c r="B1181" s="25">
        <f>VLOOKUP(A1181,'Database Claims'!$A:$C,3,)</f>
        <v/>
      </c>
      <c r="C1181" s="29">
        <f>B1181-B1180</f>
        <v/>
      </c>
      <c r="D1181" s="25">
        <f>VLOOKUP(A1181,'Database Claims'!$A:$C,2,)</f>
        <v/>
      </c>
      <c r="E1181" s="29">
        <f>D1181-D1180</f>
        <v/>
      </c>
    </row>
    <row r="1182">
      <c r="A1182" s="28" t="n">
        <v>32718</v>
      </c>
      <c r="B1182" s="29">
        <f>VLOOKUP(A1182,'Database Claims'!$A:$C,3,)</f>
        <v/>
      </c>
      <c r="C1182" s="29">
        <f>B1182-B1181</f>
        <v/>
      </c>
      <c r="D1182" s="29">
        <f>VLOOKUP(A1182,'Database Claims'!$A:$C,2,)</f>
        <v/>
      </c>
      <c r="E1182" s="29">
        <f>D1182-D1181</f>
        <v/>
      </c>
    </row>
    <row r="1183">
      <c r="A1183" s="28" t="n">
        <v>32725</v>
      </c>
      <c r="B1183" s="25">
        <f>VLOOKUP(A1183,'Database Claims'!$A:$C,3,)</f>
        <v/>
      </c>
      <c r="C1183" s="29">
        <f>B1183-B1182</f>
        <v/>
      </c>
      <c r="D1183" s="25">
        <f>VLOOKUP(A1183,'Database Claims'!$A:$C,2,)</f>
        <v/>
      </c>
      <c r="E1183" s="29">
        <f>D1183-D1182</f>
        <v/>
      </c>
    </row>
    <row r="1184">
      <c r="A1184" s="28" t="n">
        <v>32732</v>
      </c>
      <c r="B1184" s="29">
        <f>VLOOKUP(A1184,'Database Claims'!$A:$C,3,)</f>
        <v/>
      </c>
      <c r="C1184" s="29">
        <f>B1184-B1183</f>
        <v/>
      </c>
      <c r="D1184" s="29">
        <f>VLOOKUP(A1184,'Database Claims'!$A:$C,2,)</f>
        <v/>
      </c>
      <c r="E1184" s="29">
        <f>D1184-D1183</f>
        <v/>
      </c>
    </row>
    <row r="1185">
      <c r="A1185" s="28" t="n">
        <v>32739</v>
      </c>
      <c r="B1185" s="25">
        <f>VLOOKUP(A1185,'Database Claims'!$A:$C,3,)</f>
        <v/>
      </c>
      <c r="C1185" s="29">
        <f>B1185-B1184</f>
        <v/>
      </c>
      <c r="D1185" s="25">
        <f>VLOOKUP(A1185,'Database Claims'!$A:$C,2,)</f>
        <v/>
      </c>
      <c r="E1185" s="29">
        <f>D1185-D1184</f>
        <v/>
      </c>
    </row>
    <row r="1186">
      <c r="A1186" s="28" t="n">
        <v>32746</v>
      </c>
      <c r="B1186" s="29">
        <f>VLOOKUP(A1186,'Database Claims'!$A:$C,3,)</f>
        <v/>
      </c>
      <c r="C1186" s="29">
        <f>B1186-B1185</f>
        <v/>
      </c>
      <c r="D1186" s="29">
        <f>VLOOKUP(A1186,'Database Claims'!$A:$C,2,)</f>
        <v/>
      </c>
      <c r="E1186" s="29">
        <f>D1186-D1185</f>
        <v/>
      </c>
    </row>
    <row r="1187">
      <c r="A1187" s="28" t="n">
        <v>32753</v>
      </c>
      <c r="B1187" s="25">
        <f>VLOOKUP(A1187,'Database Claims'!$A:$C,3,)</f>
        <v/>
      </c>
      <c r="C1187" s="29">
        <f>B1187-B1186</f>
        <v/>
      </c>
      <c r="D1187" s="25">
        <f>VLOOKUP(A1187,'Database Claims'!$A:$C,2,)</f>
        <v/>
      </c>
      <c r="E1187" s="29">
        <f>D1187-D1186</f>
        <v/>
      </c>
    </row>
    <row r="1188">
      <c r="A1188" s="28" t="n">
        <v>32760</v>
      </c>
      <c r="B1188" s="29">
        <f>VLOOKUP(A1188,'Database Claims'!$A:$C,3,)</f>
        <v/>
      </c>
      <c r="C1188" s="29">
        <f>B1188-B1187</f>
        <v/>
      </c>
      <c r="D1188" s="29">
        <f>VLOOKUP(A1188,'Database Claims'!$A:$C,2,)</f>
        <v/>
      </c>
      <c r="E1188" s="29">
        <f>D1188-D1187</f>
        <v/>
      </c>
    </row>
    <row r="1189">
      <c r="A1189" s="28" t="n">
        <v>32767</v>
      </c>
      <c r="B1189" s="25">
        <f>VLOOKUP(A1189,'Database Claims'!$A:$C,3,)</f>
        <v/>
      </c>
      <c r="C1189" s="29">
        <f>B1189-B1188</f>
        <v/>
      </c>
      <c r="D1189" s="25">
        <f>VLOOKUP(A1189,'Database Claims'!$A:$C,2,)</f>
        <v/>
      </c>
      <c r="E1189" s="29">
        <f>D1189-D1188</f>
        <v/>
      </c>
    </row>
    <row r="1190">
      <c r="A1190" s="28" t="n">
        <v>32774</v>
      </c>
      <c r="B1190" s="29">
        <f>VLOOKUP(A1190,'Database Claims'!$A:$C,3,)</f>
        <v/>
      </c>
      <c r="C1190" s="29">
        <f>B1190-B1189</f>
        <v/>
      </c>
      <c r="D1190" s="29">
        <f>VLOOKUP(A1190,'Database Claims'!$A:$C,2,)</f>
        <v/>
      </c>
      <c r="E1190" s="29">
        <f>D1190-D1189</f>
        <v/>
      </c>
    </row>
    <row r="1191">
      <c r="A1191" s="28" t="n">
        <v>32781</v>
      </c>
      <c r="B1191" s="25">
        <f>VLOOKUP(A1191,'Database Claims'!$A:$C,3,)</f>
        <v/>
      </c>
      <c r="C1191" s="29">
        <f>B1191-B1190</f>
        <v/>
      </c>
      <c r="D1191" s="25">
        <f>VLOOKUP(A1191,'Database Claims'!$A:$C,2,)</f>
        <v/>
      </c>
      <c r="E1191" s="29">
        <f>D1191-D1190</f>
        <v/>
      </c>
    </row>
    <row r="1192">
      <c r="A1192" s="28" t="n">
        <v>32788</v>
      </c>
      <c r="B1192" s="29">
        <f>VLOOKUP(A1192,'Database Claims'!$A:$C,3,)</f>
        <v/>
      </c>
      <c r="C1192" s="29">
        <f>B1192-B1191</f>
        <v/>
      </c>
      <c r="D1192" s="29">
        <f>VLOOKUP(A1192,'Database Claims'!$A:$C,2,)</f>
        <v/>
      </c>
      <c r="E1192" s="29">
        <f>D1192-D1191</f>
        <v/>
      </c>
    </row>
    <row r="1193">
      <c r="A1193" s="28" t="n">
        <v>32795</v>
      </c>
      <c r="B1193" s="25">
        <f>VLOOKUP(A1193,'Database Claims'!$A:$C,3,)</f>
        <v/>
      </c>
      <c r="C1193" s="29">
        <f>B1193-B1192</f>
        <v/>
      </c>
      <c r="D1193" s="25">
        <f>VLOOKUP(A1193,'Database Claims'!$A:$C,2,)</f>
        <v/>
      </c>
      <c r="E1193" s="29">
        <f>D1193-D1192</f>
        <v/>
      </c>
    </row>
    <row r="1194">
      <c r="A1194" s="28" t="n">
        <v>32802</v>
      </c>
      <c r="B1194" s="29">
        <f>VLOOKUP(A1194,'Database Claims'!$A:$C,3,)</f>
        <v/>
      </c>
      <c r="C1194" s="29">
        <f>B1194-B1193</f>
        <v/>
      </c>
      <c r="D1194" s="29">
        <f>VLOOKUP(A1194,'Database Claims'!$A:$C,2,)</f>
        <v/>
      </c>
      <c r="E1194" s="29">
        <f>D1194-D1193</f>
        <v/>
      </c>
    </row>
    <row r="1195">
      <c r="A1195" s="28" t="n">
        <v>32809</v>
      </c>
      <c r="B1195" s="25">
        <f>VLOOKUP(A1195,'Database Claims'!$A:$C,3,)</f>
        <v/>
      </c>
      <c r="C1195" s="29">
        <f>B1195-B1194</f>
        <v/>
      </c>
      <c r="D1195" s="25">
        <f>VLOOKUP(A1195,'Database Claims'!$A:$C,2,)</f>
        <v/>
      </c>
      <c r="E1195" s="29">
        <f>D1195-D1194</f>
        <v/>
      </c>
    </row>
    <row r="1196">
      <c r="A1196" s="28" t="n">
        <v>32816</v>
      </c>
      <c r="B1196" s="29">
        <f>VLOOKUP(A1196,'Database Claims'!$A:$C,3,)</f>
        <v/>
      </c>
      <c r="C1196" s="29">
        <f>B1196-B1195</f>
        <v/>
      </c>
      <c r="D1196" s="29">
        <f>VLOOKUP(A1196,'Database Claims'!$A:$C,2,)</f>
        <v/>
      </c>
      <c r="E1196" s="29">
        <f>D1196-D1195</f>
        <v/>
      </c>
    </row>
    <row r="1197">
      <c r="A1197" s="28" t="n">
        <v>32823</v>
      </c>
      <c r="B1197" s="25">
        <f>VLOOKUP(A1197,'Database Claims'!$A:$C,3,)</f>
        <v/>
      </c>
      <c r="C1197" s="29">
        <f>B1197-B1196</f>
        <v/>
      </c>
      <c r="D1197" s="25">
        <f>VLOOKUP(A1197,'Database Claims'!$A:$C,2,)</f>
        <v/>
      </c>
      <c r="E1197" s="29">
        <f>D1197-D1196</f>
        <v/>
      </c>
    </row>
    <row r="1198">
      <c r="A1198" s="28" t="n">
        <v>32830</v>
      </c>
      <c r="B1198" s="29">
        <f>VLOOKUP(A1198,'Database Claims'!$A:$C,3,)</f>
        <v/>
      </c>
      <c r="C1198" s="29">
        <f>B1198-B1197</f>
        <v/>
      </c>
      <c r="D1198" s="29">
        <f>VLOOKUP(A1198,'Database Claims'!$A:$C,2,)</f>
        <v/>
      </c>
      <c r="E1198" s="29">
        <f>D1198-D1197</f>
        <v/>
      </c>
    </row>
    <row r="1199">
      <c r="A1199" s="28" t="n">
        <v>32837</v>
      </c>
      <c r="B1199" s="25">
        <f>VLOOKUP(A1199,'Database Claims'!$A:$C,3,)</f>
        <v/>
      </c>
      <c r="C1199" s="29">
        <f>B1199-B1198</f>
        <v/>
      </c>
      <c r="D1199" s="25">
        <f>VLOOKUP(A1199,'Database Claims'!$A:$C,2,)</f>
        <v/>
      </c>
      <c r="E1199" s="29">
        <f>D1199-D1198</f>
        <v/>
      </c>
    </row>
    <row r="1200">
      <c r="A1200" s="28" t="n">
        <v>32844</v>
      </c>
      <c r="B1200" s="29">
        <f>VLOOKUP(A1200,'Database Claims'!$A:$C,3,)</f>
        <v/>
      </c>
      <c r="C1200" s="29">
        <f>B1200-B1199</f>
        <v/>
      </c>
      <c r="D1200" s="29">
        <f>VLOOKUP(A1200,'Database Claims'!$A:$C,2,)</f>
        <v/>
      </c>
      <c r="E1200" s="29">
        <f>D1200-D1199</f>
        <v/>
      </c>
    </row>
    <row r="1201">
      <c r="A1201" s="28" t="n">
        <v>32851</v>
      </c>
      <c r="B1201" s="25">
        <f>VLOOKUP(A1201,'Database Claims'!$A:$C,3,)</f>
        <v/>
      </c>
      <c r="C1201" s="29">
        <f>B1201-B1200</f>
        <v/>
      </c>
      <c r="D1201" s="25">
        <f>VLOOKUP(A1201,'Database Claims'!$A:$C,2,)</f>
        <v/>
      </c>
      <c r="E1201" s="29">
        <f>D1201-D1200</f>
        <v/>
      </c>
    </row>
    <row r="1202">
      <c r="A1202" s="28" t="n">
        <v>32858</v>
      </c>
      <c r="B1202" s="29">
        <f>VLOOKUP(A1202,'Database Claims'!$A:$C,3,)</f>
        <v/>
      </c>
      <c r="C1202" s="29">
        <f>B1202-B1201</f>
        <v/>
      </c>
      <c r="D1202" s="29">
        <f>VLOOKUP(A1202,'Database Claims'!$A:$C,2,)</f>
        <v/>
      </c>
      <c r="E1202" s="29">
        <f>D1202-D1201</f>
        <v/>
      </c>
    </row>
    <row r="1203">
      <c r="A1203" s="28" t="n">
        <v>32865</v>
      </c>
      <c r="B1203" s="25">
        <f>VLOOKUP(A1203,'Database Claims'!$A:$C,3,)</f>
        <v/>
      </c>
      <c r="C1203" s="29">
        <f>B1203-B1202</f>
        <v/>
      </c>
      <c r="D1203" s="25">
        <f>VLOOKUP(A1203,'Database Claims'!$A:$C,2,)</f>
        <v/>
      </c>
      <c r="E1203" s="29">
        <f>D1203-D1202</f>
        <v/>
      </c>
    </row>
    <row r="1204">
      <c r="A1204" s="28" t="n">
        <v>32872</v>
      </c>
      <c r="B1204" s="29">
        <f>VLOOKUP(A1204,'Database Claims'!$A:$C,3,)</f>
        <v/>
      </c>
      <c r="C1204" s="29">
        <f>B1204-B1203</f>
        <v/>
      </c>
      <c r="D1204" s="29">
        <f>VLOOKUP(A1204,'Database Claims'!$A:$C,2,)</f>
        <v/>
      </c>
      <c r="E1204" s="29">
        <f>D1204-D1203</f>
        <v/>
      </c>
    </row>
    <row r="1205">
      <c r="A1205" s="28" t="n">
        <v>32879</v>
      </c>
      <c r="B1205" s="25">
        <f>VLOOKUP(A1205,'Database Claims'!$A:$C,3,)</f>
        <v/>
      </c>
      <c r="C1205" s="29">
        <f>B1205-B1204</f>
        <v/>
      </c>
      <c r="D1205" s="25">
        <f>VLOOKUP(A1205,'Database Claims'!$A:$C,2,)</f>
        <v/>
      </c>
      <c r="E1205" s="29">
        <f>D1205-D1204</f>
        <v/>
      </c>
    </row>
    <row r="1206">
      <c r="A1206" s="28" t="n">
        <v>32886</v>
      </c>
      <c r="B1206" s="29">
        <f>VLOOKUP(A1206,'Database Claims'!$A:$C,3,)</f>
        <v/>
      </c>
      <c r="C1206" s="29">
        <f>B1206-B1205</f>
        <v/>
      </c>
      <c r="D1206" s="29">
        <f>VLOOKUP(A1206,'Database Claims'!$A:$C,2,)</f>
        <v/>
      </c>
      <c r="E1206" s="29">
        <f>D1206-D1205</f>
        <v/>
      </c>
    </row>
    <row r="1207">
      <c r="A1207" s="28" t="n">
        <v>32893</v>
      </c>
      <c r="B1207" s="25">
        <f>VLOOKUP(A1207,'Database Claims'!$A:$C,3,)</f>
        <v/>
      </c>
      <c r="C1207" s="29">
        <f>B1207-B1206</f>
        <v/>
      </c>
      <c r="D1207" s="25">
        <f>VLOOKUP(A1207,'Database Claims'!$A:$C,2,)</f>
        <v/>
      </c>
      <c r="E1207" s="29">
        <f>D1207-D1206</f>
        <v/>
      </c>
    </row>
    <row r="1208">
      <c r="A1208" s="28" t="n">
        <v>32900</v>
      </c>
      <c r="B1208" s="29">
        <f>VLOOKUP(A1208,'Database Claims'!$A:$C,3,)</f>
        <v/>
      </c>
      <c r="C1208" s="29">
        <f>B1208-B1207</f>
        <v/>
      </c>
      <c r="D1208" s="29">
        <f>VLOOKUP(A1208,'Database Claims'!$A:$C,2,)</f>
        <v/>
      </c>
      <c r="E1208" s="29">
        <f>D1208-D1207</f>
        <v/>
      </c>
    </row>
    <row r="1209">
      <c r="A1209" s="28" t="n">
        <v>32907</v>
      </c>
      <c r="B1209" s="25">
        <f>VLOOKUP(A1209,'Database Claims'!$A:$C,3,)</f>
        <v/>
      </c>
      <c r="C1209" s="29">
        <f>B1209-B1208</f>
        <v/>
      </c>
      <c r="D1209" s="25">
        <f>VLOOKUP(A1209,'Database Claims'!$A:$C,2,)</f>
        <v/>
      </c>
      <c r="E1209" s="29">
        <f>D1209-D1208</f>
        <v/>
      </c>
    </row>
    <row r="1210">
      <c r="A1210" s="28" t="n">
        <v>32914</v>
      </c>
      <c r="B1210" s="29">
        <f>VLOOKUP(A1210,'Database Claims'!$A:$C,3,)</f>
        <v/>
      </c>
      <c r="C1210" s="29">
        <f>B1210-B1209</f>
        <v/>
      </c>
      <c r="D1210" s="29">
        <f>VLOOKUP(A1210,'Database Claims'!$A:$C,2,)</f>
        <v/>
      </c>
      <c r="E1210" s="29">
        <f>D1210-D1209</f>
        <v/>
      </c>
    </row>
    <row r="1211">
      <c r="A1211" s="28" t="n">
        <v>32921</v>
      </c>
      <c r="B1211" s="25">
        <f>VLOOKUP(A1211,'Database Claims'!$A:$C,3,)</f>
        <v/>
      </c>
      <c r="C1211" s="29">
        <f>B1211-B1210</f>
        <v/>
      </c>
      <c r="D1211" s="25">
        <f>VLOOKUP(A1211,'Database Claims'!$A:$C,2,)</f>
        <v/>
      </c>
      <c r="E1211" s="29">
        <f>D1211-D1210</f>
        <v/>
      </c>
    </row>
    <row r="1212">
      <c r="A1212" s="28" t="n">
        <v>32928</v>
      </c>
      <c r="B1212" s="29">
        <f>VLOOKUP(A1212,'Database Claims'!$A:$C,3,)</f>
        <v/>
      </c>
      <c r="C1212" s="29">
        <f>B1212-B1211</f>
        <v/>
      </c>
      <c r="D1212" s="29">
        <f>VLOOKUP(A1212,'Database Claims'!$A:$C,2,)</f>
        <v/>
      </c>
      <c r="E1212" s="29">
        <f>D1212-D1211</f>
        <v/>
      </c>
    </row>
    <row r="1213">
      <c r="A1213" s="28" t="n">
        <v>32935</v>
      </c>
      <c r="B1213" s="25">
        <f>VLOOKUP(A1213,'Database Claims'!$A:$C,3,)</f>
        <v/>
      </c>
      <c r="C1213" s="29">
        <f>B1213-B1212</f>
        <v/>
      </c>
      <c r="D1213" s="25">
        <f>VLOOKUP(A1213,'Database Claims'!$A:$C,2,)</f>
        <v/>
      </c>
      <c r="E1213" s="29">
        <f>D1213-D1212</f>
        <v/>
      </c>
    </row>
    <row r="1214">
      <c r="A1214" s="28" t="n">
        <v>32942</v>
      </c>
      <c r="B1214" s="29">
        <f>VLOOKUP(A1214,'Database Claims'!$A:$C,3,)</f>
        <v/>
      </c>
      <c r="C1214" s="29">
        <f>B1214-B1213</f>
        <v/>
      </c>
      <c r="D1214" s="29">
        <f>VLOOKUP(A1214,'Database Claims'!$A:$C,2,)</f>
        <v/>
      </c>
      <c r="E1214" s="29">
        <f>D1214-D1213</f>
        <v/>
      </c>
    </row>
    <row r="1215">
      <c r="A1215" s="28" t="n">
        <v>32949</v>
      </c>
      <c r="B1215" s="25">
        <f>VLOOKUP(A1215,'Database Claims'!$A:$C,3,)</f>
        <v/>
      </c>
      <c r="C1215" s="29">
        <f>B1215-B1214</f>
        <v/>
      </c>
      <c r="D1215" s="25">
        <f>VLOOKUP(A1215,'Database Claims'!$A:$C,2,)</f>
        <v/>
      </c>
      <c r="E1215" s="29">
        <f>D1215-D1214</f>
        <v/>
      </c>
    </row>
    <row r="1216">
      <c r="A1216" s="28" t="n">
        <v>32956</v>
      </c>
      <c r="B1216" s="29">
        <f>VLOOKUP(A1216,'Database Claims'!$A:$C,3,)</f>
        <v/>
      </c>
      <c r="C1216" s="29">
        <f>B1216-B1215</f>
        <v/>
      </c>
      <c r="D1216" s="29">
        <f>VLOOKUP(A1216,'Database Claims'!$A:$C,2,)</f>
        <v/>
      </c>
      <c r="E1216" s="29">
        <f>D1216-D1215</f>
        <v/>
      </c>
    </row>
    <row r="1217">
      <c r="A1217" s="28" t="n">
        <v>32963</v>
      </c>
      <c r="B1217" s="25">
        <f>VLOOKUP(A1217,'Database Claims'!$A:$C,3,)</f>
        <v/>
      </c>
      <c r="C1217" s="29">
        <f>B1217-B1216</f>
        <v/>
      </c>
      <c r="D1217" s="25">
        <f>VLOOKUP(A1217,'Database Claims'!$A:$C,2,)</f>
        <v/>
      </c>
      <c r="E1217" s="29">
        <f>D1217-D1216</f>
        <v/>
      </c>
    </row>
    <row r="1218">
      <c r="A1218" s="28" t="n">
        <v>32970</v>
      </c>
      <c r="B1218" s="29">
        <f>VLOOKUP(A1218,'Database Claims'!$A:$C,3,)</f>
        <v/>
      </c>
      <c r="C1218" s="29">
        <f>B1218-B1217</f>
        <v/>
      </c>
      <c r="D1218" s="29">
        <f>VLOOKUP(A1218,'Database Claims'!$A:$C,2,)</f>
        <v/>
      </c>
      <c r="E1218" s="29">
        <f>D1218-D1217</f>
        <v/>
      </c>
    </row>
    <row r="1219">
      <c r="A1219" s="28" t="n">
        <v>32977</v>
      </c>
      <c r="B1219" s="25">
        <f>VLOOKUP(A1219,'Database Claims'!$A:$C,3,)</f>
        <v/>
      </c>
      <c r="C1219" s="29">
        <f>B1219-B1218</f>
        <v/>
      </c>
      <c r="D1219" s="25">
        <f>VLOOKUP(A1219,'Database Claims'!$A:$C,2,)</f>
        <v/>
      </c>
      <c r="E1219" s="29">
        <f>D1219-D1218</f>
        <v/>
      </c>
    </row>
    <row r="1220">
      <c r="A1220" s="28" t="n">
        <v>32984</v>
      </c>
      <c r="B1220" s="29">
        <f>VLOOKUP(A1220,'Database Claims'!$A:$C,3,)</f>
        <v/>
      </c>
      <c r="C1220" s="29">
        <f>B1220-B1219</f>
        <v/>
      </c>
      <c r="D1220" s="29">
        <f>VLOOKUP(A1220,'Database Claims'!$A:$C,2,)</f>
        <v/>
      </c>
      <c r="E1220" s="29">
        <f>D1220-D1219</f>
        <v/>
      </c>
    </row>
    <row r="1221">
      <c r="A1221" s="28" t="n">
        <v>32991</v>
      </c>
      <c r="B1221" s="25">
        <f>VLOOKUP(A1221,'Database Claims'!$A:$C,3,)</f>
        <v/>
      </c>
      <c r="C1221" s="29">
        <f>B1221-B1220</f>
        <v/>
      </c>
      <c r="D1221" s="25">
        <f>VLOOKUP(A1221,'Database Claims'!$A:$C,2,)</f>
        <v/>
      </c>
      <c r="E1221" s="29">
        <f>D1221-D1220</f>
        <v/>
      </c>
    </row>
    <row r="1222">
      <c r="A1222" s="28" t="n">
        <v>32998</v>
      </c>
      <c r="B1222" s="29">
        <f>VLOOKUP(A1222,'Database Claims'!$A:$C,3,)</f>
        <v/>
      </c>
      <c r="C1222" s="29">
        <f>B1222-B1221</f>
        <v/>
      </c>
      <c r="D1222" s="29">
        <f>VLOOKUP(A1222,'Database Claims'!$A:$C,2,)</f>
        <v/>
      </c>
      <c r="E1222" s="29">
        <f>D1222-D1221</f>
        <v/>
      </c>
    </row>
    <row r="1223">
      <c r="A1223" s="28" t="n">
        <v>33005</v>
      </c>
      <c r="B1223" s="25">
        <f>VLOOKUP(A1223,'Database Claims'!$A:$C,3,)</f>
        <v/>
      </c>
      <c r="C1223" s="29">
        <f>B1223-B1222</f>
        <v/>
      </c>
      <c r="D1223" s="25">
        <f>VLOOKUP(A1223,'Database Claims'!$A:$C,2,)</f>
        <v/>
      </c>
      <c r="E1223" s="29">
        <f>D1223-D1222</f>
        <v/>
      </c>
    </row>
    <row r="1224">
      <c r="A1224" s="28" t="n">
        <v>33012</v>
      </c>
      <c r="B1224" s="29">
        <f>VLOOKUP(A1224,'Database Claims'!$A:$C,3,)</f>
        <v/>
      </c>
      <c r="C1224" s="29">
        <f>B1224-B1223</f>
        <v/>
      </c>
      <c r="D1224" s="29">
        <f>VLOOKUP(A1224,'Database Claims'!$A:$C,2,)</f>
        <v/>
      </c>
      <c r="E1224" s="29">
        <f>D1224-D1223</f>
        <v/>
      </c>
    </row>
    <row r="1225">
      <c r="A1225" s="28" t="n">
        <v>33019</v>
      </c>
      <c r="B1225" s="25">
        <f>VLOOKUP(A1225,'Database Claims'!$A:$C,3,)</f>
        <v/>
      </c>
      <c r="C1225" s="29">
        <f>B1225-B1224</f>
        <v/>
      </c>
      <c r="D1225" s="25">
        <f>VLOOKUP(A1225,'Database Claims'!$A:$C,2,)</f>
        <v/>
      </c>
      <c r="E1225" s="29">
        <f>D1225-D1224</f>
        <v/>
      </c>
    </row>
    <row r="1226">
      <c r="A1226" s="28" t="n">
        <v>33026</v>
      </c>
      <c r="B1226" s="29">
        <f>VLOOKUP(A1226,'Database Claims'!$A:$C,3,)</f>
        <v/>
      </c>
      <c r="C1226" s="29">
        <f>B1226-B1225</f>
        <v/>
      </c>
      <c r="D1226" s="29">
        <f>VLOOKUP(A1226,'Database Claims'!$A:$C,2,)</f>
        <v/>
      </c>
      <c r="E1226" s="29">
        <f>D1226-D1225</f>
        <v/>
      </c>
    </row>
    <row r="1227">
      <c r="A1227" s="28" t="n">
        <v>33033</v>
      </c>
      <c r="B1227" s="25">
        <f>VLOOKUP(A1227,'Database Claims'!$A:$C,3,)</f>
        <v/>
      </c>
      <c r="C1227" s="29">
        <f>B1227-B1226</f>
        <v/>
      </c>
      <c r="D1227" s="25">
        <f>VLOOKUP(A1227,'Database Claims'!$A:$C,2,)</f>
        <v/>
      </c>
      <c r="E1227" s="29">
        <f>D1227-D1226</f>
        <v/>
      </c>
    </row>
    <row r="1228">
      <c r="A1228" s="28" t="n">
        <v>33040</v>
      </c>
      <c r="B1228" s="29">
        <f>VLOOKUP(A1228,'Database Claims'!$A:$C,3,)</f>
        <v/>
      </c>
      <c r="C1228" s="29">
        <f>B1228-B1227</f>
        <v/>
      </c>
      <c r="D1228" s="29">
        <f>VLOOKUP(A1228,'Database Claims'!$A:$C,2,)</f>
        <v/>
      </c>
      <c r="E1228" s="29">
        <f>D1228-D1227</f>
        <v/>
      </c>
    </row>
    <row r="1229">
      <c r="A1229" s="28" t="n">
        <v>33047</v>
      </c>
      <c r="B1229" s="25">
        <f>VLOOKUP(A1229,'Database Claims'!$A:$C,3,)</f>
        <v/>
      </c>
      <c r="C1229" s="29">
        <f>B1229-B1228</f>
        <v/>
      </c>
      <c r="D1229" s="25">
        <f>VLOOKUP(A1229,'Database Claims'!$A:$C,2,)</f>
        <v/>
      </c>
      <c r="E1229" s="29">
        <f>D1229-D1228</f>
        <v/>
      </c>
    </row>
    <row r="1230">
      <c r="A1230" s="28" t="n">
        <v>33054</v>
      </c>
      <c r="B1230" s="29">
        <f>VLOOKUP(A1230,'Database Claims'!$A:$C,3,)</f>
        <v/>
      </c>
      <c r="C1230" s="29">
        <f>B1230-B1229</f>
        <v/>
      </c>
      <c r="D1230" s="29">
        <f>VLOOKUP(A1230,'Database Claims'!$A:$C,2,)</f>
        <v/>
      </c>
      <c r="E1230" s="29">
        <f>D1230-D1229</f>
        <v/>
      </c>
    </row>
    <row r="1231">
      <c r="A1231" s="28" t="n">
        <v>33061</v>
      </c>
      <c r="B1231" s="25">
        <f>VLOOKUP(A1231,'Database Claims'!$A:$C,3,)</f>
        <v/>
      </c>
      <c r="C1231" s="29">
        <f>B1231-B1230</f>
        <v/>
      </c>
      <c r="D1231" s="25">
        <f>VLOOKUP(A1231,'Database Claims'!$A:$C,2,)</f>
        <v/>
      </c>
      <c r="E1231" s="29">
        <f>D1231-D1230</f>
        <v/>
      </c>
    </row>
    <row r="1232">
      <c r="A1232" s="28" t="n">
        <v>33068</v>
      </c>
      <c r="B1232" s="29">
        <f>VLOOKUP(A1232,'Database Claims'!$A:$C,3,)</f>
        <v/>
      </c>
      <c r="C1232" s="29">
        <f>B1232-B1231</f>
        <v/>
      </c>
      <c r="D1232" s="29">
        <f>VLOOKUP(A1232,'Database Claims'!$A:$C,2,)</f>
        <v/>
      </c>
      <c r="E1232" s="29">
        <f>D1232-D1231</f>
        <v/>
      </c>
    </row>
    <row r="1233">
      <c r="A1233" s="28" t="n">
        <v>33075</v>
      </c>
      <c r="B1233" s="25">
        <f>VLOOKUP(A1233,'Database Claims'!$A:$C,3,)</f>
        <v/>
      </c>
      <c r="C1233" s="29">
        <f>B1233-B1232</f>
        <v/>
      </c>
      <c r="D1233" s="25">
        <f>VLOOKUP(A1233,'Database Claims'!$A:$C,2,)</f>
        <v/>
      </c>
      <c r="E1233" s="29">
        <f>D1233-D1232</f>
        <v/>
      </c>
    </row>
    <row r="1234">
      <c r="A1234" s="28" t="n">
        <v>33082</v>
      </c>
      <c r="B1234" s="29">
        <f>VLOOKUP(A1234,'Database Claims'!$A:$C,3,)</f>
        <v/>
      </c>
      <c r="C1234" s="29">
        <f>B1234-B1233</f>
        <v/>
      </c>
      <c r="D1234" s="29">
        <f>VLOOKUP(A1234,'Database Claims'!$A:$C,2,)</f>
        <v/>
      </c>
      <c r="E1234" s="29">
        <f>D1234-D1233</f>
        <v/>
      </c>
    </row>
    <row r="1235">
      <c r="A1235" s="28" t="n">
        <v>33089</v>
      </c>
      <c r="B1235" s="25">
        <f>VLOOKUP(A1235,'Database Claims'!$A:$C,3,)</f>
        <v/>
      </c>
      <c r="C1235" s="29">
        <f>B1235-B1234</f>
        <v/>
      </c>
      <c r="D1235" s="25">
        <f>VLOOKUP(A1235,'Database Claims'!$A:$C,2,)</f>
        <v/>
      </c>
      <c r="E1235" s="29">
        <f>D1235-D1234</f>
        <v/>
      </c>
    </row>
    <row r="1236">
      <c r="A1236" s="28" t="n">
        <v>33096</v>
      </c>
      <c r="B1236" s="29">
        <f>VLOOKUP(A1236,'Database Claims'!$A:$C,3,)</f>
        <v/>
      </c>
      <c r="C1236" s="29">
        <f>B1236-B1235</f>
        <v/>
      </c>
      <c r="D1236" s="29">
        <f>VLOOKUP(A1236,'Database Claims'!$A:$C,2,)</f>
        <v/>
      </c>
      <c r="E1236" s="29">
        <f>D1236-D1235</f>
        <v/>
      </c>
    </row>
    <row r="1237">
      <c r="A1237" s="28" t="n">
        <v>33103</v>
      </c>
      <c r="B1237" s="25">
        <f>VLOOKUP(A1237,'Database Claims'!$A:$C,3,)</f>
        <v/>
      </c>
      <c r="C1237" s="29">
        <f>B1237-B1236</f>
        <v/>
      </c>
      <c r="D1237" s="25">
        <f>VLOOKUP(A1237,'Database Claims'!$A:$C,2,)</f>
        <v/>
      </c>
      <c r="E1237" s="29">
        <f>D1237-D1236</f>
        <v/>
      </c>
    </row>
    <row r="1238">
      <c r="A1238" s="28" t="n">
        <v>33110</v>
      </c>
      <c r="B1238" s="29">
        <f>VLOOKUP(A1238,'Database Claims'!$A:$C,3,)</f>
        <v/>
      </c>
      <c r="C1238" s="29">
        <f>B1238-B1237</f>
        <v/>
      </c>
      <c r="D1238" s="29">
        <f>VLOOKUP(A1238,'Database Claims'!$A:$C,2,)</f>
        <v/>
      </c>
      <c r="E1238" s="29">
        <f>D1238-D1237</f>
        <v/>
      </c>
    </row>
    <row r="1239">
      <c r="A1239" s="28" t="n">
        <v>33117</v>
      </c>
      <c r="B1239" s="25">
        <f>VLOOKUP(A1239,'Database Claims'!$A:$C,3,)</f>
        <v/>
      </c>
      <c r="C1239" s="29">
        <f>B1239-B1238</f>
        <v/>
      </c>
      <c r="D1239" s="25">
        <f>VLOOKUP(A1239,'Database Claims'!$A:$C,2,)</f>
        <v/>
      </c>
      <c r="E1239" s="29">
        <f>D1239-D1238</f>
        <v/>
      </c>
    </row>
    <row r="1240">
      <c r="A1240" s="28" t="n">
        <v>33124</v>
      </c>
      <c r="B1240" s="29">
        <f>VLOOKUP(A1240,'Database Claims'!$A:$C,3,)</f>
        <v/>
      </c>
      <c r="C1240" s="29">
        <f>B1240-B1239</f>
        <v/>
      </c>
      <c r="D1240" s="29">
        <f>VLOOKUP(A1240,'Database Claims'!$A:$C,2,)</f>
        <v/>
      </c>
      <c r="E1240" s="29">
        <f>D1240-D1239</f>
        <v/>
      </c>
    </row>
    <row r="1241">
      <c r="A1241" s="28" t="n">
        <v>33131</v>
      </c>
      <c r="B1241" s="25">
        <f>VLOOKUP(A1241,'Database Claims'!$A:$C,3,)</f>
        <v/>
      </c>
      <c r="C1241" s="29">
        <f>B1241-B1240</f>
        <v/>
      </c>
      <c r="D1241" s="25">
        <f>VLOOKUP(A1241,'Database Claims'!$A:$C,2,)</f>
        <v/>
      </c>
      <c r="E1241" s="29">
        <f>D1241-D1240</f>
        <v/>
      </c>
    </row>
    <row r="1242">
      <c r="A1242" s="28" t="n">
        <v>33138</v>
      </c>
      <c r="B1242" s="29">
        <f>VLOOKUP(A1242,'Database Claims'!$A:$C,3,)</f>
        <v/>
      </c>
      <c r="C1242" s="29">
        <f>B1242-B1241</f>
        <v/>
      </c>
      <c r="D1242" s="29">
        <f>VLOOKUP(A1242,'Database Claims'!$A:$C,2,)</f>
        <v/>
      </c>
      <c r="E1242" s="29">
        <f>D1242-D1241</f>
        <v/>
      </c>
    </row>
    <row r="1243">
      <c r="A1243" s="28" t="n">
        <v>33145</v>
      </c>
      <c r="B1243" s="25">
        <f>VLOOKUP(A1243,'Database Claims'!$A:$C,3,)</f>
        <v/>
      </c>
      <c r="C1243" s="29">
        <f>B1243-B1242</f>
        <v/>
      </c>
      <c r="D1243" s="25">
        <f>VLOOKUP(A1243,'Database Claims'!$A:$C,2,)</f>
        <v/>
      </c>
      <c r="E1243" s="29">
        <f>D1243-D1242</f>
        <v/>
      </c>
    </row>
    <row r="1244">
      <c r="A1244" s="28" t="n">
        <v>33152</v>
      </c>
      <c r="B1244" s="29">
        <f>VLOOKUP(A1244,'Database Claims'!$A:$C,3,)</f>
        <v/>
      </c>
      <c r="C1244" s="29">
        <f>B1244-B1243</f>
        <v/>
      </c>
      <c r="D1244" s="29">
        <f>VLOOKUP(A1244,'Database Claims'!$A:$C,2,)</f>
        <v/>
      </c>
      <c r="E1244" s="29">
        <f>D1244-D1243</f>
        <v/>
      </c>
    </row>
    <row r="1245">
      <c r="A1245" s="28" t="n">
        <v>33159</v>
      </c>
      <c r="B1245" s="25">
        <f>VLOOKUP(A1245,'Database Claims'!$A:$C,3,)</f>
        <v/>
      </c>
      <c r="C1245" s="29">
        <f>B1245-B1244</f>
        <v/>
      </c>
      <c r="D1245" s="25">
        <f>VLOOKUP(A1245,'Database Claims'!$A:$C,2,)</f>
        <v/>
      </c>
      <c r="E1245" s="29">
        <f>D1245-D1244</f>
        <v/>
      </c>
    </row>
    <row r="1246">
      <c r="A1246" s="28" t="n">
        <v>33166</v>
      </c>
      <c r="B1246" s="29">
        <f>VLOOKUP(A1246,'Database Claims'!$A:$C,3,)</f>
        <v/>
      </c>
      <c r="C1246" s="29">
        <f>B1246-B1245</f>
        <v/>
      </c>
      <c r="D1246" s="29">
        <f>VLOOKUP(A1246,'Database Claims'!$A:$C,2,)</f>
        <v/>
      </c>
      <c r="E1246" s="29">
        <f>D1246-D1245</f>
        <v/>
      </c>
    </row>
    <row r="1247">
      <c r="A1247" s="28" t="n">
        <v>33173</v>
      </c>
      <c r="B1247" s="25">
        <f>VLOOKUP(A1247,'Database Claims'!$A:$C,3,)</f>
        <v/>
      </c>
      <c r="C1247" s="29">
        <f>B1247-B1246</f>
        <v/>
      </c>
      <c r="D1247" s="25">
        <f>VLOOKUP(A1247,'Database Claims'!$A:$C,2,)</f>
        <v/>
      </c>
      <c r="E1247" s="29">
        <f>D1247-D1246</f>
        <v/>
      </c>
    </row>
    <row r="1248">
      <c r="A1248" s="28" t="n">
        <v>33180</v>
      </c>
      <c r="B1248" s="29">
        <f>VLOOKUP(A1248,'Database Claims'!$A:$C,3,)</f>
        <v/>
      </c>
      <c r="C1248" s="29">
        <f>B1248-B1247</f>
        <v/>
      </c>
      <c r="D1248" s="29">
        <f>VLOOKUP(A1248,'Database Claims'!$A:$C,2,)</f>
        <v/>
      </c>
      <c r="E1248" s="29">
        <f>D1248-D1247</f>
        <v/>
      </c>
    </row>
    <row r="1249">
      <c r="A1249" s="28" t="n">
        <v>33187</v>
      </c>
      <c r="B1249" s="25">
        <f>VLOOKUP(A1249,'Database Claims'!$A:$C,3,)</f>
        <v/>
      </c>
      <c r="C1249" s="29">
        <f>B1249-B1248</f>
        <v/>
      </c>
      <c r="D1249" s="25">
        <f>VLOOKUP(A1249,'Database Claims'!$A:$C,2,)</f>
        <v/>
      </c>
      <c r="E1249" s="29">
        <f>D1249-D1248</f>
        <v/>
      </c>
    </row>
    <row r="1250">
      <c r="A1250" s="28" t="n">
        <v>33194</v>
      </c>
      <c r="B1250" s="29">
        <f>VLOOKUP(A1250,'Database Claims'!$A:$C,3,)</f>
        <v/>
      </c>
      <c r="C1250" s="29">
        <f>B1250-B1249</f>
        <v/>
      </c>
      <c r="D1250" s="29">
        <f>VLOOKUP(A1250,'Database Claims'!$A:$C,2,)</f>
        <v/>
      </c>
      <c r="E1250" s="29">
        <f>D1250-D1249</f>
        <v/>
      </c>
    </row>
    <row r="1251">
      <c r="A1251" s="28" t="n">
        <v>33201</v>
      </c>
      <c r="B1251" s="25">
        <f>VLOOKUP(A1251,'Database Claims'!$A:$C,3,)</f>
        <v/>
      </c>
      <c r="C1251" s="29">
        <f>B1251-B1250</f>
        <v/>
      </c>
      <c r="D1251" s="25">
        <f>VLOOKUP(A1251,'Database Claims'!$A:$C,2,)</f>
        <v/>
      </c>
      <c r="E1251" s="29">
        <f>D1251-D1250</f>
        <v/>
      </c>
    </row>
    <row r="1252">
      <c r="A1252" s="28" t="n">
        <v>33208</v>
      </c>
      <c r="B1252" s="29">
        <f>VLOOKUP(A1252,'Database Claims'!$A:$C,3,)</f>
        <v/>
      </c>
      <c r="C1252" s="29">
        <f>B1252-B1251</f>
        <v/>
      </c>
      <c r="D1252" s="29">
        <f>VLOOKUP(A1252,'Database Claims'!$A:$C,2,)</f>
        <v/>
      </c>
      <c r="E1252" s="29">
        <f>D1252-D1251</f>
        <v/>
      </c>
    </row>
    <row r="1253">
      <c r="A1253" s="28" t="n">
        <v>33215</v>
      </c>
      <c r="B1253" s="25">
        <f>VLOOKUP(A1253,'Database Claims'!$A:$C,3,)</f>
        <v/>
      </c>
      <c r="C1253" s="29">
        <f>B1253-B1252</f>
        <v/>
      </c>
      <c r="D1253" s="25">
        <f>VLOOKUP(A1253,'Database Claims'!$A:$C,2,)</f>
        <v/>
      </c>
      <c r="E1253" s="29">
        <f>D1253-D1252</f>
        <v/>
      </c>
    </row>
    <row r="1254">
      <c r="A1254" s="28" t="n">
        <v>33222</v>
      </c>
      <c r="B1254" s="29">
        <f>VLOOKUP(A1254,'Database Claims'!$A:$C,3,)</f>
        <v/>
      </c>
      <c r="C1254" s="29">
        <f>B1254-B1253</f>
        <v/>
      </c>
      <c r="D1254" s="29">
        <f>VLOOKUP(A1254,'Database Claims'!$A:$C,2,)</f>
        <v/>
      </c>
      <c r="E1254" s="29">
        <f>D1254-D1253</f>
        <v/>
      </c>
    </row>
    <row r="1255">
      <c r="A1255" s="28" t="n">
        <v>33229</v>
      </c>
      <c r="B1255" s="25">
        <f>VLOOKUP(A1255,'Database Claims'!$A:$C,3,)</f>
        <v/>
      </c>
      <c r="C1255" s="29">
        <f>B1255-B1254</f>
        <v/>
      </c>
      <c r="D1255" s="25">
        <f>VLOOKUP(A1255,'Database Claims'!$A:$C,2,)</f>
        <v/>
      </c>
      <c r="E1255" s="29">
        <f>D1255-D1254</f>
        <v/>
      </c>
    </row>
    <row r="1256">
      <c r="A1256" s="28" t="n">
        <v>33236</v>
      </c>
      <c r="B1256" s="29">
        <f>VLOOKUP(A1256,'Database Claims'!$A:$C,3,)</f>
        <v/>
      </c>
      <c r="C1256" s="29">
        <f>B1256-B1255</f>
        <v/>
      </c>
      <c r="D1256" s="29">
        <f>VLOOKUP(A1256,'Database Claims'!$A:$C,2,)</f>
        <v/>
      </c>
      <c r="E1256" s="29">
        <f>D1256-D1255</f>
        <v/>
      </c>
    </row>
    <row r="1257">
      <c r="A1257" s="28" t="n">
        <v>33243</v>
      </c>
      <c r="B1257" s="25">
        <f>VLOOKUP(A1257,'Database Claims'!$A:$C,3,)</f>
        <v/>
      </c>
      <c r="C1257" s="29">
        <f>B1257-B1256</f>
        <v/>
      </c>
      <c r="D1257" s="25">
        <f>VLOOKUP(A1257,'Database Claims'!$A:$C,2,)</f>
        <v/>
      </c>
      <c r="E1257" s="29">
        <f>D1257-D1256</f>
        <v/>
      </c>
    </row>
    <row r="1258">
      <c r="A1258" s="28" t="n">
        <v>33250</v>
      </c>
      <c r="B1258" s="29">
        <f>VLOOKUP(A1258,'Database Claims'!$A:$C,3,)</f>
        <v/>
      </c>
      <c r="C1258" s="29">
        <f>B1258-B1257</f>
        <v/>
      </c>
      <c r="D1258" s="29">
        <f>VLOOKUP(A1258,'Database Claims'!$A:$C,2,)</f>
        <v/>
      </c>
      <c r="E1258" s="29">
        <f>D1258-D1257</f>
        <v/>
      </c>
    </row>
    <row r="1259">
      <c r="A1259" s="28" t="n">
        <v>33257</v>
      </c>
      <c r="B1259" s="25">
        <f>VLOOKUP(A1259,'Database Claims'!$A:$C,3,)</f>
        <v/>
      </c>
      <c r="C1259" s="29">
        <f>B1259-B1258</f>
        <v/>
      </c>
      <c r="D1259" s="25">
        <f>VLOOKUP(A1259,'Database Claims'!$A:$C,2,)</f>
        <v/>
      </c>
      <c r="E1259" s="29">
        <f>D1259-D1258</f>
        <v/>
      </c>
    </row>
    <row r="1260">
      <c r="A1260" s="28" t="n">
        <v>33264</v>
      </c>
      <c r="B1260" s="29">
        <f>VLOOKUP(A1260,'Database Claims'!$A:$C,3,)</f>
        <v/>
      </c>
      <c r="C1260" s="29">
        <f>B1260-B1259</f>
        <v/>
      </c>
      <c r="D1260" s="29">
        <f>VLOOKUP(A1260,'Database Claims'!$A:$C,2,)</f>
        <v/>
      </c>
      <c r="E1260" s="29">
        <f>D1260-D1259</f>
        <v/>
      </c>
    </row>
    <row r="1261">
      <c r="A1261" s="28" t="n">
        <v>33271</v>
      </c>
      <c r="B1261" s="25">
        <f>VLOOKUP(A1261,'Database Claims'!$A:$C,3,)</f>
        <v/>
      </c>
      <c r="C1261" s="29">
        <f>B1261-B1260</f>
        <v/>
      </c>
      <c r="D1261" s="25">
        <f>VLOOKUP(A1261,'Database Claims'!$A:$C,2,)</f>
        <v/>
      </c>
      <c r="E1261" s="29">
        <f>D1261-D1260</f>
        <v/>
      </c>
    </row>
    <row r="1262">
      <c r="A1262" s="28" t="n">
        <v>33278</v>
      </c>
      <c r="B1262" s="29">
        <f>VLOOKUP(A1262,'Database Claims'!$A:$C,3,)</f>
        <v/>
      </c>
      <c r="C1262" s="29">
        <f>B1262-B1261</f>
        <v/>
      </c>
      <c r="D1262" s="29">
        <f>VLOOKUP(A1262,'Database Claims'!$A:$C,2,)</f>
        <v/>
      </c>
      <c r="E1262" s="29">
        <f>D1262-D1261</f>
        <v/>
      </c>
    </row>
    <row r="1263">
      <c r="A1263" s="28" t="n">
        <v>33285</v>
      </c>
      <c r="B1263" s="25">
        <f>VLOOKUP(A1263,'Database Claims'!$A:$C,3,)</f>
        <v/>
      </c>
      <c r="C1263" s="29">
        <f>B1263-B1262</f>
        <v/>
      </c>
      <c r="D1263" s="25">
        <f>VLOOKUP(A1263,'Database Claims'!$A:$C,2,)</f>
        <v/>
      </c>
      <c r="E1263" s="29">
        <f>D1263-D1262</f>
        <v/>
      </c>
    </row>
    <row r="1264">
      <c r="A1264" s="28" t="n">
        <v>33292</v>
      </c>
      <c r="B1264" s="29">
        <f>VLOOKUP(A1264,'Database Claims'!$A:$C,3,)</f>
        <v/>
      </c>
      <c r="C1264" s="29">
        <f>B1264-B1263</f>
        <v/>
      </c>
      <c r="D1264" s="29">
        <f>VLOOKUP(A1264,'Database Claims'!$A:$C,2,)</f>
        <v/>
      </c>
      <c r="E1264" s="29">
        <f>D1264-D1263</f>
        <v/>
      </c>
    </row>
    <row r="1265">
      <c r="A1265" s="28" t="n">
        <v>33299</v>
      </c>
      <c r="B1265" s="25">
        <f>VLOOKUP(A1265,'Database Claims'!$A:$C,3,)</f>
        <v/>
      </c>
      <c r="C1265" s="29">
        <f>B1265-B1264</f>
        <v/>
      </c>
      <c r="D1265" s="25">
        <f>VLOOKUP(A1265,'Database Claims'!$A:$C,2,)</f>
        <v/>
      </c>
      <c r="E1265" s="29">
        <f>D1265-D1264</f>
        <v/>
      </c>
    </row>
    <row r="1266">
      <c r="A1266" s="28" t="n">
        <v>33306</v>
      </c>
      <c r="B1266" s="29">
        <f>VLOOKUP(A1266,'Database Claims'!$A:$C,3,)</f>
        <v/>
      </c>
      <c r="C1266" s="29">
        <f>B1266-B1265</f>
        <v/>
      </c>
      <c r="D1266" s="29">
        <f>VLOOKUP(A1266,'Database Claims'!$A:$C,2,)</f>
        <v/>
      </c>
      <c r="E1266" s="29">
        <f>D1266-D1265</f>
        <v/>
      </c>
    </row>
    <row r="1267">
      <c r="A1267" s="28" t="n">
        <v>33313</v>
      </c>
      <c r="B1267" s="25">
        <f>VLOOKUP(A1267,'Database Claims'!$A:$C,3,)</f>
        <v/>
      </c>
      <c r="C1267" s="29">
        <f>B1267-B1266</f>
        <v/>
      </c>
      <c r="D1267" s="25">
        <f>VLOOKUP(A1267,'Database Claims'!$A:$C,2,)</f>
        <v/>
      </c>
      <c r="E1267" s="29">
        <f>D1267-D1266</f>
        <v/>
      </c>
    </row>
    <row r="1268">
      <c r="A1268" s="28" t="n">
        <v>33320</v>
      </c>
      <c r="B1268" s="29">
        <f>VLOOKUP(A1268,'Database Claims'!$A:$C,3,)</f>
        <v/>
      </c>
      <c r="C1268" s="29">
        <f>B1268-B1267</f>
        <v/>
      </c>
      <c r="D1268" s="29">
        <f>VLOOKUP(A1268,'Database Claims'!$A:$C,2,)</f>
        <v/>
      </c>
      <c r="E1268" s="29">
        <f>D1268-D1267</f>
        <v/>
      </c>
    </row>
    <row r="1269">
      <c r="A1269" s="28" t="n">
        <v>33327</v>
      </c>
      <c r="B1269" s="25">
        <f>VLOOKUP(A1269,'Database Claims'!$A:$C,3,)</f>
        <v/>
      </c>
      <c r="C1269" s="29">
        <f>B1269-B1268</f>
        <v/>
      </c>
      <c r="D1269" s="25">
        <f>VLOOKUP(A1269,'Database Claims'!$A:$C,2,)</f>
        <v/>
      </c>
      <c r="E1269" s="29">
        <f>D1269-D1268</f>
        <v/>
      </c>
    </row>
    <row r="1270">
      <c r="A1270" s="28" t="n">
        <v>33334</v>
      </c>
      <c r="B1270" s="29">
        <f>VLOOKUP(A1270,'Database Claims'!$A:$C,3,)</f>
        <v/>
      </c>
      <c r="C1270" s="29">
        <f>B1270-B1269</f>
        <v/>
      </c>
      <c r="D1270" s="29">
        <f>VLOOKUP(A1270,'Database Claims'!$A:$C,2,)</f>
        <v/>
      </c>
      <c r="E1270" s="29">
        <f>D1270-D1269</f>
        <v/>
      </c>
    </row>
    <row r="1271">
      <c r="A1271" s="28" t="n">
        <v>33341</v>
      </c>
      <c r="B1271" s="25">
        <f>VLOOKUP(A1271,'Database Claims'!$A:$C,3,)</f>
        <v/>
      </c>
      <c r="C1271" s="29">
        <f>B1271-B1270</f>
        <v/>
      </c>
      <c r="D1271" s="25">
        <f>VLOOKUP(A1271,'Database Claims'!$A:$C,2,)</f>
        <v/>
      </c>
      <c r="E1271" s="29">
        <f>D1271-D1270</f>
        <v/>
      </c>
    </row>
    <row r="1272">
      <c r="A1272" s="28" t="n">
        <v>33348</v>
      </c>
      <c r="B1272" s="29">
        <f>VLOOKUP(A1272,'Database Claims'!$A:$C,3,)</f>
        <v/>
      </c>
      <c r="C1272" s="29">
        <f>B1272-B1271</f>
        <v/>
      </c>
      <c r="D1272" s="29">
        <f>VLOOKUP(A1272,'Database Claims'!$A:$C,2,)</f>
        <v/>
      </c>
      <c r="E1272" s="29">
        <f>D1272-D1271</f>
        <v/>
      </c>
    </row>
    <row r="1273">
      <c r="A1273" s="28" t="n">
        <v>33355</v>
      </c>
      <c r="B1273" s="25">
        <f>VLOOKUP(A1273,'Database Claims'!$A:$C,3,)</f>
        <v/>
      </c>
      <c r="C1273" s="29">
        <f>B1273-B1272</f>
        <v/>
      </c>
      <c r="D1273" s="25">
        <f>VLOOKUP(A1273,'Database Claims'!$A:$C,2,)</f>
        <v/>
      </c>
      <c r="E1273" s="29">
        <f>D1273-D1272</f>
        <v/>
      </c>
    </row>
    <row r="1274">
      <c r="A1274" s="28" t="n">
        <v>33362</v>
      </c>
      <c r="B1274" s="29">
        <f>VLOOKUP(A1274,'Database Claims'!$A:$C,3,)</f>
        <v/>
      </c>
      <c r="C1274" s="29">
        <f>B1274-B1273</f>
        <v/>
      </c>
      <c r="D1274" s="29">
        <f>VLOOKUP(A1274,'Database Claims'!$A:$C,2,)</f>
        <v/>
      </c>
      <c r="E1274" s="29">
        <f>D1274-D1273</f>
        <v/>
      </c>
    </row>
    <row r="1275">
      <c r="A1275" s="28" t="n">
        <v>33369</v>
      </c>
      <c r="B1275" s="25">
        <f>VLOOKUP(A1275,'Database Claims'!$A:$C,3,)</f>
        <v/>
      </c>
      <c r="C1275" s="29">
        <f>B1275-B1274</f>
        <v/>
      </c>
      <c r="D1275" s="25">
        <f>VLOOKUP(A1275,'Database Claims'!$A:$C,2,)</f>
        <v/>
      </c>
      <c r="E1275" s="29">
        <f>D1275-D1274</f>
        <v/>
      </c>
    </row>
    <row r="1276">
      <c r="A1276" s="28" t="n">
        <v>33376</v>
      </c>
      <c r="B1276" s="29">
        <f>VLOOKUP(A1276,'Database Claims'!$A:$C,3,)</f>
        <v/>
      </c>
      <c r="C1276" s="29">
        <f>B1276-B1275</f>
        <v/>
      </c>
      <c r="D1276" s="29">
        <f>VLOOKUP(A1276,'Database Claims'!$A:$C,2,)</f>
        <v/>
      </c>
      <c r="E1276" s="29">
        <f>D1276-D1275</f>
        <v/>
      </c>
    </row>
    <row r="1277">
      <c r="A1277" s="28" t="n">
        <v>33383</v>
      </c>
      <c r="B1277" s="25">
        <f>VLOOKUP(A1277,'Database Claims'!$A:$C,3,)</f>
        <v/>
      </c>
      <c r="C1277" s="29">
        <f>B1277-B1276</f>
        <v/>
      </c>
      <c r="D1277" s="25">
        <f>VLOOKUP(A1277,'Database Claims'!$A:$C,2,)</f>
        <v/>
      </c>
      <c r="E1277" s="29">
        <f>D1277-D1276</f>
        <v/>
      </c>
    </row>
    <row r="1278">
      <c r="A1278" s="28" t="n">
        <v>33390</v>
      </c>
      <c r="B1278" s="29">
        <f>VLOOKUP(A1278,'Database Claims'!$A:$C,3,)</f>
        <v/>
      </c>
      <c r="C1278" s="29">
        <f>B1278-B1277</f>
        <v/>
      </c>
      <c r="D1278" s="29">
        <f>VLOOKUP(A1278,'Database Claims'!$A:$C,2,)</f>
        <v/>
      </c>
      <c r="E1278" s="29">
        <f>D1278-D1277</f>
        <v/>
      </c>
    </row>
    <row r="1279">
      <c r="A1279" s="28" t="n">
        <v>33397</v>
      </c>
      <c r="B1279" s="25">
        <f>VLOOKUP(A1279,'Database Claims'!$A:$C,3,)</f>
        <v/>
      </c>
      <c r="C1279" s="29">
        <f>B1279-B1278</f>
        <v/>
      </c>
      <c r="D1279" s="25">
        <f>VLOOKUP(A1279,'Database Claims'!$A:$C,2,)</f>
        <v/>
      </c>
      <c r="E1279" s="29">
        <f>D1279-D1278</f>
        <v/>
      </c>
    </row>
    <row r="1280">
      <c r="A1280" s="28" t="n">
        <v>33404</v>
      </c>
      <c r="B1280" s="29">
        <f>VLOOKUP(A1280,'Database Claims'!$A:$C,3,)</f>
        <v/>
      </c>
      <c r="C1280" s="29">
        <f>B1280-B1279</f>
        <v/>
      </c>
      <c r="D1280" s="29">
        <f>VLOOKUP(A1280,'Database Claims'!$A:$C,2,)</f>
        <v/>
      </c>
      <c r="E1280" s="29">
        <f>D1280-D1279</f>
        <v/>
      </c>
    </row>
    <row r="1281">
      <c r="A1281" s="28" t="n">
        <v>33411</v>
      </c>
      <c r="B1281" s="25">
        <f>VLOOKUP(A1281,'Database Claims'!$A:$C,3,)</f>
        <v/>
      </c>
      <c r="C1281" s="29">
        <f>B1281-B1280</f>
        <v/>
      </c>
      <c r="D1281" s="25">
        <f>VLOOKUP(A1281,'Database Claims'!$A:$C,2,)</f>
        <v/>
      </c>
      <c r="E1281" s="29">
        <f>D1281-D1280</f>
        <v/>
      </c>
    </row>
    <row r="1282">
      <c r="A1282" s="28" t="n">
        <v>33418</v>
      </c>
      <c r="B1282" s="29">
        <f>VLOOKUP(A1282,'Database Claims'!$A:$C,3,)</f>
        <v/>
      </c>
      <c r="C1282" s="29">
        <f>B1282-B1281</f>
        <v/>
      </c>
      <c r="D1282" s="29">
        <f>VLOOKUP(A1282,'Database Claims'!$A:$C,2,)</f>
        <v/>
      </c>
      <c r="E1282" s="29">
        <f>D1282-D1281</f>
        <v/>
      </c>
    </row>
    <row r="1283">
      <c r="A1283" s="28" t="n">
        <v>33425</v>
      </c>
      <c r="B1283" s="25">
        <f>VLOOKUP(A1283,'Database Claims'!$A:$C,3,)</f>
        <v/>
      </c>
      <c r="C1283" s="29">
        <f>B1283-B1282</f>
        <v/>
      </c>
      <c r="D1283" s="25">
        <f>VLOOKUP(A1283,'Database Claims'!$A:$C,2,)</f>
        <v/>
      </c>
      <c r="E1283" s="29">
        <f>D1283-D1282</f>
        <v/>
      </c>
    </row>
    <row r="1284">
      <c r="A1284" s="28" t="n">
        <v>33432</v>
      </c>
      <c r="B1284" s="29">
        <f>VLOOKUP(A1284,'Database Claims'!$A:$C,3,)</f>
        <v/>
      </c>
      <c r="C1284" s="29">
        <f>B1284-B1283</f>
        <v/>
      </c>
      <c r="D1284" s="29">
        <f>VLOOKUP(A1284,'Database Claims'!$A:$C,2,)</f>
        <v/>
      </c>
      <c r="E1284" s="29">
        <f>D1284-D1283</f>
        <v/>
      </c>
    </row>
    <row r="1285">
      <c r="A1285" s="28" t="n">
        <v>33439</v>
      </c>
      <c r="B1285" s="25">
        <f>VLOOKUP(A1285,'Database Claims'!$A:$C,3,)</f>
        <v/>
      </c>
      <c r="C1285" s="29">
        <f>B1285-B1284</f>
        <v/>
      </c>
      <c r="D1285" s="25">
        <f>VLOOKUP(A1285,'Database Claims'!$A:$C,2,)</f>
        <v/>
      </c>
      <c r="E1285" s="29">
        <f>D1285-D1284</f>
        <v/>
      </c>
    </row>
    <row r="1286">
      <c r="A1286" s="28" t="n">
        <v>33446</v>
      </c>
      <c r="B1286" s="29">
        <f>VLOOKUP(A1286,'Database Claims'!$A:$C,3,)</f>
        <v/>
      </c>
      <c r="C1286" s="29">
        <f>B1286-B1285</f>
        <v/>
      </c>
      <c r="D1286" s="29">
        <f>VLOOKUP(A1286,'Database Claims'!$A:$C,2,)</f>
        <v/>
      </c>
      <c r="E1286" s="29">
        <f>D1286-D1285</f>
        <v/>
      </c>
    </row>
    <row r="1287">
      <c r="A1287" s="28" t="n">
        <v>33453</v>
      </c>
      <c r="B1287" s="25">
        <f>VLOOKUP(A1287,'Database Claims'!$A:$C,3,)</f>
        <v/>
      </c>
      <c r="C1287" s="29">
        <f>B1287-B1286</f>
        <v/>
      </c>
      <c r="D1287" s="25">
        <f>VLOOKUP(A1287,'Database Claims'!$A:$C,2,)</f>
        <v/>
      </c>
      <c r="E1287" s="29">
        <f>D1287-D1286</f>
        <v/>
      </c>
    </row>
    <row r="1288">
      <c r="A1288" s="28" t="n">
        <v>33460</v>
      </c>
      <c r="B1288" s="29">
        <f>VLOOKUP(A1288,'Database Claims'!$A:$C,3,)</f>
        <v/>
      </c>
      <c r="C1288" s="29">
        <f>B1288-B1287</f>
        <v/>
      </c>
      <c r="D1288" s="29">
        <f>VLOOKUP(A1288,'Database Claims'!$A:$C,2,)</f>
        <v/>
      </c>
      <c r="E1288" s="29">
        <f>D1288-D1287</f>
        <v/>
      </c>
    </row>
    <row r="1289">
      <c r="A1289" s="28" t="n">
        <v>33467</v>
      </c>
      <c r="B1289" s="25">
        <f>VLOOKUP(A1289,'Database Claims'!$A:$C,3,)</f>
        <v/>
      </c>
      <c r="C1289" s="29">
        <f>B1289-B1288</f>
        <v/>
      </c>
      <c r="D1289" s="25">
        <f>VLOOKUP(A1289,'Database Claims'!$A:$C,2,)</f>
        <v/>
      </c>
      <c r="E1289" s="29">
        <f>D1289-D1288</f>
        <v/>
      </c>
    </row>
    <row r="1290">
      <c r="A1290" s="28" t="n">
        <v>33474</v>
      </c>
      <c r="B1290" s="29">
        <f>VLOOKUP(A1290,'Database Claims'!$A:$C,3,)</f>
        <v/>
      </c>
      <c r="C1290" s="29">
        <f>B1290-B1289</f>
        <v/>
      </c>
      <c r="D1290" s="29">
        <f>VLOOKUP(A1290,'Database Claims'!$A:$C,2,)</f>
        <v/>
      </c>
      <c r="E1290" s="29">
        <f>D1290-D1289</f>
        <v/>
      </c>
    </row>
    <row r="1291">
      <c r="A1291" s="28" t="n">
        <v>33481</v>
      </c>
      <c r="B1291" s="25">
        <f>VLOOKUP(A1291,'Database Claims'!$A:$C,3,)</f>
        <v/>
      </c>
      <c r="C1291" s="29">
        <f>B1291-B1290</f>
        <v/>
      </c>
      <c r="D1291" s="25">
        <f>VLOOKUP(A1291,'Database Claims'!$A:$C,2,)</f>
        <v/>
      </c>
      <c r="E1291" s="29">
        <f>D1291-D1290</f>
        <v/>
      </c>
    </row>
    <row r="1292">
      <c r="A1292" s="28" t="n">
        <v>33488</v>
      </c>
      <c r="B1292" s="29">
        <f>VLOOKUP(A1292,'Database Claims'!$A:$C,3,)</f>
        <v/>
      </c>
      <c r="C1292" s="29">
        <f>B1292-B1291</f>
        <v/>
      </c>
      <c r="D1292" s="29">
        <f>VLOOKUP(A1292,'Database Claims'!$A:$C,2,)</f>
        <v/>
      </c>
      <c r="E1292" s="29">
        <f>D1292-D1291</f>
        <v/>
      </c>
    </row>
    <row r="1293">
      <c r="A1293" s="28" t="n">
        <v>33495</v>
      </c>
      <c r="B1293" s="25">
        <f>VLOOKUP(A1293,'Database Claims'!$A:$C,3,)</f>
        <v/>
      </c>
      <c r="C1293" s="29">
        <f>B1293-B1292</f>
        <v/>
      </c>
      <c r="D1293" s="25">
        <f>VLOOKUP(A1293,'Database Claims'!$A:$C,2,)</f>
        <v/>
      </c>
      <c r="E1293" s="29">
        <f>D1293-D1292</f>
        <v/>
      </c>
    </row>
    <row r="1294">
      <c r="A1294" s="28" t="n">
        <v>33502</v>
      </c>
      <c r="B1294" s="29">
        <f>VLOOKUP(A1294,'Database Claims'!$A:$C,3,)</f>
        <v/>
      </c>
      <c r="C1294" s="29">
        <f>B1294-B1293</f>
        <v/>
      </c>
      <c r="D1294" s="29">
        <f>VLOOKUP(A1294,'Database Claims'!$A:$C,2,)</f>
        <v/>
      </c>
      <c r="E1294" s="29">
        <f>D1294-D1293</f>
        <v/>
      </c>
    </row>
    <row r="1295">
      <c r="A1295" s="28" t="n">
        <v>33509</v>
      </c>
      <c r="B1295" s="25">
        <f>VLOOKUP(A1295,'Database Claims'!$A:$C,3,)</f>
        <v/>
      </c>
      <c r="C1295" s="29">
        <f>B1295-B1294</f>
        <v/>
      </c>
      <c r="D1295" s="25">
        <f>VLOOKUP(A1295,'Database Claims'!$A:$C,2,)</f>
        <v/>
      </c>
      <c r="E1295" s="29">
        <f>D1295-D1294</f>
        <v/>
      </c>
    </row>
    <row r="1296">
      <c r="A1296" s="28" t="n">
        <v>33516</v>
      </c>
      <c r="B1296" s="29">
        <f>VLOOKUP(A1296,'Database Claims'!$A:$C,3,)</f>
        <v/>
      </c>
      <c r="C1296" s="29">
        <f>B1296-B1295</f>
        <v/>
      </c>
      <c r="D1296" s="29">
        <f>VLOOKUP(A1296,'Database Claims'!$A:$C,2,)</f>
        <v/>
      </c>
      <c r="E1296" s="29">
        <f>D1296-D1295</f>
        <v/>
      </c>
    </row>
    <row r="1297">
      <c r="A1297" s="28" t="n">
        <v>33523</v>
      </c>
      <c r="B1297" s="25">
        <f>VLOOKUP(A1297,'Database Claims'!$A:$C,3,)</f>
        <v/>
      </c>
      <c r="C1297" s="29">
        <f>B1297-B1296</f>
        <v/>
      </c>
      <c r="D1297" s="25">
        <f>VLOOKUP(A1297,'Database Claims'!$A:$C,2,)</f>
        <v/>
      </c>
      <c r="E1297" s="29">
        <f>D1297-D1296</f>
        <v/>
      </c>
    </row>
    <row r="1298">
      <c r="A1298" s="28" t="n">
        <v>33530</v>
      </c>
      <c r="B1298" s="29">
        <f>VLOOKUP(A1298,'Database Claims'!$A:$C,3,)</f>
        <v/>
      </c>
      <c r="C1298" s="29">
        <f>B1298-B1297</f>
        <v/>
      </c>
      <c r="D1298" s="29">
        <f>VLOOKUP(A1298,'Database Claims'!$A:$C,2,)</f>
        <v/>
      </c>
      <c r="E1298" s="29">
        <f>D1298-D1297</f>
        <v/>
      </c>
    </row>
    <row r="1299">
      <c r="A1299" s="28" t="n">
        <v>33537</v>
      </c>
      <c r="B1299" s="25">
        <f>VLOOKUP(A1299,'Database Claims'!$A:$C,3,)</f>
        <v/>
      </c>
      <c r="C1299" s="29">
        <f>B1299-B1298</f>
        <v/>
      </c>
      <c r="D1299" s="25">
        <f>VLOOKUP(A1299,'Database Claims'!$A:$C,2,)</f>
        <v/>
      </c>
      <c r="E1299" s="29">
        <f>D1299-D1298</f>
        <v/>
      </c>
    </row>
    <row r="1300">
      <c r="A1300" s="28" t="n">
        <v>33544</v>
      </c>
      <c r="B1300" s="29">
        <f>VLOOKUP(A1300,'Database Claims'!$A:$C,3,)</f>
        <v/>
      </c>
      <c r="C1300" s="29">
        <f>B1300-B1299</f>
        <v/>
      </c>
      <c r="D1300" s="29">
        <f>VLOOKUP(A1300,'Database Claims'!$A:$C,2,)</f>
        <v/>
      </c>
      <c r="E1300" s="29">
        <f>D1300-D1299</f>
        <v/>
      </c>
    </row>
    <row r="1301">
      <c r="A1301" s="28" t="n">
        <v>33551</v>
      </c>
      <c r="B1301" s="25">
        <f>VLOOKUP(A1301,'Database Claims'!$A:$C,3,)</f>
        <v/>
      </c>
      <c r="C1301" s="29">
        <f>B1301-B1300</f>
        <v/>
      </c>
      <c r="D1301" s="25">
        <f>VLOOKUP(A1301,'Database Claims'!$A:$C,2,)</f>
        <v/>
      </c>
      <c r="E1301" s="29">
        <f>D1301-D1300</f>
        <v/>
      </c>
    </row>
    <row r="1302">
      <c r="A1302" s="28" t="n">
        <v>33558</v>
      </c>
      <c r="B1302" s="29">
        <f>VLOOKUP(A1302,'Database Claims'!$A:$C,3,)</f>
        <v/>
      </c>
      <c r="C1302" s="29">
        <f>B1302-B1301</f>
        <v/>
      </c>
      <c r="D1302" s="29">
        <f>VLOOKUP(A1302,'Database Claims'!$A:$C,2,)</f>
        <v/>
      </c>
      <c r="E1302" s="29">
        <f>D1302-D1301</f>
        <v/>
      </c>
    </row>
    <row r="1303">
      <c r="A1303" s="28" t="n">
        <v>33565</v>
      </c>
      <c r="B1303" s="25">
        <f>VLOOKUP(A1303,'Database Claims'!$A:$C,3,)</f>
        <v/>
      </c>
      <c r="C1303" s="29">
        <f>B1303-B1302</f>
        <v/>
      </c>
      <c r="D1303" s="25">
        <f>VLOOKUP(A1303,'Database Claims'!$A:$C,2,)</f>
        <v/>
      </c>
      <c r="E1303" s="29">
        <f>D1303-D1302</f>
        <v/>
      </c>
    </row>
    <row r="1304">
      <c r="A1304" s="28" t="n">
        <v>33572</v>
      </c>
      <c r="B1304" s="29">
        <f>VLOOKUP(A1304,'Database Claims'!$A:$C,3,)</f>
        <v/>
      </c>
      <c r="C1304" s="29">
        <f>B1304-B1303</f>
        <v/>
      </c>
      <c r="D1304" s="29">
        <f>VLOOKUP(A1304,'Database Claims'!$A:$C,2,)</f>
        <v/>
      </c>
      <c r="E1304" s="29">
        <f>D1304-D1303</f>
        <v/>
      </c>
    </row>
    <row r="1305">
      <c r="A1305" s="28" t="n">
        <v>33579</v>
      </c>
      <c r="B1305" s="25">
        <f>VLOOKUP(A1305,'Database Claims'!$A:$C,3,)</f>
        <v/>
      </c>
      <c r="C1305" s="29">
        <f>B1305-B1304</f>
        <v/>
      </c>
      <c r="D1305" s="25">
        <f>VLOOKUP(A1305,'Database Claims'!$A:$C,2,)</f>
        <v/>
      </c>
      <c r="E1305" s="29">
        <f>D1305-D1304</f>
        <v/>
      </c>
    </row>
    <row r="1306">
      <c r="A1306" s="28" t="n">
        <v>33586</v>
      </c>
      <c r="B1306" s="29">
        <f>VLOOKUP(A1306,'Database Claims'!$A:$C,3,)</f>
        <v/>
      </c>
      <c r="C1306" s="29">
        <f>B1306-B1305</f>
        <v/>
      </c>
      <c r="D1306" s="29">
        <f>VLOOKUP(A1306,'Database Claims'!$A:$C,2,)</f>
        <v/>
      </c>
      <c r="E1306" s="29">
        <f>D1306-D1305</f>
        <v/>
      </c>
    </row>
    <row r="1307">
      <c r="A1307" s="28" t="n">
        <v>33593</v>
      </c>
      <c r="B1307" s="25">
        <f>VLOOKUP(A1307,'Database Claims'!$A:$C,3,)</f>
        <v/>
      </c>
      <c r="C1307" s="29">
        <f>B1307-B1306</f>
        <v/>
      </c>
      <c r="D1307" s="25">
        <f>VLOOKUP(A1307,'Database Claims'!$A:$C,2,)</f>
        <v/>
      </c>
      <c r="E1307" s="29">
        <f>D1307-D1306</f>
        <v/>
      </c>
    </row>
    <row r="1308">
      <c r="A1308" s="28" t="n">
        <v>33600</v>
      </c>
      <c r="B1308" s="29">
        <f>VLOOKUP(A1308,'Database Claims'!$A:$C,3,)</f>
        <v/>
      </c>
      <c r="C1308" s="29">
        <f>B1308-B1307</f>
        <v/>
      </c>
      <c r="D1308" s="29">
        <f>VLOOKUP(A1308,'Database Claims'!$A:$C,2,)</f>
        <v/>
      </c>
      <c r="E1308" s="29">
        <f>D1308-D1307</f>
        <v/>
      </c>
    </row>
    <row r="1309">
      <c r="A1309" s="28" t="n">
        <v>33607</v>
      </c>
      <c r="B1309" s="25">
        <f>VLOOKUP(A1309,'Database Claims'!$A:$C,3,)</f>
        <v/>
      </c>
      <c r="C1309" s="29">
        <f>B1309-B1308</f>
        <v/>
      </c>
      <c r="D1309" s="25">
        <f>VLOOKUP(A1309,'Database Claims'!$A:$C,2,)</f>
        <v/>
      </c>
      <c r="E1309" s="29">
        <f>D1309-D1308</f>
        <v/>
      </c>
    </row>
    <row r="1310">
      <c r="A1310" s="28" t="n">
        <v>33614</v>
      </c>
      <c r="B1310" s="29">
        <f>VLOOKUP(A1310,'Database Claims'!$A:$C,3,)</f>
        <v/>
      </c>
      <c r="C1310" s="29">
        <f>B1310-B1309</f>
        <v/>
      </c>
      <c r="D1310" s="29">
        <f>VLOOKUP(A1310,'Database Claims'!$A:$C,2,)</f>
        <v/>
      </c>
      <c r="E1310" s="29">
        <f>D1310-D1309</f>
        <v/>
      </c>
    </row>
    <row r="1311">
      <c r="A1311" s="28" t="n">
        <v>33621</v>
      </c>
      <c r="B1311" s="25">
        <f>VLOOKUP(A1311,'Database Claims'!$A:$C,3,)</f>
        <v/>
      </c>
      <c r="C1311" s="29">
        <f>B1311-B1310</f>
        <v/>
      </c>
      <c r="D1311" s="25">
        <f>VLOOKUP(A1311,'Database Claims'!$A:$C,2,)</f>
        <v/>
      </c>
      <c r="E1311" s="29">
        <f>D1311-D1310</f>
        <v/>
      </c>
    </row>
    <row r="1312">
      <c r="A1312" s="28" t="n">
        <v>33628</v>
      </c>
      <c r="B1312" s="29">
        <f>VLOOKUP(A1312,'Database Claims'!$A:$C,3,)</f>
        <v/>
      </c>
      <c r="C1312" s="29">
        <f>B1312-B1311</f>
        <v/>
      </c>
      <c r="D1312" s="29">
        <f>VLOOKUP(A1312,'Database Claims'!$A:$C,2,)</f>
        <v/>
      </c>
      <c r="E1312" s="29">
        <f>D1312-D1311</f>
        <v/>
      </c>
    </row>
    <row r="1313">
      <c r="A1313" s="28" t="n">
        <v>33635</v>
      </c>
      <c r="B1313" s="25">
        <f>VLOOKUP(A1313,'Database Claims'!$A:$C,3,)</f>
        <v/>
      </c>
      <c r="C1313" s="29">
        <f>B1313-B1312</f>
        <v/>
      </c>
      <c r="D1313" s="25">
        <f>VLOOKUP(A1313,'Database Claims'!$A:$C,2,)</f>
        <v/>
      </c>
      <c r="E1313" s="29">
        <f>D1313-D1312</f>
        <v/>
      </c>
    </row>
    <row r="1314">
      <c r="A1314" s="28" t="n">
        <v>33642</v>
      </c>
      <c r="B1314" s="29">
        <f>VLOOKUP(A1314,'Database Claims'!$A:$C,3,)</f>
        <v/>
      </c>
      <c r="C1314" s="29">
        <f>B1314-B1313</f>
        <v/>
      </c>
      <c r="D1314" s="29">
        <f>VLOOKUP(A1314,'Database Claims'!$A:$C,2,)</f>
        <v/>
      </c>
      <c r="E1314" s="29">
        <f>D1314-D1313</f>
        <v/>
      </c>
    </row>
    <row r="1315">
      <c r="A1315" s="28" t="n">
        <v>33649</v>
      </c>
      <c r="B1315" s="25">
        <f>VLOOKUP(A1315,'Database Claims'!$A:$C,3,)</f>
        <v/>
      </c>
      <c r="C1315" s="29">
        <f>B1315-B1314</f>
        <v/>
      </c>
      <c r="D1315" s="25">
        <f>VLOOKUP(A1315,'Database Claims'!$A:$C,2,)</f>
        <v/>
      </c>
      <c r="E1315" s="29">
        <f>D1315-D1314</f>
        <v/>
      </c>
    </row>
    <row r="1316">
      <c r="A1316" s="28" t="n">
        <v>33656</v>
      </c>
      <c r="B1316" s="29">
        <f>VLOOKUP(A1316,'Database Claims'!$A:$C,3,)</f>
        <v/>
      </c>
      <c r="C1316" s="29">
        <f>B1316-B1315</f>
        <v/>
      </c>
      <c r="D1316" s="29">
        <f>VLOOKUP(A1316,'Database Claims'!$A:$C,2,)</f>
        <v/>
      </c>
      <c r="E1316" s="29">
        <f>D1316-D1315</f>
        <v/>
      </c>
    </row>
    <row r="1317">
      <c r="A1317" s="28" t="n">
        <v>33663</v>
      </c>
      <c r="B1317" s="25">
        <f>VLOOKUP(A1317,'Database Claims'!$A:$C,3,)</f>
        <v/>
      </c>
      <c r="C1317" s="29">
        <f>B1317-B1316</f>
        <v/>
      </c>
      <c r="D1317" s="25">
        <f>VLOOKUP(A1317,'Database Claims'!$A:$C,2,)</f>
        <v/>
      </c>
      <c r="E1317" s="29">
        <f>D1317-D1316</f>
        <v/>
      </c>
    </row>
    <row r="1318">
      <c r="A1318" s="28" t="n">
        <v>33670</v>
      </c>
      <c r="B1318" s="29">
        <f>VLOOKUP(A1318,'Database Claims'!$A:$C,3,)</f>
        <v/>
      </c>
      <c r="C1318" s="29">
        <f>B1318-B1317</f>
        <v/>
      </c>
      <c r="D1318" s="29">
        <f>VLOOKUP(A1318,'Database Claims'!$A:$C,2,)</f>
        <v/>
      </c>
      <c r="E1318" s="29">
        <f>D1318-D1317</f>
        <v/>
      </c>
    </row>
    <row r="1319">
      <c r="A1319" s="28" t="n">
        <v>33677</v>
      </c>
      <c r="B1319" s="25">
        <f>VLOOKUP(A1319,'Database Claims'!$A:$C,3,)</f>
        <v/>
      </c>
      <c r="C1319" s="29">
        <f>B1319-B1318</f>
        <v/>
      </c>
      <c r="D1319" s="25">
        <f>VLOOKUP(A1319,'Database Claims'!$A:$C,2,)</f>
        <v/>
      </c>
      <c r="E1319" s="29">
        <f>D1319-D1318</f>
        <v/>
      </c>
    </row>
    <row r="1320">
      <c r="A1320" s="28" t="n">
        <v>33684</v>
      </c>
      <c r="B1320" s="29">
        <f>VLOOKUP(A1320,'Database Claims'!$A:$C,3,)</f>
        <v/>
      </c>
      <c r="C1320" s="29">
        <f>B1320-B1319</f>
        <v/>
      </c>
      <c r="D1320" s="29">
        <f>VLOOKUP(A1320,'Database Claims'!$A:$C,2,)</f>
        <v/>
      </c>
      <c r="E1320" s="29">
        <f>D1320-D1319</f>
        <v/>
      </c>
    </row>
    <row r="1321">
      <c r="A1321" s="28" t="n">
        <v>33691</v>
      </c>
      <c r="B1321" s="25">
        <f>VLOOKUP(A1321,'Database Claims'!$A:$C,3,)</f>
        <v/>
      </c>
      <c r="C1321" s="29">
        <f>B1321-B1320</f>
        <v/>
      </c>
      <c r="D1321" s="25">
        <f>VLOOKUP(A1321,'Database Claims'!$A:$C,2,)</f>
        <v/>
      </c>
      <c r="E1321" s="29">
        <f>D1321-D1320</f>
        <v/>
      </c>
    </row>
    <row r="1322">
      <c r="A1322" s="28" t="n">
        <v>33698</v>
      </c>
      <c r="B1322" s="29">
        <f>VLOOKUP(A1322,'Database Claims'!$A:$C,3,)</f>
        <v/>
      </c>
      <c r="C1322" s="29">
        <f>B1322-B1321</f>
        <v/>
      </c>
      <c r="D1322" s="29">
        <f>VLOOKUP(A1322,'Database Claims'!$A:$C,2,)</f>
        <v/>
      </c>
      <c r="E1322" s="29">
        <f>D1322-D1321</f>
        <v/>
      </c>
    </row>
    <row r="1323">
      <c r="A1323" s="28" t="n">
        <v>33705</v>
      </c>
      <c r="B1323" s="25">
        <f>VLOOKUP(A1323,'Database Claims'!$A:$C,3,)</f>
        <v/>
      </c>
      <c r="C1323" s="29">
        <f>B1323-B1322</f>
        <v/>
      </c>
      <c r="D1323" s="25">
        <f>VLOOKUP(A1323,'Database Claims'!$A:$C,2,)</f>
        <v/>
      </c>
      <c r="E1323" s="29">
        <f>D1323-D1322</f>
        <v/>
      </c>
    </row>
    <row r="1324">
      <c r="A1324" s="28" t="n">
        <v>33712</v>
      </c>
      <c r="B1324" s="29">
        <f>VLOOKUP(A1324,'Database Claims'!$A:$C,3,)</f>
        <v/>
      </c>
      <c r="C1324" s="29">
        <f>B1324-B1323</f>
        <v/>
      </c>
      <c r="D1324" s="29">
        <f>VLOOKUP(A1324,'Database Claims'!$A:$C,2,)</f>
        <v/>
      </c>
      <c r="E1324" s="29">
        <f>D1324-D1323</f>
        <v/>
      </c>
    </row>
    <row r="1325">
      <c r="A1325" s="28" t="n">
        <v>33719</v>
      </c>
      <c r="B1325" s="25">
        <f>VLOOKUP(A1325,'Database Claims'!$A:$C,3,)</f>
        <v/>
      </c>
      <c r="C1325" s="29">
        <f>B1325-B1324</f>
        <v/>
      </c>
      <c r="D1325" s="25">
        <f>VLOOKUP(A1325,'Database Claims'!$A:$C,2,)</f>
        <v/>
      </c>
      <c r="E1325" s="29">
        <f>D1325-D1324</f>
        <v/>
      </c>
    </row>
    <row r="1326">
      <c r="A1326" s="28" t="n">
        <v>33726</v>
      </c>
      <c r="B1326" s="29">
        <f>VLOOKUP(A1326,'Database Claims'!$A:$C,3,)</f>
        <v/>
      </c>
      <c r="C1326" s="29">
        <f>B1326-B1325</f>
        <v/>
      </c>
      <c r="D1326" s="29">
        <f>VLOOKUP(A1326,'Database Claims'!$A:$C,2,)</f>
        <v/>
      </c>
      <c r="E1326" s="29">
        <f>D1326-D1325</f>
        <v/>
      </c>
    </row>
    <row r="1327">
      <c r="A1327" s="28" t="n">
        <v>33733</v>
      </c>
      <c r="B1327" s="25">
        <f>VLOOKUP(A1327,'Database Claims'!$A:$C,3,)</f>
        <v/>
      </c>
      <c r="C1327" s="29">
        <f>B1327-B1326</f>
        <v/>
      </c>
      <c r="D1327" s="25">
        <f>VLOOKUP(A1327,'Database Claims'!$A:$C,2,)</f>
        <v/>
      </c>
      <c r="E1327" s="29">
        <f>D1327-D1326</f>
        <v/>
      </c>
    </row>
    <row r="1328">
      <c r="A1328" s="28" t="n">
        <v>33740</v>
      </c>
      <c r="B1328" s="29">
        <f>VLOOKUP(A1328,'Database Claims'!$A:$C,3,)</f>
        <v/>
      </c>
      <c r="C1328" s="29">
        <f>B1328-B1327</f>
        <v/>
      </c>
      <c r="D1328" s="29">
        <f>VLOOKUP(A1328,'Database Claims'!$A:$C,2,)</f>
        <v/>
      </c>
      <c r="E1328" s="29">
        <f>D1328-D1327</f>
        <v/>
      </c>
    </row>
    <row r="1329">
      <c r="A1329" s="28" t="n">
        <v>33747</v>
      </c>
      <c r="B1329" s="25">
        <f>VLOOKUP(A1329,'Database Claims'!$A:$C,3,)</f>
        <v/>
      </c>
      <c r="C1329" s="29">
        <f>B1329-B1328</f>
        <v/>
      </c>
      <c r="D1329" s="25">
        <f>VLOOKUP(A1329,'Database Claims'!$A:$C,2,)</f>
        <v/>
      </c>
      <c r="E1329" s="29">
        <f>D1329-D1328</f>
        <v/>
      </c>
    </row>
    <row r="1330">
      <c r="A1330" s="28" t="n">
        <v>33754</v>
      </c>
      <c r="B1330" s="29">
        <f>VLOOKUP(A1330,'Database Claims'!$A:$C,3,)</f>
        <v/>
      </c>
      <c r="C1330" s="29">
        <f>B1330-B1329</f>
        <v/>
      </c>
      <c r="D1330" s="29">
        <f>VLOOKUP(A1330,'Database Claims'!$A:$C,2,)</f>
        <v/>
      </c>
      <c r="E1330" s="29">
        <f>D1330-D1329</f>
        <v/>
      </c>
    </row>
    <row r="1331">
      <c r="A1331" s="28" t="n">
        <v>33761</v>
      </c>
      <c r="B1331" s="25">
        <f>VLOOKUP(A1331,'Database Claims'!$A:$C,3,)</f>
        <v/>
      </c>
      <c r="C1331" s="29">
        <f>B1331-B1330</f>
        <v/>
      </c>
      <c r="D1331" s="25">
        <f>VLOOKUP(A1331,'Database Claims'!$A:$C,2,)</f>
        <v/>
      </c>
      <c r="E1331" s="29">
        <f>D1331-D1330</f>
        <v/>
      </c>
    </row>
    <row r="1332">
      <c r="A1332" s="28" t="n">
        <v>33768</v>
      </c>
      <c r="B1332" s="29">
        <f>VLOOKUP(A1332,'Database Claims'!$A:$C,3,)</f>
        <v/>
      </c>
      <c r="C1332" s="29">
        <f>B1332-B1331</f>
        <v/>
      </c>
      <c r="D1332" s="29">
        <f>VLOOKUP(A1332,'Database Claims'!$A:$C,2,)</f>
        <v/>
      </c>
      <c r="E1332" s="29">
        <f>D1332-D1331</f>
        <v/>
      </c>
    </row>
    <row r="1333">
      <c r="A1333" s="28" t="n">
        <v>33775</v>
      </c>
      <c r="B1333" s="25">
        <f>VLOOKUP(A1333,'Database Claims'!$A:$C,3,)</f>
        <v/>
      </c>
      <c r="C1333" s="29">
        <f>B1333-B1332</f>
        <v/>
      </c>
      <c r="D1333" s="25">
        <f>VLOOKUP(A1333,'Database Claims'!$A:$C,2,)</f>
        <v/>
      </c>
      <c r="E1333" s="29">
        <f>D1333-D1332</f>
        <v/>
      </c>
    </row>
    <row r="1334">
      <c r="A1334" s="28" t="n">
        <v>33782</v>
      </c>
      <c r="B1334" s="29">
        <f>VLOOKUP(A1334,'Database Claims'!$A:$C,3,)</f>
        <v/>
      </c>
      <c r="C1334" s="29">
        <f>B1334-B1333</f>
        <v/>
      </c>
      <c r="D1334" s="29">
        <f>VLOOKUP(A1334,'Database Claims'!$A:$C,2,)</f>
        <v/>
      </c>
      <c r="E1334" s="29">
        <f>D1334-D1333</f>
        <v/>
      </c>
    </row>
    <row r="1335">
      <c r="A1335" s="28" t="n">
        <v>33789</v>
      </c>
      <c r="B1335" s="25">
        <f>VLOOKUP(A1335,'Database Claims'!$A:$C,3,)</f>
        <v/>
      </c>
      <c r="C1335" s="29">
        <f>B1335-B1334</f>
        <v/>
      </c>
      <c r="D1335" s="25">
        <f>VLOOKUP(A1335,'Database Claims'!$A:$C,2,)</f>
        <v/>
      </c>
      <c r="E1335" s="29">
        <f>D1335-D1334</f>
        <v/>
      </c>
    </row>
    <row r="1336">
      <c r="A1336" s="28" t="n">
        <v>33796</v>
      </c>
      <c r="B1336" s="29">
        <f>VLOOKUP(A1336,'Database Claims'!$A:$C,3,)</f>
        <v/>
      </c>
      <c r="C1336" s="29">
        <f>B1336-B1335</f>
        <v/>
      </c>
      <c r="D1336" s="29">
        <f>VLOOKUP(A1336,'Database Claims'!$A:$C,2,)</f>
        <v/>
      </c>
      <c r="E1336" s="29">
        <f>D1336-D1335</f>
        <v/>
      </c>
    </row>
    <row r="1337">
      <c r="A1337" s="28" t="n">
        <v>33803</v>
      </c>
      <c r="B1337" s="25">
        <f>VLOOKUP(A1337,'Database Claims'!$A:$C,3,)</f>
        <v/>
      </c>
      <c r="C1337" s="29">
        <f>B1337-B1336</f>
        <v/>
      </c>
      <c r="D1337" s="25">
        <f>VLOOKUP(A1337,'Database Claims'!$A:$C,2,)</f>
        <v/>
      </c>
      <c r="E1337" s="29">
        <f>D1337-D1336</f>
        <v/>
      </c>
    </row>
    <row r="1338">
      <c r="A1338" s="28" t="n">
        <v>33810</v>
      </c>
      <c r="B1338" s="29">
        <f>VLOOKUP(A1338,'Database Claims'!$A:$C,3,)</f>
        <v/>
      </c>
      <c r="C1338" s="29">
        <f>B1338-B1337</f>
        <v/>
      </c>
      <c r="D1338" s="29">
        <f>VLOOKUP(A1338,'Database Claims'!$A:$C,2,)</f>
        <v/>
      </c>
      <c r="E1338" s="29">
        <f>D1338-D1337</f>
        <v/>
      </c>
    </row>
    <row r="1339">
      <c r="A1339" s="28" t="n">
        <v>33817</v>
      </c>
      <c r="B1339" s="25">
        <f>VLOOKUP(A1339,'Database Claims'!$A:$C,3,)</f>
        <v/>
      </c>
      <c r="C1339" s="29">
        <f>B1339-B1338</f>
        <v/>
      </c>
      <c r="D1339" s="25">
        <f>VLOOKUP(A1339,'Database Claims'!$A:$C,2,)</f>
        <v/>
      </c>
      <c r="E1339" s="29">
        <f>D1339-D1338</f>
        <v/>
      </c>
    </row>
    <row r="1340">
      <c r="A1340" s="28" t="n">
        <v>33824</v>
      </c>
      <c r="B1340" s="29">
        <f>VLOOKUP(A1340,'Database Claims'!$A:$C,3,)</f>
        <v/>
      </c>
      <c r="C1340" s="29">
        <f>B1340-B1339</f>
        <v/>
      </c>
      <c r="D1340" s="29">
        <f>VLOOKUP(A1340,'Database Claims'!$A:$C,2,)</f>
        <v/>
      </c>
      <c r="E1340" s="29">
        <f>D1340-D1339</f>
        <v/>
      </c>
    </row>
    <row r="1341">
      <c r="A1341" s="28" t="n">
        <v>33831</v>
      </c>
      <c r="B1341" s="25">
        <f>VLOOKUP(A1341,'Database Claims'!$A:$C,3,)</f>
        <v/>
      </c>
      <c r="C1341" s="29">
        <f>B1341-B1340</f>
        <v/>
      </c>
      <c r="D1341" s="25">
        <f>VLOOKUP(A1341,'Database Claims'!$A:$C,2,)</f>
        <v/>
      </c>
      <c r="E1341" s="29">
        <f>D1341-D1340</f>
        <v/>
      </c>
    </row>
    <row r="1342">
      <c r="A1342" s="28" t="n">
        <v>33838</v>
      </c>
      <c r="B1342" s="29">
        <f>VLOOKUP(A1342,'Database Claims'!$A:$C,3,)</f>
        <v/>
      </c>
      <c r="C1342" s="29">
        <f>B1342-B1341</f>
        <v/>
      </c>
      <c r="D1342" s="29">
        <f>VLOOKUP(A1342,'Database Claims'!$A:$C,2,)</f>
        <v/>
      </c>
      <c r="E1342" s="29">
        <f>D1342-D1341</f>
        <v/>
      </c>
    </row>
    <row r="1343">
      <c r="A1343" s="28" t="n">
        <v>33845</v>
      </c>
      <c r="B1343" s="25">
        <f>VLOOKUP(A1343,'Database Claims'!$A:$C,3,)</f>
        <v/>
      </c>
      <c r="C1343" s="29">
        <f>B1343-B1342</f>
        <v/>
      </c>
      <c r="D1343" s="25">
        <f>VLOOKUP(A1343,'Database Claims'!$A:$C,2,)</f>
        <v/>
      </c>
      <c r="E1343" s="29">
        <f>D1343-D1342</f>
        <v/>
      </c>
    </row>
    <row r="1344">
      <c r="A1344" s="28" t="n">
        <v>33852</v>
      </c>
      <c r="B1344" s="29">
        <f>VLOOKUP(A1344,'Database Claims'!$A:$C,3,)</f>
        <v/>
      </c>
      <c r="C1344" s="29">
        <f>B1344-B1343</f>
        <v/>
      </c>
      <c r="D1344" s="29">
        <f>VLOOKUP(A1344,'Database Claims'!$A:$C,2,)</f>
        <v/>
      </c>
      <c r="E1344" s="29">
        <f>D1344-D1343</f>
        <v/>
      </c>
    </row>
    <row r="1345">
      <c r="A1345" s="28" t="n">
        <v>33859</v>
      </c>
      <c r="B1345" s="25">
        <f>VLOOKUP(A1345,'Database Claims'!$A:$C,3,)</f>
        <v/>
      </c>
      <c r="C1345" s="29">
        <f>B1345-B1344</f>
        <v/>
      </c>
      <c r="D1345" s="25">
        <f>VLOOKUP(A1345,'Database Claims'!$A:$C,2,)</f>
        <v/>
      </c>
      <c r="E1345" s="29">
        <f>D1345-D1344</f>
        <v/>
      </c>
    </row>
    <row r="1346">
      <c r="A1346" s="28" t="n">
        <v>33866</v>
      </c>
      <c r="B1346" s="29">
        <f>VLOOKUP(A1346,'Database Claims'!$A:$C,3,)</f>
        <v/>
      </c>
      <c r="C1346" s="29">
        <f>B1346-B1345</f>
        <v/>
      </c>
      <c r="D1346" s="29">
        <f>VLOOKUP(A1346,'Database Claims'!$A:$C,2,)</f>
        <v/>
      </c>
      <c r="E1346" s="29">
        <f>D1346-D1345</f>
        <v/>
      </c>
    </row>
    <row r="1347">
      <c r="A1347" s="28" t="n">
        <v>33873</v>
      </c>
      <c r="B1347" s="25">
        <f>VLOOKUP(A1347,'Database Claims'!$A:$C,3,)</f>
        <v/>
      </c>
      <c r="C1347" s="29">
        <f>B1347-B1346</f>
        <v/>
      </c>
      <c r="D1347" s="25">
        <f>VLOOKUP(A1347,'Database Claims'!$A:$C,2,)</f>
        <v/>
      </c>
      <c r="E1347" s="29">
        <f>D1347-D1346</f>
        <v/>
      </c>
    </row>
    <row r="1348">
      <c r="A1348" s="28" t="n">
        <v>33880</v>
      </c>
      <c r="B1348" s="29">
        <f>VLOOKUP(A1348,'Database Claims'!$A:$C,3,)</f>
        <v/>
      </c>
      <c r="C1348" s="29">
        <f>B1348-B1347</f>
        <v/>
      </c>
      <c r="D1348" s="29">
        <f>VLOOKUP(A1348,'Database Claims'!$A:$C,2,)</f>
        <v/>
      </c>
      <c r="E1348" s="29">
        <f>D1348-D1347</f>
        <v/>
      </c>
    </row>
    <row r="1349">
      <c r="A1349" s="28" t="n">
        <v>33887</v>
      </c>
      <c r="B1349" s="25">
        <f>VLOOKUP(A1349,'Database Claims'!$A:$C,3,)</f>
        <v/>
      </c>
      <c r="C1349" s="29">
        <f>B1349-B1348</f>
        <v/>
      </c>
      <c r="D1349" s="25">
        <f>VLOOKUP(A1349,'Database Claims'!$A:$C,2,)</f>
        <v/>
      </c>
      <c r="E1349" s="29">
        <f>D1349-D1348</f>
        <v/>
      </c>
    </row>
    <row r="1350">
      <c r="A1350" s="28" t="n">
        <v>33894</v>
      </c>
      <c r="B1350" s="29">
        <f>VLOOKUP(A1350,'Database Claims'!$A:$C,3,)</f>
        <v/>
      </c>
      <c r="C1350" s="29">
        <f>B1350-B1349</f>
        <v/>
      </c>
      <c r="D1350" s="29">
        <f>VLOOKUP(A1350,'Database Claims'!$A:$C,2,)</f>
        <v/>
      </c>
      <c r="E1350" s="29">
        <f>D1350-D1349</f>
        <v/>
      </c>
    </row>
    <row r="1351">
      <c r="A1351" s="28" t="n">
        <v>33901</v>
      </c>
      <c r="B1351" s="25">
        <f>VLOOKUP(A1351,'Database Claims'!$A:$C,3,)</f>
        <v/>
      </c>
      <c r="C1351" s="29">
        <f>B1351-B1350</f>
        <v/>
      </c>
      <c r="D1351" s="25">
        <f>VLOOKUP(A1351,'Database Claims'!$A:$C,2,)</f>
        <v/>
      </c>
      <c r="E1351" s="29">
        <f>D1351-D1350</f>
        <v/>
      </c>
    </row>
    <row r="1352">
      <c r="A1352" s="28" t="n">
        <v>33908</v>
      </c>
      <c r="B1352" s="29">
        <f>VLOOKUP(A1352,'Database Claims'!$A:$C,3,)</f>
        <v/>
      </c>
      <c r="C1352" s="29">
        <f>B1352-B1351</f>
        <v/>
      </c>
      <c r="D1352" s="29">
        <f>VLOOKUP(A1352,'Database Claims'!$A:$C,2,)</f>
        <v/>
      </c>
      <c r="E1352" s="29">
        <f>D1352-D1351</f>
        <v/>
      </c>
    </row>
    <row r="1353">
      <c r="A1353" s="28" t="n">
        <v>33915</v>
      </c>
      <c r="B1353" s="25">
        <f>VLOOKUP(A1353,'Database Claims'!$A:$C,3,)</f>
        <v/>
      </c>
      <c r="C1353" s="29">
        <f>B1353-B1352</f>
        <v/>
      </c>
      <c r="D1353" s="25">
        <f>VLOOKUP(A1353,'Database Claims'!$A:$C,2,)</f>
        <v/>
      </c>
      <c r="E1353" s="29">
        <f>D1353-D1352</f>
        <v/>
      </c>
    </row>
    <row r="1354">
      <c r="A1354" s="28" t="n">
        <v>33922</v>
      </c>
      <c r="B1354" s="29">
        <f>VLOOKUP(A1354,'Database Claims'!$A:$C,3,)</f>
        <v/>
      </c>
      <c r="C1354" s="29">
        <f>B1354-B1353</f>
        <v/>
      </c>
      <c r="D1354" s="29">
        <f>VLOOKUP(A1354,'Database Claims'!$A:$C,2,)</f>
        <v/>
      </c>
      <c r="E1354" s="29">
        <f>D1354-D1353</f>
        <v/>
      </c>
    </row>
    <row r="1355">
      <c r="A1355" s="28" t="n">
        <v>33929</v>
      </c>
      <c r="B1355" s="25">
        <f>VLOOKUP(A1355,'Database Claims'!$A:$C,3,)</f>
        <v/>
      </c>
      <c r="C1355" s="29">
        <f>B1355-B1354</f>
        <v/>
      </c>
      <c r="D1355" s="25">
        <f>VLOOKUP(A1355,'Database Claims'!$A:$C,2,)</f>
        <v/>
      </c>
      <c r="E1355" s="29">
        <f>D1355-D1354</f>
        <v/>
      </c>
    </row>
    <row r="1356">
      <c r="A1356" s="28" t="n">
        <v>33936</v>
      </c>
      <c r="B1356" s="29">
        <f>VLOOKUP(A1356,'Database Claims'!$A:$C,3,)</f>
        <v/>
      </c>
      <c r="C1356" s="29">
        <f>B1356-B1355</f>
        <v/>
      </c>
      <c r="D1356" s="29">
        <f>VLOOKUP(A1356,'Database Claims'!$A:$C,2,)</f>
        <v/>
      </c>
      <c r="E1356" s="29">
        <f>D1356-D1355</f>
        <v/>
      </c>
    </row>
    <row r="1357">
      <c r="A1357" s="28" t="n">
        <v>33943</v>
      </c>
      <c r="B1357" s="25">
        <f>VLOOKUP(A1357,'Database Claims'!$A:$C,3,)</f>
        <v/>
      </c>
      <c r="C1357" s="29">
        <f>B1357-B1356</f>
        <v/>
      </c>
      <c r="D1357" s="25">
        <f>VLOOKUP(A1357,'Database Claims'!$A:$C,2,)</f>
        <v/>
      </c>
      <c r="E1357" s="29">
        <f>D1357-D1356</f>
        <v/>
      </c>
    </row>
    <row r="1358">
      <c r="A1358" s="28" t="n">
        <v>33950</v>
      </c>
      <c r="B1358" s="29">
        <f>VLOOKUP(A1358,'Database Claims'!$A:$C,3,)</f>
        <v/>
      </c>
      <c r="C1358" s="29">
        <f>B1358-B1357</f>
        <v/>
      </c>
      <c r="D1358" s="29">
        <f>VLOOKUP(A1358,'Database Claims'!$A:$C,2,)</f>
        <v/>
      </c>
      <c r="E1358" s="29">
        <f>D1358-D1357</f>
        <v/>
      </c>
    </row>
    <row r="1359">
      <c r="A1359" s="28" t="n">
        <v>33957</v>
      </c>
      <c r="B1359" s="25">
        <f>VLOOKUP(A1359,'Database Claims'!$A:$C,3,)</f>
        <v/>
      </c>
      <c r="C1359" s="29">
        <f>B1359-B1358</f>
        <v/>
      </c>
      <c r="D1359" s="25">
        <f>VLOOKUP(A1359,'Database Claims'!$A:$C,2,)</f>
        <v/>
      </c>
      <c r="E1359" s="29">
        <f>D1359-D1358</f>
        <v/>
      </c>
    </row>
    <row r="1360">
      <c r="A1360" s="28" t="n">
        <v>33964</v>
      </c>
      <c r="B1360" s="29">
        <f>VLOOKUP(A1360,'Database Claims'!$A:$C,3,)</f>
        <v/>
      </c>
      <c r="C1360" s="29">
        <f>B1360-B1359</f>
        <v/>
      </c>
      <c r="D1360" s="29">
        <f>VLOOKUP(A1360,'Database Claims'!$A:$C,2,)</f>
        <v/>
      </c>
      <c r="E1360" s="29">
        <f>D1360-D1359</f>
        <v/>
      </c>
    </row>
    <row r="1361">
      <c r="A1361" s="28" t="n">
        <v>33971</v>
      </c>
      <c r="B1361" s="25">
        <f>VLOOKUP(A1361,'Database Claims'!$A:$C,3,)</f>
        <v/>
      </c>
      <c r="C1361" s="29">
        <f>B1361-B1360</f>
        <v/>
      </c>
      <c r="D1361" s="25">
        <f>VLOOKUP(A1361,'Database Claims'!$A:$C,2,)</f>
        <v/>
      </c>
      <c r="E1361" s="29">
        <f>D1361-D1360</f>
        <v/>
      </c>
    </row>
    <row r="1362">
      <c r="A1362" s="28" t="n">
        <v>33978</v>
      </c>
      <c r="B1362" s="29">
        <f>VLOOKUP(A1362,'Database Claims'!$A:$C,3,)</f>
        <v/>
      </c>
      <c r="C1362" s="29">
        <f>B1362-B1361</f>
        <v/>
      </c>
      <c r="D1362" s="29">
        <f>VLOOKUP(A1362,'Database Claims'!$A:$C,2,)</f>
        <v/>
      </c>
      <c r="E1362" s="29">
        <f>D1362-D1361</f>
        <v/>
      </c>
    </row>
    <row r="1363">
      <c r="A1363" s="28" t="n">
        <v>33985</v>
      </c>
      <c r="B1363" s="25">
        <f>VLOOKUP(A1363,'Database Claims'!$A:$C,3,)</f>
        <v/>
      </c>
      <c r="C1363" s="29">
        <f>B1363-B1362</f>
        <v/>
      </c>
      <c r="D1363" s="25">
        <f>VLOOKUP(A1363,'Database Claims'!$A:$C,2,)</f>
        <v/>
      </c>
      <c r="E1363" s="29">
        <f>D1363-D1362</f>
        <v/>
      </c>
    </row>
    <row r="1364">
      <c r="A1364" s="28" t="n">
        <v>33992</v>
      </c>
      <c r="B1364" s="29">
        <f>VLOOKUP(A1364,'Database Claims'!$A:$C,3,)</f>
        <v/>
      </c>
      <c r="C1364" s="29">
        <f>B1364-B1363</f>
        <v/>
      </c>
      <c r="D1364" s="29">
        <f>VLOOKUP(A1364,'Database Claims'!$A:$C,2,)</f>
        <v/>
      </c>
      <c r="E1364" s="29">
        <f>D1364-D1363</f>
        <v/>
      </c>
    </row>
    <row r="1365">
      <c r="A1365" s="28" t="n">
        <v>33999</v>
      </c>
      <c r="B1365" s="25">
        <f>VLOOKUP(A1365,'Database Claims'!$A:$C,3,)</f>
        <v/>
      </c>
      <c r="C1365" s="29">
        <f>B1365-B1364</f>
        <v/>
      </c>
      <c r="D1365" s="25">
        <f>VLOOKUP(A1365,'Database Claims'!$A:$C,2,)</f>
        <v/>
      </c>
      <c r="E1365" s="29">
        <f>D1365-D1364</f>
        <v/>
      </c>
    </row>
    <row r="1366">
      <c r="A1366" s="28" t="n">
        <v>34006</v>
      </c>
      <c r="B1366" s="29">
        <f>VLOOKUP(A1366,'Database Claims'!$A:$C,3,)</f>
        <v/>
      </c>
      <c r="C1366" s="29">
        <f>B1366-B1365</f>
        <v/>
      </c>
      <c r="D1366" s="29">
        <f>VLOOKUP(A1366,'Database Claims'!$A:$C,2,)</f>
        <v/>
      </c>
      <c r="E1366" s="29">
        <f>D1366-D1365</f>
        <v/>
      </c>
    </row>
    <row r="1367">
      <c r="A1367" s="28" t="n">
        <v>34013</v>
      </c>
      <c r="B1367" s="25">
        <f>VLOOKUP(A1367,'Database Claims'!$A:$C,3,)</f>
        <v/>
      </c>
      <c r="C1367" s="29">
        <f>B1367-B1366</f>
        <v/>
      </c>
      <c r="D1367" s="25">
        <f>VLOOKUP(A1367,'Database Claims'!$A:$C,2,)</f>
        <v/>
      </c>
      <c r="E1367" s="29">
        <f>D1367-D1366</f>
        <v/>
      </c>
    </row>
    <row r="1368">
      <c r="A1368" s="28" t="n">
        <v>34020</v>
      </c>
      <c r="B1368" s="29">
        <f>VLOOKUP(A1368,'Database Claims'!$A:$C,3,)</f>
        <v/>
      </c>
      <c r="C1368" s="29">
        <f>B1368-B1367</f>
        <v/>
      </c>
      <c r="D1368" s="29">
        <f>VLOOKUP(A1368,'Database Claims'!$A:$C,2,)</f>
        <v/>
      </c>
      <c r="E1368" s="29">
        <f>D1368-D1367</f>
        <v/>
      </c>
    </row>
    <row r="1369">
      <c r="A1369" s="28" t="n">
        <v>34027</v>
      </c>
      <c r="B1369" s="25">
        <f>VLOOKUP(A1369,'Database Claims'!$A:$C,3,)</f>
        <v/>
      </c>
      <c r="C1369" s="29">
        <f>B1369-B1368</f>
        <v/>
      </c>
      <c r="D1369" s="25">
        <f>VLOOKUP(A1369,'Database Claims'!$A:$C,2,)</f>
        <v/>
      </c>
      <c r="E1369" s="29">
        <f>D1369-D1368</f>
        <v/>
      </c>
    </row>
    <row r="1370">
      <c r="A1370" s="28" t="n">
        <v>34034</v>
      </c>
      <c r="B1370" s="29">
        <f>VLOOKUP(A1370,'Database Claims'!$A:$C,3,)</f>
        <v/>
      </c>
      <c r="C1370" s="29">
        <f>B1370-B1369</f>
        <v/>
      </c>
      <c r="D1370" s="29">
        <f>VLOOKUP(A1370,'Database Claims'!$A:$C,2,)</f>
        <v/>
      </c>
      <c r="E1370" s="29">
        <f>D1370-D1369</f>
        <v/>
      </c>
    </row>
    <row r="1371">
      <c r="A1371" s="28" t="n">
        <v>34041</v>
      </c>
      <c r="B1371" s="25">
        <f>VLOOKUP(A1371,'Database Claims'!$A:$C,3,)</f>
        <v/>
      </c>
      <c r="C1371" s="29">
        <f>B1371-B1370</f>
        <v/>
      </c>
      <c r="D1371" s="25">
        <f>VLOOKUP(A1371,'Database Claims'!$A:$C,2,)</f>
        <v/>
      </c>
      <c r="E1371" s="29">
        <f>D1371-D1370</f>
        <v/>
      </c>
    </row>
    <row r="1372">
      <c r="A1372" s="28" t="n">
        <v>34048</v>
      </c>
      <c r="B1372" s="29">
        <f>VLOOKUP(A1372,'Database Claims'!$A:$C,3,)</f>
        <v/>
      </c>
      <c r="C1372" s="29">
        <f>B1372-B1371</f>
        <v/>
      </c>
      <c r="D1372" s="29">
        <f>VLOOKUP(A1372,'Database Claims'!$A:$C,2,)</f>
        <v/>
      </c>
      <c r="E1372" s="29">
        <f>D1372-D1371</f>
        <v/>
      </c>
    </row>
    <row r="1373">
      <c r="A1373" s="28" t="n">
        <v>34055</v>
      </c>
      <c r="B1373" s="25">
        <f>VLOOKUP(A1373,'Database Claims'!$A:$C,3,)</f>
        <v/>
      </c>
      <c r="C1373" s="29">
        <f>B1373-B1372</f>
        <v/>
      </c>
      <c r="D1373" s="25">
        <f>VLOOKUP(A1373,'Database Claims'!$A:$C,2,)</f>
        <v/>
      </c>
      <c r="E1373" s="29">
        <f>D1373-D1372</f>
        <v/>
      </c>
    </row>
    <row r="1374">
      <c r="A1374" s="28" t="n">
        <v>34062</v>
      </c>
      <c r="B1374" s="29">
        <f>VLOOKUP(A1374,'Database Claims'!$A:$C,3,)</f>
        <v/>
      </c>
      <c r="C1374" s="29">
        <f>B1374-B1373</f>
        <v/>
      </c>
      <c r="D1374" s="29">
        <f>VLOOKUP(A1374,'Database Claims'!$A:$C,2,)</f>
        <v/>
      </c>
      <c r="E1374" s="29">
        <f>D1374-D1373</f>
        <v/>
      </c>
    </row>
    <row r="1375">
      <c r="A1375" s="28" t="n">
        <v>34069</v>
      </c>
      <c r="B1375" s="25">
        <f>VLOOKUP(A1375,'Database Claims'!$A:$C,3,)</f>
        <v/>
      </c>
      <c r="C1375" s="29">
        <f>B1375-B1374</f>
        <v/>
      </c>
      <c r="D1375" s="25">
        <f>VLOOKUP(A1375,'Database Claims'!$A:$C,2,)</f>
        <v/>
      </c>
      <c r="E1375" s="29">
        <f>D1375-D1374</f>
        <v/>
      </c>
    </row>
    <row r="1376">
      <c r="A1376" s="28" t="n">
        <v>34076</v>
      </c>
      <c r="B1376" s="29">
        <f>VLOOKUP(A1376,'Database Claims'!$A:$C,3,)</f>
        <v/>
      </c>
      <c r="C1376" s="29">
        <f>B1376-B1375</f>
        <v/>
      </c>
      <c r="D1376" s="29">
        <f>VLOOKUP(A1376,'Database Claims'!$A:$C,2,)</f>
        <v/>
      </c>
      <c r="E1376" s="29">
        <f>D1376-D1375</f>
        <v/>
      </c>
    </row>
    <row r="1377">
      <c r="A1377" s="28" t="n">
        <v>34083</v>
      </c>
      <c r="B1377" s="25">
        <f>VLOOKUP(A1377,'Database Claims'!$A:$C,3,)</f>
        <v/>
      </c>
      <c r="C1377" s="29">
        <f>B1377-B1376</f>
        <v/>
      </c>
      <c r="D1377" s="25">
        <f>VLOOKUP(A1377,'Database Claims'!$A:$C,2,)</f>
        <v/>
      </c>
      <c r="E1377" s="29">
        <f>D1377-D1376</f>
        <v/>
      </c>
    </row>
    <row r="1378">
      <c r="A1378" s="28" t="n">
        <v>34090</v>
      </c>
      <c r="B1378" s="29">
        <f>VLOOKUP(A1378,'Database Claims'!$A:$C,3,)</f>
        <v/>
      </c>
      <c r="C1378" s="29">
        <f>B1378-B1377</f>
        <v/>
      </c>
      <c r="D1378" s="29">
        <f>VLOOKUP(A1378,'Database Claims'!$A:$C,2,)</f>
        <v/>
      </c>
      <c r="E1378" s="29">
        <f>D1378-D1377</f>
        <v/>
      </c>
    </row>
    <row r="1379">
      <c r="A1379" s="28" t="n">
        <v>34097</v>
      </c>
      <c r="B1379" s="25">
        <f>VLOOKUP(A1379,'Database Claims'!$A:$C,3,)</f>
        <v/>
      </c>
      <c r="C1379" s="29">
        <f>B1379-B1378</f>
        <v/>
      </c>
      <c r="D1379" s="25">
        <f>VLOOKUP(A1379,'Database Claims'!$A:$C,2,)</f>
        <v/>
      </c>
      <c r="E1379" s="29">
        <f>D1379-D1378</f>
        <v/>
      </c>
    </row>
    <row r="1380">
      <c r="A1380" s="28" t="n">
        <v>34104</v>
      </c>
      <c r="B1380" s="29">
        <f>VLOOKUP(A1380,'Database Claims'!$A:$C,3,)</f>
        <v/>
      </c>
      <c r="C1380" s="29">
        <f>B1380-B1379</f>
        <v/>
      </c>
      <c r="D1380" s="29">
        <f>VLOOKUP(A1380,'Database Claims'!$A:$C,2,)</f>
        <v/>
      </c>
      <c r="E1380" s="29">
        <f>D1380-D1379</f>
        <v/>
      </c>
    </row>
    <row r="1381">
      <c r="A1381" s="28" t="n">
        <v>34111</v>
      </c>
      <c r="B1381" s="25">
        <f>VLOOKUP(A1381,'Database Claims'!$A:$C,3,)</f>
        <v/>
      </c>
      <c r="C1381" s="29">
        <f>B1381-B1380</f>
        <v/>
      </c>
      <c r="D1381" s="25">
        <f>VLOOKUP(A1381,'Database Claims'!$A:$C,2,)</f>
        <v/>
      </c>
      <c r="E1381" s="29">
        <f>D1381-D1380</f>
        <v/>
      </c>
    </row>
    <row r="1382">
      <c r="A1382" s="28" t="n">
        <v>34118</v>
      </c>
      <c r="B1382" s="29">
        <f>VLOOKUP(A1382,'Database Claims'!$A:$C,3,)</f>
        <v/>
      </c>
      <c r="C1382" s="29">
        <f>B1382-B1381</f>
        <v/>
      </c>
      <c r="D1382" s="29">
        <f>VLOOKUP(A1382,'Database Claims'!$A:$C,2,)</f>
        <v/>
      </c>
      <c r="E1382" s="29">
        <f>D1382-D1381</f>
        <v/>
      </c>
    </row>
    <row r="1383">
      <c r="A1383" s="28" t="n">
        <v>34125</v>
      </c>
      <c r="B1383" s="25">
        <f>VLOOKUP(A1383,'Database Claims'!$A:$C,3,)</f>
        <v/>
      </c>
      <c r="C1383" s="29">
        <f>B1383-B1382</f>
        <v/>
      </c>
      <c r="D1383" s="25">
        <f>VLOOKUP(A1383,'Database Claims'!$A:$C,2,)</f>
        <v/>
      </c>
      <c r="E1383" s="29">
        <f>D1383-D1382</f>
        <v/>
      </c>
    </row>
    <row r="1384">
      <c r="A1384" s="28" t="n">
        <v>34132</v>
      </c>
      <c r="B1384" s="29">
        <f>VLOOKUP(A1384,'Database Claims'!$A:$C,3,)</f>
        <v/>
      </c>
      <c r="C1384" s="29">
        <f>B1384-B1383</f>
        <v/>
      </c>
      <c r="D1384" s="29">
        <f>VLOOKUP(A1384,'Database Claims'!$A:$C,2,)</f>
        <v/>
      </c>
      <c r="E1384" s="29">
        <f>D1384-D1383</f>
        <v/>
      </c>
    </row>
    <row r="1385">
      <c r="A1385" s="28" t="n">
        <v>34139</v>
      </c>
      <c r="B1385" s="25">
        <f>VLOOKUP(A1385,'Database Claims'!$A:$C,3,)</f>
        <v/>
      </c>
      <c r="C1385" s="29">
        <f>B1385-B1384</f>
        <v/>
      </c>
      <c r="D1385" s="25">
        <f>VLOOKUP(A1385,'Database Claims'!$A:$C,2,)</f>
        <v/>
      </c>
      <c r="E1385" s="29">
        <f>D1385-D1384</f>
        <v/>
      </c>
    </row>
    <row r="1386">
      <c r="A1386" s="28" t="n">
        <v>34146</v>
      </c>
      <c r="B1386" s="29">
        <f>VLOOKUP(A1386,'Database Claims'!$A:$C,3,)</f>
        <v/>
      </c>
      <c r="C1386" s="29">
        <f>B1386-B1385</f>
        <v/>
      </c>
      <c r="D1386" s="29">
        <f>VLOOKUP(A1386,'Database Claims'!$A:$C,2,)</f>
        <v/>
      </c>
      <c r="E1386" s="29">
        <f>D1386-D1385</f>
        <v/>
      </c>
    </row>
    <row r="1387">
      <c r="A1387" s="28" t="n">
        <v>34153</v>
      </c>
      <c r="B1387" s="25">
        <f>VLOOKUP(A1387,'Database Claims'!$A:$C,3,)</f>
        <v/>
      </c>
      <c r="C1387" s="29">
        <f>B1387-B1386</f>
        <v/>
      </c>
      <c r="D1387" s="25">
        <f>VLOOKUP(A1387,'Database Claims'!$A:$C,2,)</f>
        <v/>
      </c>
      <c r="E1387" s="29">
        <f>D1387-D1386</f>
        <v/>
      </c>
    </row>
    <row r="1388">
      <c r="A1388" s="28" t="n">
        <v>34160</v>
      </c>
      <c r="B1388" s="29">
        <f>VLOOKUP(A1388,'Database Claims'!$A:$C,3,)</f>
        <v/>
      </c>
      <c r="C1388" s="29">
        <f>B1388-B1387</f>
        <v/>
      </c>
      <c r="D1388" s="29">
        <f>VLOOKUP(A1388,'Database Claims'!$A:$C,2,)</f>
        <v/>
      </c>
      <c r="E1388" s="29">
        <f>D1388-D1387</f>
        <v/>
      </c>
    </row>
    <row r="1389">
      <c r="A1389" s="28" t="n">
        <v>34167</v>
      </c>
      <c r="B1389" s="25">
        <f>VLOOKUP(A1389,'Database Claims'!$A:$C,3,)</f>
        <v/>
      </c>
      <c r="C1389" s="29">
        <f>B1389-B1388</f>
        <v/>
      </c>
      <c r="D1389" s="25">
        <f>VLOOKUP(A1389,'Database Claims'!$A:$C,2,)</f>
        <v/>
      </c>
      <c r="E1389" s="29">
        <f>D1389-D1388</f>
        <v/>
      </c>
    </row>
    <row r="1390">
      <c r="A1390" s="28" t="n">
        <v>34174</v>
      </c>
      <c r="B1390" s="29">
        <f>VLOOKUP(A1390,'Database Claims'!$A:$C,3,)</f>
        <v/>
      </c>
      <c r="C1390" s="29">
        <f>B1390-B1389</f>
        <v/>
      </c>
      <c r="D1390" s="29">
        <f>VLOOKUP(A1390,'Database Claims'!$A:$C,2,)</f>
        <v/>
      </c>
      <c r="E1390" s="29">
        <f>D1390-D1389</f>
        <v/>
      </c>
    </row>
    <row r="1391">
      <c r="A1391" s="28" t="n">
        <v>34181</v>
      </c>
      <c r="B1391" s="25">
        <f>VLOOKUP(A1391,'Database Claims'!$A:$C,3,)</f>
        <v/>
      </c>
      <c r="C1391" s="29">
        <f>B1391-B1390</f>
        <v/>
      </c>
      <c r="D1391" s="25">
        <f>VLOOKUP(A1391,'Database Claims'!$A:$C,2,)</f>
        <v/>
      </c>
      <c r="E1391" s="29">
        <f>D1391-D1390</f>
        <v/>
      </c>
    </row>
    <row r="1392">
      <c r="A1392" s="28" t="n">
        <v>34188</v>
      </c>
      <c r="B1392" s="29">
        <f>VLOOKUP(A1392,'Database Claims'!$A:$C,3,)</f>
        <v/>
      </c>
      <c r="C1392" s="29">
        <f>B1392-B1391</f>
        <v/>
      </c>
      <c r="D1392" s="29">
        <f>VLOOKUP(A1392,'Database Claims'!$A:$C,2,)</f>
        <v/>
      </c>
      <c r="E1392" s="29">
        <f>D1392-D1391</f>
        <v/>
      </c>
    </row>
    <row r="1393">
      <c r="A1393" s="28" t="n">
        <v>34195</v>
      </c>
      <c r="B1393" s="25">
        <f>VLOOKUP(A1393,'Database Claims'!$A:$C,3,)</f>
        <v/>
      </c>
      <c r="C1393" s="29">
        <f>B1393-B1392</f>
        <v/>
      </c>
      <c r="D1393" s="25">
        <f>VLOOKUP(A1393,'Database Claims'!$A:$C,2,)</f>
        <v/>
      </c>
      <c r="E1393" s="29">
        <f>D1393-D1392</f>
        <v/>
      </c>
    </row>
    <row r="1394">
      <c r="A1394" s="28" t="n">
        <v>34202</v>
      </c>
      <c r="B1394" s="29">
        <f>VLOOKUP(A1394,'Database Claims'!$A:$C,3,)</f>
        <v/>
      </c>
      <c r="C1394" s="29">
        <f>B1394-B1393</f>
        <v/>
      </c>
      <c r="D1394" s="29">
        <f>VLOOKUP(A1394,'Database Claims'!$A:$C,2,)</f>
        <v/>
      </c>
      <c r="E1394" s="29">
        <f>D1394-D1393</f>
        <v/>
      </c>
    </row>
    <row r="1395">
      <c r="A1395" s="28" t="n">
        <v>34209</v>
      </c>
      <c r="B1395" s="25">
        <f>VLOOKUP(A1395,'Database Claims'!$A:$C,3,)</f>
        <v/>
      </c>
      <c r="C1395" s="29">
        <f>B1395-B1394</f>
        <v/>
      </c>
      <c r="D1395" s="25">
        <f>VLOOKUP(A1395,'Database Claims'!$A:$C,2,)</f>
        <v/>
      </c>
      <c r="E1395" s="29">
        <f>D1395-D1394</f>
        <v/>
      </c>
    </row>
    <row r="1396">
      <c r="A1396" s="28" t="n">
        <v>34216</v>
      </c>
      <c r="B1396" s="29">
        <f>VLOOKUP(A1396,'Database Claims'!$A:$C,3,)</f>
        <v/>
      </c>
      <c r="C1396" s="29">
        <f>B1396-B1395</f>
        <v/>
      </c>
      <c r="D1396" s="29">
        <f>VLOOKUP(A1396,'Database Claims'!$A:$C,2,)</f>
        <v/>
      </c>
      <c r="E1396" s="29">
        <f>D1396-D1395</f>
        <v/>
      </c>
    </row>
    <row r="1397">
      <c r="A1397" s="28" t="n">
        <v>34223</v>
      </c>
      <c r="B1397" s="25">
        <f>VLOOKUP(A1397,'Database Claims'!$A:$C,3,)</f>
        <v/>
      </c>
      <c r="C1397" s="29">
        <f>B1397-B1396</f>
        <v/>
      </c>
      <c r="D1397" s="25">
        <f>VLOOKUP(A1397,'Database Claims'!$A:$C,2,)</f>
        <v/>
      </c>
      <c r="E1397" s="29">
        <f>D1397-D1396</f>
        <v/>
      </c>
    </row>
    <row r="1398">
      <c r="A1398" s="28" t="n">
        <v>34230</v>
      </c>
      <c r="B1398" s="29">
        <f>VLOOKUP(A1398,'Database Claims'!$A:$C,3,)</f>
        <v/>
      </c>
      <c r="C1398" s="29">
        <f>B1398-B1397</f>
        <v/>
      </c>
      <c r="D1398" s="29">
        <f>VLOOKUP(A1398,'Database Claims'!$A:$C,2,)</f>
        <v/>
      </c>
      <c r="E1398" s="29">
        <f>D1398-D1397</f>
        <v/>
      </c>
    </row>
    <row r="1399">
      <c r="A1399" s="28" t="n">
        <v>34237</v>
      </c>
      <c r="B1399" s="25">
        <f>VLOOKUP(A1399,'Database Claims'!$A:$C,3,)</f>
        <v/>
      </c>
      <c r="C1399" s="29">
        <f>B1399-B1398</f>
        <v/>
      </c>
      <c r="D1399" s="25">
        <f>VLOOKUP(A1399,'Database Claims'!$A:$C,2,)</f>
        <v/>
      </c>
      <c r="E1399" s="29">
        <f>D1399-D1398</f>
        <v/>
      </c>
    </row>
    <row r="1400">
      <c r="A1400" s="28" t="n">
        <v>34244</v>
      </c>
      <c r="B1400" s="29">
        <f>VLOOKUP(A1400,'Database Claims'!$A:$C,3,)</f>
        <v/>
      </c>
      <c r="C1400" s="29">
        <f>B1400-B1399</f>
        <v/>
      </c>
      <c r="D1400" s="29">
        <f>VLOOKUP(A1400,'Database Claims'!$A:$C,2,)</f>
        <v/>
      </c>
      <c r="E1400" s="29">
        <f>D1400-D1399</f>
        <v/>
      </c>
    </row>
    <row r="1401">
      <c r="A1401" s="28" t="n">
        <v>34251</v>
      </c>
      <c r="B1401" s="25">
        <f>VLOOKUP(A1401,'Database Claims'!$A:$C,3,)</f>
        <v/>
      </c>
      <c r="C1401" s="29">
        <f>B1401-B1400</f>
        <v/>
      </c>
      <c r="D1401" s="25">
        <f>VLOOKUP(A1401,'Database Claims'!$A:$C,2,)</f>
        <v/>
      </c>
      <c r="E1401" s="29">
        <f>D1401-D1400</f>
        <v/>
      </c>
    </row>
    <row r="1402">
      <c r="A1402" s="28" t="n">
        <v>34258</v>
      </c>
      <c r="B1402" s="29">
        <f>VLOOKUP(A1402,'Database Claims'!$A:$C,3,)</f>
        <v/>
      </c>
      <c r="C1402" s="29">
        <f>B1402-B1401</f>
        <v/>
      </c>
      <c r="D1402" s="29">
        <f>VLOOKUP(A1402,'Database Claims'!$A:$C,2,)</f>
        <v/>
      </c>
      <c r="E1402" s="29">
        <f>D1402-D1401</f>
        <v/>
      </c>
    </row>
    <row r="1403">
      <c r="A1403" s="28" t="n">
        <v>34265</v>
      </c>
      <c r="B1403" s="25">
        <f>VLOOKUP(A1403,'Database Claims'!$A:$C,3,)</f>
        <v/>
      </c>
      <c r="C1403" s="29">
        <f>B1403-B1402</f>
        <v/>
      </c>
      <c r="D1403" s="25">
        <f>VLOOKUP(A1403,'Database Claims'!$A:$C,2,)</f>
        <v/>
      </c>
      <c r="E1403" s="29">
        <f>D1403-D1402</f>
        <v/>
      </c>
    </row>
    <row r="1404">
      <c r="A1404" s="28" t="n">
        <v>34272</v>
      </c>
      <c r="B1404" s="29">
        <f>VLOOKUP(A1404,'Database Claims'!$A:$C,3,)</f>
        <v/>
      </c>
      <c r="C1404" s="29">
        <f>B1404-B1403</f>
        <v/>
      </c>
      <c r="D1404" s="29">
        <f>VLOOKUP(A1404,'Database Claims'!$A:$C,2,)</f>
        <v/>
      </c>
      <c r="E1404" s="29">
        <f>D1404-D1403</f>
        <v/>
      </c>
    </row>
    <row r="1405">
      <c r="A1405" s="28" t="n">
        <v>34279</v>
      </c>
      <c r="B1405" s="25">
        <f>VLOOKUP(A1405,'Database Claims'!$A:$C,3,)</f>
        <v/>
      </c>
      <c r="C1405" s="29">
        <f>B1405-B1404</f>
        <v/>
      </c>
      <c r="D1405" s="25">
        <f>VLOOKUP(A1405,'Database Claims'!$A:$C,2,)</f>
        <v/>
      </c>
      <c r="E1405" s="29">
        <f>D1405-D1404</f>
        <v/>
      </c>
    </row>
    <row r="1406">
      <c r="A1406" s="28" t="n">
        <v>34286</v>
      </c>
      <c r="B1406" s="29">
        <f>VLOOKUP(A1406,'Database Claims'!$A:$C,3,)</f>
        <v/>
      </c>
      <c r="C1406" s="29">
        <f>B1406-B1405</f>
        <v/>
      </c>
      <c r="D1406" s="29">
        <f>VLOOKUP(A1406,'Database Claims'!$A:$C,2,)</f>
        <v/>
      </c>
      <c r="E1406" s="29">
        <f>D1406-D1405</f>
        <v/>
      </c>
    </row>
    <row r="1407">
      <c r="A1407" s="28" t="n">
        <v>34293</v>
      </c>
      <c r="B1407" s="25">
        <f>VLOOKUP(A1407,'Database Claims'!$A:$C,3,)</f>
        <v/>
      </c>
      <c r="C1407" s="29">
        <f>B1407-B1406</f>
        <v/>
      </c>
      <c r="D1407" s="25">
        <f>VLOOKUP(A1407,'Database Claims'!$A:$C,2,)</f>
        <v/>
      </c>
      <c r="E1407" s="29">
        <f>D1407-D1406</f>
        <v/>
      </c>
    </row>
    <row r="1408">
      <c r="A1408" s="28" t="n">
        <v>34300</v>
      </c>
      <c r="B1408" s="29">
        <f>VLOOKUP(A1408,'Database Claims'!$A:$C,3,)</f>
        <v/>
      </c>
      <c r="C1408" s="29">
        <f>B1408-B1407</f>
        <v/>
      </c>
      <c r="D1408" s="29">
        <f>VLOOKUP(A1408,'Database Claims'!$A:$C,2,)</f>
        <v/>
      </c>
      <c r="E1408" s="29">
        <f>D1408-D1407</f>
        <v/>
      </c>
    </row>
    <row r="1409">
      <c r="A1409" s="28" t="n">
        <v>34307</v>
      </c>
      <c r="B1409" s="25">
        <f>VLOOKUP(A1409,'Database Claims'!$A:$C,3,)</f>
        <v/>
      </c>
      <c r="C1409" s="29">
        <f>B1409-B1408</f>
        <v/>
      </c>
      <c r="D1409" s="25">
        <f>VLOOKUP(A1409,'Database Claims'!$A:$C,2,)</f>
        <v/>
      </c>
      <c r="E1409" s="29">
        <f>D1409-D1408</f>
        <v/>
      </c>
    </row>
    <row r="1410">
      <c r="A1410" s="28" t="n">
        <v>34314</v>
      </c>
      <c r="B1410" s="29">
        <f>VLOOKUP(A1410,'Database Claims'!$A:$C,3,)</f>
        <v/>
      </c>
      <c r="C1410" s="29">
        <f>B1410-B1409</f>
        <v/>
      </c>
      <c r="D1410" s="29">
        <f>VLOOKUP(A1410,'Database Claims'!$A:$C,2,)</f>
        <v/>
      </c>
      <c r="E1410" s="29">
        <f>D1410-D1409</f>
        <v/>
      </c>
    </row>
    <row r="1411">
      <c r="A1411" s="28" t="n">
        <v>34321</v>
      </c>
      <c r="B1411" s="25">
        <f>VLOOKUP(A1411,'Database Claims'!$A:$C,3,)</f>
        <v/>
      </c>
      <c r="C1411" s="29">
        <f>B1411-B1410</f>
        <v/>
      </c>
      <c r="D1411" s="25">
        <f>VLOOKUP(A1411,'Database Claims'!$A:$C,2,)</f>
        <v/>
      </c>
      <c r="E1411" s="29">
        <f>D1411-D1410</f>
        <v/>
      </c>
    </row>
    <row r="1412">
      <c r="A1412" s="28" t="n">
        <v>34328</v>
      </c>
      <c r="B1412" s="29">
        <f>VLOOKUP(A1412,'Database Claims'!$A:$C,3,)</f>
        <v/>
      </c>
      <c r="C1412" s="29">
        <f>B1412-B1411</f>
        <v/>
      </c>
      <c r="D1412" s="29">
        <f>VLOOKUP(A1412,'Database Claims'!$A:$C,2,)</f>
        <v/>
      </c>
      <c r="E1412" s="29">
        <f>D1412-D1411</f>
        <v/>
      </c>
    </row>
    <row r="1413">
      <c r="A1413" s="28" t="n">
        <v>34335</v>
      </c>
      <c r="B1413" s="25">
        <f>VLOOKUP(A1413,'Database Claims'!$A:$C,3,)</f>
        <v/>
      </c>
      <c r="C1413" s="29">
        <f>B1413-B1412</f>
        <v/>
      </c>
      <c r="D1413" s="25">
        <f>VLOOKUP(A1413,'Database Claims'!$A:$C,2,)</f>
        <v/>
      </c>
      <c r="E1413" s="29">
        <f>D1413-D1412</f>
        <v/>
      </c>
    </row>
    <row r="1414">
      <c r="A1414" s="28" t="n">
        <v>34342</v>
      </c>
      <c r="B1414" s="29">
        <f>VLOOKUP(A1414,'Database Claims'!$A:$C,3,)</f>
        <v/>
      </c>
      <c r="C1414" s="29">
        <f>B1414-B1413</f>
        <v/>
      </c>
      <c r="D1414" s="29">
        <f>VLOOKUP(A1414,'Database Claims'!$A:$C,2,)</f>
        <v/>
      </c>
      <c r="E1414" s="29">
        <f>D1414-D1413</f>
        <v/>
      </c>
    </row>
    <row r="1415">
      <c r="A1415" s="28" t="n">
        <v>34349</v>
      </c>
      <c r="B1415" s="25">
        <f>VLOOKUP(A1415,'Database Claims'!$A:$C,3,)</f>
        <v/>
      </c>
      <c r="C1415" s="29">
        <f>B1415-B1414</f>
        <v/>
      </c>
      <c r="D1415" s="25">
        <f>VLOOKUP(A1415,'Database Claims'!$A:$C,2,)</f>
        <v/>
      </c>
      <c r="E1415" s="29">
        <f>D1415-D1414</f>
        <v/>
      </c>
    </row>
    <row r="1416">
      <c r="A1416" s="28" t="n">
        <v>34356</v>
      </c>
      <c r="B1416" s="29">
        <f>VLOOKUP(A1416,'Database Claims'!$A:$C,3,)</f>
        <v/>
      </c>
      <c r="C1416" s="29">
        <f>B1416-B1415</f>
        <v/>
      </c>
      <c r="D1416" s="29">
        <f>VLOOKUP(A1416,'Database Claims'!$A:$C,2,)</f>
        <v/>
      </c>
      <c r="E1416" s="29">
        <f>D1416-D1415</f>
        <v/>
      </c>
    </row>
    <row r="1417">
      <c r="A1417" s="28" t="n">
        <v>34363</v>
      </c>
      <c r="B1417" s="25">
        <f>VLOOKUP(A1417,'Database Claims'!$A:$C,3,)</f>
        <v/>
      </c>
      <c r="C1417" s="29">
        <f>B1417-B1416</f>
        <v/>
      </c>
      <c r="D1417" s="25">
        <f>VLOOKUP(A1417,'Database Claims'!$A:$C,2,)</f>
        <v/>
      </c>
      <c r="E1417" s="29">
        <f>D1417-D1416</f>
        <v/>
      </c>
    </row>
    <row r="1418">
      <c r="A1418" s="28" t="n">
        <v>34370</v>
      </c>
      <c r="B1418" s="29">
        <f>VLOOKUP(A1418,'Database Claims'!$A:$C,3,)</f>
        <v/>
      </c>
      <c r="C1418" s="29">
        <f>B1418-B1417</f>
        <v/>
      </c>
      <c r="D1418" s="29">
        <f>VLOOKUP(A1418,'Database Claims'!$A:$C,2,)</f>
        <v/>
      </c>
      <c r="E1418" s="29">
        <f>D1418-D1417</f>
        <v/>
      </c>
    </row>
    <row r="1419">
      <c r="A1419" s="28" t="n">
        <v>34377</v>
      </c>
      <c r="B1419" s="25">
        <f>VLOOKUP(A1419,'Database Claims'!$A:$C,3,)</f>
        <v/>
      </c>
      <c r="C1419" s="29">
        <f>B1419-B1418</f>
        <v/>
      </c>
      <c r="D1419" s="25">
        <f>VLOOKUP(A1419,'Database Claims'!$A:$C,2,)</f>
        <v/>
      </c>
      <c r="E1419" s="29">
        <f>D1419-D1418</f>
        <v/>
      </c>
    </row>
    <row r="1420">
      <c r="A1420" s="28" t="n">
        <v>34384</v>
      </c>
      <c r="B1420" s="29">
        <f>VLOOKUP(A1420,'Database Claims'!$A:$C,3,)</f>
        <v/>
      </c>
      <c r="C1420" s="29">
        <f>B1420-B1419</f>
        <v/>
      </c>
      <c r="D1420" s="29">
        <f>VLOOKUP(A1420,'Database Claims'!$A:$C,2,)</f>
        <v/>
      </c>
      <c r="E1420" s="29">
        <f>D1420-D1419</f>
        <v/>
      </c>
    </row>
    <row r="1421">
      <c r="A1421" s="28" t="n">
        <v>34391</v>
      </c>
      <c r="B1421" s="25">
        <f>VLOOKUP(A1421,'Database Claims'!$A:$C,3,)</f>
        <v/>
      </c>
      <c r="C1421" s="29">
        <f>B1421-B1420</f>
        <v/>
      </c>
      <c r="D1421" s="25">
        <f>VLOOKUP(A1421,'Database Claims'!$A:$C,2,)</f>
        <v/>
      </c>
      <c r="E1421" s="29">
        <f>D1421-D1420</f>
        <v/>
      </c>
    </row>
    <row r="1422">
      <c r="A1422" s="28" t="n">
        <v>34398</v>
      </c>
      <c r="B1422" s="29">
        <f>VLOOKUP(A1422,'Database Claims'!$A:$C,3,)</f>
        <v/>
      </c>
      <c r="C1422" s="29">
        <f>B1422-B1421</f>
        <v/>
      </c>
      <c r="D1422" s="29">
        <f>VLOOKUP(A1422,'Database Claims'!$A:$C,2,)</f>
        <v/>
      </c>
      <c r="E1422" s="29">
        <f>D1422-D1421</f>
        <v/>
      </c>
    </row>
    <row r="1423">
      <c r="A1423" s="28" t="n">
        <v>34405</v>
      </c>
      <c r="B1423" s="25">
        <f>VLOOKUP(A1423,'Database Claims'!$A:$C,3,)</f>
        <v/>
      </c>
      <c r="C1423" s="29">
        <f>B1423-B1422</f>
        <v/>
      </c>
      <c r="D1423" s="25">
        <f>VLOOKUP(A1423,'Database Claims'!$A:$C,2,)</f>
        <v/>
      </c>
      <c r="E1423" s="29">
        <f>D1423-D1422</f>
        <v/>
      </c>
    </row>
    <row r="1424">
      <c r="A1424" s="28" t="n">
        <v>34412</v>
      </c>
      <c r="B1424" s="29">
        <f>VLOOKUP(A1424,'Database Claims'!$A:$C,3,)</f>
        <v/>
      </c>
      <c r="C1424" s="29">
        <f>B1424-B1423</f>
        <v/>
      </c>
      <c r="D1424" s="29">
        <f>VLOOKUP(A1424,'Database Claims'!$A:$C,2,)</f>
        <v/>
      </c>
      <c r="E1424" s="29">
        <f>D1424-D1423</f>
        <v/>
      </c>
    </row>
    <row r="1425">
      <c r="A1425" s="28" t="n">
        <v>34419</v>
      </c>
      <c r="B1425" s="25">
        <f>VLOOKUP(A1425,'Database Claims'!$A:$C,3,)</f>
        <v/>
      </c>
      <c r="C1425" s="29">
        <f>B1425-B1424</f>
        <v/>
      </c>
      <c r="D1425" s="25">
        <f>VLOOKUP(A1425,'Database Claims'!$A:$C,2,)</f>
        <v/>
      </c>
      <c r="E1425" s="29">
        <f>D1425-D1424</f>
        <v/>
      </c>
    </row>
    <row r="1426">
      <c r="A1426" s="28" t="n">
        <v>34426</v>
      </c>
      <c r="B1426" s="29">
        <f>VLOOKUP(A1426,'Database Claims'!$A:$C,3,)</f>
        <v/>
      </c>
      <c r="C1426" s="29">
        <f>B1426-B1425</f>
        <v/>
      </c>
      <c r="D1426" s="29">
        <f>VLOOKUP(A1426,'Database Claims'!$A:$C,2,)</f>
        <v/>
      </c>
      <c r="E1426" s="29">
        <f>D1426-D1425</f>
        <v/>
      </c>
    </row>
    <row r="1427">
      <c r="A1427" s="28" t="n">
        <v>34433</v>
      </c>
      <c r="B1427" s="25">
        <f>VLOOKUP(A1427,'Database Claims'!$A:$C,3,)</f>
        <v/>
      </c>
      <c r="C1427" s="29">
        <f>B1427-B1426</f>
        <v/>
      </c>
      <c r="D1427" s="25">
        <f>VLOOKUP(A1427,'Database Claims'!$A:$C,2,)</f>
        <v/>
      </c>
      <c r="E1427" s="29">
        <f>D1427-D1426</f>
        <v/>
      </c>
    </row>
    <row r="1428">
      <c r="A1428" s="28" t="n">
        <v>34440</v>
      </c>
      <c r="B1428" s="29">
        <f>VLOOKUP(A1428,'Database Claims'!$A:$C,3,)</f>
        <v/>
      </c>
      <c r="C1428" s="29">
        <f>B1428-B1427</f>
        <v/>
      </c>
      <c r="D1428" s="29">
        <f>VLOOKUP(A1428,'Database Claims'!$A:$C,2,)</f>
        <v/>
      </c>
      <c r="E1428" s="29">
        <f>D1428-D1427</f>
        <v/>
      </c>
    </row>
    <row r="1429">
      <c r="A1429" s="28" t="n">
        <v>34447</v>
      </c>
      <c r="B1429" s="25">
        <f>VLOOKUP(A1429,'Database Claims'!$A:$C,3,)</f>
        <v/>
      </c>
      <c r="C1429" s="29">
        <f>B1429-B1428</f>
        <v/>
      </c>
      <c r="D1429" s="25">
        <f>VLOOKUP(A1429,'Database Claims'!$A:$C,2,)</f>
        <v/>
      </c>
      <c r="E1429" s="29">
        <f>D1429-D1428</f>
        <v/>
      </c>
    </row>
    <row r="1430">
      <c r="A1430" s="28" t="n">
        <v>34454</v>
      </c>
      <c r="B1430" s="29">
        <f>VLOOKUP(A1430,'Database Claims'!$A:$C,3,)</f>
        <v/>
      </c>
      <c r="C1430" s="29">
        <f>B1430-B1429</f>
        <v/>
      </c>
      <c r="D1430" s="29">
        <f>VLOOKUP(A1430,'Database Claims'!$A:$C,2,)</f>
        <v/>
      </c>
      <c r="E1430" s="29">
        <f>D1430-D1429</f>
        <v/>
      </c>
    </row>
    <row r="1431">
      <c r="A1431" s="28" t="n">
        <v>34461</v>
      </c>
      <c r="B1431" s="25">
        <f>VLOOKUP(A1431,'Database Claims'!$A:$C,3,)</f>
        <v/>
      </c>
      <c r="C1431" s="29">
        <f>B1431-B1430</f>
        <v/>
      </c>
      <c r="D1431" s="25">
        <f>VLOOKUP(A1431,'Database Claims'!$A:$C,2,)</f>
        <v/>
      </c>
      <c r="E1431" s="29">
        <f>D1431-D1430</f>
        <v/>
      </c>
    </row>
    <row r="1432">
      <c r="A1432" s="28" t="n">
        <v>34468</v>
      </c>
      <c r="B1432" s="29">
        <f>VLOOKUP(A1432,'Database Claims'!$A:$C,3,)</f>
        <v/>
      </c>
      <c r="C1432" s="29">
        <f>B1432-B1431</f>
        <v/>
      </c>
      <c r="D1432" s="29">
        <f>VLOOKUP(A1432,'Database Claims'!$A:$C,2,)</f>
        <v/>
      </c>
      <c r="E1432" s="29">
        <f>D1432-D1431</f>
        <v/>
      </c>
    </row>
    <row r="1433">
      <c r="A1433" s="28" t="n">
        <v>34475</v>
      </c>
      <c r="B1433" s="25">
        <f>VLOOKUP(A1433,'Database Claims'!$A:$C,3,)</f>
        <v/>
      </c>
      <c r="C1433" s="29">
        <f>B1433-B1432</f>
        <v/>
      </c>
      <c r="D1433" s="25">
        <f>VLOOKUP(A1433,'Database Claims'!$A:$C,2,)</f>
        <v/>
      </c>
      <c r="E1433" s="29">
        <f>D1433-D1432</f>
        <v/>
      </c>
    </row>
    <row r="1434">
      <c r="A1434" s="28" t="n">
        <v>34482</v>
      </c>
      <c r="B1434" s="29">
        <f>VLOOKUP(A1434,'Database Claims'!$A:$C,3,)</f>
        <v/>
      </c>
      <c r="C1434" s="29">
        <f>B1434-B1433</f>
        <v/>
      </c>
      <c r="D1434" s="29">
        <f>VLOOKUP(A1434,'Database Claims'!$A:$C,2,)</f>
        <v/>
      </c>
      <c r="E1434" s="29">
        <f>D1434-D1433</f>
        <v/>
      </c>
    </row>
    <row r="1435">
      <c r="A1435" s="28" t="n">
        <v>34489</v>
      </c>
      <c r="B1435" s="25">
        <f>VLOOKUP(A1435,'Database Claims'!$A:$C,3,)</f>
        <v/>
      </c>
      <c r="C1435" s="29">
        <f>B1435-B1434</f>
        <v/>
      </c>
      <c r="D1435" s="25">
        <f>VLOOKUP(A1435,'Database Claims'!$A:$C,2,)</f>
        <v/>
      </c>
      <c r="E1435" s="29">
        <f>D1435-D1434</f>
        <v/>
      </c>
    </row>
    <row r="1436">
      <c r="A1436" s="28" t="n">
        <v>34496</v>
      </c>
      <c r="B1436" s="29">
        <f>VLOOKUP(A1436,'Database Claims'!$A:$C,3,)</f>
        <v/>
      </c>
      <c r="C1436" s="29">
        <f>B1436-B1435</f>
        <v/>
      </c>
      <c r="D1436" s="29">
        <f>VLOOKUP(A1436,'Database Claims'!$A:$C,2,)</f>
        <v/>
      </c>
      <c r="E1436" s="29">
        <f>D1436-D1435</f>
        <v/>
      </c>
    </row>
    <row r="1437">
      <c r="A1437" s="28" t="n">
        <v>34503</v>
      </c>
      <c r="B1437" s="25">
        <f>VLOOKUP(A1437,'Database Claims'!$A:$C,3,)</f>
        <v/>
      </c>
      <c r="C1437" s="29">
        <f>B1437-B1436</f>
        <v/>
      </c>
      <c r="D1437" s="25">
        <f>VLOOKUP(A1437,'Database Claims'!$A:$C,2,)</f>
        <v/>
      </c>
      <c r="E1437" s="29">
        <f>D1437-D1436</f>
        <v/>
      </c>
    </row>
    <row r="1438">
      <c r="A1438" s="28" t="n">
        <v>34510</v>
      </c>
      <c r="B1438" s="29">
        <f>VLOOKUP(A1438,'Database Claims'!$A:$C,3,)</f>
        <v/>
      </c>
      <c r="C1438" s="29">
        <f>B1438-B1437</f>
        <v/>
      </c>
      <c r="D1438" s="29">
        <f>VLOOKUP(A1438,'Database Claims'!$A:$C,2,)</f>
        <v/>
      </c>
      <c r="E1438" s="29">
        <f>D1438-D1437</f>
        <v/>
      </c>
    </row>
    <row r="1439">
      <c r="A1439" s="28" t="n">
        <v>34517</v>
      </c>
      <c r="B1439" s="25">
        <f>VLOOKUP(A1439,'Database Claims'!$A:$C,3,)</f>
        <v/>
      </c>
      <c r="C1439" s="29">
        <f>B1439-B1438</f>
        <v/>
      </c>
      <c r="D1439" s="25">
        <f>VLOOKUP(A1439,'Database Claims'!$A:$C,2,)</f>
        <v/>
      </c>
      <c r="E1439" s="29">
        <f>D1439-D1438</f>
        <v/>
      </c>
    </row>
    <row r="1440">
      <c r="A1440" s="28" t="n">
        <v>34524</v>
      </c>
      <c r="B1440" s="29">
        <f>VLOOKUP(A1440,'Database Claims'!$A:$C,3,)</f>
        <v/>
      </c>
      <c r="C1440" s="29">
        <f>B1440-B1439</f>
        <v/>
      </c>
      <c r="D1440" s="29">
        <f>VLOOKUP(A1440,'Database Claims'!$A:$C,2,)</f>
        <v/>
      </c>
      <c r="E1440" s="29">
        <f>D1440-D1439</f>
        <v/>
      </c>
    </row>
    <row r="1441">
      <c r="A1441" s="28" t="n">
        <v>34531</v>
      </c>
      <c r="B1441" s="25">
        <f>VLOOKUP(A1441,'Database Claims'!$A:$C,3,)</f>
        <v/>
      </c>
      <c r="C1441" s="29">
        <f>B1441-B1440</f>
        <v/>
      </c>
      <c r="D1441" s="25">
        <f>VLOOKUP(A1441,'Database Claims'!$A:$C,2,)</f>
        <v/>
      </c>
      <c r="E1441" s="29">
        <f>D1441-D1440</f>
        <v/>
      </c>
    </row>
    <row r="1442">
      <c r="A1442" s="28" t="n">
        <v>34538</v>
      </c>
      <c r="B1442" s="29">
        <f>VLOOKUP(A1442,'Database Claims'!$A:$C,3,)</f>
        <v/>
      </c>
      <c r="C1442" s="29">
        <f>B1442-B1441</f>
        <v/>
      </c>
      <c r="D1442" s="29">
        <f>VLOOKUP(A1442,'Database Claims'!$A:$C,2,)</f>
        <v/>
      </c>
      <c r="E1442" s="29">
        <f>D1442-D1441</f>
        <v/>
      </c>
    </row>
    <row r="1443">
      <c r="A1443" s="28" t="n">
        <v>34545</v>
      </c>
      <c r="B1443" s="25">
        <f>VLOOKUP(A1443,'Database Claims'!$A:$C,3,)</f>
        <v/>
      </c>
      <c r="C1443" s="29">
        <f>B1443-B1442</f>
        <v/>
      </c>
      <c r="D1443" s="25">
        <f>VLOOKUP(A1443,'Database Claims'!$A:$C,2,)</f>
        <v/>
      </c>
      <c r="E1443" s="29">
        <f>D1443-D1442</f>
        <v/>
      </c>
    </row>
    <row r="1444">
      <c r="A1444" s="28" t="n">
        <v>34552</v>
      </c>
      <c r="B1444" s="29">
        <f>VLOOKUP(A1444,'Database Claims'!$A:$C,3,)</f>
        <v/>
      </c>
      <c r="C1444" s="29">
        <f>B1444-B1443</f>
        <v/>
      </c>
      <c r="D1444" s="29">
        <f>VLOOKUP(A1444,'Database Claims'!$A:$C,2,)</f>
        <v/>
      </c>
      <c r="E1444" s="29">
        <f>D1444-D1443</f>
        <v/>
      </c>
    </row>
    <row r="1445">
      <c r="A1445" s="28" t="n">
        <v>34559</v>
      </c>
      <c r="B1445" s="25">
        <f>VLOOKUP(A1445,'Database Claims'!$A:$C,3,)</f>
        <v/>
      </c>
      <c r="C1445" s="29">
        <f>B1445-B1444</f>
        <v/>
      </c>
      <c r="D1445" s="25">
        <f>VLOOKUP(A1445,'Database Claims'!$A:$C,2,)</f>
        <v/>
      </c>
      <c r="E1445" s="29">
        <f>D1445-D1444</f>
        <v/>
      </c>
    </row>
    <row r="1446">
      <c r="A1446" s="28" t="n">
        <v>34566</v>
      </c>
      <c r="B1446" s="29">
        <f>VLOOKUP(A1446,'Database Claims'!$A:$C,3,)</f>
        <v/>
      </c>
      <c r="C1446" s="29">
        <f>B1446-B1445</f>
        <v/>
      </c>
      <c r="D1446" s="29">
        <f>VLOOKUP(A1446,'Database Claims'!$A:$C,2,)</f>
        <v/>
      </c>
      <c r="E1446" s="29">
        <f>D1446-D1445</f>
        <v/>
      </c>
    </row>
    <row r="1447">
      <c r="A1447" s="28" t="n">
        <v>34573</v>
      </c>
      <c r="B1447" s="25">
        <f>VLOOKUP(A1447,'Database Claims'!$A:$C,3,)</f>
        <v/>
      </c>
      <c r="C1447" s="29">
        <f>B1447-B1446</f>
        <v/>
      </c>
      <c r="D1447" s="25">
        <f>VLOOKUP(A1447,'Database Claims'!$A:$C,2,)</f>
        <v/>
      </c>
      <c r="E1447" s="29">
        <f>D1447-D1446</f>
        <v/>
      </c>
    </row>
    <row r="1448">
      <c r="A1448" s="28" t="n">
        <v>34580</v>
      </c>
      <c r="B1448" s="29">
        <f>VLOOKUP(A1448,'Database Claims'!$A:$C,3,)</f>
        <v/>
      </c>
      <c r="C1448" s="29">
        <f>B1448-B1447</f>
        <v/>
      </c>
      <c r="D1448" s="29">
        <f>VLOOKUP(A1448,'Database Claims'!$A:$C,2,)</f>
        <v/>
      </c>
      <c r="E1448" s="29">
        <f>D1448-D1447</f>
        <v/>
      </c>
    </row>
    <row r="1449">
      <c r="A1449" s="28" t="n">
        <v>34587</v>
      </c>
      <c r="B1449" s="25">
        <f>VLOOKUP(A1449,'Database Claims'!$A:$C,3,)</f>
        <v/>
      </c>
      <c r="C1449" s="29">
        <f>B1449-B1448</f>
        <v/>
      </c>
      <c r="D1449" s="25">
        <f>VLOOKUP(A1449,'Database Claims'!$A:$C,2,)</f>
        <v/>
      </c>
      <c r="E1449" s="29">
        <f>D1449-D1448</f>
        <v/>
      </c>
    </row>
    <row r="1450">
      <c r="A1450" s="28" t="n">
        <v>34594</v>
      </c>
      <c r="B1450" s="29">
        <f>VLOOKUP(A1450,'Database Claims'!$A:$C,3,)</f>
        <v/>
      </c>
      <c r="C1450" s="29">
        <f>B1450-B1449</f>
        <v/>
      </c>
      <c r="D1450" s="29">
        <f>VLOOKUP(A1450,'Database Claims'!$A:$C,2,)</f>
        <v/>
      </c>
      <c r="E1450" s="29">
        <f>D1450-D1449</f>
        <v/>
      </c>
    </row>
    <row r="1451">
      <c r="A1451" s="28" t="n">
        <v>34601</v>
      </c>
      <c r="B1451" s="25">
        <f>VLOOKUP(A1451,'Database Claims'!$A:$C,3,)</f>
        <v/>
      </c>
      <c r="C1451" s="29">
        <f>B1451-B1450</f>
        <v/>
      </c>
      <c r="D1451" s="25">
        <f>VLOOKUP(A1451,'Database Claims'!$A:$C,2,)</f>
        <v/>
      </c>
      <c r="E1451" s="29">
        <f>D1451-D1450</f>
        <v/>
      </c>
    </row>
    <row r="1452">
      <c r="A1452" s="28" t="n">
        <v>34608</v>
      </c>
      <c r="B1452" s="29">
        <f>VLOOKUP(A1452,'Database Claims'!$A:$C,3,)</f>
        <v/>
      </c>
      <c r="C1452" s="29">
        <f>B1452-B1451</f>
        <v/>
      </c>
      <c r="D1452" s="29">
        <f>VLOOKUP(A1452,'Database Claims'!$A:$C,2,)</f>
        <v/>
      </c>
      <c r="E1452" s="29">
        <f>D1452-D1451</f>
        <v/>
      </c>
    </row>
    <row r="1453">
      <c r="A1453" s="28" t="n">
        <v>34615</v>
      </c>
      <c r="B1453" s="25">
        <f>VLOOKUP(A1453,'Database Claims'!$A:$C,3,)</f>
        <v/>
      </c>
      <c r="C1453" s="29">
        <f>B1453-B1452</f>
        <v/>
      </c>
      <c r="D1453" s="25">
        <f>VLOOKUP(A1453,'Database Claims'!$A:$C,2,)</f>
        <v/>
      </c>
      <c r="E1453" s="29">
        <f>D1453-D1452</f>
        <v/>
      </c>
    </row>
    <row r="1454">
      <c r="A1454" s="28" t="n">
        <v>34622</v>
      </c>
      <c r="B1454" s="29">
        <f>VLOOKUP(A1454,'Database Claims'!$A:$C,3,)</f>
        <v/>
      </c>
      <c r="C1454" s="29">
        <f>B1454-B1453</f>
        <v/>
      </c>
      <c r="D1454" s="29">
        <f>VLOOKUP(A1454,'Database Claims'!$A:$C,2,)</f>
        <v/>
      </c>
      <c r="E1454" s="29">
        <f>D1454-D1453</f>
        <v/>
      </c>
    </row>
    <row r="1455">
      <c r="A1455" s="28" t="n">
        <v>34629</v>
      </c>
      <c r="B1455" s="25">
        <f>VLOOKUP(A1455,'Database Claims'!$A:$C,3,)</f>
        <v/>
      </c>
      <c r="C1455" s="29">
        <f>B1455-B1454</f>
        <v/>
      </c>
      <c r="D1455" s="25">
        <f>VLOOKUP(A1455,'Database Claims'!$A:$C,2,)</f>
        <v/>
      </c>
      <c r="E1455" s="29">
        <f>D1455-D1454</f>
        <v/>
      </c>
    </row>
    <row r="1456">
      <c r="A1456" s="28" t="n">
        <v>34636</v>
      </c>
      <c r="B1456" s="29">
        <f>VLOOKUP(A1456,'Database Claims'!$A:$C,3,)</f>
        <v/>
      </c>
      <c r="C1456" s="29">
        <f>B1456-B1455</f>
        <v/>
      </c>
      <c r="D1456" s="29">
        <f>VLOOKUP(A1456,'Database Claims'!$A:$C,2,)</f>
        <v/>
      </c>
      <c r="E1456" s="29">
        <f>D1456-D1455</f>
        <v/>
      </c>
    </row>
    <row r="1457">
      <c r="A1457" s="28" t="n">
        <v>34643</v>
      </c>
      <c r="B1457" s="25">
        <f>VLOOKUP(A1457,'Database Claims'!$A:$C,3,)</f>
        <v/>
      </c>
      <c r="C1457" s="29">
        <f>B1457-B1456</f>
        <v/>
      </c>
      <c r="D1457" s="25">
        <f>VLOOKUP(A1457,'Database Claims'!$A:$C,2,)</f>
        <v/>
      </c>
      <c r="E1457" s="29">
        <f>D1457-D1456</f>
        <v/>
      </c>
    </row>
    <row r="1458">
      <c r="A1458" s="28" t="n">
        <v>34650</v>
      </c>
      <c r="B1458" s="29">
        <f>VLOOKUP(A1458,'Database Claims'!$A:$C,3,)</f>
        <v/>
      </c>
      <c r="C1458" s="29">
        <f>B1458-B1457</f>
        <v/>
      </c>
      <c r="D1458" s="29">
        <f>VLOOKUP(A1458,'Database Claims'!$A:$C,2,)</f>
        <v/>
      </c>
      <c r="E1458" s="29">
        <f>D1458-D1457</f>
        <v/>
      </c>
    </row>
    <row r="1459">
      <c r="A1459" s="28" t="n">
        <v>34657</v>
      </c>
      <c r="B1459" s="25">
        <f>VLOOKUP(A1459,'Database Claims'!$A:$C,3,)</f>
        <v/>
      </c>
      <c r="C1459" s="29">
        <f>B1459-B1458</f>
        <v/>
      </c>
      <c r="D1459" s="25">
        <f>VLOOKUP(A1459,'Database Claims'!$A:$C,2,)</f>
        <v/>
      </c>
      <c r="E1459" s="29">
        <f>D1459-D1458</f>
        <v/>
      </c>
    </row>
    <row r="1460">
      <c r="A1460" s="28" t="n">
        <v>34664</v>
      </c>
      <c r="B1460" s="29">
        <f>VLOOKUP(A1460,'Database Claims'!$A:$C,3,)</f>
        <v/>
      </c>
      <c r="C1460" s="29">
        <f>B1460-B1459</f>
        <v/>
      </c>
      <c r="D1460" s="29">
        <f>VLOOKUP(A1460,'Database Claims'!$A:$C,2,)</f>
        <v/>
      </c>
      <c r="E1460" s="29">
        <f>D1460-D1459</f>
        <v/>
      </c>
    </row>
    <row r="1461">
      <c r="A1461" s="28" t="n">
        <v>34671</v>
      </c>
      <c r="B1461" s="25">
        <f>VLOOKUP(A1461,'Database Claims'!$A:$C,3,)</f>
        <v/>
      </c>
      <c r="C1461" s="29">
        <f>B1461-B1460</f>
        <v/>
      </c>
      <c r="D1461" s="25">
        <f>VLOOKUP(A1461,'Database Claims'!$A:$C,2,)</f>
        <v/>
      </c>
      <c r="E1461" s="29">
        <f>D1461-D1460</f>
        <v/>
      </c>
    </row>
    <row r="1462">
      <c r="A1462" s="28" t="n">
        <v>34678</v>
      </c>
      <c r="B1462" s="29">
        <f>VLOOKUP(A1462,'Database Claims'!$A:$C,3,)</f>
        <v/>
      </c>
      <c r="C1462" s="29">
        <f>B1462-B1461</f>
        <v/>
      </c>
      <c r="D1462" s="29">
        <f>VLOOKUP(A1462,'Database Claims'!$A:$C,2,)</f>
        <v/>
      </c>
      <c r="E1462" s="29">
        <f>D1462-D1461</f>
        <v/>
      </c>
    </row>
    <row r="1463">
      <c r="A1463" s="28" t="n">
        <v>34685</v>
      </c>
      <c r="B1463" s="25">
        <f>VLOOKUP(A1463,'Database Claims'!$A:$C,3,)</f>
        <v/>
      </c>
      <c r="C1463" s="29">
        <f>B1463-B1462</f>
        <v/>
      </c>
      <c r="D1463" s="25">
        <f>VLOOKUP(A1463,'Database Claims'!$A:$C,2,)</f>
        <v/>
      </c>
      <c r="E1463" s="29">
        <f>D1463-D1462</f>
        <v/>
      </c>
    </row>
    <row r="1464">
      <c r="A1464" s="28" t="n">
        <v>34692</v>
      </c>
      <c r="B1464" s="29">
        <f>VLOOKUP(A1464,'Database Claims'!$A:$C,3,)</f>
        <v/>
      </c>
      <c r="C1464" s="29">
        <f>B1464-B1463</f>
        <v/>
      </c>
      <c r="D1464" s="29">
        <f>VLOOKUP(A1464,'Database Claims'!$A:$C,2,)</f>
        <v/>
      </c>
      <c r="E1464" s="29">
        <f>D1464-D1463</f>
        <v/>
      </c>
    </row>
    <row r="1465">
      <c r="A1465" s="28" t="n">
        <v>34699</v>
      </c>
      <c r="B1465" s="25">
        <f>VLOOKUP(A1465,'Database Claims'!$A:$C,3,)</f>
        <v/>
      </c>
      <c r="C1465" s="29">
        <f>B1465-B1464</f>
        <v/>
      </c>
      <c r="D1465" s="25">
        <f>VLOOKUP(A1465,'Database Claims'!$A:$C,2,)</f>
        <v/>
      </c>
      <c r="E1465" s="29">
        <f>D1465-D1464</f>
        <v/>
      </c>
    </row>
    <row r="1466">
      <c r="A1466" s="28" t="n">
        <v>34706</v>
      </c>
      <c r="B1466" s="29">
        <f>VLOOKUP(A1466,'Database Claims'!$A:$C,3,)</f>
        <v/>
      </c>
      <c r="C1466" s="29">
        <f>B1466-B1465</f>
        <v/>
      </c>
      <c r="D1466" s="29">
        <f>VLOOKUP(A1466,'Database Claims'!$A:$C,2,)</f>
        <v/>
      </c>
      <c r="E1466" s="29">
        <f>D1466-D1465</f>
        <v/>
      </c>
    </row>
    <row r="1467">
      <c r="A1467" s="28" t="n">
        <v>34713</v>
      </c>
      <c r="B1467" s="25">
        <f>VLOOKUP(A1467,'Database Claims'!$A:$C,3,)</f>
        <v/>
      </c>
      <c r="C1467" s="29">
        <f>B1467-B1466</f>
        <v/>
      </c>
      <c r="D1467" s="25">
        <f>VLOOKUP(A1467,'Database Claims'!$A:$C,2,)</f>
        <v/>
      </c>
      <c r="E1467" s="29">
        <f>D1467-D1466</f>
        <v/>
      </c>
    </row>
    <row r="1468">
      <c r="A1468" s="28" t="n">
        <v>34720</v>
      </c>
      <c r="B1468" s="29">
        <f>VLOOKUP(A1468,'Database Claims'!$A:$C,3,)</f>
        <v/>
      </c>
      <c r="C1468" s="29">
        <f>B1468-B1467</f>
        <v/>
      </c>
      <c r="D1468" s="29">
        <f>VLOOKUP(A1468,'Database Claims'!$A:$C,2,)</f>
        <v/>
      </c>
      <c r="E1468" s="29">
        <f>D1468-D1467</f>
        <v/>
      </c>
    </row>
    <row r="1469">
      <c r="A1469" s="28" t="n">
        <v>34727</v>
      </c>
      <c r="B1469" s="25">
        <f>VLOOKUP(A1469,'Database Claims'!$A:$C,3,)</f>
        <v/>
      </c>
      <c r="C1469" s="29">
        <f>B1469-B1468</f>
        <v/>
      </c>
      <c r="D1469" s="25">
        <f>VLOOKUP(A1469,'Database Claims'!$A:$C,2,)</f>
        <v/>
      </c>
      <c r="E1469" s="29">
        <f>D1469-D1468</f>
        <v/>
      </c>
    </row>
    <row r="1470">
      <c r="A1470" s="28" t="n">
        <v>34734</v>
      </c>
      <c r="B1470" s="29">
        <f>VLOOKUP(A1470,'Database Claims'!$A:$C,3,)</f>
        <v/>
      </c>
      <c r="C1470" s="29">
        <f>B1470-B1469</f>
        <v/>
      </c>
      <c r="D1470" s="29">
        <f>VLOOKUP(A1470,'Database Claims'!$A:$C,2,)</f>
        <v/>
      </c>
      <c r="E1470" s="29">
        <f>D1470-D1469</f>
        <v/>
      </c>
    </row>
    <row r="1471">
      <c r="A1471" s="28" t="n">
        <v>34741</v>
      </c>
      <c r="B1471" s="25">
        <f>VLOOKUP(A1471,'Database Claims'!$A:$C,3,)</f>
        <v/>
      </c>
      <c r="C1471" s="29">
        <f>B1471-B1470</f>
        <v/>
      </c>
      <c r="D1471" s="25">
        <f>VLOOKUP(A1471,'Database Claims'!$A:$C,2,)</f>
        <v/>
      </c>
      <c r="E1471" s="29">
        <f>D1471-D1470</f>
        <v/>
      </c>
    </row>
    <row r="1472">
      <c r="A1472" s="28" t="n">
        <v>34748</v>
      </c>
      <c r="B1472" s="29">
        <f>VLOOKUP(A1472,'Database Claims'!$A:$C,3,)</f>
        <v/>
      </c>
      <c r="C1472" s="29">
        <f>B1472-B1471</f>
        <v/>
      </c>
      <c r="D1472" s="29">
        <f>VLOOKUP(A1472,'Database Claims'!$A:$C,2,)</f>
        <v/>
      </c>
      <c r="E1472" s="29">
        <f>D1472-D1471</f>
        <v/>
      </c>
    </row>
    <row r="1473">
      <c r="A1473" s="28" t="n">
        <v>34755</v>
      </c>
      <c r="B1473" s="25">
        <f>VLOOKUP(A1473,'Database Claims'!$A:$C,3,)</f>
        <v/>
      </c>
      <c r="C1473" s="29">
        <f>B1473-B1472</f>
        <v/>
      </c>
      <c r="D1473" s="25">
        <f>VLOOKUP(A1473,'Database Claims'!$A:$C,2,)</f>
        <v/>
      </c>
      <c r="E1473" s="29">
        <f>D1473-D1472</f>
        <v/>
      </c>
    </row>
    <row r="1474">
      <c r="A1474" s="28" t="n">
        <v>34762</v>
      </c>
      <c r="B1474" s="29">
        <f>VLOOKUP(A1474,'Database Claims'!$A:$C,3,)</f>
        <v/>
      </c>
      <c r="C1474" s="29">
        <f>B1474-B1473</f>
        <v/>
      </c>
      <c r="D1474" s="29">
        <f>VLOOKUP(A1474,'Database Claims'!$A:$C,2,)</f>
        <v/>
      </c>
      <c r="E1474" s="29">
        <f>D1474-D1473</f>
        <v/>
      </c>
    </row>
    <row r="1475">
      <c r="A1475" s="28" t="n">
        <v>34769</v>
      </c>
      <c r="B1475" s="25">
        <f>VLOOKUP(A1475,'Database Claims'!$A:$C,3,)</f>
        <v/>
      </c>
      <c r="C1475" s="29">
        <f>B1475-B1474</f>
        <v/>
      </c>
      <c r="D1475" s="25">
        <f>VLOOKUP(A1475,'Database Claims'!$A:$C,2,)</f>
        <v/>
      </c>
      <c r="E1475" s="29">
        <f>D1475-D1474</f>
        <v/>
      </c>
    </row>
    <row r="1476">
      <c r="A1476" s="28" t="n">
        <v>34776</v>
      </c>
      <c r="B1476" s="29">
        <f>VLOOKUP(A1476,'Database Claims'!$A:$C,3,)</f>
        <v/>
      </c>
      <c r="C1476" s="29">
        <f>B1476-B1475</f>
        <v/>
      </c>
      <c r="D1476" s="29">
        <f>VLOOKUP(A1476,'Database Claims'!$A:$C,2,)</f>
        <v/>
      </c>
      <c r="E1476" s="29">
        <f>D1476-D1475</f>
        <v/>
      </c>
    </row>
    <row r="1477">
      <c r="A1477" s="28" t="n">
        <v>34783</v>
      </c>
      <c r="B1477" s="25">
        <f>VLOOKUP(A1477,'Database Claims'!$A:$C,3,)</f>
        <v/>
      </c>
      <c r="C1477" s="29">
        <f>B1477-B1476</f>
        <v/>
      </c>
      <c r="D1477" s="25">
        <f>VLOOKUP(A1477,'Database Claims'!$A:$C,2,)</f>
        <v/>
      </c>
      <c r="E1477" s="29">
        <f>D1477-D1476</f>
        <v/>
      </c>
    </row>
    <row r="1478">
      <c r="A1478" s="28" t="n">
        <v>34790</v>
      </c>
      <c r="B1478" s="29">
        <f>VLOOKUP(A1478,'Database Claims'!$A:$C,3,)</f>
        <v/>
      </c>
      <c r="C1478" s="29">
        <f>B1478-B1477</f>
        <v/>
      </c>
      <c r="D1478" s="29">
        <f>VLOOKUP(A1478,'Database Claims'!$A:$C,2,)</f>
        <v/>
      </c>
      <c r="E1478" s="29">
        <f>D1478-D1477</f>
        <v/>
      </c>
    </row>
    <row r="1479">
      <c r="A1479" s="28" t="n">
        <v>34797</v>
      </c>
      <c r="B1479" s="25">
        <f>VLOOKUP(A1479,'Database Claims'!$A:$C,3,)</f>
        <v/>
      </c>
      <c r="C1479" s="29">
        <f>B1479-B1478</f>
        <v/>
      </c>
      <c r="D1479" s="25">
        <f>VLOOKUP(A1479,'Database Claims'!$A:$C,2,)</f>
        <v/>
      </c>
      <c r="E1479" s="29">
        <f>D1479-D1478</f>
        <v/>
      </c>
    </row>
    <row r="1480">
      <c r="A1480" s="28" t="n">
        <v>34804</v>
      </c>
      <c r="B1480" s="29">
        <f>VLOOKUP(A1480,'Database Claims'!$A:$C,3,)</f>
        <v/>
      </c>
      <c r="C1480" s="29">
        <f>B1480-B1479</f>
        <v/>
      </c>
      <c r="D1480" s="29">
        <f>VLOOKUP(A1480,'Database Claims'!$A:$C,2,)</f>
        <v/>
      </c>
      <c r="E1480" s="29">
        <f>D1480-D1479</f>
        <v/>
      </c>
    </row>
    <row r="1481">
      <c r="A1481" s="28" t="n">
        <v>34811</v>
      </c>
      <c r="B1481" s="25">
        <f>VLOOKUP(A1481,'Database Claims'!$A:$C,3,)</f>
        <v/>
      </c>
      <c r="C1481" s="29">
        <f>B1481-B1480</f>
        <v/>
      </c>
      <c r="D1481" s="25">
        <f>VLOOKUP(A1481,'Database Claims'!$A:$C,2,)</f>
        <v/>
      </c>
      <c r="E1481" s="29">
        <f>D1481-D1480</f>
        <v/>
      </c>
    </row>
    <row r="1482">
      <c r="A1482" s="28" t="n">
        <v>34818</v>
      </c>
      <c r="B1482" s="29">
        <f>VLOOKUP(A1482,'Database Claims'!$A:$C,3,)</f>
        <v/>
      </c>
      <c r="C1482" s="29">
        <f>B1482-B1481</f>
        <v/>
      </c>
      <c r="D1482" s="29">
        <f>VLOOKUP(A1482,'Database Claims'!$A:$C,2,)</f>
        <v/>
      </c>
      <c r="E1482" s="29">
        <f>D1482-D1481</f>
        <v/>
      </c>
    </row>
    <row r="1483">
      <c r="A1483" s="28" t="n">
        <v>34825</v>
      </c>
      <c r="B1483" s="25">
        <f>VLOOKUP(A1483,'Database Claims'!$A:$C,3,)</f>
        <v/>
      </c>
      <c r="C1483" s="29">
        <f>B1483-B1482</f>
        <v/>
      </c>
      <c r="D1483" s="25">
        <f>VLOOKUP(A1483,'Database Claims'!$A:$C,2,)</f>
        <v/>
      </c>
      <c r="E1483" s="29">
        <f>D1483-D1482</f>
        <v/>
      </c>
    </row>
    <row r="1484">
      <c r="A1484" s="28" t="n">
        <v>34832</v>
      </c>
      <c r="B1484" s="29">
        <f>VLOOKUP(A1484,'Database Claims'!$A:$C,3,)</f>
        <v/>
      </c>
      <c r="C1484" s="29">
        <f>B1484-B1483</f>
        <v/>
      </c>
      <c r="D1484" s="29">
        <f>VLOOKUP(A1484,'Database Claims'!$A:$C,2,)</f>
        <v/>
      </c>
      <c r="E1484" s="29">
        <f>D1484-D1483</f>
        <v/>
      </c>
    </row>
    <row r="1485">
      <c r="A1485" s="28" t="n">
        <v>34839</v>
      </c>
      <c r="B1485" s="25">
        <f>VLOOKUP(A1485,'Database Claims'!$A:$C,3,)</f>
        <v/>
      </c>
      <c r="C1485" s="29">
        <f>B1485-B1484</f>
        <v/>
      </c>
      <c r="D1485" s="25">
        <f>VLOOKUP(A1485,'Database Claims'!$A:$C,2,)</f>
        <v/>
      </c>
      <c r="E1485" s="29">
        <f>D1485-D1484</f>
        <v/>
      </c>
    </row>
    <row r="1486">
      <c r="A1486" s="28" t="n">
        <v>34846</v>
      </c>
      <c r="B1486" s="29">
        <f>VLOOKUP(A1486,'Database Claims'!$A:$C,3,)</f>
        <v/>
      </c>
      <c r="C1486" s="29">
        <f>B1486-B1485</f>
        <v/>
      </c>
      <c r="D1486" s="29">
        <f>VLOOKUP(A1486,'Database Claims'!$A:$C,2,)</f>
        <v/>
      </c>
      <c r="E1486" s="29">
        <f>D1486-D1485</f>
        <v/>
      </c>
    </row>
    <row r="1487">
      <c r="A1487" s="28" t="n">
        <v>34853</v>
      </c>
      <c r="B1487" s="25">
        <f>VLOOKUP(A1487,'Database Claims'!$A:$C,3,)</f>
        <v/>
      </c>
      <c r="C1487" s="29">
        <f>B1487-B1486</f>
        <v/>
      </c>
      <c r="D1487" s="25">
        <f>VLOOKUP(A1487,'Database Claims'!$A:$C,2,)</f>
        <v/>
      </c>
      <c r="E1487" s="29">
        <f>D1487-D1486</f>
        <v/>
      </c>
    </row>
    <row r="1488">
      <c r="A1488" s="28" t="n">
        <v>34860</v>
      </c>
      <c r="B1488" s="29">
        <f>VLOOKUP(A1488,'Database Claims'!$A:$C,3,)</f>
        <v/>
      </c>
      <c r="C1488" s="29">
        <f>B1488-B1487</f>
        <v/>
      </c>
      <c r="D1488" s="29">
        <f>VLOOKUP(A1488,'Database Claims'!$A:$C,2,)</f>
        <v/>
      </c>
      <c r="E1488" s="29">
        <f>D1488-D1487</f>
        <v/>
      </c>
    </row>
    <row r="1489">
      <c r="A1489" s="28" t="n">
        <v>34867</v>
      </c>
      <c r="B1489" s="25">
        <f>VLOOKUP(A1489,'Database Claims'!$A:$C,3,)</f>
        <v/>
      </c>
      <c r="C1489" s="29">
        <f>B1489-B1488</f>
        <v/>
      </c>
      <c r="D1489" s="25">
        <f>VLOOKUP(A1489,'Database Claims'!$A:$C,2,)</f>
        <v/>
      </c>
      <c r="E1489" s="29">
        <f>D1489-D1488</f>
        <v/>
      </c>
    </row>
    <row r="1490">
      <c r="A1490" s="28" t="n">
        <v>34874</v>
      </c>
      <c r="B1490" s="29">
        <f>VLOOKUP(A1490,'Database Claims'!$A:$C,3,)</f>
        <v/>
      </c>
      <c r="C1490" s="29">
        <f>B1490-B1489</f>
        <v/>
      </c>
      <c r="D1490" s="29">
        <f>VLOOKUP(A1490,'Database Claims'!$A:$C,2,)</f>
        <v/>
      </c>
      <c r="E1490" s="29">
        <f>D1490-D1489</f>
        <v/>
      </c>
    </row>
    <row r="1491">
      <c r="A1491" s="28" t="n">
        <v>34881</v>
      </c>
      <c r="B1491" s="25">
        <f>VLOOKUP(A1491,'Database Claims'!$A:$C,3,)</f>
        <v/>
      </c>
      <c r="C1491" s="29">
        <f>B1491-B1490</f>
        <v/>
      </c>
      <c r="D1491" s="25">
        <f>VLOOKUP(A1491,'Database Claims'!$A:$C,2,)</f>
        <v/>
      </c>
      <c r="E1491" s="29">
        <f>D1491-D1490</f>
        <v/>
      </c>
    </row>
    <row r="1492">
      <c r="A1492" s="28" t="n">
        <v>34888</v>
      </c>
      <c r="B1492" s="29">
        <f>VLOOKUP(A1492,'Database Claims'!$A:$C,3,)</f>
        <v/>
      </c>
      <c r="C1492" s="29">
        <f>B1492-B1491</f>
        <v/>
      </c>
      <c r="D1492" s="29">
        <f>VLOOKUP(A1492,'Database Claims'!$A:$C,2,)</f>
        <v/>
      </c>
      <c r="E1492" s="29">
        <f>D1492-D1491</f>
        <v/>
      </c>
    </row>
    <row r="1493">
      <c r="A1493" s="28" t="n">
        <v>34895</v>
      </c>
      <c r="B1493" s="25">
        <f>VLOOKUP(A1493,'Database Claims'!$A:$C,3,)</f>
        <v/>
      </c>
      <c r="C1493" s="29">
        <f>B1493-B1492</f>
        <v/>
      </c>
      <c r="D1493" s="25">
        <f>VLOOKUP(A1493,'Database Claims'!$A:$C,2,)</f>
        <v/>
      </c>
      <c r="E1493" s="29">
        <f>D1493-D1492</f>
        <v/>
      </c>
    </row>
    <row r="1494">
      <c r="A1494" s="28" t="n">
        <v>34902</v>
      </c>
      <c r="B1494" s="29">
        <f>VLOOKUP(A1494,'Database Claims'!$A:$C,3,)</f>
        <v/>
      </c>
      <c r="C1494" s="29">
        <f>B1494-B1493</f>
        <v/>
      </c>
      <c r="D1494" s="29">
        <f>VLOOKUP(A1494,'Database Claims'!$A:$C,2,)</f>
        <v/>
      </c>
      <c r="E1494" s="29">
        <f>D1494-D1493</f>
        <v/>
      </c>
    </row>
    <row r="1495">
      <c r="A1495" s="28" t="n">
        <v>34909</v>
      </c>
      <c r="B1495" s="25">
        <f>VLOOKUP(A1495,'Database Claims'!$A:$C,3,)</f>
        <v/>
      </c>
      <c r="C1495" s="29">
        <f>B1495-B1494</f>
        <v/>
      </c>
      <c r="D1495" s="25">
        <f>VLOOKUP(A1495,'Database Claims'!$A:$C,2,)</f>
        <v/>
      </c>
      <c r="E1495" s="29">
        <f>D1495-D1494</f>
        <v/>
      </c>
    </row>
    <row r="1496">
      <c r="A1496" s="28" t="n">
        <v>34916</v>
      </c>
      <c r="B1496" s="29">
        <f>VLOOKUP(A1496,'Database Claims'!$A:$C,3,)</f>
        <v/>
      </c>
      <c r="C1496" s="29">
        <f>B1496-B1495</f>
        <v/>
      </c>
      <c r="D1496" s="29">
        <f>VLOOKUP(A1496,'Database Claims'!$A:$C,2,)</f>
        <v/>
      </c>
      <c r="E1496" s="29">
        <f>D1496-D1495</f>
        <v/>
      </c>
    </row>
    <row r="1497">
      <c r="A1497" s="28" t="n">
        <v>34923</v>
      </c>
      <c r="B1497" s="25">
        <f>VLOOKUP(A1497,'Database Claims'!$A:$C,3,)</f>
        <v/>
      </c>
      <c r="C1497" s="29">
        <f>B1497-B1496</f>
        <v/>
      </c>
      <c r="D1497" s="25">
        <f>VLOOKUP(A1497,'Database Claims'!$A:$C,2,)</f>
        <v/>
      </c>
      <c r="E1497" s="29">
        <f>D1497-D1496</f>
        <v/>
      </c>
    </row>
    <row r="1498">
      <c r="A1498" s="28" t="n">
        <v>34930</v>
      </c>
      <c r="B1498" s="29">
        <f>VLOOKUP(A1498,'Database Claims'!$A:$C,3,)</f>
        <v/>
      </c>
      <c r="C1498" s="29">
        <f>B1498-B1497</f>
        <v/>
      </c>
      <c r="D1498" s="29">
        <f>VLOOKUP(A1498,'Database Claims'!$A:$C,2,)</f>
        <v/>
      </c>
      <c r="E1498" s="29">
        <f>D1498-D1497</f>
        <v/>
      </c>
    </row>
    <row r="1499">
      <c r="A1499" s="28" t="n">
        <v>34937</v>
      </c>
      <c r="B1499" s="25">
        <f>VLOOKUP(A1499,'Database Claims'!$A:$C,3,)</f>
        <v/>
      </c>
      <c r="C1499" s="29">
        <f>B1499-B1498</f>
        <v/>
      </c>
      <c r="D1499" s="25">
        <f>VLOOKUP(A1499,'Database Claims'!$A:$C,2,)</f>
        <v/>
      </c>
      <c r="E1499" s="29">
        <f>D1499-D1498</f>
        <v/>
      </c>
    </row>
    <row r="1500">
      <c r="A1500" s="28" t="n">
        <v>34944</v>
      </c>
      <c r="B1500" s="29">
        <f>VLOOKUP(A1500,'Database Claims'!$A:$C,3,)</f>
        <v/>
      </c>
      <c r="C1500" s="29">
        <f>B1500-B1499</f>
        <v/>
      </c>
      <c r="D1500" s="29">
        <f>VLOOKUP(A1500,'Database Claims'!$A:$C,2,)</f>
        <v/>
      </c>
      <c r="E1500" s="29">
        <f>D1500-D1499</f>
        <v/>
      </c>
    </row>
    <row r="1501">
      <c r="A1501" s="28" t="n">
        <v>34951</v>
      </c>
      <c r="B1501" s="25">
        <f>VLOOKUP(A1501,'Database Claims'!$A:$C,3,)</f>
        <v/>
      </c>
      <c r="C1501" s="29">
        <f>B1501-B1500</f>
        <v/>
      </c>
      <c r="D1501" s="25">
        <f>VLOOKUP(A1501,'Database Claims'!$A:$C,2,)</f>
        <v/>
      </c>
      <c r="E1501" s="29">
        <f>D1501-D1500</f>
        <v/>
      </c>
    </row>
    <row r="1502">
      <c r="A1502" s="28" t="n">
        <v>34958</v>
      </c>
      <c r="B1502" s="29">
        <f>VLOOKUP(A1502,'Database Claims'!$A:$C,3,)</f>
        <v/>
      </c>
      <c r="C1502" s="29">
        <f>B1502-B1501</f>
        <v/>
      </c>
      <c r="D1502" s="29">
        <f>VLOOKUP(A1502,'Database Claims'!$A:$C,2,)</f>
        <v/>
      </c>
      <c r="E1502" s="29">
        <f>D1502-D1501</f>
        <v/>
      </c>
    </row>
    <row r="1503">
      <c r="A1503" s="28" t="n">
        <v>34965</v>
      </c>
      <c r="B1503" s="25">
        <f>VLOOKUP(A1503,'Database Claims'!$A:$C,3,)</f>
        <v/>
      </c>
      <c r="C1503" s="29">
        <f>B1503-B1502</f>
        <v/>
      </c>
      <c r="D1503" s="25">
        <f>VLOOKUP(A1503,'Database Claims'!$A:$C,2,)</f>
        <v/>
      </c>
      <c r="E1503" s="29">
        <f>D1503-D1502</f>
        <v/>
      </c>
    </row>
    <row r="1504">
      <c r="A1504" s="28" t="n">
        <v>34972</v>
      </c>
      <c r="B1504" s="29">
        <f>VLOOKUP(A1504,'Database Claims'!$A:$C,3,)</f>
        <v/>
      </c>
      <c r="C1504" s="29">
        <f>B1504-B1503</f>
        <v/>
      </c>
      <c r="D1504" s="29">
        <f>VLOOKUP(A1504,'Database Claims'!$A:$C,2,)</f>
        <v/>
      </c>
      <c r="E1504" s="29">
        <f>D1504-D1503</f>
        <v/>
      </c>
    </row>
    <row r="1505">
      <c r="A1505" s="28" t="n">
        <v>34979</v>
      </c>
      <c r="B1505" s="25">
        <f>VLOOKUP(A1505,'Database Claims'!$A:$C,3,)</f>
        <v/>
      </c>
      <c r="C1505" s="29">
        <f>B1505-B1504</f>
        <v/>
      </c>
      <c r="D1505" s="25">
        <f>VLOOKUP(A1505,'Database Claims'!$A:$C,2,)</f>
        <v/>
      </c>
      <c r="E1505" s="29">
        <f>D1505-D1504</f>
        <v/>
      </c>
    </row>
    <row r="1506">
      <c r="A1506" s="28" t="n">
        <v>34986</v>
      </c>
      <c r="B1506" s="29">
        <f>VLOOKUP(A1506,'Database Claims'!$A:$C,3,)</f>
        <v/>
      </c>
      <c r="C1506" s="29">
        <f>B1506-B1505</f>
        <v/>
      </c>
      <c r="D1506" s="29">
        <f>VLOOKUP(A1506,'Database Claims'!$A:$C,2,)</f>
        <v/>
      </c>
      <c r="E1506" s="29">
        <f>D1506-D1505</f>
        <v/>
      </c>
    </row>
    <row r="1507">
      <c r="A1507" s="28" t="n">
        <v>34993</v>
      </c>
      <c r="B1507" s="25">
        <f>VLOOKUP(A1507,'Database Claims'!$A:$C,3,)</f>
        <v/>
      </c>
      <c r="C1507" s="29">
        <f>B1507-B1506</f>
        <v/>
      </c>
      <c r="D1507" s="25">
        <f>VLOOKUP(A1507,'Database Claims'!$A:$C,2,)</f>
        <v/>
      </c>
      <c r="E1507" s="29">
        <f>D1507-D1506</f>
        <v/>
      </c>
    </row>
    <row r="1508">
      <c r="A1508" s="28" t="n">
        <v>35000</v>
      </c>
      <c r="B1508" s="29">
        <f>VLOOKUP(A1508,'Database Claims'!$A:$C,3,)</f>
        <v/>
      </c>
      <c r="C1508" s="29">
        <f>B1508-B1507</f>
        <v/>
      </c>
      <c r="D1508" s="29">
        <f>VLOOKUP(A1508,'Database Claims'!$A:$C,2,)</f>
        <v/>
      </c>
      <c r="E1508" s="29">
        <f>D1508-D1507</f>
        <v/>
      </c>
    </row>
    <row r="1509">
      <c r="A1509" s="28" t="n">
        <v>35007</v>
      </c>
      <c r="B1509" s="25">
        <f>VLOOKUP(A1509,'Database Claims'!$A:$C,3,)</f>
        <v/>
      </c>
      <c r="C1509" s="29">
        <f>B1509-B1508</f>
        <v/>
      </c>
      <c r="D1509" s="25">
        <f>VLOOKUP(A1509,'Database Claims'!$A:$C,2,)</f>
        <v/>
      </c>
      <c r="E1509" s="29">
        <f>D1509-D1508</f>
        <v/>
      </c>
    </row>
    <row r="1510">
      <c r="A1510" s="28" t="n">
        <v>35014</v>
      </c>
      <c r="B1510" s="29">
        <f>VLOOKUP(A1510,'Database Claims'!$A:$C,3,)</f>
        <v/>
      </c>
      <c r="C1510" s="29">
        <f>B1510-B1509</f>
        <v/>
      </c>
      <c r="D1510" s="29">
        <f>VLOOKUP(A1510,'Database Claims'!$A:$C,2,)</f>
        <v/>
      </c>
      <c r="E1510" s="29">
        <f>D1510-D1509</f>
        <v/>
      </c>
    </row>
    <row r="1511">
      <c r="A1511" s="28" t="n">
        <v>35021</v>
      </c>
      <c r="B1511" s="25">
        <f>VLOOKUP(A1511,'Database Claims'!$A:$C,3,)</f>
        <v/>
      </c>
      <c r="C1511" s="29">
        <f>B1511-B1510</f>
        <v/>
      </c>
      <c r="D1511" s="25">
        <f>VLOOKUP(A1511,'Database Claims'!$A:$C,2,)</f>
        <v/>
      </c>
      <c r="E1511" s="29">
        <f>D1511-D1510</f>
        <v/>
      </c>
    </row>
    <row r="1512">
      <c r="A1512" s="28" t="n">
        <v>35028</v>
      </c>
      <c r="B1512" s="29">
        <f>VLOOKUP(A1512,'Database Claims'!$A:$C,3,)</f>
        <v/>
      </c>
      <c r="C1512" s="29">
        <f>B1512-B1511</f>
        <v/>
      </c>
      <c r="D1512" s="29">
        <f>VLOOKUP(A1512,'Database Claims'!$A:$C,2,)</f>
        <v/>
      </c>
      <c r="E1512" s="29">
        <f>D1512-D1511</f>
        <v/>
      </c>
    </row>
    <row r="1513">
      <c r="A1513" s="28" t="n">
        <v>35035</v>
      </c>
      <c r="B1513" s="25">
        <f>VLOOKUP(A1513,'Database Claims'!$A:$C,3,)</f>
        <v/>
      </c>
      <c r="C1513" s="29">
        <f>B1513-B1512</f>
        <v/>
      </c>
      <c r="D1513" s="25">
        <f>VLOOKUP(A1513,'Database Claims'!$A:$C,2,)</f>
        <v/>
      </c>
      <c r="E1513" s="29">
        <f>D1513-D1512</f>
        <v/>
      </c>
    </row>
    <row r="1514">
      <c r="A1514" s="28" t="n">
        <v>35042</v>
      </c>
      <c r="B1514" s="29">
        <f>VLOOKUP(A1514,'Database Claims'!$A:$C,3,)</f>
        <v/>
      </c>
      <c r="C1514" s="29">
        <f>B1514-B1513</f>
        <v/>
      </c>
      <c r="D1514" s="29">
        <f>VLOOKUP(A1514,'Database Claims'!$A:$C,2,)</f>
        <v/>
      </c>
      <c r="E1514" s="29">
        <f>D1514-D1513</f>
        <v/>
      </c>
    </row>
    <row r="1515">
      <c r="A1515" s="28" t="n">
        <v>35049</v>
      </c>
      <c r="B1515" s="25">
        <f>VLOOKUP(A1515,'Database Claims'!$A:$C,3,)</f>
        <v/>
      </c>
      <c r="C1515" s="29">
        <f>B1515-B1514</f>
        <v/>
      </c>
      <c r="D1515" s="25">
        <f>VLOOKUP(A1515,'Database Claims'!$A:$C,2,)</f>
        <v/>
      </c>
      <c r="E1515" s="29">
        <f>D1515-D1514</f>
        <v/>
      </c>
    </row>
    <row r="1516">
      <c r="A1516" s="28" t="n">
        <v>35056</v>
      </c>
      <c r="B1516" s="29">
        <f>VLOOKUP(A1516,'Database Claims'!$A:$C,3,)</f>
        <v/>
      </c>
      <c r="C1516" s="29">
        <f>B1516-B1515</f>
        <v/>
      </c>
      <c r="D1516" s="29">
        <f>VLOOKUP(A1516,'Database Claims'!$A:$C,2,)</f>
        <v/>
      </c>
      <c r="E1516" s="29">
        <f>D1516-D1515</f>
        <v/>
      </c>
    </row>
    <row r="1517">
      <c r="A1517" s="28" t="n">
        <v>35063</v>
      </c>
      <c r="B1517" s="25">
        <f>VLOOKUP(A1517,'Database Claims'!$A:$C,3,)</f>
        <v/>
      </c>
      <c r="C1517" s="29">
        <f>B1517-B1516</f>
        <v/>
      </c>
      <c r="D1517" s="25">
        <f>VLOOKUP(A1517,'Database Claims'!$A:$C,2,)</f>
        <v/>
      </c>
      <c r="E1517" s="29">
        <f>D1517-D1516</f>
        <v/>
      </c>
    </row>
    <row r="1518">
      <c r="A1518" s="28" t="n">
        <v>35070</v>
      </c>
      <c r="B1518" s="29">
        <f>VLOOKUP(A1518,'Database Claims'!$A:$C,3,)</f>
        <v/>
      </c>
      <c r="C1518" s="29">
        <f>B1518-B1517</f>
        <v/>
      </c>
      <c r="D1518" s="29">
        <f>VLOOKUP(A1518,'Database Claims'!$A:$C,2,)</f>
        <v/>
      </c>
      <c r="E1518" s="29">
        <f>D1518-D1517</f>
        <v/>
      </c>
    </row>
    <row r="1519">
      <c r="A1519" s="28" t="n">
        <v>35077</v>
      </c>
      <c r="B1519" s="25">
        <f>VLOOKUP(A1519,'Database Claims'!$A:$C,3,)</f>
        <v/>
      </c>
      <c r="C1519" s="29">
        <f>B1519-B1518</f>
        <v/>
      </c>
      <c r="D1519" s="25">
        <f>VLOOKUP(A1519,'Database Claims'!$A:$C,2,)</f>
        <v/>
      </c>
      <c r="E1519" s="29">
        <f>D1519-D1518</f>
        <v/>
      </c>
    </row>
    <row r="1520">
      <c r="A1520" s="28" t="n">
        <v>35084</v>
      </c>
      <c r="B1520" s="29">
        <f>VLOOKUP(A1520,'Database Claims'!$A:$C,3,)</f>
        <v/>
      </c>
      <c r="C1520" s="29">
        <f>B1520-B1519</f>
        <v/>
      </c>
      <c r="D1520" s="29">
        <f>VLOOKUP(A1520,'Database Claims'!$A:$C,2,)</f>
        <v/>
      </c>
      <c r="E1520" s="29">
        <f>D1520-D1519</f>
        <v/>
      </c>
    </row>
    <row r="1521">
      <c r="A1521" s="28" t="n">
        <v>35091</v>
      </c>
      <c r="B1521" s="25">
        <f>VLOOKUP(A1521,'Database Claims'!$A:$C,3,)</f>
        <v/>
      </c>
      <c r="C1521" s="29">
        <f>B1521-B1520</f>
        <v/>
      </c>
      <c r="D1521" s="25">
        <f>VLOOKUP(A1521,'Database Claims'!$A:$C,2,)</f>
        <v/>
      </c>
      <c r="E1521" s="29">
        <f>D1521-D1520</f>
        <v/>
      </c>
    </row>
    <row r="1522">
      <c r="A1522" s="28" t="n">
        <v>35098</v>
      </c>
      <c r="B1522" s="29">
        <f>VLOOKUP(A1522,'Database Claims'!$A:$C,3,)</f>
        <v/>
      </c>
      <c r="C1522" s="29">
        <f>B1522-B1521</f>
        <v/>
      </c>
      <c r="D1522" s="29">
        <f>VLOOKUP(A1522,'Database Claims'!$A:$C,2,)</f>
        <v/>
      </c>
      <c r="E1522" s="29">
        <f>D1522-D1521</f>
        <v/>
      </c>
    </row>
    <row r="1523">
      <c r="A1523" s="28" t="n">
        <v>35105</v>
      </c>
      <c r="B1523" s="25">
        <f>VLOOKUP(A1523,'Database Claims'!$A:$C,3,)</f>
        <v/>
      </c>
      <c r="C1523" s="29">
        <f>B1523-B1522</f>
        <v/>
      </c>
      <c r="D1523" s="25">
        <f>VLOOKUP(A1523,'Database Claims'!$A:$C,2,)</f>
        <v/>
      </c>
      <c r="E1523" s="29">
        <f>D1523-D1522</f>
        <v/>
      </c>
    </row>
    <row r="1524">
      <c r="A1524" s="28" t="n">
        <v>35112</v>
      </c>
      <c r="B1524" s="29">
        <f>VLOOKUP(A1524,'Database Claims'!$A:$C,3,)</f>
        <v/>
      </c>
      <c r="C1524" s="29">
        <f>B1524-B1523</f>
        <v/>
      </c>
      <c r="D1524" s="29">
        <f>VLOOKUP(A1524,'Database Claims'!$A:$C,2,)</f>
        <v/>
      </c>
      <c r="E1524" s="29">
        <f>D1524-D1523</f>
        <v/>
      </c>
    </row>
    <row r="1525">
      <c r="A1525" s="28" t="n">
        <v>35119</v>
      </c>
      <c r="B1525" s="25">
        <f>VLOOKUP(A1525,'Database Claims'!$A:$C,3,)</f>
        <v/>
      </c>
      <c r="C1525" s="29">
        <f>B1525-B1524</f>
        <v/>
      </c>
      <c r="D1525" s="25">
        <f>VLOOKUP(A1525,'Database Claims'!$A:$C,2,)</f>
        <v/>
      </c>
      <c r="E1525" s="29">
        <f>D1525-D1524</f>
        <v/>
      </c>
    </row>
    <row r="1526">
      <c r="A1526" s="28" t="n">
        <v>35126</v>
      </c>
      <c r="B1526" s="29">
        <f>VLOOKUP(A1526,'Database Claims'!$A:$C,3,)</f>
        <v/>
      </c>
      <c r="C1526" s="29">
        <f>B1526-B1525</f>
        <v/>
      </c>
      <c r="D1526" s="29">
        <f>VLOOKUP(A1526,'Database Claims'!$A:$C,2,)</f>
        <v/>
      </c>
      <c r="E1526" s="29">
        <f>D1526-D1525</f>
        <v/>
      </c>
    </row>
    <row r="1527">
      <c r="A1527" s="28" t="n">
        <v>35133</v>
      </c>
      <c r="B1527" s="25">
        <f>VLOOKUP(A1527,'Database Claims'!$A:$C,3,)</f>
        <v/>
      </c>
      <c r="C1527" s="29">
        <f>B1527-B1526</f>
        <v/>
      </c>
      <c r="D1527" s="25">
        <f>VLOOKUP(A1527,'Database Claims'!$A:$C,2,)</f>
        <v/>
      </c>
      <c r="E1527" s="29">
        <f>D1527-D1526</f>
        <v/>
      </c>
    </row>
    <row r="1528">
      <c r="A1528" s="28" t="n">
        <v>35140</v>
      </c>
      <c r="B1528" s="29">
        <f>VLOOKUP(A1528,'Database Claims'!$A:$C,3,)</f>
        <v/>
      </c>
      <c r="C1528" s="29">
        <f>B1528-B1527</f>
        <v/>
      </c>
      <c r="D1528" s="29">
        <f>VLOOKUP(A1528,'Database Claims'!$A:$C,2,)</f>
        <v/>
      </c>
      <c r="E1528" s="29">
        <f>D1528-D1527</f>
        <v/>
      </c>
    </row>
    <row r="1529">
      <c r="A1529" s="28" t="n">
        <v>35147</v>
      </c>
      <c r="B1529" s="25">
        <f>VLOOKUP(A1529,'Database Claims'!$A:$C,3,)</f>
        <v/>
      </c>
      <c r="C1529" s="29">
        <f>B1529-B1528</f>
        <v/>
      </c>
      <c r="D1529" s="25">
        <f>VLOOKUP(A1529,'Database Claims'!$A:$C,2,)</f>
        <v/>
      </c>
      <c r="E1529" s="29">
        <f>D1529-D1528</f>
        <v/>
      </c>
    </row>
    <row r="1530">
      <c r="A1530" s="28" t="n">
        <v>35154</v>
      </c>
      <c r="B1530" s="29">
        <f>VLOOKUP(A1530,'Database Claims'!$A:$C,3,)</f>
        <v/>
      </c>
      <c r="C1530" s="29">
        <f>B1530-B1529</f>
        <v/>
      </c>
      <c r="D1530" s="29">
        <f>VLOOKUP(A1530,'Database Claims'!$A:$C,2,)</f>
        <v/>
      </c>
      <c r="E1530" s="29">
        <f>D1530-D1529</f>
        <v/>
      </c>
    </row>
    <row r="1531">
      <c r="A1531" s="28" t="n">
        <v>35161</v>
      </c>
      <c r="B1531" s="25">
        <f>VLOOKUP(A1531,'Database Claims'!$A:$C,3,)</f>
        <v/>
      </c>
      <c r="C1531" s="29">
        <f>B1531-B1530</f>
        <v/>
      </c>
      <c r="D1531" s="25">
        <f>VLOOKUP(A1531,'Database Claims'!$A:$C,2,)</f>
        <v/>
      </c>
      <c r="E1531" s="29">
        <f>D1531-D1530</f>
        <v/>
      </c>
    </row>
    <row r="1532">
      <c r="A1532" s="28" t="n">
        <v>35168</v>
      </c>
      <c r="B1532" s="29">
        <f>VLOOKUP(A1532,'Database Claims'!$A:$C,3,)</f>
        <v/>
      </c>
      <c r="C1532" s="29">
        <f>B1532-B1531</f>
        <v/>
      </c>
      <c r="D1532" s="29">
        <f>VLOOKUP(A1532,'Database Claims'!$A:$C,2,)</f>
        <v/>
      </c>
      <c r="E1532" s="29">
        <f>D1532-D1531</f>
        <v/>
      </c>
    </row>
    <row r="1533">
      <c r="A1533" s="28" t="n">
        <v>35175</v>
      </c>
      <c r="B1533" s="25">
        <f>VLOOKUP(A1533,'Database Claims'!$A:$C,3,)</f>
        <v/>
      </c>
      <c r="C1533" s="29">
        <f>B1533-B1532</f>
        <v/>
      </c>
      <c r="D1533" s="25">
        <f>VLOOKUP(A1533,'Database Claims'!$A:$C,2,)</f>
        <v/>
      </c>
      <c r="E1533" s="29">
        <f>D1533-D1532</f>
        <v/>
      </c>
    </row>
    <row r="1534">
      <c r="A1534" s="28" t="n">
        <v>35182</v>
      </c>
      <c r="B1534" s="29">
        <f>VLOOKUP(A1534,'Database Claims'!$A:$C,3,)</f>
        <v/>
      </c>
      <c r="C1534" s="29">
        <f>B1534-B1533</f>
        <v/>
      </c>
      <c r="D1534" s="29">
        <f>VLOOKUP(A1534,'Database Claims'!$A:$C,2,)</f>
        <v/>
      </c>
      <c r="E1534" s="29">
        <f>D1534-D1533</f>
        <v/>
      </c>
    </row>
    <row r="1535">
      <c r="A1535" s="28" t="n">
        <v>35189</v>
      </c>
      <c r="B1535" s="25">
        <f>VLOOKUP(A1535,'Database Claims'!$A:$C,3,)</f>
        <v/>
      </c>
      <c r="C1535" s="29">
        <f>B1535-B1534</f>
        <v/>
      </c>
      <c r="D1535" s="25">
        <f>VLOOKUP(A1535,'Database Claims'!$A:$C,2,)</f>
        <v/>
      </c>
      <c r="E1535" s="29">
        <f>D1535-D1534</f>
        <v/>
      </c>
    </row>
    <row r="1536">
      <c r="A1536" s="28" t="n">
        <v>35196</v>
      </c>
      <c r="B1536" s="29">
        <f>VLOOKUP(A1536,'Database Claims'!$A:$C,3,)</f>
        <v/>
      </c>
      <c r="C1536" s="29">
        <f>B1536-B1535</f>
        <v/>
      </c>
      <c r="D1536" s="29">
        <f>VLOOKUP(A1536,'Database Claims'!$A:$C,2,)</f>
        <v/>
      </c>
      <c r="E1536" s="29">
        <f>D1536-D1535</f>
        <v/>
      </c>
    </row>
    <row r="1537">
      <c r="A1537" s="28" t="n">
        <v>35203</v>
      </c>
      <c r="B1537" s="25">
        <f>VLOOKUP(A1537,'Database Claims'!$A:$C,3,)</f>
        <v/>
      </c>
      <c r="C1537" s="29">
        <f>B1537-B1536</f>
        <v/>
      </c>
      <c r="D1537" s="25">
        <f>VLOOKUP(A1537,'Database Claims'!$A:$C,2,)</f>
        <v/>
      </c>
      <c r="E1537" s="29">
        <f>D1537-D1536</f>
        <v/>
      </c>
    </row>
    <row r="1538">
      <c r="A1538" s="28" t="n">
        <v>35210</v>
      </c>
      <c r="B1538" s="29">
        <f>VLOOKUP(A1538,'Database Claims'!$A:$C,3,)</f>
        <v/>
      </c>
      <c r="C1538" s="29">
        <f>B1538-B1537</f>
        <v/>
      </c>
      <c r="D1538" s="29">
        <f>VLOOKUP(A1538,'Database Claims'!$A:$C,2,)</f>
        <v/>
      </c>
      <c r="E1538" s="29">
        <f>D1538-D1537</f>
        <v/>
      </c>
    </row>
    <row r="1539">
      <c r="A1539" s="28" t="n">
        <v>35217</v>
      </c>
      <c r="B1539" s="25">
        <f>VLOOKUP(A1539,'Database Claims'!$A:$C,3,)</f>
        <v/>
      </c>
      <c r="C1539" s="29">
        <f>B1539-B1538</f>
        <v/>
      </c>
      <c r="D1539" s="25">
        <f>VLOOKUP(A1539,'Database Claims'!$A:$C,2,)</f>
        <v/>
      </c>
      <c r="E1539" s="29">
        <f>D1539-D1538</f>
        <v/>
      </c>
    </row>
    <row r="1540">
      <c r="A1540" s="28" t="n">
        <v>35224</v>
      </c>
      <c r="B1540" s="29">
        <f>VLOOKUP(A1540,'Database Claims'!$A:$C,3,)</f>
        <v/>
      </c>
      <c r="C1540" s="29">
        <f>B1540-B1539</f>
        <v/>
      </c>
      <c r="D1540" s="29">
        <f>VLOOKUP(A1540,'Database Claims'!$A:$C,2,)</f>
        <v/>
      </c>
      <c r="E1540" s="29">
        <f>D1540-D1539</f>
        <v/>
      </c>
    </row>
    <row r="1541">
      <c r="A1541" s="28" t="n">
        <v>35231</v>
      </c>
      <c r="B1541" s="25">
        <f>VLOOKUP(A1541,'Database Claims'!$A:$C,3,)</f>
        <v/>
      </c>
      <c r="C1541" s="29">
        <f>B1541-B1540</f>
        <v/>
      </c>
      <c r="D1541" s="25">
        <f>VLOOKUP(A1541,'Database Claims'!$A:$C,2,)</f>
        <v/>
      </c>
      <c r="E1541" s="29">
        <f>D1541-D1540</f>
        <v/>
      </c>
    </row>
    <row r="1542">
      <c r="A1542" s="28" t="n">
        <v>35238</v>
      </c>
      <c r="B1542" s="29">
        <f>VLOOKUP(A1542,'Database Claims'!$A:$C,3,)</f>
        <v/>
      </c>
      <c r="C1542" s="29">
        <f>B1542-B1541</f>
        <v/>
      </c>
      <c r="D1542" s="29">
        <f>VLOOKUP(A1542,'Database Claims'!$A:$C,2,)</f>
        <v/>
      </c>
      <c r="E1542" s="29">
        <f>D1542-D1541</f>
        <v/>
      </c>
    </row>
    <row r="1543">
      <c r="A1543" s="28" t="n">
        <v>35245</v>
      </c>
      <c r="B1543" s="25">
        <f>VLOOKUP(A1543,'Database Claims'!$A:$C,3,)</f>
        <v/>
      </c>
      <c r="C1543" s="29">
        <f>B1543-B1542</f>
        <v/>
      </c>
      <c r="D1543" s="25">
        <f>VLOOKUP(A1543,'Database Claims'!$A:$C,2,)</f>
        <v/>
      </c>
      <c r="E1543" s="29">
        <f>D1543-D1542</f>
        <v/>
      </c>
    </row>
    <row r="1544">
      <c r="A1544" s="28" t="n">
        <v>35252</v>
      </c>
      <c r="B1544" s="29">
        <f>VLOOKUP(A1544,'Database Claims'!$A:$C,3,)</f>
        <v/>
      </c>
      <c r="C1544" s="29">
        <f>B1544-B1543</f>
        <v/>
      </c>
      <c r="D1544" s="29">
        <f>VLOOKUP(A1544,'Database Claims'!$A:$C,2,)</f>
        <v/>
      </c>
      <c r="E1544" s="29">
        <f>D1544-D1543</f>
        <v/>
      </c>
    </row>
    <row r="1545">
      <c r="A1545" s="28" t="n">
        <v>35259</v>
      </c>
      <c r="B1545" s="25">
        <f>VLOOKUP(A1545,'Database Claims'!$A:$C,3,)</f>
        <v/>
      </c>
      <c r="C1545" s="29">
        <f>B1545-B1544</f>
        <v/>
      </c>
      <c r="D1545" s="25">
        <f>VLOOKUP(A1545,'Database Claims'!$A:$C,2,)</f>
        <v/>
      </c>
      <c r="E1545" s="29">
        <f>D1545-D1544</f>
        <v/>
      </c>
    </row>
    <row r="1546">
      <c r="A1546" s="28" t="n">
        <v>35266</v>
      </c>
      <c r="B1546" s="29">
        <f>VLOOKUP(A1546,'Database Claims'!$A:$C,3,)</f>
        <v/>
      </c>
      <c r="C1546" s="29">
        <f>B1546-B1545</f>
        <v/>
      </c>
      <c r="D1546" s="29">
        <f>VLOOKUP(A1546,'Database Claims'!$A:$C,2,)</f>
        <v/>
      </c>
      <c r="E1546" s="29">
        <f>D1546-D1545</f>
        <v/>
      </c>
    </row>
    <row r="1547">
      <c r="A1547" s="28" t="n">
        <v>35273</v>
      </c>
      <c r="B1547" s="25">
        <f>VLOOKUP(A1547,'Database Claims'!$A:$C,3,)</f>
        <v/>
      </c>
      <c r="C1547" s="29">
        <f>B1547-B1546</f>
        <v/>
      </c>
      <c r="D1547" s="25">
        <f>VLOOKUP(A1547,'Database Claims'!$A:$C,2,)</f>
        <v/>
      </c>
      <c r="E1547" s="29">
        <f>D1547-D1546</f>
        <v/>
      </c>
    </row>
    <row r="1548">
      <c r="A1548" s="28" t="n">
        <v>35280</v>
      </c>
      <c r="B1548" s="29">
        <f>VLOOKUP(A1548,'Database Claims'!$A:$C,3,)</f>
        <v/>
      </c>
      <c r="C1548" s="29">
        <f>B1548-B1547</f>
        <v/>
      </c>
      <c r="D1548" s="29">
        <f>VLOOKUP(A1548,'Database Claims'!$A:$C,2,)</f>
        <v/>
      </c>
      <c r="E1548" s="29">
        <f>D1548-D1547</f>
        <v/>
      </c>
    </row>
    <row r="1549">
      <c r="A1549" s="28" t="n">
        <v>35287</v>
      </c>
      <c r="B1549" s="25">
        <f>VLOOKUP(A1549,'Database Claims'!$A:$C,3,)</f>
        <v/>
      </c>
      <c r="C1549" s="29">
        <f>B1549-B1548</f>
        <v/>
      </c>
      <c r="D1549" s="25">
        <f>VLOOKUP(A1549,'Database Claims'!$A:$C,2,)</f>
        <v/>
      </c>
      <c r="E1549" s="29">
        <f>D1549-D1548</f>
        <v/>
      </c>
    </row>
    <row r="1550">
      <c r="A1550" s="28" t="n">
        <v>35294</v>
      </c>
      <c r="B1550" s="29">
        <f>VLOOKUP(A1550,'Database Claims'!$A:$C,3,)</f>
        <v/>
      </c>
      <c r="C1550" s="29">
        <f>B1550-B1549</f>
        <v/>
      </c>
      <c r="D1550" s="29">
        <f>VLOOKUP(A1550,'Database Claims'!$A:$C,2,)</f>
        <v/>
      </c>
      <c r="E1550" s="29">
        <f>D1550-D1549</f>
        <v/>
      </c>
    </row>
    <row r="1551">
      <c r="A1551" s="28" t="n">
        <v>35301</v>
      </c>
      <c r="B1551" s="25">
        <f>VLOOKUP(A1551,'Database Claims'!$A:$C,3,)</f>
        <v/>
      </c>
      <c r="C1551" s="29">
        <f>B1551-B1550</f>
        <v/>
      </c>
      <c r="D1551" s="25">
        <f>VLOOKUP(A1551,'Database Claims'!$A:$C,2,)</f>
        <v/>
      </c>
      <c r="E1551" s="29">
        <f>D1551-D1550</f>
        <v/>
      </c>
    </row>
    <row r="1552">
      <c r="A1552" s="28" t="n">
        <v>35308</v>
      </c>
      <c r="B1552" s="29">
        <f>VLOOKUP(A1552,'Database Claims'!$A:$C,3,)</f>
        <v/>
      </c>
      <c r="C1552" s="29">
        <f>B1552-B1551</f>
        <v/>
      </c>
      <c r="D1552" s="29">
        <f>VLOOKUP(A1552,'Database Claims'!$A:$C,2,)</f>
        <v/>
      </c>
      <c r="E1552" s="29">
        <f>D1552-D1551</f>
        <v/>
      </c>
    </row>
    <row r="1553">
      <c r="A1553" s="28" t="n">
        <v>35315</v>
      </c>
      <c r="B1553" s="25">
        <f>VLOOKUP(A1553,'Database Claims'!$A:$C,3,)</f>
        <v/>
      </c>
      <c r="C1553" s="29">
        <f>B1553-B1552</f>
        <v/>
      </c>
      <c r="D1553" s="25">
        <f>VLOOKUP(A1553,'Database Claims'!$A:$C,2,)</f>
        <v/>
      </c>
      <c r="E1553" s="29">
        <f>D1553-D1552</f>
        <v/>
      </c>
    </row>
    <row r="1554">
      <c r="A1554" s="28" t="n">
        <v>35322</v>
      </c>
      <c r="B1554" s="29">
        <f>VLOOKUP(A1554,'Database Claims'!$A:$C,3,)</f>
        <v/>
      </c>
      <c r="C1554" s="29">
        <f>B1554-B1553</f>
        <v/>
      </c>
      <c r="D1554" s="29">
        <f>VLOOKUP(A1554,'Database Claims'!$A:$C,2,)</f>
        <v/>
      </c>
      <c r="E1554" s="29">
        <f>D1554-D1553</f>
        <v/>
      </c>
    </row>
    <row r="1555">
      <c r="A1555" s="28" t="n">
        <v>35329</v>
      </c>
      <c r="B1555" s="25">
        <f>VLOOKUP(A1555,'Database Claims'!$A:$C,3,)</f>
        <v/>
      </c>
      <c r="C1555" s="29">
        <f>B1555-B1554</f>
        <v/>
      </c>
      <c r="D1555" s="25">
        <f>VLOOKUP(A1555,'Database Claims'!$A:$C,2,)</f>
        <v/>
      </c>
      <c r="E1555" s="29">
        <f>D1555-D1554</f>
        <v/>
      </c>
    </row>
    <row r="1556">
      <c r="A1556" s="28" t="n">
        <v>35336</v>
      </c>
      <c r="B1556" s="29">
        <f>VLOOKUP(A1556,'Database Claims'!$A:$C,3,)</f>
        <v/>
      </c>
      <c r="C1556" s="29">
        <f>B1556-B1555</f>
        <v/>
      </c>
      <c r="D1556" s="29">
        <f>VLOOKUP(A1556,'Database Claims'!$A:$C,2,)</f>
        <v/>
      </c>
      <c r="E1556" s="29">
        <f>D1556-D1555</f>
        <v/>
      </c>
    </row>
    <row r="1557">
      <c r="A1557" s="28" t="n">
        <v>35343</v>
      </c>
      <c r="B1557" s="25">
        <f>VLOOKUP(A1557,'Database Claims'!$A:$C,3,)</f>
        <v/>
      </c>
      <c r="C1557" s="29">
        <f>B1557-B1556</f>
        <v/>
      </c>
      <c r="D1557" s="25">
        <f>VLOOKUP(A1557,'Database Claims'!$A:$C,2,)</f>
        <v/>
      </c>
      <c r="E1557" s="29">
        <f>D1557-D1556</f>
        <v/>
      </c>
    </row>
    <row r="1558">
      <c r="A1558" s="28" t="n">
        <v>35350</v>
      </c>
      <c r="B1558" s="29">
        <f>VLOOKUP(A1558,'Database Claims'!$A:$C,3,)</f>
        <v/>
      </c>
      <c r="C1558" s="29">
        <f>B1558-B1557</f>
        <v/>
      </c>
      <c r="D1558" s="29">
        <f>VLOOKUP(A1558,'Database Claims'!$A:$C,2,)</f>
        <v/>
      </c>
      <c r="E1558" s="29">
        <f>D1558-D1557</f>
        <v/>
      </c>
    </row>
    <row r="1559">
      <c r="A1559" s="28" t="n">
        <v>35357</v>
      </c>
      <c r="B1559" s="25">
        <f>VLOOKUP(A1559,'Database Claims'!$A:$C,3,)</f>
        <v/>
      </c>
      <c r="C1559" s="29">
        <f>B1559-B1558</f>
        <v/>
      </c>
      <c r="D1559" s="25">
        <f>VLOOKUP(A1559,'Database Claims'!$A:$C,2,)</f>
        <v/>
      </c>
      <c r="E1559" s="29">
        <f>D1559-D1558</f>
        <v/>
      </c>
    </row>
    <row r="1560">
      <c r="A1560" s="28" t="n">
        <v>35364</v>
      </c>
      <c r="B1560" s="29">
        <f>VLOOKUP(A1560,'Database Claims'!$A:$C,3,)</f>
        <v/>
      </c>
      <c r="C1560" s="29">
        <f>B1560-B1559</f>
        <v/>
      </c>
      <c r="D1560" s="29">
        <f>VLOOKUP(A1560,'Database Claims'!$A:$C,2,)</f>
        <v/>
      </c>
      <c r="E1560" s="29">
        <f>D1560-D1559</f>
        <v/>
      </c>
    </row>
    <row r="1561">
      <c r="A1561" s="28" t="n">
        <v>35371</v>
      </c>
      <c r="B1561" s="25">
        <f>VLOOKUP(A1561,'Database Claims'!$A:$C,3,)</f>
        <v/>
      </c>
      <c r="C1561" s="29">
        <f>B1561-B1560</f>
        <v/>
      </c>
      <c r="D1561" s="25">
        <f>VLOOKUP(A1561,'Database Claims'!$A:$C,2,)</f>
        <v/>
      </c>
      <c r="E1561" s="29">
        <f>D1561-D1560</f>
        <v/>
      </c>
    </row>
    <row r="1562">
      <c r="A1562" s="28" t="n">
        <v>35378</v>
      </c>
      <c r="B1562" s="29">
        <f>VLOOKUP(A1562,'Database Claims'!$A:$C,3,)</f>
        <v/>
      </c>
      <c r="C1562" s="29">
        <f>B1562-B1561</f>
        <v/>
      </c>
      <c r="D1562" s="29">
        <f>VLOOKUP(A1562,'Database Claims'!$A:$C,2,)</f>
        <v/>
      </c>
      <c r="E1562" s="29">
        <f>D1562-D1561</f>
        <v/>
      </c>
    </row>
    <row r="1563">
      <c r="A1563" s="28" t="n">
        <v>35385</v>
      </c>
      <c r="B1563" s="25">
        <f>VLOOKUP(A1563,'Database Claims'!$A:$C,3,)</f>
        <v/>
      </c>
      <c r="C1563" s="29">
        <f>B1563-B1562</f>
        <v/>
      </c>
      <c r="D1563" s="25">
        <f>VLOOKUP(A1563,'Database Claims'!$A:$C,2,)</f>
        <v/>
      </c>
      <c r="E1563" s="29">
        <f>D1563-D1562</f>
        <v/>
      </c>
    </row>
    <row r="1564">
      <c r="A1564" s="28" t="n">
        <v>35392</v>
      </c>
      <c r="B1564" s="29">
        <f>VLOOKUP(A1564,'Database Claims'!$A:$C,3,)</f>
        <v/>
      </c>
      <c r="C1564" s="29">
        <f>B1564-B1563</f>
        <v/>
      </c>
      <c r="D1564" s="29">
        <f>VLOOKUP(A1564,'Database Claims'!$A:$C,2,)</f>
        <v/>
      </c>
      <c r="E1564" s="29">
        <f>D1564-D1563</f>
        <v/>
      </c>
    </row>
    <row r="1565">
      <c r="A1565" s="28" t="n">
        <v>35399</v>
      </c>
      <c r="B1565" s="25">
        <f>VLOOKUP(A1565,'Database Claims'!$A:$C,3,)</f>
        <v/>
      </c>
      <c r="C1565" s="29">
        <f>B1565-B1564</f>
        <v/>
      </c>
      <c r="D1565" s="25">
        <f>VLOOKUP(A1565,'Database Claims'!$A:$C,2,)</f>
        <v/>
      </c>
      <c r="E1565" s="29">
        <f>D1565-D1564</f>
        <v/>
      </c>
    </row>
    <row r="1566">
      <c r="A1566" s="28" t="n">
        <v>35406</v>
      </c>
      <c r="B1566" s="29">
        <f>VLOOKUP(A1566,'Database Claims'!$A:$C,3,)</f>
        <v/>
      </c>
      <c r="C1566" s="29">
        <f>B1566-B1565</f>
        <v/>
      </c>
      <c r="D1566" s="29">
        <f>VLOOKUP(A1566,'Database Claims'!$A:$C,2,)</f>
        <v/>
      </c>
      <c r="E1566" s="29">
        <f>D1566-D1565</f>
        <v/>
      </c>
    </row>
    <row r="1567">
      <c r="A1567" s="28" t="n">
        <v>35413</v>
      </c>
      <c r="B1567" s="25">
        <f>VLOOKUP(A1567,'Database Claims'!$A:$C,3,)</f>
        <v/>
      </c>
      <c r="C1567" s="29">
        <f>B1567-B1566</f>
        <v/>
      </c>
      <c r="D1567" s="25">
        <f>VLOOKUP(A1567,'Database Claims'!$A:$C,2,)</f>
        <v/>
      </c>
      <c r="E1567" s="29">
        <f>D1567-D1566</f>
        <v/>
      </c>
    </row>
    <row r="1568">
      <c r="A1568" s="28" t="n">
        <v>35420</v>
      </c>
      <c r="B1568" s="29">
        <f>VLOOKUP(A1568,'Database Claims'!$A:$C,3,)</f>
        <v/>
      </c>
      <c r="C1568" s="29">
        <f>B1568-B1567</f>
        <v/>
      </c>
      <c r="D1568" s="29">
        <f>VLOOKUP(A1568,'Database Claims'!$A:$C,2,)</f>
        <v/>
      </c>
      <c r="E1568" s="29">
        <f>D1568-D1567</f>
        <v/>
      </c>
    </row>
    <row r="1569">
      <c r="A1569" s="28" t="n">
        <v>35427</v>
      </c>
      <c r="B1569" s="25">
        <f>VLOOKUP(A1569,'Database Claims'!$A:$C,3,)</f>
        <v/>
      </c>
      <c r="C1569" s="29">
        <f>B1569-B1568</f>
        <v/>
      </c>
      <c r="D1569" s="25">
        <f>VLOOKUP(A1569,'Database Claims'!$A:$C,2,)</f>
        <v/>
      </c>
      <c r="E1569" s="29">
        <f>D1569-D1568</f>
        <v/>
      </c>
    </row>
    <row r="1570">
      <c r="A1570" s="28" t="n">
        <v>35434</v>
      </c>
      <c r="B1570" s="29">
        <f>VLOOKUP(A1570,'Database Claims'!$A:$C,3,)</f>
        <v/>
      </c>
      <c r="C1570" s="29">
        <f>B1570-B1569</f>
        <v/>
      </c>
      <c r="D1570" s="29">
        <f>VLOOKUP(A1570,'Database Claims'!$A:$C,2,)</f>
        <v/>
      </c>
      <c r="E1570" s="29">
        <f>D1570-D1569</f>
        <v/>
      </c>
    </row>
    <row r="1571">
      <c r="A1571" s="28" t="n">
        <v>35441</v>
      </c>
      <c r="B1571" s="25">
        <f>VLOOKUP(A1571,'Database Claims'!$A:$C,3,)</f>
        <v/>
      </c>
      <c r="C1571" s="29">
        <f>B1571-B1570</f>
        <v/>
      </c>
      <c r="D1571" s="25">
        <f>VLOOKUP(A1571,'Database Claims'!$A:$C,2,)</f>
        <v/>
      </c>
      <c r="E1571" s="29">
        <f>D1571-D1570</f>
        <v/>
      </c>
    </row>
    <row r="1572">
      <c r="A1572" s="28" t="n">
        <v>35448</v>
      </c>
      <c r="B1572" s="29">
        <f>VLOOKUP(A1572,'Database Claims'!$A:$C,3,)</f>
        <v/>
      </c>
      <c r="C1572" s="29">
        <f>B1572-B1571</f>
        <v/>
      </c>
      <c r="D1572" s="29">
        <f>VLOOKUP(A1572,'Database Claims'!$A:$C,2,)</f>
        <v/>
      </c>
      <c r="E1572" s="29">
        <f>D1572-D1571</f>
        <v/>
      </c>
    </row>
    <row r="1573">
      <c r="A1573" s="28" t="n">
        <v>35455</v>
      </c>
      <c r="B1573" s="25">
        <f>VLOOKUP(A1573,'Database Claims'!$A:$C,3,)</f>
        <v/>
      </c>
      <c r="C1573" s="29">
        <f>B1573-B1572</f>
        <v/>
      </c>
      <c r="D1573" s="25">
        <f>VLOOKUP(A1573,'Database Claims'!$A:$C,2,)</f>
        <v/>
      </c>
      <c r="E1573" s="29">
        <f>D1573-D1572</f>
        <v/>
      </c>
    </row>
    <row r="1574">
      <c r="A1574" s="28" t="n">
        <v>35462</v>
      </c>
      <c r="B1574" s="29">
        <f>VLOOKUP(A1574,'Database Claims'!$A:$C,3,)</f>
        <v/>
      </c>
      <c r="C1574" s="29">
        <f>B1574-B1573</f>
        <v/>
      </c>
      <c r="D1574" s="29">
        <f>VLOOKUP(A1574,'Database Claims'!$A:$C,2,)</f>
        <v/>
      </c>
      <c r="E1574" s="29">
        <f>D1574-D1573</f>
        <v/>
      </c>
    </row>
    <row r="1575">
      <c r="A1575" s="28" t="n">
        <v>35469</v>
      </c>
      <c r="B1575" s="25">
        <f>VLOOKUP(A1575,'Database Claims'!$A:$C,3,)</f>
        <v/>
      </c>
      <c r="C1575" s="29">
        <f>B1575-B1574</f>
        <v/>
      </c>
      <c r="D1575" s="25">
        <f>VLOOKUP(A1575,'Database Claims'!$A:$C,2,)</f>
        <v/>
      </c>
      <c r="E1575" s="29">
        <f>D1575-D1574</f>
        <v/>
      </c>
    </row>
    <row r="1576">
      <c r="A1576" s="28" t="n">
        <v>35476</v>
      </c>
      <c r="B1576" s="29">
        <f>VLOOKUP(A1576,'Database Claims'!$A:$C,3,)</f>
        <v/>
      </c>
      <c r="C1576" s="29">
        <f>B1576-B1575</f>
        <v/>
      </c>
      <c r="D1576" s="29">
        <f>VLOOKUP(A1576,'Database Claims'!$A:$C,2,)</f>
        <v/>
      </c>
      <c r="E1576" s="29">
        <f>D1576-D1575</f>
        <v/>
      </c>
    </row>
    <row r="1577">
      <c r="A1577" s="28" t="n">
        <v>35483</v>
      </c>
      <c r="B1577" s="25">
        <f>VLOOKUP(A1577,'Database Claims'!$A:$C,3,)</f>
        <v/>
      </c>
      <c r="C1577" s="29">
        <f>B1577-B1576</f>
        <v/>
      </c>
      <c r="D1577" s="25">
        <f>VLOOKUP(A1577,'Database Claims'!$A:$C,2,)</f>
        <v/>
      </c>
      <c r="E1577" s="29">
        <f>D1577-D1576</f>
        <v/>
      </c>
    </row>
    <row r="1578">
      <c r="A1578" s="28" t="n">
        <v>35490</v>
      </c>
      <c r="B1578" s="29">
        <f>VLOOKUP(A1578,'Database Claims'!$A:$C,3,)</f>
        <v/>
      </c>
      <c r="C1578" s="29">
        <f>B1578-B1577</f>
        <v/>
      </c>
      <c r="D1578" s="29">
        <f>VLOOKUP(A1578,'Database Claims'!$A:$C,2,)</f>
        <v/>
      </c>
      <c r="E1578" s="29">
        <f>D1578-D1577</f>
        <v/>
      </c>
    </row>
    <row r="1579">
      <c r="A1579" s="28" t="n">
        <v>35497</v>
      </c>
      <c r="B1579" s="25">
        <f>VLOOKUP(A1579,'Database Claims'!$A:$C,3,)</f>
        <v/>
      </c>
      <c r="C1579" s="29">
        <f>B1579-B1578</f>
        <v/>
      </c>
      <c r="D1579" s="25">
        <f>VLOOKUP(A1579,'Database Claims'!$A:$C,2,)</f>
        <v/>
      </c>
      <c r="E1579" s="29">
        <f>D1579-D1578</f>
        <v/>
      </c>
    </row>
    <row r="1580">
      <c r="A1580" s="28" t="n">
        <v>35504</v>
      </c>
      <c r="B1580" s="29">
        <f>VLOOKUP(A1580,'Database Claims'!$A:$C,3,)</f>
        <v/>
      </c>
      <c r="C1580" s="29">
        <f>B1580-B1579</f>
        <v/>
      </c>
      <c r="D1580" s="29">
        <f>VLOOKUP(A1580,'Database Claims'!$A:$C,2,)</f>
        <v/>
      </c>
      <c r="E1580" s="29">
        <f>D1580-D1579</f>
        <v/>
      </c>
    </row>
    <row r="1581">
      <c r="A1581" s="28" t="n">
        <v>35511</v>
      </c>
      <c r="B1581" s="25">
        <f>VLOOKUP(A1581,'Database Claims'!$A:$C,3,)</f>
        <v/>
      </c>
      <c r="C1581" s="29">
        <f>B1581-B1580</f>
        <v/>
      </c>
      <c r="D1581" s="25">
        <f>VLOOKUP(A1581,'Database Claims'!$A:$C,2,)</f>
        <v/>
      </c>
      <c r="E1581" s="29">
        <f>D1581-D1580</f>
        <v/>
      </c>
    </row>
    <row r="1582">
      <c r="A1582" s="28" t="n">
        <v>35518</v>
      </c>
      <c r="B1582" s="29">
        <f>VLOOKUP(A1582,'Database Claims'!$A:$C,3,)</f>
        <v/>
      </c>
      <c r="C1582" s="29">
        <f>B1582-B1581</f>
        <v/>
      </c>
      <c r="D1582" s="29">
        <f>VLOOKUP(A1582,'Database Claims'!$A:$C,2,)</f>
        <v/>
      </c>
      <c r="E1582" s="29">
        <f>D1582-D1581</f>
        <v/>
      </c>
    </row>
    <row r="1583">
      <c r="A1583" s="28" t="n">
        <v>35525</v>
      </c>
      <c r="B1583" s="25">
        <f>VLOOKUP(A1583,'Database Claims'!$A:$C,3,)</f>
        <v/>
      </c>
      <c r="C1583" s="29">
        <f>B1583-B1582</f>
        <v/>
      </c>
      <c r="D1583" s="25">
        <f>VLOOKUP(A1583,'Database Claims'!$A:$C,2,)</f>
        <v/>
      </c>
      <c r="E1583" s="29">
        <f>D1583-D1582</f>
        <v/>
      </c>
    </row>
    <row r="1584">
      <c r="A1584" s="28" t="n">
        <v>35532</v>
      </c>
      <c r="B1584" s="29">
        <f>VLOOKUP(A1584,'Database Claims'!$A:$C,3,)</f>
        <v/>
      </c>
      <c r="C1584" s="29">
        <f>B1584-B1583</f>
        <v/>
      </c>
      <c r="D1584" s="29">
        <f>VLOOKUP(A1584,'Database Claims'!$A:$C,2,)</f>
        <v/>
      </c>
      <c r="E1584" s="29">
        <f>D1584-D1583</f>
        <v/>
      </c>
    </row>
    <row r="1585">
      <c r="A1585" s="28" t="n">
        <v>35539</v>
      </c>
      <c r="B1585" s="25">
        <f>VLOOKUP(A1585,'Database Claims'!$A:$C,3,)</f>
        <v/>
      </c>
      <c r="C1585" s="29">
        <f>B1585-B1584</f>
        <v/>
      </c>
      <c r="D1585" s="25">
        <f>VLOOKUP(A1585,'Database Claims'!$A:$C,2,)</f>
        <v/>
      </c>
      <c r="E1585" s="29">
        <f>D1585-D1584</f>
        <v/>
      </c>
    </row>
    <row r="1586">
      <c r="A1586" s="28" t="n">
        <v>35546</v>
      </c>
      <c r="B1586" s="29">
        <f>VLOOKUP(A1586,'Database Claims'!$A:$C,3,)</f>
        <v/>
      </c>
      <c r="C1586" s="29">
        <f>B1586-B1585</f>
        <v/>
      </c>
      <c r="D1586" s="29">
        <f>VLOOKUP(A1586,'Database Claims'!$A:$C,2,)</f>
        <v/>
      </c>
      <c r="E1586" s="29">
        <f>D1586-D1585</f>
        <v/>
      </c>
    </row>
    <row r="1587">
      <c r="A1587" s="28" t="n">
        <v>35553</v>
      </c>
      <c r="B1587" s="25">
        <f>VLOOKUP(A1587,'Database Claims'!$A:$C,3,)</f>
        <v/>
      </c>
      <c r="C1587" s="29">
        <f>B1587-B1586</f>
        <v/>
      </c>
      <c r="D1587" s="25">
        <f>VLOOKUP(A1587,'Database Claims'!$A:$C,2,)</f>
        <v/>
      </c>
      <c r="E1587" s="29">
        <f>D1587-D1586</f>
        <v/>
      </c>
    </row>
    <row r="1588">
      <c r="A1588" s="28" t="n">
        <v>35560</v>
      </c>
      <c r="B1588" s="29">
        <f>VLOOKUP(A1588,'Database Claims'!$A:$C,3,)</f>
        <v/>
      </c>
      <c r="C1588" s="29">
        <f>B1588-B1587</f>
        <v/>
      </c>
      <c r="D1588" s="29">
        <f>VLOOKUP(A1588,'Database Claims'!$A:$C,2,)</f>
        <v/>
      </c>
      <c r="E1588" s="29">
        <f>D1588-D1587</f>
        <v/>
      </c>
    </row>
    <row r="1589">
      <c r="A1589" s="28" t="n">
        <v>35567</v>
      </c>
      <c r="B1589" s="25">
        <f>VLOOKUP(A1589,'Database Claims'!$A:$C,3,)</f>
        <v/>
      </c>
      <c r="C1589" s="29">
        <f>B1589-B1588</f>
        <v/>
      </c>
      <c r="D1589" s="25">
        <f>VLOOKUP(A1589,'Database Claims'!$A:$C,2,)</f>
        <v/>
      </c>
      <c r="E1589" s="29">
        <f>D1589-D1588</f>
        <v/>
      </c>
    </row>
    <row r="1590">
      <c r="A1590" s="28" t="n">
        <v>35574</v>
      </c>
      <c r="B1590" s="29">
        <f>VLOOKUP(A1590,'Database Claims'!$A:$C,3,)</f>
        <v/>
      </c>
      <c r="C1590" s="29">
        <f>B1590-B1589</f>
        <v/>
      </c>
      <c r="D1590" s="29">
        <f>VLOOKUP(A1590,'Database Claims'!$A:$C,2,)</f>
        <v/>
      </c>
      <c r="E1590" s="29">
        <f>D1590-D1589</f>
        <v/>
      </c>
    </row>
    <row r="1591">
      <c r="A1591" s="28" t="n">
        <v>35581</v>
      </c>
      <c r="B1591" s="25">
        <f>VLOOKUP(A1591,'Database Claims'!$A:$C,3,)</f>
        <v/>
      </c>
      <c r="C1591" s="29">
        <f>B1591-B1590</f>
        <v/>
      </c>
      <c r="D1591" s="25">
        <f>VLOOKUP(A1591,'Database Claims'!$A:$C,2,)</f>
        <v/>
      </c>
      <c r="E1591" s="29">
        <f>D1591-D1590</f>
        <v/>
      </c>
    </row>
    <row r="1592">
      <c r="A1592" s="28" t="n">
        <v>35588</v>
      </c>
      <c r="B1592" s="29">
        <f>VLOOKUP(A1592,'Database Claims'!$A:$C,3,)</f>
        <v/>
      </c>
      <c r="C1592" s="29">
        <f>B1592-B1591</f>
        <v/>
      </c>
      <c r="D1592" s="29">
        <f>VLOOKUP(A1592,'Database Claims'!$A:$C,2,)</f>
        <v/>
      </c>
      <c r="E1592" s="29">
        <f>D1592-D1591</f>
        <v/>
      </c>
    </row>
    <row r="1593">
      <c r="A1593" s="28" t="n">
        <v>35595</v>
      </c>
      <c r="B1593" s="25">
        <f>VLOOKUP(A1593,'Database Claims'!$A:$C,3,)</f>
        <v/>
      </c>
      <c r="C1593" s="29">
        <f>B1593-B1592</f>
        <v/>
      </c>
      <c r="D1593" s="25">
        <f>VLOOKUP(A1593,'Database Claims'!$A:$C,2,)</f>
        <v/>
      </c>
      <c r="E1593" s="29">
        <f>D1593-D1592</f>
        <v/>
      </c>
    </row>
    <row r="1594">
      <c r="A1594" s="28" t="n">
        <v>35602</v>
      </c>
      <c r="B1594" s="29">
        <f>VLOOKUP(A1594,'Database Claims'!$A:$C,3,)</f>
        <v/>
      </c>
      <c r="C1594" s="29">
        <f>B1594-B1593</f>
        <v/>
      </c>
      <c r="D1594" s="29">
        <f>VLOOKUP(A1594,'Database Claims'!$A:$C,2,)</f>
        <v/>
      </c>
      <c r="E1594" s="29">
        <f>D1594-D1593</f>
        <v/>
      </c>
    </row>
    <row r="1595">
      <c r="A1595" s="28" t="n">
        <v>35609</v>
      </c>
      <c r="B1595" s="25">
        <f>VLOOKUP(A1595,'Database Claims'!$A:$C,3,)</f>
        <v/>
      </c>
      <c r="C1595" s="29">
        <f>B1595-B1594</f>
        <v/>
      </c>
      <c r="D1595" s="25">
        <f>VLOOKUP(A1595,'Database Claims'!$A:$C,2,)</f>
        <v/>
      </c>
      <c r="E1595" s="29">
        <f>D1595-D1594</f>
        <v/>
      </c>
    </row>
    <row r="1596">
      <c r="A1596" s="28" t="n">
        <v>35616</v>
      </c>
      <c r="B1596" s="29">
        <f>VLOOKUP(A1596,'Database Claims'!$A:$C,3,)</f>
        <v/>
      </c>
      <c r="C1596" s="29">
        <f>B1596-B1595</f>
        <v/>
      </c>
      <c r="D1596" s="29">
        <f>VLOOKUP(A1596,'Database Claims'!$A:$C,2,)</f>
        <v/>
      </c>
      <c r="E1596" s="29">
        <f>D1596-D1595</f>
        <v/>
      </c>
    </row>
    <row r="1597">
      <c r="A1597" s="28" t="n">
        <v>35623</v>
      </c>
      <c r="B1597" s="25">
        <f>VLOOKUP(A1597,'Database Claims'!$A:$C,3,)</f>
        <v/>
      </c>
      <c r="C1597" s="29">
        <f>B1597-B1596</f>
        <v/>
      </c>
      <c r="D1597" s="25">
        <f>VLOOKUP(A1597,'Database Claims'!$A:$C,2,)</f>
        <v/>
      </c>
      <c r="E1597" s="29">
        <f>D1597-D1596</f>
        <v/>
      </c>
    </row>
    <row r="1598">
      <c r="A1598" s="28" t="n">
        <v>35630</v>
      </c>
      <c r="B1598" s="29">
        <f>VLOOKUP(A1598,'Database Claims'!$A:$C,3,)</f>
        <v/>
      </c>
      <c r="C1598" s="29">
        <f>B1598-B1597</f>
        <v/>
      </c>
      <c r="D1598" s="29">
        <f>VLOOKUP(A1598,'Database Claims'!$A:$C,2,)</f>
        <v/>
      </c>
      <c r="E1598" s="29">
        <f>D1598-D1597</f>
        <v/>
      </c>
    </row>
    <row r="1599">
      <c r="A1599" s="28" t="n">
        <v>35637</v>
      </c>
      <c r="B1599" s="25">
        <f>VLOOKUP(A1599,'Database Claims'!$A:$C,3,)</f>
        <v/>
      </c>
      <c r="C1599" s="29">
        <f>B1599-B1598</f>
        <v/>
      </c>
      <c r="D1599" s="25">
        <f>VLOOKUP(A1599,'Database Claims'!$A:$C,2,)</f>
        <v/>
      </c>
      <c r="E1599" s="29">
        <f>D1599-D1598</f>
        <v/>
      </c>
    </row>
    <row r="1600">
      <c r="A1600" s="28" t="n">
        <v>35644</v>
      </c>
      <c r="B1600" s="29">
        <f>VLOOKUP(A1600,'Database Claims'!$A:$C,3,)</f>
        <v/>
      </c>
      <c r="C1600" s="29">
        <f>B1600-B1599</f>
        <v/>
      </c>
      <c r="D1600" s="29">
        <f>VLOOKUP(A1600,'Database Claims'!$A:$C,2,)</f>
        <v/>
      </c>
      <c r="E1600" s="29">
        <f>D1600-D1599</f>
        <v/>
      </c>
    </row>
    <row r="1601">
      <c r="A1601" s="28" t="n">
        <v>35651</v>
      </c>
      <c r="B1601" s="25">
        <f>VLOOKUP(A1601,'Database Claims'!$A:$C,3,)</f>
        <v/>
      </c>
      <c r="C1601" s="29">
        <f>B1601-B1600</f>
        <v/>
      </c>
      <c r="D1601" s="25">
        <f>VLOOKUP(A1601,'Database Claims'!$A:$C,2,)</f>
        <v/>
      </c>
      <c r="E1601" s="29">
        <f>D1601-D1600</f>
        <v/>
      </c>
    </row>
    <row r="1602">
      <c r="A1602" s="28" t="n">
        <v>35658</v>
      </c>
      <c r="B1602" s="29">
        <f>VLOOKUP(A1602,'Database Claims'!$A:$C,3,)</f>
        <v/>
      </c>
      <c r="C1602" s="29">
        <f>B1602-B1601</f>
        <v/>
      </c>
      <c r="D1602" s="29">
        <f>VLOOKUP(A1602,'Database Claims'!$A:$C,2,)</f>
        <v/>
      </c>
      <c r="E1602" s="29">
        <f>D1602-D1601</f>
        <v/>
      </c>
    </row>
    <row r="1603">
      <c r="A1603" s="28" t="n">
        <v>35665</v>
      </c>
      <c r="B1603" s="25">
        <f>VLOOKUP(A1603,'Database Claims'!$A:$C,3,)</f>
        <v/>
      </c>
      <c r="C1603" s="29">
        <f>B1603-B1602</f>
        <v/>
      </c>
      <c r="D1603" s="25">
        <f>VLOOKUP(A1603,'Database Claims'!$A:$C,2,)</f>
        <v/>
      </c>
      <c r="E1603" s="29">
        <f>D1603-D1602</f>
        <v/>
      </c>
    </row>
    <row r="1604">
      <c r="A1604" s="28" t="n">
        <v>35672</v>
      </c>
      <c r="B1604" s="29">
        <f>VLOOKUP(A1604,'Database Claims'!$A:$C,3,)</f>
        <v/>
      </c>
      <c r="C1604" s="29">
        <f>B1604-B1603</f>
        <v/>
      </c>
      <c r="D1604" s="29">
        <f>VLOOKUP(A1604,'Database Claims'!$A:$C,2,)</f>
        <v/>
      </c>
      <c r="E1604" s="29">
        <f>D1604-D1603</f>
        <v/>
      </c>
    </row>
    <row r="1605">
      <c r="A1605" s="28" t="n">
        <v>35679</v>
      </c>
      <c r="B1605" s="25">
        <f>VLOOKUP(A1605,'Database Claims'!$A:$C,3,)</f>
        <v/>
      </c>
      <c r="C1605" s="29">
        <f>B1605-B1604</f>
        <v/>
      </c>
      <c r="D1605" s="25">
        <f>VLOOKUP(A1605,'Database Claims'!$A:$C,2,)</f>
        <v/>
      </c>
      <c r="E1605" s="29">
        <f>D1605-D1604</f>
        <v/>
      </c>
    </row>
    <row r="1606">
      <c r="A1606" s="28" t="n">
        <v>35686</v>
      </c>
      <c r="B1606" s="29">
        <f>VLOOKUP(A1606,'Database Claims'!$A:$C,3,)</f>
        <v/>
      </c>
      <c r="C1606" s="29">
        <f>B1606-B1605</f>
        <v/>
      </c>
      <c r="D1606" s="29">
        <f>VLOOKUP(A1606,'Database Claims'!$A:$C,2,)</f>
        <v/>
      </c>
      <c r="E1606" s="29">
        <f>D1606-D1605</f>
        <v/>
      </c>
    </row>
    <row r="1607">
      <c r="A1607" s="28" t="n">
        <v>35693</v>
      </c>
      <c r="B1607" s="25">
        <f>VLOOKUP(A1607,'Database Claims'!$A:$C,3,)</f>
        <v/>
      </c>
      <c r="C1607" s="29">
        <f>B1607-B1606</f>
        <v/>
      </c>
      <c r="D1607" s="25">
        <f>VLOOKUP(A1607,'Database Claims'!$A:$C,2,)</f>
        <v/>
      </c>
      <c r="E1607" s="29">
        <f>D1607-D1606</f>
        <v/>
      </c>
    </row>
    <row r="1608">
      <c r="A1608" s="28" t="n">
        <v>35700</v>
      </c>
      <c r="B1608" s="29">
        <f>VLOOKUP(A1608,'Database Claims'!$A:$C,3,)</f>
        <v/>
      </c>
      <c r="C1608" s="29">
        <f>B1608-B1607</f>
        <v/>
      </c>
      <c r="D1608" s="29">
        <f>VLOOKUP(A1608,'Database Claims'!$A:$C,2,)</f>
        <v/>
      </c>
      <c r="E1608" s="29">
        <f>D1608-D1607</f>
        <v/>
      </c>
    </row>
    <row r="1609">
      <c r="A1609" s="28" t="n">
        <v>35707</v>
      </c>
      <c r="B1609" s="25">
        <f>VLOOKUP(A1609,'Database Claims'!$A:$C,3,)</f>
        <v/>
      </c>
      <c r="C1609" s="29">
        <f>B1609-B1608</f>
        <v/>
      </c>
      <c r="D1609" s="25">
        <f>VLOOKUP(A1609,'Database Claims'!$A:$C,2,)</f>
        <v/>
      </c>
      <c r="E1609" s="29">
        <f>D1609-D1608</f>
        <v/>
      </c>
    </row>
    <row r="1610">
      <c r="A1610" s="28" t="n">
        <v>35714</v>
      </c>
      <c r="B1610" s="29">
        <f>VLOOKUP(A1610,'Database Claims'!$A:$C,3,)</f>
        <v/>
      </c>
      <c r="C1610" s="29">
        <f>B1610-B1609</f>
        <v/>
      </c>
      <c r="D1610" s="29">
        <f>VLOOKUP(A1610,'Database Claims'!$A:$C,2,)</f>
        <v/>
      </c>
      <c r="E1610" s="29">
        <f>D1610-D1609</f>
        <v/>
      </c>
    </row>
    <row r="1611">
      <c r="A1611" s="28" t="n">
        <v>35721</v>
      </c>
      <c r="B1611" s="25">
        <f>VLOOKUP(A1611,'Database Claims'!$A:$C,3,)</f>
        <v/>
      </c>
      <c r="C1611" s="29">
        <f>B1611-B1610</f>
        <v/>
      </c>
      <c r="D1611" s="25">
        <f>VLOOKUP(A1611,'Database Claims'!$A:$C,2,)</f>
        <v/>
      </c>
      <c r="E1611" s="29">
        <f>D1611-D1610</f>
        <v/>
      </c>
    </row>
    <row r="1612">
      <c r="A1612" s="28" t="n">
        <v>35728</v>
      </c>
      <c r="B1612" s="29">
        <f>VLOOKUP(A1612,'Database Claims'!$A:$C,3,)</f>
        <v/>
      </c>
      <c r="C1612" s="29">
        <f>B1612-B1611</f>
        <v/>
      </c>
      <c r="D1612" s="29">
        <f>VLOOKUP(A1612,'Database Claims'!$A:$C,2,)</f>
        <v/>
      </c>
      <c r="E1612" s="29">
        <f>D1612-D1611</f>
        <v/>
      </c>
    </row>
    <row r="1613">
      <c r="A1613" s="28" t="n">
        <v>35735</v>
      </c>
      <c r="B1613" s="25">
        <f>VLOOKUP(A1613,'Database Claims'!$A:$C,3,)</f>
        <v/>
      </c>
      <c r="C1613" s="29">
        <f>B1613-B1612</f>
        <v/>
      </c>
      <c r="D1613" s="25">
        <f>VLOOKUP(A1613,'Database Claims'!$A:$C,2,)</f>
        <v/>
      </c>
      <c r="E1613" s="29">
        <f>D1613-D1612</f>
        <v/>
      </c>
    </row>
    <row r="1614">
      <c r="A1614" s="28" t="n">
        <v>35742</v>
      </c>
      <c r="B1614" s="29">
        <f>VLOOKUP(A1614,'Database Claims'!$A:$C,3,)</f>
        <v/>
      </c>
      <c r="C1614" s="29">
        <f>B1614-B1613</f>
        <v/>
      </c>
      <c r="D1614" s="29">
        <f>VLOOKUP(A1614,'Database Claims'!$A:$C,2,)</f>
        <v/>
      </c>
      <c r="E1614" s="29">
        <f>D1614-D1613</f>
        <v/>
      </c>
    </row>
    <row r="1615">
      <c r="A1615" s="28" t="n">
        <v>35749</v>
      </c>
      <c r="B1615" s="25">
        <f>VLOOKUP(A1615,'Database Claims'!$A:$C,3,)</f>
        <v/>
      </c>
      <c r="C1615" s="29">
        <f>B1615-B1614</f>
        <v/>
      </c>
      <c r="D1615" s="25">
        <f>VLOOKUP(A1615,'Database Claims'!$A:$C,2,)</f>
        <v/>
      </c>
      <c r="E1615" s="29">
        <f>D1615-D1614</f>
        <v/>
      </c>
    </row>
    <row r="1616">
      <c r="A1616" s="28" t="n">
        <v>35756</v>
      </c>
      <c r="B1616" s="29">
        <f>VLOOKUP(A1616,'Database Claims'!$A:$C,3,)</f>
        <v/>
      </c>
      <c r="C1616" s="29">
        <f>B1616-B1615</f>
        <v/>
      </c>
      <c r="D1616" s="29">
        <f>VLOOKUP(A1616,'Database Claims'!$A:$C,2,)</f>
        <v/>
      </c>
      <c r="E1616" s="29">
        <f>D1616-D1615</f>
        <v/>
      </c>
    </row>
    <row r="1617">
      <c r="A1617" s="28" t="n">
        <v>35763</v>
      </c>
      <c r="B1617" s="25">
        <f>VLOOKUP(A1617,'Database Claims'!$A:$C,3,)</f>
        <v/>
      </c>
      <c r="C1617" s="29">
        <f>B1617-B1616</f>
        <v/>
      </c>
      <c r="D1617" s="25">
        <f>VLOOKUP(A1617,'Database Claims'!$A:$C,2,)</f>
        <v/>
      </c>
      <c r="E1617" s="29">
        <f>D1617-D1616</f>
        <v/>
      </c>
    </row>
    <row r="1618">
      <c r="A1618" s="28" t="n">
        <v>35770</v>
      </c>
      <c r="B1618" s="29">
        <f>VLOOKUP(A1618,'Database Claims'!$A:$C,3,)</f>
        <v/>
      </c>
      <c r="C1618" s="29">
        <f>B1618-B1617</f>
        <v/>
      </c>
      <c r="D1618" s="29">
        <f>VLOOKUP(A1618,'Database Claims'!$A:$C,2,)</f>
        <v/>
      </c>
      <c r="E1618" s="29">
        <f>D1618-D1617</f>
        <v/>
      </c>
    </row>
    <row r="1619">
      <c r="A1619" s="28" t="n">
        <v>35777</v>
      </c>
      <c r="B1619" s="25">
        <f>VLOOKUP(A1619,'Database Claims'!$A:$C,3,)</f>
        <v/>
      </c>
      <c r="C1619" s="29">
        <f>B1619-B1618</f>
        <v/>
      </c>
      <c r="D1619" s="25">
        <f>VLOOKUP(A1619,'Database Claims'!$A:$C,2,)</f>
        <v/>
      </c>
      <c r="E1619" s="29">
        <f>D1619-D1618</f>
        <v/>
      </c>
    </row>
    <row r="1620">
      <c r="A1620" s="28" t="n">
        <v>35784</v>
      </c>
      <c r="B1620" s="29">
        <f>VLOOKUP(A1620,'Database Claims'!$A:$C,3,)</f>
        <v/>
      </c>
      <c r="C1620" s="29">
        <f>B1620-B1619</f>
        <v/>
      </c>
      <c r="D1620" s="29">
        <f>VLOOKUP(A1620,'Database Claims'!$A:$C,2,)</f>
        <v/>
      </c>
      <c r="E1620" s="29">
        <f>D1620-D1619</f>
        <v/>
      </c>
    </row>
    <row r="1621">
      <c r="A1621" s="28" t="n">
        <v>35791</v>
      </c>
      <c r="B1621" s="25">
        <f>VLOOKUP(A1621,'Database Claims'!$A:$C,3,)</f>
        <v/>
      </c>
      <c r="C1621" s="29">
        <f>B1621-B1620</f>
        <v/>
      </c>
      <c r="D1621" s="25">
        <f>VLOOKUP(A1621,'Database Claims'!$A:$C,2,)</f>
        <v/>
      </c>
      <c r="E1621" s="29">
        <f>D1621-D1620</f>
        <v/>
      </c>
    </row>
    <row r="1622">
      <c r="A1622" s="28" t="n">
        <v>35798</v>
      </c>
      <c r="B1622" s="29">
        <f>VLOOKUP(A1622,'Database Claims'!$A:$C,3,)</f>
        <v/>
      </c>
      <c r="C1622" s="29">
        <f>B1622-B1621</f>
        <v/>
      </c>
      <c r="D1622" s="29">
        <f>VLOOKUP(A1622,'Database Claims'!$A:$C,2,)</f>
        <v/>
      </c>
      <c r="E1622" s="29">
        <f>D1622-D1621</f>
        <v/>
      </c>
    </row>
    <row r="1623">
      <c r="A1623" s="28" t="n">
        <v>35805</v>
      </c>
      <c r="B1623" s="25">
        <f>VLOOKUP(A1623,'Database Claims'!$A:$C,3,)</f>
        <v/>
      </c>
      <c r="C1623" s="29">
        <f>B1623-B1622</f>
        <v/>
      </c>
      <c r="D1623" s="25">
        <f>VLOOKUP(A1623,'Database Claims'!$A:$C,2,)</f>
        <v/>
      </c>
      <c r="E1623" s="29">
        <f>D1623-D1622</f>
        <v/>
      </c>
    </row>
    <row r="1624">
      <c r="A1624" s="28" t="n">
        <v>35812</v>
      </c>
      <c r="B1624" s="29">
        <f>VLOOKUP(A1624,'Database Claims'!$A:$C,3,)</f>
        <v/>
      </c>
      <c r="C1624" s="29">
        <f>B1624-B1623</f>
        <v/>
      </c>
      <c r="D1624" s="29">
        <f>VLOOKUP(A1624,'Database Claims'!$A:$C,2,)</f>
        <v/>
      </c>
      <c r="E1624" s="29">
        <f>D1624-D1623</f>
        <v/>
      </c>
    </row>
    <row r="1625">
      <c r="A1625" s="28" t="n">
        <v>35819</v>
      </c>
      <c r="B1625" s="25">
        <f>VLOOKUP(A1625,'Database Claims'!$A:$C,3,)</f>
        <v/>
      </c>
      <c r="C1625" s="29">
        <f>B1625-B1624</f>
        <v/>
      </c>
      <c r="D1625" s="25">
        <f>VLOOKUP(A1625,'Database Claims'!$A:$C,2,)</f>
        <v/>
      </c>
      <c r="E1625" s="29">
        <f>D1625-D1624</f>
        <v/>
      </c>
    </row>
    <row r="1626">
      <c r="A1626" s="28" t="n">
        <v>35826</v>
      </c>
      <c r="B1626" s="29">
        <f>VLOOKUP(A1626,'Database Claims'!$A:$C,3,)</f>
        <v/>
      </c>
      <c r="C1626" s="29">
        <f>B1626-B1625</f>
        <v/>
      </c>
      <c r="D1626" s="29">
        <f>VLOOKUP(A1626,'Database Claims'!$A:$C,2,)</f>
        <v/>
      </c>
      <c r="E1626" s="29">
        <f>D1626-D1625</f>
        <v/>
      </c>
    </row>
    <row r="1627">
      <c r="A1627" s="28" t="n">
        <v>35833</v>
      </c>
      <c r="B1627" s="25">
        <f>VLOOKUP(A1627,'Database Claims'!$A:$C,3,)</f>
        <v/>
      </c>
      <c r="C1627" s="29">
        <f>B1627-B1626</f>
        <v/>
      </c>
      <c r="D1627" s="25">
        <f>VLOOKUP(A1627,'Database Claims'!$A:$C,2,)</f>
        <v/>
      </c>
      <c r="E1627" s="29">
        <f>D1627-D1626</f>
        <v/>
      </c>
    </row>
    <row r="1628">
      <c r="A1628" s="28" t="n">
        <v>35840</v>
      </c>
      <c r="B1628" s="29">
        <f>VLOOKUP(A1628,'Database Claims'!$A:$C,3,)</f>
        <v/>
      </c>
      <c r="C1628" s="29">
        <f>B1628-B1627</f>
        <v/>
      </c>
      <c r="D1628" s="29">
        <f>VLOOKUP(A1628,'Database Claims'!$A:$C,2,)</f>
        <v/>
      </c>
      <c r="E1628" s="29">
        <f>D1628-D1627</f>
        <v/>
      </c>
    </row>
    <row r="1629">
      <c r="A1629" s="28" t="n">
        <v>35847</v>
      </c>
      <c r="B1629" s="25">
        <f>VLOOKUP(A1629,'Database Claims'!$A:$C,3,)</f>
        <v/>
      </c>
      <c r="C1629" s="29">
        <f>B1629-B1628</f>
        <v/>
      </c>
      <c r="D1629" s="25">
        <f>VLOOKUP(A1629,'Database Claims'!$A:$C,2,)</f>
        <v/>
      </c>
      <c r="E1629" s="29">
        <f>D1629-D1628</f>
        <v/>
      </c>
    </row>
    <row r="1630">
      <c r="A1630" s="28" t="n">
        <v>35854</v>
      </c>
      <c r="B1630" s="29">
        <f>VLOOKUP(A1630,'Database Claims'!$A:$C,3,)</f>
        <v/>
      </c>
      <c r="C1630" s="29">
        <f>B1630-B1629</f>
        <v/>
      </c>
      <c r="D1630" s="29">
        <f>VLOOKUP(A1630,'Database Claims'!$A:$C,2,)</f>
        <v/>
      </c>
      <c r="E1630" s="29">
        <f>D1630-D1629</f>
        <v/>
      </c>
    </row>
    <row r="1631">
      <c r="A1631" s="28" t="n">
        <v>35861</v>
      </c>
      <c r="B1631" s="25">
        <f>VLOOKUP(A1631,'Database Claims'!$A:$C,3,)</f>
        <v/>
      </c>
      <c r="C1631" s="29">
        <f>B1631-B1630</f>
        <v/>
      </c>
      <c r="D1631" s="25">
        <f>VLOOKUP(A1631,'Database Claims'!$A:$C,2,)</f>
        <v/>
      </c>
      <c r="E1631" s="29">
        <f>D1631-D1630</f>
        <v/>
      </c>
    </row>
    <row r="1632">
      <c r="A1632" s="28" t="n">
        <v>35868</v>
      </c>
      <c r="B1632" s="29">
        <f>VLOOKUP(A1632,'Database Claims'!$A:$C,3,)</f>
        <v/>
      </c>
      <c r="C1632" s="29">
        <f>B1632-B1631</f>
        <v/>
      </c>
      <c r="D1632" s="29">
        <f>VLOOKUP(A1632,'Database Claims'!$A:$C,2,)</f>
        <v/>
      </c>
      <c r="E1632" s="29">
        <f>D1632-D1631</f>
        <v/>
      </c>
    </row>
    <row r="1633">
      <c r="A1633" s="28" t="n">
        <v>35875</v>
      </c>
      <c r="B1633" s="25">
        <f>VLOOKUP(A1633,'Database Claims'!$A:$C,3,)</f>
        <v/>
      </c>
      <c r="C1633" s="29">
        <f>B1633-B1632</f>
        <v/>
      </c>
      <c r="D1633" s="25">
        <f>VLOOKUP(A1633,'Database Claims'!$A:$C,2,)</f>
        <v/>
      </c>
      <c r="E1633" s="29">
        <f>D1633-D1632</f>
        <v/>
      </c>
    </row>
    <row r="1634">
      <c r="A1634" s="28" t="n">
        <v>35882</v>
      </c>
      <c r="B1634" s="29">
        <f>VLOOKUP(A1634,'Database Claims'!$A:$C,3,)</f>
        <v/>
      </c>
      <c r="C1634" s="29">
        <f>B1634-B1633</f>
        <v/>
      </c>
      <c r="D1634" s="29">
        <f>VLOOKUP(A1634,'Database Claims'!$A:$C,2,)</f>
        <v/>
      </c>
      <c r="E1634" s="29">
        <f>D1634-D1633</f>
        <v/>
      </c>
    </row>
    <row r="1635">
      <c r="A1635" s="28" t="n">
        <v>35889</v>
      </c>
      <c r="B1635" s="25">
        <f>VLOOKUP(A1635,'Database Claims'!$A:$C,3,)</f>
        <v/>
      </c>
      <c r="C1635" s="29">
        <f>B1635-B1634</f>
        <v/>
      </c>
      <c r="D1635" s="25">
        <f>VLOOKUP(A1635,'Database Claims'!$A:$C,2,)</f>
        <v/>
      </c>
      <c r="E1635" s="29">
        <f>D1635-D1634</f>
        <v/>
      </c>
    </row>
    <row r="1636">
      <c r="A1636" s="28" t="n">
        <v>35896</v>
      </c>
      <c r="B1636" s="29">
        <f>VLOOKUP(A1636,'Database Claims'!$A:$C,3,)</f>
        <v/>
      </c>
      <c r="C1636" s="29">
        <f>B1636-B1635</f>
        <v/>
      </c>
      <c r="D1636" s="29">
        <f>VLOOKUP(A1636,'Database Claims'!$A:$C,2,)</f>
        <v/>
      </c>
      <c r="E1636" s="29">
        <f>D1636-D1635</f>
        <v/>
      </c>
    </row>
    <row r="1637">
      <c r="A1637" s="28" t="n">
        <v>35903</v>
      </c>
      <c r="B1637" s="25">
        <f>VLOOKUP(A1637,'Database Claims'!$A:$C,3,)</f>
        <v/>
      </c>
      <c r="C1637" s="29">
        <f>B1637-B1636</f>
        <v/>
      </c>
      <c r="D1637" s="25">
        <f>VLOOKUP(A1637,'Database Claims'!$A:$C,2,)</f>
        <v/>
      </c>
      <c r="E1637" s="29">
        <f>D1637-D1636</f>
        <v/>
      </c>
    </row>
    <row r="1638">
      <c r="A1638" s="28" t="n">
        <v>35910</v>
      </c>
      <c r="B1638" s="29">
        <f>VLOOKUP(A1638,'Database Claims'!$A:$C,3,)</f>
        <v/>
      </c>
      <c r="C1638" s="29">
        <f>B1638-B1637</f>
        <v/>
      </c>
      <c r="D1638" s="29">
        <f>VLOOKUP(A1638,'Database Claims'!$A:$C,2,)</f>
        <v/>
      </c>
      <c r="E1638" s="29">
        <f>D1638-D1637</f>
        <v/>
      </c>
    </row>
    <row r="1639">
      <c r="A1639" s="28" t="n">
        <v>35917</v>
      </c>
      <c r="B1639" s="25">
        <f>VLOOKUP(A1639,'Database Claims'!$A:$C,3,)</f>
        <v/>
      </c>
      <c r="C1639" s="29">
        <f>B1639-B1638</f>
        <v/>
      </c>
      <c r="D1639" s="25">
        <f>VLOOKUP(A1639,'Database Claims'!$A:$C,2,)</f>
        <v/>
      </c>
      <c r="E1639" s="29">
        <f>D1639-D1638</f>
        <v/>
      </c>
    </row>
    <row r="1640">
      <c r="A1640" s="28" t="n">
        <v>35924</v>
      </c>
      <c r="B1640" s="29">
        <f>VLOOKUP(A1640,'Database Claims'!$A:$C,3,)</f>
        <v/>
      </c>
      <c r="C1640" s="29">
        <f>B1640-B1639</f>
        <v/>
      </c>
      <c r="D1640" s="29">
        <f>VLOOKUP(A1640,'Database Claims'!$A:$C,2,)</f>
        <v/>
      </c>
      <c r="E1640" s="29">
        <f>D1640-D1639</f>
        <v/>
      </c>
    </row>
    <row r="1641">
      <c r="A1641" s="28" t="n">
        <v>35931</v>
      </c>
      <c r="B1641" s="25">
        <f>VLOOKUP(A1641,'Database Claims'!$A:$C,3,)</f>
        <v/>
      </c>
      <c r="C1641" s="29">
        <f>B1641-B1640</f>
        <v/>
      </c>
      <c r="D1641" s="25">
        <f>VLOOKUP(A1641,'Database Claims'!$A:$C,2,)</f>
        <v/>
      </c>
      <c r="E1641" s="29">
        <f>D1641-D1640</f>
        <v/>
      </c>
    </row>
    <row r="1642">
      <c r="A1642" s="28" t="n">
        <v>35938</v>
      </c>
      <c r="B1642" s="29">
        <f>VLOOKUP(A1642,'Database Claims'!$A:$C,3,)</f>
        <v/>
      </c>
      <c r="C1642" s="29">
        <f>B1642-B1641</f>
        <v/>
      </c>
      <c r="D1642" s="29">
        <f>VLOOKUP(A1642,'Database Claims'!$A:$C,2,)</f>
        <v/>
      </c>
      <c r="E1642" s="29">
        <f>D1642-D1641</f>
        <v/>
      </c>
    </row>
    <row r="1643">
      <c r="A1643" s="28" t="n">
        <v>35945</v>
      </c>
      <c r="B1643" s="25">
        <f>VLOOKUP(A1643,'Database Claims'!$A:$C,3,)</f>
        <v/>
      </c>
      <c r="C1643" s="29">
        <f>B1643-B1642</f>
        <v/>
      </c>
      <c r="D1643" s="25">
        <f>VLOOKUP(A1643,'Database Claims'!$A:$C,2,)</f>
        <v/>
      </c>
      <c r="E1643" s="29">
        <f>D1643-D1642</f>
        <v/>
      </c>
    </row>
    <row r="1644">
      <c r="A1644" s="28" t="n">
        <v>35952</v>
      </c>
      <c r="B1644" s="29">
        <f>VLOOKUP(A1644,'Database Claims'!$A:$C,3,)</f>
        <v/>
      </c>
      <c r="C1644" s="29">
        <f>B1644-B1643</f>
        <v/>
      </c>
      <c r="D1644" s="29">
        <f>VLOOKUP(A1644,'Database Claims'!$A:$C,2,)</f>
        <v/>
      </c>
      <c r="E1644" s="29">
        <f>D1644-D1643</f>
        <v/>
      </c>
    </row>
    <row r="1645">
      <c r="A1645" s="28" t="n">
        <v>35959</v>
      </c>
      <c r="B1645" s="25">
        <f>VLOOKUP(A1645,'Database Claims'!$A:$C,3,)</f>
        <v/>
      </c>
      <c r="C1645" s="29">
        <f>B1645-B1644</f>
        <v/>
      </c>
      <c r="D1645" s="25">
        <f>VLOOKUP(A1645,'Database Claims'!$A:$C,2,)</f>
        <v/>
      </c>
      <c r="E1645" s="29">
        <f>D1645-D1644</f>
        <v/>
      </c>
    </row>
    <row r="1646">
      <c r="A1646" s="28" t="n">
        <v>35966</v>
      </c>
      <c r="B1646" s="29">
        <f>VLOOKUP(A1646,'Database Claims'!$A:$C,3,)</f>
        <v/>
      </c>
      <c r="C1646" s="29">
        <f>B1646-B1645</f>
        <v/>
      </c>
      <c r="D1646" s="29">
        <f>VLOOKUP(A1646,'Database Claims'!$A:$C,2,)</f>
        <v/>
      </c>
      <c r="E1646" s="29">
        <f>D1646-D1645</f>
        <v/>
      </c>
    </row>
    <row r="1647">
      <c r="A1647" s="28" t="n">
        <v>35973</v>
      </c>
      <c r="B1647" s="25">
        <f>VLOOKUP(A1647,'Database Claims'!$A:$C,3,)</f>
        <v/>
      </c>
      <c r="C1647" s="29">
        <f>B1647-B1646</f>
        <v/>
      </c>
      <c r="D1647" s="25">
        <f>VLOOKUP(A1647,'Database Claims'!$A:$C,2,)</f>
        <v/>
      </c>
      <c r="E1647" s="29">
        <f>D1647-D1646</f>
        <v/>
      </c>
    </row>
    <row r="1648">
      <c r="A1648" s="28" t="n">
        <v>35980</v>
      </c>
      <c r="B1648" s="29">
        <f>VLOOKUP(A1648,'Database Claims'!$A:$C,3,)</f>
        <v/>
      </c>
      <c r="C1648" s="29">
        <f>B1648-B1647</f>
        <v/>
      </c>
      <c r="D1648" s="29">
        <f>VLOOKUP(A1648,'Database Claims'!$A:$C,2,)</f>
        <v/>
      </c>
      <c r="E1648" s="29">
        <f>D1648-D1647</f>
        <v/>
      </c>
    </row>
    <row r="1649">
      <c r="A1649" s="28" t="n">
        <v>35987</v>
      </c>
      <c r="B1649" s="25">
        <f>VLOOKUP(A1649,'Database Claims'!$A:$C,3,)</f>
        <v/>
      </c>
      <c r="C1649" s="29">
        <f>B1649-B1648</f>
        <v/>
      </c>
      <c r="D1649" s="25">
        <f>VLOOKUP(A1649,'Database Claims'!$A:$C,2,)</f>
        <v/>
      </c>
      <c r="E1649" s="29">
        <f>D1649-D1648</f>
        <v/>
      </c>
    </row>
    <row r="1650">
      <c r="A1650" s="28" t="n">
        <v>35994</v>
      </c>
      <c r="B1650" s="29">
        <f>VLOOKUP(A1650,'Database Claims'!$A:$C,3,)</f>
        <v/>
      </c>
      <c r="C1650" s="29">
        <f>B1650-B1649</f>
        <v/>
      </c>
      <c r="D1650" s="29">
        <f>VLOOKUP(A1650,'Database Claims'!$A:$C,2,)</f>
        <v/>
      </c>
      <c r="E1650" s="29">
        <f>D1650-D1649</f>
        <v/>
      </c>
    </row>
    <row r="1651">
      <c r="A1651" s="28" t="n">
        <v>36001</v>
      </c>
      <c r="B1651" s="25">
        <f>VLOOKUP(A1651,'Database Claims'!$A:$C,3,)</f>
        <v/>
      </c>
      <c r="C1651" s="29">
        <f>B1651-B1650</f>
        <v/>
      </c>
      <c r="D1651" s="25">
        <f>VLOOKUP(A1651,'Database Claims'!$A:$C,2,)</f>
        <v/>
      </c>
      <c r="E1651" s="29">
        <f>D1651-D1650</f>
        <v/>
      </c>
    </row>
    <row r="1652">
      <c r="A1652" s="28" t="n">
        <v>36008</v>
      </c>
      <c r="B1652" s="29">
        <f>VLOOKUP(A1652,'Database Claims'!$A:$C,3,)</f>
        <v/>
      </c>
      <c r="C1652" s="29">
        <f>B1652-B1651</f>
        <v/>
      </c>
      <c r="D1652" s="29">
        <f>VLOOKUP(A1652,'Database Claims'!$A:$C,2,)</f>
        <v/>
      </c>
      <c r="E1652" s="29">
        <f>D1652-D1651</f>
        <v/>
      </c>
    </row>
    <row r="1653">
      <c r="A1653" s="28" t="n">
        <v>36015</v>
      </c>
      <c r="B1653" s="25">
        <f>VLOOKUP(A1653,'Database Claims'!$A:$C,3,)</f>
        <v/>
      </c>
      <c r="C1653" s="29">
        <f>B1653-B1652</f>
        <v/>
      </c>
      <c r="D1653" s="25">
        <f>VLOOKUP(A1653,'Database Claims'!$A:$C,2,)</f>
        <v/>
      </c>
      <c r="E1653" s="29">
        <f>D1653-D1652</f>
        <v/>
      </c>
    </row>
    <row r="1654">
      <c r="A1654" s="28" t="n">
        <v>36022</v>
      </c>
      <c r="B1654" s="29">
        <f>VLOOKUP(A1654,'Database Claims'!$A:$C,3,)</f>
        <v/>
      </c>
      <c r="C1654" s="29">
        <f>B1654-B1653</f>
        <v/>
      </c>
      <c r="D1654" s="29">
        <f>VLOOKUP(A1654,'Database Claims'!$A:$C,2,)</f>
        <v/>
      </c>
      <c r="E1654" s="29">
        <f>D1654-D1653</f>
        <v/>
      </c>
    </row>
    <row r="1655">
      <c r="A1655" s="28" t="n">
        <v>36029</v>
      </c>
      <c r="B1655" s="25">
        <f>VLOOKUP(A1655,'Database Claims'!$A:$C,3,)</f>
        <v/>
      </c>
      <c r="C1655" s="29">
        <f>B1655-B1654</f>
        <v/>
      </c>
      <c r="D1655" s="25">
        <f>VLOOKUP(A1655,'Database Claims'!$A:$C,2,)</f>
        <v/>
      </c>
      <c r="E1655" s="29">
        <f>D1655-D1654</f>
        <v/>
      </c>
    </row>
    <row r="1656">
      <c r="A1656" s="28" t="n">
        <v>36036</v>
      </c>
      <c r="B1656" s="29">
        <f>VLOOKUP(A1656,'Database Claims'!$A:$C,3,)</f>
        <v/>
      </c>
      <c r="C1656" s="29">
        <f>B1656-B1655</f>
        <v/>
      </c>
      <c r="D1656" s="29">
        <f>VLOOKUP(A1656,'Database Claims'!$A:$C,2,)</f>
        <v/>
      </c>
      <c r="E1656" s="29">
        <f>D1656-D1655</f>
        <v/>
      </c>
    </row>
    <row r="1657">
      <c r="A1657" s="28" t="n">
        <v>36043</v>
      </c>
      <c r="B1657" s="25">
        <f>VLOOKUP(A1657,'Database Claims'!$A:$C,3,)</f>
        <v/>
      </c>
      <c r="C1657" s="29">
        <f>B1657-B1656</f>
        <v/>
      </c>
      <c r="D1657" s="25">
        <f>VLOOKUP(A1657,'Database Claims'!$A:$C,2,)</f>
        <v/>
      </c>
      <c r="E1657" s="29">
        <f>D1657-D1656</f>
        <v/>
      </c>
    </row>
    <row r="1658">
      <c r="A1658" s="28" t="n">
        <v>36050</v>
      </c>
      <c r="B1658" s="29">
        <f>VLOOKUP(A1658,'Database Claims'!$A:$C,3,)</f>
        <v/>
      </c>
      <c r="C1658" s="29">
        <f>B1658-B1657</f>
        <v/>
      </c>
      <c r="D1658" s="29">
        <f>VLOOKUP(A1658,'Database Claims'!$A:$C,2,)</f>
        <v/>
      </c>
      <c r="E1658" s="29">
        <f>D1658-D1657</f>
        <v/>
      </c>
    </row>
    <row r="1659">
      <c r="A1659" s="28" t="n">
        <v>36057</v>
      </c>
      <c r="B1659" s="25">
        <f>VLOOKUP(A1659,'Database Claims'!$A:$C,3,)</f>
        <v/>
      </c>
      <c r="C1659" s="29">
        <f>B1659-B1658</f>
        <v/>
      </c>
      <c r="D1659" s="25">
        <f>VLOOKUP(A1659,'Database Claims'!$A:$C,2,)</f>
        <v/>
      </c>
      <c r="E1659" s="29">
        <f>D1659-D1658</f>
        <v/>
      </c>
    </row>
    <row r="1660">
      <c r="A1660" s="28" t="n">
        <v>36064</v>
      </c>
      <c r="B1660" s="29">
        <f>VLOOKUP(A1660,'Database Claims'!$A:$C,3,)</f>
        <v/>
      </c>
      <c r="C1660" s="29">
        <f>B1660-B1659</f>
        <v/>
      </c>
      <c r="D1660" s="29">
        <f>VLOOKUP(A1660,'Database Claims'!$A:$C,2,)</f>
        <v/>
      </c>
      <c r="E1660" s="29">
        <f>D1660-D1659</f>
        <v/>
      </c>
    </row>
    <row r="1661">
      <c r="A1661" s="28" t="n">
        <v>36071</v>
      </c>
      <c r="B1661" s="25">
        <f>VLOOKUP(A1661,'Database Claims'!$A:$C,3,)</f>
        <v/>
      </c>
      <c r="C1661" s="29">
        <f>B1661-B1660</f>
        <v/>
      </c>
      <c r="D1661" s="25">
        <f>VLOOKUP(A1661,'Database Claims'!$A:$C,2,)</f>
        <v/>
      </c>
      <c r="E1661" s="29">
        <f>D1661-D1660</f>
        <v/>
      </c>
    </row>
    <row r="1662">
      <c r="A1662" s="28" t="n">
        <v>36078</v>
      </c>
      <c r="B1662" s="29">
        <f>VLOOKUP(A1662,'Database Claims'!$A:$C,3,)</f>
        <v/>
      </c>
      <c r="C1662" s="29">
        <f>B1662-B1661</f>
        <v/>
      </c>
      <c r="D1662" s="29">
        <f>VLOOKUP(A1662,'Database Claims'!$A:$C,2,)</f>
        <v/>
      </c>
      <c r="E1662" s="29">
        <f>D1662-D1661</f>
        <v/>
      </c>
    </row>
    <row r="1663">
      <c r="A1663" s="28" t="n">
        <v>36085</v>
      </c>
      <c r="B1663" s="25">
        <f>VLOOKUP(A1663,'Database Claims'!$A:$C,3,)</f>
        <v/>
      </c>
      <c r="C1663" s="29">
        <f>B1663-B1662</f>
        <v/>
      </c>
      <c r="D1663" s="25">
        <f>VLOOKUP(A1663,'Database Claims'!$A:$C,2,)</f>
        <v/>
      </c>
      <c r="E1663" s="29">
        <f>D1663-D1662</f>
        <v/>
      </c>
    </row>
    <row r="1664">
      <c r="A1664" s="28" t="n">
        <v>36092</v>
      </c>
      <c r="B1664" s="29">
        <f>VLOOKUP(A1664,'Database Claims'!$A:$C,3,)</f>
        <v/>
      </c>
      <c r="C1664" s="29">
        <f>B1664-B1663</f>
        <v/>
      </c>
      <c r="D1664" s="29">
        <f>VLOOKUP(A1664,'Database Claims'!$A:$C,2,)</f>
        <v/>
      </c>
      <c r="E1664" s="29">
        <f>D1664-D1663</f>
        <v/>
      </c>
    </row>
    <row r="1665">
      <c r="A1665" s="28" t="n">
        <v>36099</v>
      </c>
      <c r="B1665" s="25">
        <f>VLOOKUP(A1665,'Database Claims'!$A:$C,3,)</f>
        <v/>
      </c>
      <c r="C1665" s="29">
        <f>B1665-B1664</f>
        <v/>
      </c>
      <c r="D1665" s="25">
        <f>VLOOKUP(A1665,'Database Claims'!$A:$C,2,)</f>
        <v/>
      </c>
      <c r="E1665" s="29">
        <f>D1665-D1664</f>
        <v/>
      </c>
    </row>
    <row r="1666">
      <c r="A1666" s="28" t="n">
        <v>36106</v>
      </c>
      <c r="B1666" s="29">
        <f>VLOOKUP(A1666,'Database Claims'!$A:$C,3,)</f>
        <v/>
      </c>
      <c r="C1666" s="29">
        <f>B1666-B1665</f>
        <v/>
      </c>
      <c r="D1666" s="29">
        <f>VLOOKUP(A1666,'Database Claims'!$A:$C,2,)</f>
        <v/>
      </c>
      <c r="E1666" s="29">
        <f>D1666-D1665</f>
        <v/>
      </c>
    </row>
    <row r="1667">
      <c r="A1667" s="28" t="n">
        <v>36113</v>
      </c>
      <c r="B1667" s="25">
        <f>VLOOKUP(A1667,'Database Claims'!$A:$C,3,)</f>
        <v/>
      </c>
      <c r="C1667" s="29">
        <f>B1667-B1666</f>
        <v/>
      </c>
      <c r="D1667" s="25">
        <f>VLOOKUP(A1667,'Database Claims'!$A:$C,2,)</f>
        <v/>
      </c>
      <c r="E1667" s="29">
        <f>D1667-D1666</f>
        <v/>
      </c>
    </row>
    <row r="1668">
      <c r="A1668" s="28" t="n">
        <v>36120</v>
      </c>
      <c r="B1668" s="29">
        <f>VLOOKUP(A1668,'Database Claims'!$A:$C,3,)</f>
        <v/>
      </c>
      <c r="C1668" s="29">
        <f>B1668-B1667</f>
        <v/>
      </c>
      <c r="D1668" s="29">
        <f>VLOOKUP(A1668,'Database Claims'!$A:$C,2,)</f>
        <v/>
      </c>
      <c r="E1668" s="29">
        <f>D1668-D1667</f>
        <v/>
      </c>
    </row>
    <row r="1669">
      <c r="A1669" s="28" t="n">
        <v>36127</v>
      </c>
      <c r="B1669" s="25">
        <f>VLOOKUP(A1669,'Database Claims'!$A:$C,3,)</f>
        <v/>
      </c>
      <c r="C1669" s="29">
        <f>B1669-B1668</f>
        <v/>
      </c>
      <c r="D1669" s="25">
        <f>VLOOKUP(A1669,'Database Claims'!$A:$C,2,)</f>
        <v/>
      </c>
      <c r="E1669" s="29">
        <f>D1669-D1668</f>
        <v/>
      </c>
    </row>
    <row r="1670">
      <c r="A1670" s="28" t="n">
        <v>36134</v>
      </c>
      <c r="B1670" s="29">
        <f>VLOOKUP(A1670,'Database Claims'!$A:$C,3,)</f>
        <v/>
      </c>
      <c r="C1670" s="29">
        <f>B1670-B1669</f>
        <v/>
      </c>
      <c r="D1670" s="29">
        <f>VLOOKUP(A1670,'Database Claims'!$A:$C,2,)</f>
        <v/>
      </c>
      <c r="E1670" s="29">
        <f>D1670-D1669</f>
        <v/>
      </c>
    </row>
    <row r="1671">
      <c r="A1671" s="28" t="n">
        <v>36141</v>
      </c>
      <c r="B1671" s="25">
        <f>VLOOKUP(A1671,'Database Claims'!$A:$C,3,)</f>
        <v/>
      </c>
      <c r="C1671" s="29">
        <f>B1671-B1670</f>
        <v/>
      </c>
      <c r="D1671" s="25">
        <f>VLOOKUP(A1671,'Database Claims'!$A:$C,2,)</f>
        <v/>
      </c>
      <c r="E1671" s="29">
        <f>D1671-D1670</f>
        <v/>
      </c>
    </row>
    <row r="1672">
      <c r="A1672" s="28" t="n">
        <v>36148</v>
      </c>
      <c r="B1672" s="29">
        <f>VLOOKUP(A1672,'Database Claims'!$A:$C,3,)</f>
        <v/>
      </c>
      <c r="C1672" s="29">
        <f>B1672-B1671</f>
        <v/>
      </c>
      <c r="D1672" s="29">
        <f>VLOOKUP(A1672,'Database Claims'!$A:$C,2,)</f>
        <v/>
      </c>
      <c r="E1672" s="29">
        <f>D1672-D1671</f>
        <v/>
      </c>
    </row>
    <row r="1673">
      <c r="A1673" s="28" t="n">
        <v>36155</v>
      </c>
      <c r="B1673" s="25">
        <f>VLOOKUP(A1673,'Database Claims'!$A:$C,3,)</f>
        <v/>
      </c>
      <c r="C1673" s="29">
        <f>B1673-B1672</f>
        <v/>
      </c>
      <c r="D1673" s="25">
        <f>VLOOKUP(A1673,'Database Claims'!$A:$C,2,)</f>
        <v/>
      </c>
      <c r="E1673" s="29">
        <f>D1673-D1672</f>
        <v/>
      </c>
    </row>
    <row r="1674">
      <c r="A1674" s="28" t="n">
        <v>36162</v>
      </c>
      <c r="B1674" s="29">
        <f>VLOOKUP(A1674,'Database Claims'!$A:$C,3,)</f>
        <v/>
      </c>
      <c r="C1674" s="29">
        <f>B1674-B1673</f>
        <v/>
      </c>
      <c r="D1674" s="29">
        <f>VLOOKUP(A1674,'Database Claims'!$A:$C,2,)</f>
        <v/>
      </c>
      <c r="E1674" s="29">
        <f>D1674-D1673</f>
        <v/>
      </c>
    </row>
    <row r="1675">
      <c r="A1675" s="28" t="n">
        <v>36169</v>
      </c>
      <c r="B1675" s="25">
        <f>VLOOKUP(A1675,'Database Claims'!$A:$C,3,)</f>
        <v/>
      </c>
      <c r="C1675" s="29">
        <f>B1675-B1674</f>
        <v/>
      </c>
      <c r="D1675" s="25">
        <f>VLOOKUP(A1675,'Database Claims'!$A:$C,2,)</f>
        <v/>
      </c>
      <c r="E1675" s="29">
        <f>D1675-D1674</f>
        <v/>
      </c>
    </row>
    <row r="1676">
      <c r="A1676" s="28" t="n">
        <v>36176</v>
      </c>
      <c r="B1676" s="29">
        <f>VLOOKUP(A1676,'Database Claims'!$A:$C,3,)</f>
        <v/>
      </c>
      <c r="C1676" s="29">
        <f>B1676-B1675</f>
        <v/>
      </c>
      <c r="D1676" s="29">
        <f>VLOOKUP(A1676,'Database Claims'!$A:$C,2,)</f>
        <v/>
      </c>
      <c r="E1676" s="29">
        <f>D1676-D1675</f>
        <v/>
      </c>
    </row>
    <row r="1677">
      <c r="A1677" s="28" t="n">
        <v>36183</v>
      </c>
      <c r="B1677" s="25">
        <f>VLOOKUP(A1677,'Database Claims'!$A:$C,3,)</f>
        <v/>
      </c>
      <c r="C1677" s="29">
        <f>B1677-B1676</f>
        <v/>
      </c>
      <c r="D1677" s="25">
        <f>VLOOKUP(A1677,'Database Claims'!$A:$C,2,)</f>
        <v/>
      </c>
      <c r="E1677" s="29">
        <f>D1677-D1676</f>
        <v/>
      </c>
    </row>
    <row r="1678">
      <c r="A1678" s="28" t="n">
        <v>36190</v>
      </c>
      <c r="B1678" s="29">
        <f>VLOOKUP(A1678,'Database Claims'!$A:$C,3,)</f>
        <v/>
      </c>
      <c r="C1678" s="29">
        <f>B1678-B1677</f>
        <v/>
      </c>
      <c r="D1678" s="29">
        <f>VLOOKUP(A1678,'Database Claims'!$A:$C,2,)</f>
        <v/>
      </c>
      <c r="E1678" s="29">
        <f>D1678-D1677</f>
        <v/>
      </c>
    </row>
    <row r="1679">
      <c r="A1679" s="28" t="n">
        <v>36197</v>
      </c>
      <c r="B1679" s="25">
        <f>VLOOKUP(A1679,'Database Claims'!$A:$C,3,)</f>
        <v/>
      </c>
      <c r="C1679" s="29">
        <f>B1679-B1678</f>
        <v/>
      </c>
      <c r="D1679" s="25">
        <f>VLOOKUP(A1679,'Database Claims'!$A:$C,2,)</f>
        <v/>
      </c>
      <c r="E1679" s="29">
        <f>D1679-D1678</f>
        <v/>
      </c>
    </row>
    <row r="1680">
      <c r="A1680" s="28" t="n">
        <v>36204</v>
      </c>
      <c r="B1680" s="29">
        <f>VLOOKUP(A1680,'Database Claims'!$A:$C,3,)</f>
        <v/>
      </c>
      <c r="C1680" s="29">
        <f>B1680-B1679</f>
        <v/>
      </c>
      <c r="D1680" s="29">
        <f>VLOOKUP(A1680,'Database Claims'!$A:$C,2,)</f>
        <v/>
      </c>
      <c r="E1680" s="29">
        <f>D1680-D1679</f>
        <v/>
      </c>
    </row>
    <row r="1681">
      <c r="A1681" s="28" t="n">
        <v>36211</v>
      </c>
      <c r="B1681" s="25">
        <f>VLOOKUP(A1681,'Database Claims'!$A:$C,3,)</f>
        <v/>
      </c>
      <c r="C1681" s="29">
        <f>B1681-B1680</f>
        <v/>
      </c>
      <c r="D1681" s="25">
        <f>VLOOKUP(A1681,'Database Claims'!$A:$C,2,)</f>
        <v/>
      </c>
      <c r="E1681" s="29">
        <f>D1681-D1680</f>
        <v/>
      </c>
    </row>
    <row r="1682">
      <c r="A1682" s="28" t="n">
        <v>36218</v>
      </c>
      <c r="B1682" s="29">
        <f>VLOOKUP(A1682,'Database Claims'!$A:$C,3,)</f>
        <v/>
      </c>
      <c r="C1682" s="29">
        <f>B1682-B1681</f>
        <v/>
      </c>
      <c r="D1682" s="29">
        <f>VLOOKUP(A1682,'Database Claims'!$A:$C,2,)</f>
        <v/>
      </c>
      <c r="E1682" s="29">
        <f>D1682-D1681</f>
        <v/>
      </c>
    </row>
    <row r="1683">
      <c r="A1683" s="28" t="n">
        <v>36225</v>
      </c>
      <c r="B1683" s="25">
        <f>VLOOKUP(A1683,'Database Claims'!$A:$C,3,)</f>
        <v/>
      </c>
      <c r="C1683" s="29">
        <f>B1683-B1682</f>
        <v/>
      </c>
      <c r="D1683" s="25">
        <f>VLOOKUP(A1683,'Database Claims'!$A:$C,2,)</f>
        <v/>
      </c>
      <c r="E1683" s="29">
        <f>D1683-D1682</f>
        <v/>
      </c>
    </row>
    <row r="1684">
      <c r="A1684" s="28" t="n">
        <v>36232</v>
      </c>
      <c r="B1684" s="29">
        <f>VLOOKUP(A1684,'Database Claims'!$A:$C,3,)</f>
        <v/>
      </c>
      <c r="C1684" s="29">
        <f>B1684-B1683</f>
        <v/>
      </c>
      <c r="D1684" s="29">
        <f>VLOOKUP(A1684,'Database Claims'!$A:$C,2,)</f>
        <v/>
      </c>
      <c r="E1684" s="29">
        <f>D1684-D1683</f>
        <v/>
      </c>
    </row>
    <row r="1685">
      <c r="A1685" s="28" t="n">
        <v>36239</v>
      </c>
      <c r="B1685" s="25">
        <f>VLOOKUP(A1685,'Database Claims'!$A:$C,3,)</f>
        <v/>
      </c>
      <c r="C1685" s="29">
        <f>B1685-B1684</f>
        <v/>
      </c>
      <c r="D1685" s="25">
        <f>VLOOKUP(A1685,'Database Claims'!$A:$C,2,)</f>
        <v/>
      </c>
      <c r="E1685" s="29">
        <f>D1685-D1684</f>
        <v/>
      </c>
    </row>
    <row r="1686">
      <c r="A1686" s="28" t="n">
        <v>36246</v>
      </c>
      <c r="B1686" s="29">
        <f>VLOOKUP(A1686,'Database Claims'!$A:$C,3,)</f>
        <v/>
      </c>
      <c r="C1686" s="29">
        <f>B1686-B1685</f>
        <v/>
      </c>
      <c r="D1686" s="29">
        <f>VLOOKUP(A1686,'Database Claims'!$A:$C,2,)</f>
        <v/>
      </c>
      <c r="E1686" s="29">
        <f>D1686-D1685</f>
        <v/>
      </c>
    </row>
    <row r="1687">
      <c r="A1687" s="28" t="n">
        <v>36253</v>
      </c>
      <c r="B1687" s="25">
        <f>VLOOKUP(A1687,'Database Claims'!$A:$C,3,)</f>
        <v/>
      </c>
      <c r="C1687" s="29">
        <f>B1687-B1686</f>
        <v/>
      </c>
      <c r="D1687" s="25">
        <f>VLOOKUP(A1687,'Database Claims'!$A:$C,2,)</f>
        <v/>
      </c>
      <c r="E1687" s="29">
        <f>D1687-D1686</f>
        <v/>
      </c>
    </row>
    <row r="1688">
      <c r="A1688" s="28" t="n">
        <v>36260</v>
      </c>
      <c r="B1688" s="29">
        <f>VLOOKUP(A1688,'Database Claims'!$A:$C,3,)</f>
        <v/>
      </c>
      <c r="C1688" s="29">
        <f>B1688-B1687</f>
        <v/>
      </c>
      <c r="D1688" s="29">
        <f>VLOOKUP(A1688,'Database Claims'!$A:$C,2,)</f>
        <v/>
      </c>
      <c r="E1688" s="29">
        <f>D1688-D1687</f>
        <v/>
      </c>
    </row>
    <row r="1689">
      <c r="A1689" s="28" t="n">
        <v>36267</v>
      </c>
      <c r="B1689" s="25">
        <f>VLOOKUP(A1689,'Database Claims'!$A:$C,3,)</f>
        <v/>
      </c>
      <c r="C1689" s="29">
        <f>B1689-B1688</f>
        <v/>
      </c>
      <c r="D1689" s="25">
        <f>VLOOKUP(A1689,'Database Claims'!$A:$C,2,)</f>
        <v/>
      </c>
      <c r="E1689" s="29">
        <f>D1689-D1688</f>
        <v/>
      </c>
    </row>
    <row r="1690">
      <c r="A1690" s="28" t="n">
        <v>36274</v>
      </c>
      <c r="B1690" s="29">
        <f>VLOOKUP(A1690,'Database Claims'!$A:$C,3,)</f>
        <v/>
      </c>
      <c r="C1690" s="29">
        <f>B1690-B1689</f>
        <v/>
      </c>
      <c r="D1690" s="29">
        <f>VLOOKUP(A1690,'Database Claims'!$A:$C,2,)</f>
        <v/>
      </c>
      <c r="E1690" s="29">
        <f>D1690-D1689</f>
        <v/>
      </c>
    </row>
    <row r="1691">
      <c r="A1691" s="28" t="n">
        <v>36281</v>
      </c>
      <c r="B1691" s="25">
        <f>VLOOKUP(A1691,'Database Claims'!$A:$C,3,)</f>
        <v/>
      </c>
      <c r="C1691" s="29">
        <f>B1691-B1690</f>
        <v/>
      </c>
      <c r="D1691" s="25">
        <f>VLOOKUP(A1691,'Database Claims'!$A:$C,2,)</f>
        <v/>
      </c>
      <c r="E1691" s="29">
        <f>D1691-D1690</f>
        <v/>
      </c>
    </row>
    <row r="1692">
      <c r="A1692" s="28" t="n">
        <v>36288</v>
      </c>
      <c r="B1692" s="29">
        <f>VLOOKUP(A1692,'Database Claims'!$A:$C,3,)</f>
        <v/>
      </c>
      <c r="C1692" s="29">
        <f>B1692-B1691</f>
        <v/>
      </c>
      <c r="D1692" s="29">
        <f>VLOOKUP(A1692,'Database Claims'!$A:$C,2,)</f>
        <v/>
      </c>
      <c r="E1692" s="29">
        <f>D1692-D1691</f>
        <v/>
      </c>
    </row>
    <row r="1693">
      <c r="A1693" s="28" t="n">
        <v>36295</v>
      </c>
      <c r="B1693" s="25">
        <f>VLOOKUP(A1693,'Database Claims'!$A:$C,3,)</f>
        <v/>
      </c>
      <c r="C1693" s="29">
        <f>B1693-B1692</f>
        <v/>
      </c>
      <c r="D1693" s="25">
        <f>VLOOKUP(A1693,'Database Claims'!$A:$C,2,)</f>
        <v/>
      </c>
      <c r="E1693" s="29">
        <f>D1693-D1692</f>
        <v/>
      </c>
    </row>
    <row r="1694">
      <c r="A1694" s="28" t="n">
        <v>36302</v>
      </c>
      <c r="B1694" s="29">
        <f>VLOOKUP(A1694,'Database Claims'!$A:$C,3,)</f>
        <v/>
      </c>
      <c r="C1694" s="29">
        <f>B1694-B1693</f>
        <v/>
      </c>
      <c r="D1694" s="29">
        <f>VLOOKUP(A1694,'Database Claims'!$A:$C,2,)</f>
        <v/>
      </c>
      <c r="E1694" s="29">
        <f>D1694-D1693</f>
        <v/>
      </c>
    </row>
    <row r="1695">
      <c r="A1695" s="28" t="n">
        <v>36309</v>
      </c>
      <c r="B1695" s="25">
        <f>VLOOKUP(A1695,'Database Claims'!$A:$C,3,)</f>
        <v/>
      </c>
      <c r="C1695" s="29">
        <f>B1695-B1694</f>
        <v/>
      </c>
      <c r="D1695" s="25">
        <f>VLOOKUP(A1695,'Database Claims'!$A:$C,2,)</f>
        <v/>
      </c>
      <c r="E1695" s="29">
        <f>D1695-D1694</f>
        <v/>
      </c>
    </row>
    <row r="1696">
      <c r="A1696" s="28" t="n">
        <v>36316</v>
      </c>
      <c r="B1696" s="29">
        <f>VLOOKUP(A1696,'Database Claims'!$A:$C,3,)</f>
        <v/>
      </c>
      <c r="C1696" s="29">
        <f>B1696-B1695</f>
        <v/>
      </c>
      <c r="D1696" s="29">
        <f>VLOOKUP(A1696,'Database Claims'!$A:$C,2,)</f>
        <v/>
      </c>
      <c r="E1696" s="29">
        <f>D1696-D1695</f>
        <v/>
      </c>
    </row>
    <row r="1697">
      <c r="A1697" s="28" t="n">
        <v>36323</v>
      </c>
      <c r="B1697" s="25">
        <f>VLOOKUP(A1697,'Database Claims'!$A:$C,3,)</f>
        <v/>
      </c>
      <c r="C1697" s="29">
        <f>B1697-B1696</f>
        <v/>
      </c>
      <c r="D1697" s="25">
        <f>VLOOKUP(A1697,'Database Claims'!$A:$C,2,)</f>
        <v/>
      </c>
      <c r="E1697" s="29">
        <f>D1697-D1696</f>
        <v/>
      </c>
    </row>
    <row r="1698">
      <c r="A1698" s="28" t="n">
        <v>36330</v>
      </c>
      <c r="B1698" s="29">
        <f>VLOOKUP(A1698,'Database Claims'!$A:$C,3,)</f>
        <v/>
      </c>
      <c r="C1698" s="29">
        <f>B1698-B1697</f>
        <v/>
      </c>
      <c r="D1698" s="29">
        <f>VLOOKUP(A1698,'Database Claims'!$A:$C,2,)</f>
        <v/>
      </c>
      <c r="E1698" s="29">
        <f>D1698-D1697</f>
        <v/>
      </c>
    </row>
    <row r="1699">
      <c r="A1699" s="28" t="n">
        <v>36337</v>
      </c>
      <c r="B1699" s="25">
        <f>VLOOKUP(A1699,'Database Claims'!$A:$C,3,)</f>
        <v/>
      </c>
      <c r="C1699" s="29">
        <f>B1699-B1698</f>
        <v/>
      </c>
      <c r="D1699" s="25">
        <f>VLOOKUP(A1699,'Database Claims'!$A:$C,2,)</f>
        <v/>
      </c>
      <c r="E1699" s="29">
        <f>D1699-D1698</f>
        <v/>
      </c>
    </row>
    <row r="1700">
      <c r="A1700" s="28" t="n">
        <v>36344</v>
      </c>
      <c r="B1700" s="29">
        <f>VLOOKUP(A1700,'Database Claims'!$A:$C,3,)</f>
        <v/>
      </c>
      <c r="C1700" s="29">
        <f>B1700-B1699</f>
        <v/>
      </c>
      <c r="D1700" s="29">
        <f>VLOOKUP(A1700,'Database Claims'!$A:$C,2,)</f>
        <v/>
      </c>
      <c r="E1700" s="29">
        <f>D1700-D1699</f>
        <v/>
      </c>
    </row>
    <row r="1701">
      <c r="A1701" s="28" t="n">
        <v>36351</v>
      </c>
      <c r="B1701" s="25">
        <f>VLOOKUP(A1701,'Database Claims'!$A:$C,3,)</f>
        <v/>
      </c>
      <c r="C1701" s="29">
        <f>B1701-B1700</f>
        <v/>
      </c>
      <c r="D1701" s="25">
        <f>VLOOKUP(A1701,'Database Claims'!$A:$C,2,)</f>
        <v/>
      </c>
      <c r="E1701" s="29">
        <f>D1701-D1700</f>
        <v/>
      </c>
    </row>
    <row r="1702">
      <c r="A1702" s="28" t="n">
        <v>36358</v>
      </c>
      <c r="B1702" s="29">
        <f>VLOOKUP(A1702,'Database Claims'!$A:$C,3,)</f>
        <v/>
      </c>
      <c r="C1702" s="29">
        <f>B1702-B1701</f>
        <v/>
      </c>
      <c r="D1702" s="29">
        <f>VLOOKUP(A1702,'Database Claims'!$A:$C,2,)</f>
        <v/>
      </c>
      <c r="E1702" s="29">
        <f>D1702-D1701</f>
        <v/>
      </c>
    </row>
    <row r="1703">
      <c r="A1703" s="28" t="n">
        <v>36365</v>
      </c>
      <c r="B1703" s="25">
        <f>VLOOKUP(A1703,'Database Claims'!$A:$C,3,)</f>
        <v/>
      </c>
      <c r="C1703" s="29">
        <f>B1703-B1702</f>
        <v/>
      </c>
      <c r="D1703" s="25">
        <f>VLOOKUP(A1703,'Database Claims'!$A:$C,2,)</f>
        <v/>
      </c>
      <c r="E1703" s="29">
        <f>D1703-D1702</f>
        <v/>
      </c>
    </row>
    <row r="1704">
      <c r="A1704" s="28" t="n">
        <v>36372</v>
      </c>
      <c r="B1704" s="29">
        <f>VLOOKUP(A1704,'Database Claims'!$A:$C,3,)</f>
        <v/>
      </c>
      <c r="C1704" s="29">
        <f>B1704-B1703</f>
        <v/>
      </c>
      <c r="D1704" s="29">
        <f>VLOOKUP(A1704,'Database Claims'!$A:$C,2,)</f>
        <v/>
      </c>
      <c r="E1704" s="29">
        <f>D1704-D1703</f>
        <v/>
      </c>
    </row>
    <row r="1705">
      <c r="A1705" s="28" t="n">
        <v>36379</v>
      </c>
      <c r="B1705" s="25">
        <f>VLOOKUP(A1705,'Database Claims'!$A:$C,3,)</f>
        <v/>
      </c>
      <c r="C1705" s="29">
        <f>B1705-B1704</f>
        <v/>
      </c>
      <c r="D1705" s="25">
        <f>VLOOKUP(A1705,'Database Claims'!$A:$C,2,)</f>
        <v/>
      </c>
      <c r="E1705" s="29">
        <f>D1705-D1704</f>
        <v/>
      </c>
    </row>
    <row r="1706">
      <c r="A1706" s="28" t="n">
        <v>36386</v>
      </c>
      <c r="B1706" s="29">
        <f>VLOOKUP(A1706,'Database Claims'!$A:$C,3,)</f>
        <v/>
      </c>
      <c r="C1706" s="29">
        <f>B1706-B1705</f>
        <v/>
      </c>
      <c r="D1706" s="29">
        <f>VLOOKUP(A1706,'Database Claims'!$A:$C,2,)</f>
        <v/>
      </c>
      <c r="E1706" s="29">
        <f>D1706-D1705</f>
        <v/>
      </c>
    </row>
    <row r="1707">
      <c r="A1707" s="28" t="n">
        <v>36393</v>
      </c>
      <c r="B1707" s="25">
        <f>VLOOKUP(A1707,'Database Claims'!$A:$C,3,)</f>
        <v/>
      </c>
      <c r="C1707" s="29">
        <f>B1707-B1706</f>
        <v/>
      </c>
      <c r="D1707" s="25">
        <f>VLOOKUP(A1707,'Database Claims'!$A:$C,2,)</f>
        <v/>
      </c>
      <c r="E1707" s="29">
        <f>D1707-D1706</f>
        <v/>
      </c>
    </row>
    <row r="1708">
      <c r="A1708" s="28" t="n">
        <v>36400</v>
      </c>
      <c r="B1708" s="29">
        <f>VLOOKUP(A1708,'Database Claims'!$A:$C,3,)</f>
        <v/>
      </c>
      <c r="C1708" s="29">
        <f>B1708-B1707</f>
        <v/>
      </c>
      <c r="D1708" s="29">
        <f>VLOOKUP(A1708,'Database Claims'!$A:$C,2,)</f>
        <v/>
      </c>
      <c r="E1708" s="29">
        <f>D1708-D1707</f>
        <v/>
      </c>
    </row>
    <row r="1709">
      <c r="A1709" s="28" t="n">
        <v>36407</v>
      </c>
      <c r="B1709" s="25">
        <f>VLOOKUP(A1709,'Database Claims'!$A:$C,3,)</f>
        <v/>
      </c>
      <c r="C1709" s="29">
        <f>B1709-B1708</f>
        <v/>
      </c>
      <c r="D1709" s="25">
        <f>VLOOKUP(A1709,'Database Claims'!$A:$C,2,)</f>
        <v/>
      </c>
      <c r="E1709" s="29">
        <f>D1709-D1708</f>
        <v/>
      </c>
    </row>
    <row r="1710">
      <c r="A1710" s="28" t="n">
        <v>36414</v>
      </c>
      <c r="B1710" s="29">
        <f>VLOOKUP(A1710,'Database Claims'!$A:$C,3,)</f>
        <v/>
      </c>
      <c r="C1710" s="29">
        <f>B1710-B1709</f>
        <v/>
      </c>
      <c r="D1710" s="29">
        <f>VLOOKUP(A1710,'Database Claims'!$A:$C,2,)</f>
        <v/>
      </c>
      <c r="E1710" s="29">
        <f>D1710-D1709</f>
        <v/>
      </c>
    </row>
    <row r="1711">
      <c r="A1711" s="28" t="n">
        <v>36421</v>
      </c>
      <c r="B1711" s="25">
        <f>VLOOKUP(A1711,'Database Claims'!$A:$C,3,)</f>
        <v/>
      </c>
      <c r="C1711" s="29">
        <f>B1711-B1710</f>
        <v/>
      </c>
      <c r="D1711" s="25">
        <f>VLOOKUP(A1711,'Database Claims'!$A:$C,2,)</f>
        <v/>
      </c>
      <c r="E1711" s="29">
        <f>D1711-D1710</f>
        <v/>
      </c>
    </row>
    <row r="1712">
      <c r="A1712" s="28" t="n">
        <v>36428</v>
      </c>
      <c r="B1712" s="29">
        <f>VLOOKUP(A1712,'Database Claims'!$A:$C,3,)</f>
        <v/>
      </c>
      <c r="C1712" s="29">
        <f>B1712-B1711</f>
        <v/>
      </c>
      <c r="D1712" s="29">
        <f>VLOOKUP(A1712,'Database Claims'!$A:$C,2,)</f>
        <v/>
      </c>
      <c r="E1712" s="29">
        <f>D1712-D1711</f>
        <v/>
      </c>
    </row>
    <row r="1713">
      <c r="A1713" s="28" t="n">
        <v>36435</v>
      </c>
      <c r="B1713" s="25">
        <f>VLOOKUP(A1713,'Database Claims'!$A:$C,3,)</f>
        <v/>
      </c>
      <c r="C1713" s="29">
        <f>B1713-B1712</f>
        <v/>
      </c>
      <c r="D1713" s="25">
        <f>VLOOKUP(A1713,'Database Claims'!$A:$C,2,)</f>
        <v/>
      </c>
      <c r="E1713" s="29">
        <f>D1713-D1712</f>
        <v/>
      </c>
    </row>
    <row r="1714">
      <c r="A1714" s="28" t="n">
        <v>36442</v>
      </c>
      <c r="B1714" s="29">
        <f>VLOOKUP(A1714,'Database Claims'!$A:$C,3,)</f>
        <v/>
      </c>
      <c r="C1714" s="29">
        <f>B1714-B1713</f>
        <v/>
      </c>
      <c r="D1714" s="29">
        <f>VLOOKUP(A1714,'Database Claims'!$A:$C,2,)</f>
        <v/>
      </c>
      <c r="E1714" s="29">
        <f>D1714-D1713</f>
        <v/>
      </c>
    </row>
    <row r="1715">
      <c r="A1715" s="28" t="n">
        <v>36449</v>
      </c>
      <c r="B1715" s="25">
        <f>VLOOKUP(A1715,'Database Claims'!$A:$C,3,)</f>
        <v/>
      </c>
      <c r="C1715" s="29">
        <f>B1715-B1714</f>
        <v/>
      </c>
      <c r="D1715" s="25">
        <f>VLOOKUP(A1715,'Database Claims'!$A:$C,2,)</f>
        <v/>
      </c>
      <c r="E1715" s="29">
        <f>D1715-D1714</f>
        <v/>
      </c>
    </row>
    <row r="1716">
      <c r="A1716" s="28" t="n">
        <v>36456</v>
      </c>
      <c r="B1716" s="29">
        <f>VLOOKUP(A1716,'Database Claims'!$A:$C,3,)</f>
        <v/>
      </c>
      <c r="C1716" s="29">
        <f>B1716-B1715</f>
        <v/>
      </c>
      <c r="D1716" s="29">
        <f>VLOOKUP(A1716,'Database Claims'!$A:$C,2,)</f>
        <v/>
      </c>
      <c r="E1716" s="29">
        <f>D1716-D1715</f>
        <v/>
      </c>
    </row>
    <row r="1717">
      <c r="A1717" s="28" t="n">
        <v>36463</v>
      </c>
      <c r="B1717" s="25">
        <f>VLOOKUP(A1717,'Database Claims'!$A:$C,3,)</f>
        <v/>
      </c>
      <c r="C1717" s="29">
        <f>B1717-B1716</f>
        <v/>
      </c>
      <c r="D1717" s="25">
        <f>VLOOKUP(A1717,'Database Claims'!$A:$C,2,)</f>
        <v/>
      </c>
      <c r="E1717" s="29">
        <f>D1717-D1716</f>
        <v/>
      </c>
    </row>
    <row r="1718">
      <c r="A1718" s="28" t="n">
        <v>36470</v>
      </c>
      <c r="B1718" s="29">
        <f>VLOOKUP(A1718,'Database Claims'!$A:$C,3,)</f>
        <v/>
      </c>
      <c r="C1718" s="29">
        <f>B1718-B1717</f>
        <v/>
      </c>
      <c r="D1718" s="29">
        <f>VLOOKUP(A1718,'Database Claims'!$A:$C,2,)</f>
        <v/>
      </c>
      <c r="E1718" s="29">
        <f>D1718-D1717</f>
        <v/>
      </c>
    </row>
    <row r="1719">
      <c r="A1719" s="28" t="n">
        <v>36477</v>
      </c>
      <c r="B1719" s="25">
        <f>VLOOKUP(A1719,'Database Claims'!$A:$C,3,)</f>
        <v/>
      </c>
      <c r="C1719" s="29">
        <f>B1719-B1718</f>
        <v/>
      </c>
      <c r="D1719" s="25">
        <f>VLOOKUP(A1719,'Database Claims'!$A:$C,2,)</f>
        <v/>
      </c>
      <c r="E1719" s="29">
        <f>D1719-D1718</f>
        <v/>
      </c>
    </row>
    <row r="1720">
      <c r="A1720" s="28" t="n">
        <v>36484</v>
      </c>
      <c r="B1720" s="29">
        <f>VLOOKUP(A1720,'Database Claims'!$A:$C,3,)</f>
        <v/>
      </c>
      <c r="C1720" s="29">
        <f>B1720-B1719</f>
        <v/>
      </c>
      <c r="D1720" s="29">
        <f>VLOOKUP(A1720,'Database Claims'!$A:$C,2,)</f>
        <v/>
      </c>
      <c r="E1720" s="29">
        <f>D1720-D1719</f>
        <v/>
      </c>
    </row>
    <row r="1721">
      <c r="A1721" s="28" t="n">
        <v>36491</v>
      </c>
      <c r="B1721" s="25">
        <f>VLOOKUP(A1721,'Database Claims'!$A:$C,3,)</f>
        <v/>
      </c>
      <c r="C1721" s="29">
        <f>B1721-B1720</f>
        <v/>
      </c>
      <c r="D1721" s="25">
        <f>VLOOKUP(A1721,'Database Claims'!$A:$C,2,)</f>
        <v/>
      </c>
      <c r="E1721" s="29">
        <f>D1721-D1720</f>
        <v/>
      </c>
    </row>
    <row r="1722">
      <c r="A1722" s="28" t="n">
        <v>36498</v>
      </c>
      <c r="B1722" s="29">
        <f>VLOOKUP(A1722,'Database Claims'!$A:$C,3,)</f>
        <v/>
      </c>
      <c r="C1722" s="29">
        <f>B1722-B1721</f>
        <v/>
      </c>
      <c r="D1722" s="29">
        <f>VLOOKUP(A1722,'Database Claims'!$A:$C,2,)</f>
        <v/>
      </c>
      <c r="E1722" s="29">
        <f>D1722-D1721</f>
        <v/>
      </c>
    </row>
    <row r="1723">
      <c r="A1723" s="28" t="n">
        <v>36505</v>
      </c>
      <c r="B1723" s="25">
        <f>VLOOKUP(A1723,'Database Claims'!$A:$C,3,)</f>
        <v/>
      </c>
      <c r="C1723" s="29">
        <f>B1723-B1722</f>
        <v/>
      </c>
      <c r="D1723" s="25">
        <f>VLOOKUP(A1723,'Database Claims'!$A:$C,2,)</f>
        <v/>
      </c>
      <c r="E1723" s="29">
        <f>D1723-D1722</f>
        <v/>
      </c>
    </row>
    <row r="1724">
      <c r="A1724" s="28" t="n">
        <v>36512</v>
      </c>
      <c r="B1724" s="29">
        <f>VLOOKUP(A1724,'Database Claims'!$A:$C,3,)</f>
        <v/>
      </c>
      <c r="C1724" s="29">
        <f>B1724-B1723</f>
        <v/>
      </c>
      <c r="D1724" s="29">
        <f>VLOOKUP(A1724,'Database Claims'!$A:$C,2,)</f>
        <v/>
      </c>
      <c r="E1724" s="29">
        <f>D1724-D1723</f>
        <v/>
      </c>
    </row>
    <row r="1725">
      <c r="A1725" s="28" t="n">
        <v>36519</v>
      </c>
      <c r="B1725" s="25">
        <f>VLOOKUP(A1725,'Database Claims'!$A:$C,3,)</f>
        <v/>
      </c>
      <c r="C1725" s="29">
        <f>B1725-B1724</f>
        <v/>
      </c>
      <c r="D1725" s="25">
        <f>VLOOKUP(A1725,'Database Claims'!$A:$C,2,)</f>
        <v/>
      </c>
      <c r="E1725" s="29">
        <f>D1725-D1724</f>
        <v/>
      </c>
    </row>
    <row r="1726">
      <c r="A1726" s="28" t="n">
        <v>36526</v>
      </c>
      <c r="B1726" s="29">
        <f>VLOOKUP(A1726,'Database Claims'!$A:$C,3,)</f>
        <v/>
      </c>
      <c r="C1726" s="29">
        <f>B1726-B1725</f>
        <v/>
      </c>
      <c r="D1726" s="29">
        <f>VLOOKUP(A1726,'Database Claims'!$A:$C,2,)</f>
        <v/>
      </c>
      <c r="E1726" s="29">
        <f>D1726-D1725</f>
        <v/>
      </c>
    </row>
    <row r="1727">
      <c r="A1727" s="28" t="n">
        <v>36533</v>
      </c>
      <c r="B1727" s="25">
        <f>VLOOKUP(A1727,'Database Claims'!$A:$C,3,)</f>
        <v/>
      </c>
      <c r="C1727" s="29">
        <f>B1727-B1726</f>
        <v/>
      </c>
      <c r="D1727" s="25">
        <f>VLOOKUP(A1727,'Database Claims'!$A:$C,2,)</f>
        <v/>
      </c>
      <c r="E1727" s="29">
        <f>D1727-D1726</f>
        <v/>
      </c>
    </row>
    <row r="1728">
      <c r="A1728" s="28" t="n">
        <v>36540</v>
      </c>
      <c r="B1728" s="29">
        <f>VLOOKUP(A1728,'Database Claims'!$A:$C,3,)</f>
        <v/>
      </c>
      <c r="C1728" s="29">
        <f>B1728-B1727</f>
        <v/>
      </c>
      <c r="D1728" s="29">
        <f>VLOOKUP(A1728,'Database Claims'!$A:$C,2,)</f>
        <v/>
      </c>
      <c r="E1728" s="29">
        <f>D1728-D1727</f>
        <v/>
      </c>
    </row>
    <row r="1729">
      <c r="A1729" s="28" t="n">
        <v>36547</v>
      </c>
      <c r="B1729" s="25">
        <f>VLOOKUP(A1729,'Database Claims'!$A:$C,3,)</f>
        <v/>
      </c>
      <c r="C1729" s="29">
        <f>B1729-B1728</f>
        <v/>
      </c>
      <c r="D1729" s="25">
        <f>VLOOKUP(A1729,'Database Claims'!$A:$C,2,)</f>
        <v/>
      </c>
      <c r="E1729" s="29">
        <f>D1729-D1728</f>
        <v/>
      </c>
    </row>
    <row r="1730">
      <c r="A1730" s="28" t="n">
        <v>36554</v>
      </c>
      <c r="B1730" s="29">
        <f>VLOOKUP(A1730,'Database Claims'!$A:$C,3,)</f>
        <v/>
      </c>
      <c r="C1730" s="29">
        <f>B1730-B1729</f>
        <v/>
      </c>
      <c r="D1730" s="29">
        <f>VLOOKUP(A1730,'Database Claims'!$A:$C,2,)</f>
        <v/>
      </c>
      <c r="E1730" s="29">
        <f>D1730-D1729</f>
        <v/>
      </c>
    </row>
    <row r="1731">
      <c r="A1731" s="28" t="n">
        <v>36561</v>
      </c>
      <c r="B1731" s="25">
        <f>VLOOKUP(A1731,'Database Claims'!$A:$C,3,)</f>
        <v/>
      </c>
      <c r="C1731" s="29">
        <f>B1731-B1730</f>
        <v/>
      </c>
      <c r="D1731" s="25">
        <f>VLOOKUP(A1731,'Database Claims'!$A:$C,2,)</f>
        <v/>
      </c>
      <c r="E1731" s="29">
        <f>D1731-D1730</f>
        <v/>
      </c>
    </row>
    <row r="1732">
      <c r="A1732" s="28" t="n">
        <v>36568</v>
      </c>
      <c r="B1732" s="29">
        <f>VLOOKUP(A1732,'Database Claims'!$A:$C,3,)</f>
        <v/>
      </c>
      <c r="C1732" s="29">
        <f>B1732-B1731</f>
        <v/>
      </c>
      <c r="D1732" s="29">
        <f>VLOOKUP(A1732,'Database Claims'!$A:$C,2,)</f>
        <v/>
      </c>
      <c r="E1732" s="29">
        <f>D1732-D1731</f>
        <v/>
      </c>
    </row>
    <row r="1733">
      <c r="A1733" s="28" t="n">
        <v>36575</v>
      </c>
      <c r="B1733" s="25">
        <f>VLOOKUP(A1733,'Database Claims'!$A:$C,3,)</f>
        <v/>
      </c>
      <c r="C1733" s="29">
        <f>B1733-B1732</f>
        <v/>
      </c>
      <c r="D1733" s="25">
        <f>VLOOKUP(A1733,'Database Claims'!$A:$C,2,)</f>
        <v/>
      </c>
      <c r="E1733" s="29">
        <f>D1733-D1732</f>
        <v/>
      </c>
    </row>
    <row r="1734">
      <c r="A1734" s="28" t="n">
        <v>36582</v>
      </c>
      <c r="B1734" s="29">
        <f>VLOOKUP(A1734,'Database Claims'!$A:$C,3,)</f>
        <v/>
      </c>
      <c r="C1734" s="29">
        <f>B1734-B1733</f>
        <v/>
      </c>
      <c r="D1734" s="29">
        <f>VLOOKUP(A1734,'Database Claims'!$A:$C,2,)</f>
        <v/>
      </c>
      <c r="E1734" s="29">
        <f>D1734-D1733</f>
        <v/>
      </c>
    </row>
    <row r="1735">
      <c r="A1735" s="28" t="n">
        <v>36589</v>
      </c>
      <c r="B1735" s="25">
        <f>VLOOKUP(A1735,'Database Claims'!$A:$C,3,)</f>
        <v/>
      </c>
      <c r="C1735" s="29">
        <f>B1735-B1734</f>
        <v/>
      </c>
      <c r="D1735" s="25">
        <f>VLOOKUP(A1735,'Database Claims'!$A:$C,2,)</f>
        <v/>
      </c>
      <c r="E1735" s="29">
        <f>D1735-D1734</f>
        <v/>
      </c>
    </row>
    <row r="1736">
      <c r="A1736" s="28" t="n">
        <v>36596</v>
      </c>
      <c r="B1736" s="29">
        <f>VLOOKUP(A1736,'Database Claims'!$A:$C,3,)</f>
        <v/>
      </c>
      <c r="C1736" s="29">
        <f>B1736-B1735</f>
        <v/>
      </c>
      <c r="D1736" s="29">
        <f>VLOOKUP(A1736,'Database Claims'!$A:$C,2,)</f>
        <v/>
      </c>
      <c r="E1736" s="29">
        <f>D1736-D1735</f>
        <v/>
      </c>
    </row>
    <row r="1737">
      <c r="A1737" s="28" t="n">
        <v>36603</v>
      </c>
      <c r="B1737" s="25">
        <f>VLOOKUP(A1737,'Database Claims'!$A:$C,3,)</f>
        <v/>
      </c>
      <c r="C1737" s="29">
        <f>B1737-B1736</f>
        <v/>
      </c>
      <c r="D1737" s="25">
        <f>VLOOKUP(A1737,'Database Claims'!$A:$C,2,)</f>
        <v/>
      </c>
      <c r="E1737" s="29">
        <f>D1737-D1736</f>
        <v/>
      </c>
    </row>
    <row r="1738">
      <c r="A1738" s="28" t="n">
        <v>36610</v>
      </c>
      <c r="B1738" s="29">
        <f>VLOOKUP(A1738,'Database Claims'!$A:$C,3,)</f>
        <v/>
      </c>
      <c r="C1738" s="29">
        <f>B1738-B1737</f>
        <v/>
      </c>
      <c r="D1738" s="29">
        <f>VLOOKUP(A1738,'Database Claims'!$A:$C,2,)</f>
        <v/>
      </c>
      <c r="E1738" s="29">
        <f>D1738-D1737</f>
        <v/>
      </c>
    </row>
    <row r="1739">
      <c r="A1739" s="28" t="n">
        <v>36617</v>
      </c>
      <c r="B1739" s="25">
        <f>VLOOKUP(A1739,'Database Claims'!$A:$C,3,)</f>
        <v/>
      </c>
      <c r="C1739" s="29">
        <f>B1739-B1738</f>
        <v/>
      </c>
      <c r="D1739" s="25">
        <f>VLOOKUP(A1739,'Database Claims'!$A:$C,2,)</f>
        <v/>
      </c>
      <c r="E1739" s="29">
        <f>D1739-D1738</f>
        <v/>
      </c>
    </row>
    <row r="1740">
      <c r="A1740" s="28" t="n">
        <v>36624</v>
      </c>
      <c r="B1740" s="29">
        <f>VLOOKUP(A1740,'Database Claims'!$A:$C,3,)</f>
        <v/>
      </c>
      <c r="C1740" s="29">
        <f>B1740-B1739</f>
        <v/>
      </c>
      <c r="D1740" s="29">
        <f>VLOOKUP(A1740,'Database Claims'!$A:$C,2,)</f>
        <v/>
      </c>
      <c r="E1740" s="29">
        <f>D1740-D1739</f>
        <v/>
      </c>
    </row>
    <row r="1741">
      <c r="A1741" s="28" t="n">
        <v>36631</v>
      </c>
      <c r="B1741" s="25">
        <f>VLOOKUP(A1741,'Database Claims'!$A:$C,3,)</f>
        <v/>
      </c>
      <c r="C1741" s="29">
        <f>B1741-B1740</f>
        <v/>
      </c>
      <c r="D1741" s="25">
        <f>VLOOKUP(A1741,'Database Claims'!$A:$C,2,)</f>
        <v/>
      </c>
      <c r="E1741" s="29">
        <f>D1741-D1740</f>
        <v/>
      </c>
    </row>
    <row r="1742">
      <c r="A1742" s="28" t="n">
        <v>36638</v>
      </c>
      <c r="B1742" s="29">
        <f>VLOOKUP(A1742,'Database Claims'!$A:$C,3,)</f>
        <v/>
      </c>
      <c r="C1742" s="29">
        <f>B1742-B1741</f>
        <v/>
      </c>
      <c r="D1742" s="29">
        <f>VLOOKUP(A1742,'Database Claims'!$A:$C,2,)</f>
        <v/>
      </c>
      <c r="E1742" s="29">
        <f>D1742-D1741</f>
        <v/>
      </c>
    </row>
    <row r="1743">
      <c r="A1743" s="28" t="n">
        <v>36645</v>
      </c>
      <c r="B1743" s="25">
        <f>VLOOKUP(A1743,'Database Claims'!$A:$C,3,)</f>
        <v/>
      </c>
      <c r="C1743" s="29">
        <f>B1743-B1742</f>
        <v/>
      </c>
      <c r="D1743" s="25">
        <f>VLOOKUP(A1743,'Database Claims'!$A:$C,2,)</f>
        <v/>
      </c>
      <c r="E1743" s="29">
        <f>D1743-D1742</f>
        <v/>
      </c>
    </row>
    <row r="1744">
      <c r="A1744" s="28" t="n">
        <v>36652</v>
      </c>
      <c r="B1744" s="29">
        <f>VLOOKUP(A1744,'Database Claims'!$A:$C,3,)</f>
        <v/>
      </c>
      <c r="C1744" s="29">
        <f>B1744-B1743</f>
        <v/>
      </c>
      <c r="D1744" s="29">
        <f>VLOOKUP(A1744,'Database Claims'!$A:$C,2,)</f>
        <v/>
      </c>
      <c r="E1744" s="29">
        <f>D1744-D1743</f>
        <v/>
      </c>
    </row>
    <row r="1745">
      <c r="A1745" s="28" t="n">
        <v>36659</v>
      </c>
      <c r="B1745" s="25">
        <f>VLOOKUP(A1745,'Database Claims'!$A:$C,3,)</f>
        <v/>
      </c>
      <c r="C1745" s="29">
        <f>B1745-B1744</f>
        <v/>
      </c>
      <c r="D1745" s="25">
        <f>VLOOKUP(A1745,'Database Claims'!$A:$C,2,)</f>
        <v/>
      </c>
      <c r="E1745" s="29">
        <f>D1745-D1744</f>
        <v/>
      </c>
    </row>
    <row r="1746">
      <c r="A1746" s="28" t="n">
        <v>36666</v>
      </c>
      <c r="B1746" s="29">
        <f>VLOOKUP(A1746,'Database Claims'!$A:$C,3,)</f>
        <v/>
      </c>
      <c r="C1746" s="29">
        <f>B1746-B1745</f>
        <v/>
      </c>
      <c r="D1746" s="29">
        <f>VLOOKUP(A1746,'Database Claims'!$A:$C,2,)</f>
        <v/>
      </c>
      <c r="E1746" s="29">
        <f>D1746-D1745</f>
        <v/>
      </c>
    </row>
    <row r="1747">
      <c r="A1747" s="28" t="n">
        <v>36673</v>
      </c>
      <c r="B1747" s="25">
        <f>VLOOKUP(A1747,'Database Claims'!$A:$C,3,)</f>
        <v/>
      </c>
      <c r="C1747" s="29">
        <f>B1747-B1746</f>
        <v/>
      </c>
      <c r="D1747" s="25">
        <f>VLOOKUP(A1747,'Database Claims'!$A:$C,2,)</f>
        <v/>
      </c>
      <c r="E1747" s="29">
        <f>D1747-D1746</f>
        <v/>
      </c>
    </row>
    <row r="1748">
      <c r="A1748" s="28" t="n">
        <v>36680</v>
      </c>
      <c r="B1748" s="29">
        <f>VLOOKUP(A1748,'Database Claims'!$A:$C,3,)</f>
        <v/>
      </c>
      <c r="C1748" s="29">
        <f>B1748-B1747</f>
        <v/>
      </c>
      <c r="D1748" s="29">
        <f>VLOOKUP(A1748,'Database Claims'!$A:$C,2,)</f>
        <v/>
      </c>
      <c r="E1748" s="29">
        <f>D1748-D1747</f>
        <v/>
      </c>
    </row>
    <row r="1749">
      <c r="A1749" s="28" t="n">
        <v>36687</v>
      </c>
      <c r="B1749" s="25">
        <f>VLOOKUP(A1749,'Database Claims'!$A:$C,3,)</f>
        <v/>
      </c>
      <c r="C1749" s="29">
        <f>B1749-B1748</f>
        <v/>
      </c>
      <c r="D1749" s="25">
        <f>VLOOKUP(A1749,'Database Claims'!$A:$C,2,)</f>
        <v/>
      </c>
      <c r="E1749" s="29">
        <f>D1749-D1748</f>
        <v/>
      </c>
    </row>
    <row r="1750">
      <c r="A1750" s="28" t="n">
        <v>36694</v>
      </c>
      <c r="B1750" s="29">
        <f>VLOOKUP(A1750,'Database Claims'!$A:$C,3,)</f>
        <v/>
      </c>
      <c r="C1750" s="29">
        <f>B1750-B1749</f>
        <v/>
      </c>
      <c r="D1750" s="29">
        <f>VLOOKUP(A1750,'Database Claims'!$A:$C,2,)</f>
        <v/>
      </c>
      <c r="E1750" s="29">
        <f>D1750-D1749</f>
        <v/>
      </c>
    </row>
    <row r="1751">
      <c r="A1751" s="28" t="n">
        <v>36701</v>
      </c>
      <c r="B1751" s="25">
        <f>VLOOKUP(A1751,'Database Claims'!$A:$C,3,)</f>
        <v/>
      </c>
      <c r="C1751" s="29">
        <f>B1751-B1750</f>
        <v/>
      </c>
      <c r="D1751" s="25">
        <f>VLOOKUP(A1751,'Database Claims'!$A:$C,2,)</f>
        <v/>
      </c>
      <c r="E1751" s="29">
        <f>D1751-D1750</f>
        <v/>
      </c>
    </row>
    <row r="1752">
      <c r="A1752" s="28" t="n">
        <v>36708</v>
      </c>
      <c r="B1752" s="29">
        <f>VLOOKUP(A1752,'Database Claims'!$A:$C,3,)</f>
        <v/>
      </c>
      <c r="C1752" s="29">
        <f>B1752-B1751</f>
        <v/>
      </c>
      <c r="D1752" s="29">
        <f>VLOOKUP(A1752,'Database Claims'!$A:$C,2,)</f>
        <v/>
      </c>
      <c r="E1752" s="29">
        <f>D1752-D1751</f>
        <v/>
      </c>
    </row>
    <row r="1753">
      <c r="A1753" s="28" t="n">
        <v>36715</v>
      </c>
      <c r="B1753" s="25">
        <f>VLOOKUP(A1753,'Database Claims'!$A:$C,3,)</f>
        <v/>
      </c>
      <c r="C1753" s="29">
        <f>B1753-B1752</f>
        <v/>
      </c>
      <c r="D1753" s="25">
        <f>VLOOKUP(A1753,'Database Claims'!$A:$C,2,)</f>
        <v/>
      </c>
      <c r="E1753" s="29">
        <f>D1753-D1752</f>
        <v/>
      </c>
    </row>
    <row r="1754">
      <c r="A1754" s="28" t="n">
        <v>36722</v>
      </c>
      <c r="B1754" s="29">
        <f>VLOOKUP(A1754,'Database Claims'!$A:$C,3,)</f>
        <v/>
      </c>
      <c r="C1754" s="29">
        <f>B1754-B1753</f>
        <v/>
      </c>
      <c r="D1754" s="29">
        <f>VLOOKUP(A1754,'Database Claims'!$A:$C,2,)</f>
        <v/>
      </c>
      <c r="E1754" s="29">
        <f>D1754-D1753</f>
        <v/>
      </c>
    </row>
    <row r="1755">
      <c r="A1755" s="28" t="n">
        <v>36729</v>
      </c>
      <c r="B1755" s="25">
        <f>VLOOKUP(A1755,'Database Claims'!$A:$C,3,)</f>
        <v/>
      </c>
      <c r="C1755" s="29">
        <f>B1755-B1754</f>
        <v/>
      </c>
      <c r="D1755" s="25">
        <f>VLOOKUP(A1755,'Database Claims'!$A:$C,2,)</f>
        <v/>
      </c>
      <c r="E1755" s="29">
        <f>D1755-D1754</f>
        <v/>
      </c>
    </row>
    <row r="1756">
      <c r="A1756" s="28" t="n">
        <v>36736</v>
      </c>
      <c r="B1756" s="29">
        <f>VLOOKUP(A1756,'Database Claims'!$A:$C,3,)</f>
        <v/>
      </c>
      <c r="C1756" s="29">
        <f>B1756-B1755</f>
        <v/>
      </c>
      <c r="D1756" s="29">
        <f>VLOOKUP(A1756,'Database Claims'!$A:$C,2,)</f>
        <v/>
      </c>
      <c r="E1756" s="29">
        <f>D1756-D1755</f>
        <v/>
      </c>
    </row>
    <row r="1757">
      <c r="A1757" s="28" t="n">
        <v>36743</v>
      </c>
      <c r="B1757" s="25">
        <f>VLOOKUP(A1757,'Database Claims'!$A:$C,3,)</f>
        <v/>
      </c>
      <c r="C1757" s="29">
        <f>B1757-B1756</f>
        <v/>
      </c>
      <c r="D1757" s="25">
        <f>VLOOKUP(A1757,'Database Claims'!$A:$C,2,)</f>
        <v/>
      </c>
      <c r="E1757" s="29">
        <f>D1757-D1756</f>
        <v/>
      </c>
    </row>
    <row r="1758">
      <c r="A1758" s="28" t="n">
        <v>36750</v>
      </c>
      <c r="B1758" s="29">
        <f>VLOOKUP(A1758,'Database Claims'!$A:$C,3,)</f>
        <v/>
      </c>
      <c r="C1758" s="29">
        <f>B1758-B1757</f>
        <v/>
      </c>
      <c r="D1758" s="29">
        <f>VLOOKUP(A1758,'Database Claims'!$A:$C,2,)</f>
        <v/>
      </c>
      <c r="E1758" s="29">
        <f>D1758-D1757</f>
        <v/>
      </c>
    </row>
    <row r="1759">
      <c r="A1759" s="28" t="n">
        <v>36757</v>
      </c>
      <c r="B1759" s="25">
        <f>VLOOKUP(A1759,'Database Claims'!$A:$C,3,)</f>
        <v/>
      </c>
      <c r="C1759" s="29">
        <f>B1759-B1758</f>
        <v/>
      </c>
      <c r="D1759" s="25">
        <f>VLOOKUP(A1759,'Database Claims'!$A:$C,2,)</f>
        <v/>
      </c>
      <c r="E1759" s="29">
        <f>D1759-D1758</f>
        <v/>
      </c>
    </row>
    <row r="1760">
      <c r="A1760" s="28" t="n">
        <v>36764</v>
      </c>
      <c r="B1760" s="29">
        <f>VLOOKUP(A1760,'Database Claims'!$A:$C,3,)</f>
        <v/>
      </c>
      <c r="C1760" s="29">
        <f>B1760-B1759</f>
        <v/>
      </c>
      <c r="D1760" s="29">
        <f>VLOOKUP(A1760,'Database Claims'!$A:$C,2,)</f>
        <v/>
      </c>
      <c r="E1760" s="29">
        <f>D1760-D1759</f>
        <v/>
      </c>
    </row>
    <row r="1761">
      <c r="A1761" s="28" t="n">
        <v>36771</v>
      </c>
      <c r="B1761" s="25">
        <f>VLOOKUP(A1761,'Database Claims'!$A:$C,3,)</f>
        <v/>
      </c>
      <c r="C1761" s="29">
        <f>B1761-B1760</f>
        <v/>
      </c>
      <c r="D1761" s="25">
        <f>VLOOKUP(A1761,'Database Claims'!$A:$C,2,)</f>
        <v/>
      </c>
      <c r="E1761" s="29">
        <f>D1761-D1760</f>
        <v/>
      </c>
    </row>
    <row r="1762">
      <c r="A1762" s="28" t="n">
        <v>36778</v>
      </c>
      <c r="B1762" s="29">
        <f>VLOOKUP(A1762,'Database Claims'!$A:$C,3,)</f>
        <v/>
      </c>
      <c r="C1762" s="29">
        <f>B1762-B1761</f>
        <v/>
      </c>
      <c r="D1762" s="29">
        <f>VLOOKUP(A1762,'Database Claims'!$A:$C,2,)</f>
        <v/>
      </c>
      <c r="E1762" s="29">
        <f>D1762-D1761</f>
        <v/>
      </c>
    </row>
    <row r="1763">
      <c r="A1763" s="28" t="n">
        <v>36785</v>
      </c>
      <c r="B1763" s="25">
        <f>VLOOKUP(A1763,'Database Claims'!$A:$C,3,)</f>
        <v/>
      </c>
      <c r="C1763" s="29">
        <f>B1763-B1762</f>
        <v/>
      </c>
      <c r="D1763" s="25">
        <f>VLOOKUP(A1763,'Database Claims'!$A:$C,2,)</f>
        <v/>
      </c>
      <c r="E1763" s="29">
        <f>D1763-D1762</f>
        <v/>
      </c>
    </row>
    <row r="1764">
      <c r="A1764" s="28" t="n">
        <v>36792</v>
      </c>
      <c r="B1764" s="29">
        <f>VLOOKUP(A1764,'Database Claims'!$A:$C,3,)</f>
        <v/>
      </c>
      <c r="C1764" s="29">
        <f>B1764-B1763</f>
        <v/>
      </c>
      <c r="D1764" s="29">
        <f>VLOOKUP(A1764,'Database Claims'!$A:$C,2,)</f>
        <v/>
      </c>
      <c r="E1764" s="29">
        <f>D1764-D1763</f>
        <v/>
      </c>
    </row>
    <row r="1765">
      <c r="A1765" s="28" t="n">
        <v>36799</v>
      </c>
      <c r="B1765" s="25">
        <f>VLOOKUP(A1765,'Database Claims'!$A:$C,3,)</f>
        <v/>
      </c>
      <c r="C1765" s="29">
        <f>B1765-B1764</f>
        <v/>
      </c>
      <c r="D1765" s="25">
        <f>VLOOKUP(A1765,'Database Claims'!$A:$C,2,)</f>
        <v/>
      </c>
      <c r="E1765" s="29">
        <f>D1765-D1764</f>
        <v/>
      </c>
    </row>
    <row r="1766">
      <c r="A1766" s="28" t="n">
        <v>36806</v>
      </c>
      <c r="B1766" s="29">
        <f>VLOOKUP(A1766,'Database Claims'!$A:$C,3,)</f>
        <v/>
      </c>
      <c r="C1766" s="29">
        <f>B1766-B1765</f>
        <v/>
      </c>
      <c r="D1766" s="29">
        <f>VLOOKUP(A1766,'Database Claims'!$A:$C,2,)</f>
        <v/>
      </c>
      <c r="E1766" s="29">
        <f>D1766-D1765</f>
        <v/>
      </c>
    </row>
    <row r="1767">
      <c r="A1767" s="28" t="n">
        <v>36813</v>
      </c>
      <c r="B1767" s="25">
        <f>VLOOKUP(A1767,'Database Claims'!$A:$C,3,)</f>
        <v/>
      </c>
      <c r="C1767" s="29">
        <f>B1767-B1766</f>
        <v/>
      </c>
      <c r="D1767" s="25">
        <f>VLOOKUP(A1767,'Database Claims'!$A:$C,2,)</f>
        <v/>
      </c>
      <c r="E1767" s="29">
        <f>D1767-D1766</f>
        <v/>
      </c>
    </row>
    <row r="1768">
      <c r="A1768" s="28" t="n">
        <v>36820</v>
      </c>
      <c r="B1768" s="29">
        <f>VLOOKUP(A1768,'Database Claims'!$A:$C,3,)</f>
        <v/>
      </c>
      <c r="C1768" s="29">
        <f>B1768-B1767</f>
        <v/>
      </c>
      <c r="D1768" s="29">
        <f>VLOOKUP(A1768,'Database Claims'!$A:$C,2,)</f>
        <v/>
      </c>
      <c r="E1768" s="29">
        <f>D1768-D1767</f>
        <v/>
      </c>
    </row>
    <row r="1769">
      <c r="A1769" s="28" t="n">
        <v>36827</v>
      </c>
      <c r="B1769" s="25">
        <f>VLOOKUP(A1769,'Database Claims'!$A:$C,3,)</f>
        <v/>
      </c>
      <c r="C1769" s="29">
        <f>B1769-B1768</f>
        <v/>
      </c>
      <c r="D1769" s="25">
        <f>VLOOKUP(A1769,'Database Claims'!$A:$C,2,)</f>
        <v/>
      </c>
      <c r="E1769" s="29">
        <f>D1769-D1768</f>
        <v/>
      </c>
    </row>
    <row r="1770">
      <c r="A1770" s="28" t="n">
        <v>36834</v>
      </c>
      <c r="B1770" s="29">
        <f>VLOOKUP(A1770,'Database Claims'!$A:$C,3,)</f>
        <v/>
      </c>
      <c r="C1770" s="29">
        <f>B1770-B1769</f>
        <v/>
      </c>
      <c r="D1770" s="29">
        <f>VLOOKUP(A1770,'Database Claims'!$A:$C,2,)</f>
        <v/>
      </c>
      <c r="E1770" s="29">
        <f>D1770-D1769</f>
        <v/>
      </c>
    </row>
    <row r="1771">
      <c r="A1771" s="28" t="n">
        <v>36841</v>
      </c>
      <c r="B1771" s="25">
        <f>VLOOKUP(A1771,'Database Claims'!$A:$C,3,)</f>
        <v/>
      </c>
      <c r="C1771" s="29">
        <f>B1771-B1770</f>
        <v/>
      </c>
      <c r="D1771" s="25">
        <f>VLOOKUP(A1771,'Database Claims'!$A:$C,2,)</f>
        <v/>
      </c>
      <c r="E1771" s="29">
        <f>D1771-D1770</f>
        <v/>
      </c>
    </row>
    <row r="1772">
      <c r="A1772" s="28" t="n">
        <v>36848</v>
      </c>
      <c r="B1772" s="29">
        <f>VLOOKUP(A1772,'Database Claims'!$A:$C,3,)</f>
        <v/>
      </c>
      <c r="C1772" s="29">
        <f>B1772-B1771</f>
        <v/>
      </c>
      <c r="D1772" s="29">
        <f>VLOOKUP(A1772,'Database Claims'!$A:$C,2,)</f>
        <v/>
      </c>
      <c r="E1772" s="29">
        <f>D1772-D1771</f>
        <v/>
      </c>
    </row>
    <row r="1773">
      <c r="A1773" s="28" t="n">
        <v>36855</v>
      </c>
      <c r="B1773" s="25">
        <f>VLOOKUP(A1773,'Database Claims'!$A:$C,3,)</f>
        <v/>
      </c>
      <c r="C1773" s="29">
        <f>B1773-B1772</f>
        <v/>
      </c>
      <c r="D1773" s="25">
        <f>VLOOKUP(A1773,'Database Claims'!$A:$C,2,)</f>
        <v/>
      </c>
      <c r="E1773" s="29">
        <f>D1773-D1772</f>
        <v/>
      </c>
    </row>
    <row r="1774">
      <c r="A1774" s="28" t="n">
        <v>36862</v>
      </c>
      <c r="B1774" s="29">
        <f>VLOOKUP(A1774,'Database Claims'!$A:$C,3,)</f>
        <v/>
      </c>
      <c r="C1774" s="29">
        <f>B1774-B1773</f>
        <v/>
      </c>
      <c r="D1774" s="29">
        <f>VLOOKUP(A1774,'Database Claims'!$A:$C,2,)</f>
        <v/>
      </c>
      <c r="E1774" s="29">
        <f>D1774-D1773</f>
        <v/>
      </c>
    </row>
    <row r="1775">
      <c r="A1775" s="28" t="n">
        <v>36869</v>
      </c>
      <c r="B1775" s="25">
        <f>VLOOKUP(A1775,'Database Claims'!$A:$C,3,)</f>
        <v/>
      </c>
      <c r="C1775" s="29">
        <f>B1775-B1774</f>
        <v/>
      </c>
      <c r="D1775" s="25">
        <f>VLOOKUP(A1775,'Database Claims'!$A:$C,2,)</f>
        <v/>
      </c>
      <c r="E1775" s="29">
        <f>D1775-D1774</f>
        <v/>
      </c>
    </row>
    <row r="1776">
      <c r="A1776" s="28" t="n">
        <v>36876</v>
      </c>
      <c r="B1776" s="29">
        <f>VLOOKUP(A1776,'Database Claims'!$A:$C,3,)</f>
        <v/>
      </c>
      <c r="C1776" s="29">
        <f>B1776-B1775</f>
        <v/>
      </c>
      <c r="D1776" s="29">
        <f>VLOOKUP(A1776,'Database Claims'!$A:$C,2,)</f>
        <v/>
      </c>
      <c r="E1776" s="29">
        <f>D1776-D1775</f>
        <v/>
      </c>
    </row>
    <row r="1777">
      <c r="A1777" s="28" t="n">
        <v>36883</v>
      </c>
      <c r="B1777" s="25">
        <f>VLOOKUP(A1777,'Database Claims'!$A:$C,3,)</f>
        <v/>
      </c>
      <c r="C1777" s="29">
        <f>B1777-B1776</f>
        <v/>
      </c>
      <c r="D1777" s="25">
        <f>VLOOKUP(A1777,'Database Claims'!$A:$C,2,)</f>
        <v/>
      </c>
      <c r="E1777" s="29">
        <f>D1777-D1776</f>
        <v/>
      </c>
    </row>
    <row r="1778">
      <c r="A1778" s="28" t="n">
        <v>36890</v>
      </c>
      <c r="B1778" s="29">
        <f>VLOOKUP(A1778,'Database Claims'!$A:$C,3,)</f>
        <v/>
      </c>
      <c r="C1778" s="29">
        <f>B1778-B1777</f>
        <v/>
      </c>
      <c r="D1778" s="29">
        <f>VLOOKUP(A1778,'Database Claims'!$A:$C,2,)</f>
        <v/>
      </c>
      <c r="E1778" s="29">
        <f>D1778-D1777</f>
        <v/>
      </c>
    </row>
    <row r="1779">
      <c r="A1779" s="28" t="n">
        <v>36897</v>
      </c>
      <c r="B1779" s="25">
        <f>VLOOKUP(A1779,'Database Claims'!$A:$C,3,)</f>
        <v/>
      </c>
      <c r="C1779" s="29">
        <f>B1779-B1778</f>
        <v/>
      </c>
      <c r="D1779" s="25">
        <f>VLOOKUP(A1779,'Database Claims'!$A:$C,2,)</f>
        <v/>
      </c>
      <c r="E1779" s="29">
        <f>D1779-D1778</f>
        <v/>
      </c>
    </row>
    <row r="1780">
      <c r="A1780" s="28" t="n">
        <v>36904</v>
      </c>
      <c r="B1780" s="29">
        <f>VLOOKUP(A1780,'Database Claims'!$A:$C,3,)</f>
        <v/>
      </c>
      <c r="C1780" s="29">
        <f>B1780-B1779</f>
        <v/>
      </c>
      <c r="D1780" s="29">
        <f>VLOOKUP(A1780,'Database Claims'!$A:$C,2,)</f>
        <v/>
      </c>
      <c r="E1780" s="29">
        <f>D1780-D1779</f>
        <v/>
      </c>
    </row>
    <row r="1781">
      <c r="A1781" s="28" t="n">
        <v>36911</v>
      </c>
      <c r="B1781" s="25">
        <f>VLOOKUP(A1781,'Database Claims'!$A:$C,3,)</f>
        <v/>
      </c>
      <c r="C1781" s="29">
        <f>B1781-B1780</f>
        <v/>
      </c>
      <c r="D1781" s="25">
        <f>VLOOKUP(A1781,'Database Claims'!$A:$C,2,)</f>
        <v/>
      </c>
      <c r="E1781" s="29">
        <f>D1781-D1780</f>
        <v/>
      </c>
    </row>
    <row r="1782">
      <c r="A1782" s="28" t="n">
        <v>36918</v>
      </c>
      <c r="B1782" s="29">
        <f>VLOOKUP(A1782,'Database Claims'!$A:$C,3,)</f>
        <v/>
      </c>
      <c r="C1782" s="29">
        <f>B1782-B1781</f>
        <v/>
      </c>
      <c r="D1782" s="29">
        <f>VLOOKUP(A1782,'Database Claims'!$A:$C,2,)</f>
        <v/>
      </c>
      <c r="E1782" s="29">
        <f>D1782-D1781</f>
        <v/>
      </c>
    </row>
    <row r="1783">
      <c r="A1783" s="28" t="n">
        <v>36925</v>
      </c>
      <c r="B1783" s="25">
        <f>VLOOKUP(A1783,'Database Claims'!$A:$C,3,)</f>
        <v/>
      </c>
      <c r="C1783" s="29">
        <f>B1783-B1782</f>
        <v/>
      </c>
      <c r="D1783" s="25">
        <f>VLOOKUP(A1783,'Database Claims'!$A:$C,2,)</f>
        <v/>
      </c>
      <c r="E1783" s="29">
        <f>D1783-D1782</f>
        <v/>
      </c>
    </row>
    <row r="1784">
      <c r="A1784" s="28" t="n">
        <v>36932</v>
      </c>
      <c r="B1784" s="29">
        <f>VLOOKUP(A1784,'Database Claims'!$A:$C,3,)</f>
        <v/>
      </c>
      <c r="C1784" s="29">
        <f>B1784-B1783</f>
        <v/>
      </c>
      <c r="D1784" s="29">
        <f>VLOOKUP(A1784,'Database Claims'!$A:$C,2,)</f>
        <v/>
      </c>
      <c r="E1784" s="29">
        <f>D1784-D1783</f>
        <v/>
      </c>
    </row>
    <row r="1785">
      <c r="A1785" s="28" t="n">
        <v>36939</v>
      </c>
      <c r="B1785" s="25">
        <f>VLOOKUP(A1785,'Database Claims'!$A:$C,3,)</f>
        <v/>
      </c>
      <c r="C1785" s="29">
        <f>B1785-B1784</f>
        <v/>
      </c>
      <c r="D1785" s="25">
        <f>VLOOKUP(A1785,'Database Claims'!$A:$C,2,)</f>
        <v/>
      </c>
      <c r="E1785" s="29">
        <f>D1785-D1784</f>
        <v/>
      </c>
    </row>
    <row r="1786">
      <c r="A1786" s="28" t="n">
        <v>36946</v>
      </c>
      <c r="B1786" s="29">
        <f>VLOOKUP(A1786,'Database Claims'!$A:$C,3,)</f>
        <v/>
      </c>
      <c r="C1786" s="29">
        <f>B1786-B1785</f>
        <v/>
      </c>
      <c r="D1786" s="29">
        <f>VLOOKUP(A1786,'Database Claims'!$A:$C,2,)</f>
        <v/>
      </c>
      <c r="E1786" s="29">
        <f>D1786-D1785</f>
        <v/>
      </c>
    </row>
    <row r="1787">
      <c r="A1787" s="28" t="n">
        <v>36953</v>
      </c>
      <c r="B1787" s="25">
        <f>VLOOKUP(A1787,'Database Claims'!$A:$C,3,)</f>
        <v/>
      </c>
      <c r="C1787" s="29">
        <f>B1787-B1786</f>
        <v/>
      </c>
      <c r="D1787" s="25">
        <f>VLOOKUP(A1787,'Database Claims'!$A:$C,2,)</f>
        <v/>
      </c>
      <c r="E1787" s="29">
        <f>D1787-D1786</f>
        <v/>
      </c>
    </row>
    <row r="1788">
      <c r="A1788" s="28" t="n">
        <v>36960</v>
      </c>
      <c r="B1788" s="29">
        <f>VLOOKUP(A1788,'Database Claims'!$A:$C,3,)</f>
        <v/>
      </c>
      <c r="C1788" s="29">
        <f>B1788-B1787</f>
        <v/>
      </c>
      <c r="D1788" s="29">
        <f>VLOOKUP(A1788,'Database Claims'!$A:$C,2,)</f>
        <v/>
      </c>
      <c r="E1788" s="29">
        <f>D1788-D1787</f>
        <v/>
      </c>
    </row>
    <row r="1789">
      <c r="A1789" s="28" t="n">
        <v>36967</v>
      </c>
      <c r="B1789" s="25">
        <f>VLOOKUP(A1789,'Database Claims'!$A:$C,3,)</f>
        <v/>
      </c>
      <c r="C1789" s="29">
        <f>B1789-B1788</f>
        <v/>
      </c>
      <c r="D1789" s="25">
        <f>VLOOKUP(A1789,'Database Claims'!$A:$C,2,)</f>
        <v/>
      </c>
      <c r="E1789" s="29">
        <f>D1789-D1788</f>
        <v/>
      </c>
    </row>
    <row r="1790">
      <c r="A1790" s="28" t="n">
        <v>36974</v>
      </c>
      <c r="B1790" s="29">
        <f>VLOOKUP(A1790,'Database Claims'!$A:$C,3,)</f>
        <v/>
      </c>
      <c r="C1790" s="29">
        <f>B1790-B1789</f>
        <v/>
      </c>
      <c r="D1790" s="29">
        <f>VLOOKUP(A1790,'Database Claims'!$A:$C,2,)</f>
        <v/>
      </c>
      <c r="E1790" s="29">
        <f>D1790-D1789</f>
        <v/>
      </c>
    </row>
    <row r="1791">
      <c r="A1791" s="28" t="n">
        <v>36981</v>
      </c>
      <c r="B1791" s="25">
        <f>VLOOKUP(A1791,'Database Claims'!$A:$C,3,)</f>
        <v/>
      </c>
      <c r="C1791" s="29">
        <f>B1791-B1790</f>
        <v/>
      </c>
      <c r="D1791" s="25">
        <f>VLOOKUP(A1791,'Database Claims'!$A:$C,2,)</f>
        <v/>
      </c>
      <c r="E1791" s="29">
        <f>D1791-D1790</f>
        <v/>
      </c>
    </row>
    <row r="1792">
      <c r="A1792" s="28" t="n">
        <v>36988</v>
      </c>
      <c r="B1792" s="29">
        <f>VLOOKUP(A1792,'Database Claims'!$A:$C,3,)</f>
        <v/>
      </c>
      <c r="C1792" s="29">
        <f>B1792-B1791</f>
        <v/>
      </c>
      <c r="D1792" s="29">
        <f>VLOOKUP(A1792,'Database Claims'!$A:$C,2,)</f>
        <v/>
      </c>
      <c r="E1792" s="29">
        <f>D1792-D1791</f>
        <v/>
      </c>
    </row>
    <row r="1793">
      <c r="A1793" s="28" t="n">
        <v>36995</v>
      </c>
      <c r="B1793" s="25">
        <f>VLOOKUP(A1793,'Database Claims'!$A:$C,3,)</f>
        <v/>
      </c>
      <c r="C1793" s="29">
        <f>B1793-B1792</f>
        <v/>
      </c>
      <c r="D1793" s="25">
        <f>VLOOKUP(A1793,'Database Claims'!$A:$C,2,)</f>
        <v/>
      </c>
      <c r="E1793" s="29">
        <f>D1793-D1792</f>
        <v/>
      </c>
    </row>
    <row r="1794">
      <c r="A1794" s="28" t="n">
        <v>37002</v>
      </c>
      <c r="B1794" s="29">
        <f>VLOOKUP(A1794,'Database Claims'!$A:$C,3,)</f>
        <v/>
      </c>
      <c r="C1794" s="29">
        <f>B1794-B1793</f>
        <v/>
      </c>
      <c r="D1794" s="29">
        <f>VLOOKUP(A1794,'Database Claims'!$A:$C,2,)</f>
        <v/>
      </c>
      <c r="E1794" s="29">
        <f>D1794-D1793</f>
        <v/>
      </c>
    </row>
    <row r="1795">
      <c r="A1795" s="28" t="n">
        <v>37009</v>
      </c>
      <c r="B1795" s="25">
        <f>VLOOKUP(A1795,'Database Claims'!$A:$C,3,)</f>
        <v/>
      </c>
      <c r="C1795" s="29">
        <f>B1795-B1794</f>
        <v/>
      </c>
      <c r="D1795" s="25">
        <f>VLOOKUP(A1795,'Database Claims'!$A:$C,2,)</f>
        <v/>
      </c>
      <c r="E1795" s="29">
        <f>D1795-D1794</f>
        <v/>
      </c>
    </row>
    <row r="1796">
      <c r="A1796" s="28" t="n">
        <v>37016</v>
      </c>
      <c r="B1796" s="29">
        <f>VLOOKUP(A1796,'Database Claims'!$A:$C,3,)</f>
        <v/>
      </c>
      <c r="C1796" s="29">
        <f>B1796-B1795</f>
        <v/>
      </c>
      <c r="D1796" s="29">
        <f>VLOOKUP(A1796,'Database Claims'!$A:$C,2,)</f>
        <v/>
      </c>
      <c r="E1796" s="29">
        <f>D1796-D1795</f>
        <v/>
      </c>
    </row>
    <row r="1797">
      <c r="A1797" s="28" t="n">
        <v>37023</v>
      </c>
      <c r="B1797" s="25">
        <f>VLOOKUP(A1797,'Database Claims'!$A:$C,3,)</f>
        <v/>
      </c>
      <c r="C1797" s="29">
        <f>B1797-B1796</f>
        <v/>
      </c>
      <c r="D1797" s="25">
        <f>VLOOKUP(A1797,'Database Claims'!$A:$C,2,)</f>
        <v/>
      </c>
      <c r="E1797" s="29">
        <f>D1797-D1796</f>
        <v/>
      </c>
    </row>
    <row r="1798">
      <c r="A1798" s="28" t="n">
        <v>37030</v>
      </c>
      <c r="B1798" s="29">
        <f>VLOOKUP(A1798,'Database Claims'!$A:$C,3,)</f>
        <v/>
      </c>
      <c r="C1798" s="29">
        <f>B1798-B1797</f>
        <v/>
      </c>
      <c r="D1798" s="29">
        <f>VLOOKUP(A1798,'Database Claims'!$A:$C,2,)</f>
        <v/>
      </c>
      <c r="E1798" s="29">
        <f>D1798-D1797</f>
        <v/>
      </c>
    </row>
    <row r="1799">
      <c r="A1799" s="28" t="n">
        <v>37037</v>
      </c>
      <c r="B1799" s="25">
        <f>VLOOKUP(A1799,'Database Claims'!$A:$C,3,)</f>
        <v/>
      </c>
      <c r="C1799" s="29">
        <f>B1799-B1798</f>
        <v/>
      </c>
      <c r="D1799" s="25">
        <f>VLOOKUP(A1799,'Database Claims'!$A:$C,2,)</f>
        <v/>
      </c>
      <c r="E1799" s="29">
        <f>D1799-D1798</f>
        <v/>
      </c>
    </row>
    <row r="1800">
      <c r="A1800" s="28" t="n">
        <v>37044</v>
      </c>
      <c r="B1800" s="29">
        <f>VLOOKUP(A1800,'Database Claims'!$A:$C,3,)</f>
        <v/>
      </c>
      <c r="C1800" s="29">
        <f>B1800-B1799</f>
        <v/>
      </c>
      <c r="D1800" s="29">
        <f>VLOOKUP(A1800,'Database Claims'!$A:$C,2,)</f>
        <v/>
      </c>
      <c r="E1800" s="29">
        <f>D1800-D1799</f>
        <v/>
      </c>
    </row>
    <row r="1801">
      <c r="A1801" s="28" t="n">
        <v>37051</v>
      </c>
      <c r="B1801" s="25">
        <f>VLOOKUP(A1801,'Database Claims'!$A:$C,3,)</f>
        <v/>
      </c>
      <c r="C1801" s="29">
        <f>B1801-B1800</f>
        <v/>
      </c>
      <c r="D1801" s="25">
        <f>VLOOKUP(A1801,'Database Claims'!$A:$C,2,)</f>
        <v/>
      </c>
      <c r="E1801" s="29">
        <f>D1801-D1800</f>
        <v/>
      </c>
    </row>
    <row r="1802">
      <c r="A1802" s="28" t="n">
        <v>37058</v>
      </c>
      <c r="B1802" s="29">
        <f>VLOOKUP(A1802,'Database Claims'!$A:$C,3,)</f>
        <v/>
      </c>
      <c r="C1802" s="29">
        <f>B1802-B1801</f>
        <v/>
      </c>
      <c r="D1802" s="29">
        <f>VLOOKUP(A1802,'Database Claims'!$A:$C,2,)</f>
        <v/>
      </c>
      <c r="E1802" s="29">
        <f>D1802-D1801</f>
        <v/>
      </c>
    </row>
    <row r="1803">
      <c r="A1803" s="28" t="n">
        <v>37065</v>
      </c>
      <c r="B1803" s="25">
        <f>VLOOKUP(A1803,'Database Claims'!$A:$C,3,)</f>
        <v/>
      </c>
      <c r="C1803" s="29">
        <f>B1803-B1802</f>
        <v/>
      </c>
      <c r="D1803" s="25">
        <f>VLOOKUP(A1803,'Database Claims'!$A:$C,2,)</f>
        <v/>
      </c>
      <c r="E1803" s="29">
        <f>D1803-D1802</f>
        <v/>
      </c>
    </row>
    <row r="1804">
      <c r="A1804" s="28" t="n">
        <v>37072</v>
      </c>
      <c r="B1804" s="29">
        <f>VLOOKUP(A1804,'Database Claims'!$A:$C,3,)</f>
        <v/>
      </c>
      <c r="C1804" s="29">
        <f>B1804-B1803</f>
        <v/>
      </c>
      <c r="D1804" s="29">
        <f>VLOOKUP(A1804,'Database Claims'!$A:$C,2,)</f>
        <v/>
      </c>
      <c r="E1804" s="29">
        <f>D1804-D1803</f>
        <v/>
      </c>
    </row>
    <row r="1805">
      <c r="A1805" s="28" t="n">
        <v>37079</v>
      </c>
      <c r="B1805" s="25">
        <f>VLOOKUP(A1805,'Database Claims'!$A:$C,3,)</f>
        <v/>
      </c>
      <c r="C1805" s="29">
        <f>B1805-B1804</f>
        <v/>
      </c>
      <c r="D1805" s="25">
        <f>VLOOKUP(A1805,'Database Claims'!$A:$C,2,)</f>
        <v/>
      </c>
      <c r="E1805" s="29">
        <f>D1805-D1804</f>
        <v/>
      </c>
    </row>
    <row r="1806">
      <c r="A1806" s="28" t="n">
        <v>37086</v>
      </c>
      <c r="B1806" s="29">
        <f>VLOOKUP(A1806,'Database Claims'!$A:$C,3,)</f>
        <v/>
      </c>
      <c r="C1806" s="29">
        <f>B1806-B1805</f>
        <v/>
      </c>
      <c r="D1806" s="29">
        <f>VLOOKUP(A1806,'Database Claims'!$A:$C,2,)</f>
        <v/>
      </c>
      <c r="E1806" s="29">
        <f>D1806-D1805</f>
        <v/>
      </c>
    </row>
    <row r="1807">
      <c r="A1807" s="28" t="n">
        <v>37093</v>
      </c>
      <c r="B1807" s="25">
        <f>VLOOKUP(A1807,'Database Claims'!$A:$C,3,)</f>
        <v/>
      </c>
      <c r="C1807" s="29">
        <f>B1807-B1806</f>
        <v/>
      </c>
      <c r="D1807" s="25">
        <f>VLOOKUP(A1807,'Database Claims'!$A:$C,2,)</f>
        <v/>
      </c>
      <c r="E1807" s="29">
        <f>D1807-D1806</f>
        <v/>
      </c>
    </row>
    <row r="1808">
      <c r="A1808" s="28" t="n">
        <v>37100</v>
      </c>
      <c r="B1808" s="29">
        <f>VLOOKUP(A1808,'Database Claims'!$A:$C,3,)</f>
        <v/>
      </c>
      <c r="C1808" s="29">
        <f>B1808-B1807</f>
        <v/>
      </c>
      <c r="D1808" s="29">
        <f>VLOOKUP(A1808,'Database Claims'!$A:$C,2,)</f>
        <v/>
      </c>
      <c r="E1808" s="29">
        <f>D1808-D1807</f>
        <v/>
      </c>
    </row>
    <row r="1809">
      <c r="A1809" s="28" t="n">
        <v>37107</v>
      </c>
      <c r="B1809" s="25">
        <f>VLOOKUP(A1809,'Database Claims'!$A:$C,3,)</f>
        <v/>
      </c>
      <c r="C1809" s="29">
        <f>B1809-B1808</f>
        <v/>
      </c>
      <c r="D1809" s="25">
        <f>VLOOKUP(A1809,'Database Claims'!$A:$C,2,)</f>
        <v/>
      </c>
      <c r="E1809" s="29">
        <f>D1809-D1808</f>
        <v/>
      </c>
    </row>
    <row r="1810">
      <c r="A1810" s="28" t="n">
        <v>37114</v>
      </c>
      <c r="B1810" s="29">
        <f>VLOOKUP(A1810,'Database Claims'!$A:$C,3,)</f>
        <v/>
      </c>
      <c r="C1810" s="29">
        <f>B1810-B1809</f>
        <v/>
      </c>
      <c r="D1810" s="29">
        <f>VLOOKUP(A1810,'Database Claims'!$A:$C,2,)</f>
        <v/>
      </c>
      <c r="E1810" s="29">
        <f>D1810-D1809</f>
        <v/>
      </c>
    </row>
    <row r="1811">
      <c r="A1811" s="28" t="n">
        <v>37121</v>
      </c>
      <c r="B1811" s="25">
        <f>VLOOKUP(A1811,'Database Claims'!$A:$C,3,)</f>
        <v/>
      </c>
      <c r="C1811" s="29">
        <f>B1811-B1810</f>
        <v/>
      </c>
      <c r="D1811" s="25">
        <f>VLOOKUP(A1811,'Database Claims'!$A:$C,2,)</f>
        <v/>
      </c>
      <c r="E1811" s="29">
        <f>D1811-D1810</f>
        <v/>
      </c>
    </row>
    <row r="1812">
      <c r="A1812" s="28" t="n">
        <v>37128</v>
      </c>
      <c r="B1812" s="29">
        <f>VLOOKUP(A1812,'Database Claims'!$A:$C,3,)</f>
        <v/>
      </c>
      <c r="C1812" s="29">
        <f>B1812-B1811</f>
        <v/>
      </c>
      <c r="D1812" s="29">
        <f>VLOOKUP(A1812,'Database Claims'!$A:$C,2,)</f>
        <v/>
      </c>
      <c r="E1812" s="29">
        <f>D1812-D1811</f>
        <v/>
      </c>
    </row>
    <row r="1813">
      <c r="A1813" s="28" t="n">
        <v>37135</v>
      </c>
      <c r="B1813" s="25">
        <f>VLOOKUP(A1813,'Database Claims'!$A:$C,3,)</f>
        <v/>
      </c>
      <c r="C1813" s="29">
        <f>B1813-B1812</f>
        <v/>
      </c>
      <c r="D1813" s="25">
        <f>VLOOKUP(A1813,'Database Claims'!$A:$C,2,)</f>
        <v/>
      </c>
      <c r="E1813" s="29">
        <f>D1813-D1812</f>
        <v/>
      </c>
    </row>
    <row r="1814">
      <c r="A1814" s="28" t="n">
        <v>37142</v>
      </c>
      <c r="B1814" s="29">
        <f>VLOOKUP(A1814,'Database Claims'!$A:$C,3,)</f>
        <v/>
      </c>
      <c r="C1814" s="29">
        <f>B1814-B1813</f>
        <v/>
      </c>
      <c r="D1814" s="29">
        <f>VLOOKUP(A1814,'Database Claims'!$A:$C,2,)</f>
        <v/>
      </c>
      <c r="E1814" s="29">
        <f>D1814-D1813</f>
        <v/>
      </c>
    </row>
    <row r="1815">
      <c r="A1815" s="28" t="n">
        <v>37149</v>
      </c>
      <c r="B1815" s="25">
        <f>VLOOKUP(A1815,'Database Claims'!$A:$C,3,)</f>
        <v/>
      </c>
      <c r="C1815" s="29">
        <f>B1815-B1814</f>
        <v/>
      </c>
      <c r="D1815" s="25">
        <f>VLOOKUP(A1815,'Database Claims'!$A:$C,2,)</f>
        <v/>
      </c>
      <c r="E1815" s="29">
        <f>D1815-D1814</f>
        <v/>
      </c>
    </row>
    <row r="1816">
      <c r="A1816" s="28" t="n">
        <v>37156</v>
      </c>
      <c r="B1816" s="29">
        <f>VLOOKUP(A1816,'Database Claims'!$A:$C,3,)</f>
        <v/>
      </c>
      <c r="C1816" s="29">
        <f>B1816-B1815</f>
        <v/>
      </c>
      <c r="D1816" s="29">
        <f>VLOOKUP(A1816,'Database Claims'!$A:$C,2,)</f>
        <v/>
      </c>
      <c r="E1816" s="29">
        <f>D1816-D1815</f>
        <v/>
      </c>
    </row>
    <row r="1817">
      <c r="A1817" s="28" t="n">
        <v>37163</v>
      </c>
      <c r="B1817" s="25">
        <f>VLOOKUP(A1817,'Database Claims'!$A:$C,3,)</f>
        <v/>
      </c>
      <c r="C1817" s="29">
        <f>B1817-B1816</f>
        <v/>
      </c>
      <c r="D1817" s="25">
        <f>VLOOKUP(A1817,'Database Claims'!$A:$C,2,)</f>
        <v/>
      </c>
      <c r="E1817" s="29">
        <f>D1817-D1816</f>
        <v/>
      </c>
    </row>
    <row r="1818">
      <c r="A1818" s="28" t="n">
        <v>37170</v>
      </c>
      <c r="B1818" s="29">
        <f>VLOOKUP(A1818,'Database Claims'!$A:$C,3,)</f>
        <v/>
      </c>
      <c r="C1818" s="29">
        <f>B1818-B1817</f>
        <v/>
      </c>
      <c r="D1818" s="29">
        <f>VLOOKUP(A1818,'Database Claims'!$A:$C,2,)</f>
        <v/>
      </c>
      <c r="E1818" s="29">
        <f>D1818-D1817</f>
        <v/>
      </c>
    </row>
    <row r="1819">
      <c r="A1819" s="28" t="n">
        <v>37177</v>
      </c>
      <c r="B1819" s="25">
        <f>VLOOKUP(A1819,'Database Claims'!$A:$C,3,)</f>
        <v/>
      </c>
      <c r="C1819" s="29">
        <f>B1819-B1818</f>
        <v/>
      </c>
      <c r="D1819" s="25">
        <f>VLOOKUP(A1819,'Database Claims'!$A:$C,2,)</f>
        <v/>
      </c>
      <c r="E1819" s="29">
        <f>D1819-D1818</f>
        <v/>
      </c>
    </row>
    <row r="1820">
      <c r="A1820" s="28" t="n">
        <v>37184</v>
      </c>
      <c r="B1820" s="29">
        <f>VLOOKUP(A1820,'Database Claims'!$A:$C,3,)</f>
        <v/>
      </c>
      <c r="C1820" s="29">
        <f>B1820-B1819</f>
        <v/>
      </c>
      <c r="D1820" s="29">
        <f>VLOOKUP(A1820,'Database Claims'!$A:$C,2,)</f>
        <v/>
      </c>
      <c r="E1820" s="29">
        <f>D1820-D1819</f>
        <v/>
      </c>
    </row>
    <row r="1821">
      <c r="A1821" s="28" t="n">
        <v>37191</v>
      </c>
      <c r="B1821" s="25">
        <f>VLOOKUP(A1821,'Database Claims'!$A:$C,3,)</f>
        <v/>
      </c>
      <c r="C1821" s="29">
        <f>B1821-B1820</f>
        <v/>
      </c>
      <c r="D1821" s="25">
        <f>VLOOKUP(A1821,'Database Claims'!$A:$C,2,)</f>
        <v/>
      </c>
      <c r="E1821" s="29">
        <f>D1821-D1820</f>
        <v/>
      </c>
    </row>
    <row r="1822">
      <c r="A1822" s="28" t="n">
        <v>37198</v>
      </c>
      <c r="B1822" s="29">
        <f>VLOOKUP(A1822,'Database Claims'!$A:$C,3,)</f>
        <v/>
      </c>
      <c r="C1822" s="29">
        <f>B1822-B1821</f>
        <v/>
      </c>
      <c r="D1822" s="29">
        <f>VLOOKUP(A1822,'Database Claims'!$A:$C,2,)</f>
        <v/>
      </c>
      <c r="E1822" s="29">
        <f>D1822-D1821</f>
        <v/>
      </c>
    </row>
    <row r="1823">
      <c r="A1823" s="28" t="n">
        <v>37205</v>
      </c>
      <c r="B1823" s="25">
        <f>VLOOKUP(A1823,'Database Claims'!$A:$C,3,)</f>
        <v/>
      </c>
      <c r="C1823" s="29">
        <f>B1823-B1822</f>
        <v/>
      </c>
      <c r="D1823" s="25">
        <f>VLOOKUP(A1823,'Database Claims'!$A:$C,2,)</f>
        <v/>
      </c>
      <c r="E1823" s="29">
        <f>D1823-D1822</f>
        <v/>
      </c>
    </row>
    <row r="1824">
      <c r="A1824" s="28" t="n">
        <v>37212</v>
      </c>
      <c r="B1824" s="29">
        <f>VLOOKUP(A1824,'Database Claims'!$A:$C,3,)</f>
        <v/>
      </c>
      <c r="C1824" s="29">
        <f>B1824-B1823</f>
        <v/>
      </c>
      <c r="D1824" s="29">
        <f>VLOOKUP(A1824,'Database Claims'!$A:$C,2,)</f>
        <v/>
      </c>
      <c r="E1824" s="29">
        <f>D1824-D1823</f>
        <v/>
      </c>
    </row>
    <row r="1825">
      <c r="A1825" s="28" t="n">
        <v>37219</v>
      </c>
      <c r="B1825" s="25">
        <f>VLOOKUP(A1825,'Database Claims'!$A:$C,3,)</f>
        <v/>
      </c>
      <c r="C1825" s="29">
        <f>B1825-B1824</f>
        <v/>
      </c>
      <c r="D1825" s="25">
        <f>VLOOKUP(A1825,'Database Claims'!$A:$C,2,)</f>
        <v/>
      </c>
      <c r="E1825" s="29">
        <f>D1825-D1824</f>
        <v/>
      </c>
    </row>
    <row r="1826">
      <c r="A1826" s="28" t="n">
        <v>37226</v>
      </c>
      <c r="B1826" s="29">
        <f>VLOOKUP(A1826,'Database Claims'!$A:$C,3,)</f>
        <v/>
      </c>
      <c r="C1826" s="29">
        <f>B1826-B1825</f>
        <v/>
      </c>
      <c r="D1826" s="29">
        <f>VLOOKUP(A1826,'Database Claims'!$A:$C,2,)</f>
        <v/>
      </c>
      <c r="E1826" s="29">
        <f>D1826-D1825</f>
        <v/>
      </c>
    </row>
    <row r="1827">
      <c r="A1827" s="28" t="n">
        <v>37233</v>
      </c>
      <c r="B1827" s="25">
        <f>VLOOKUP(A1827,'Database Claims'!$A:$C,3,)</f>
        <v/>
      </c>
      <c r="C1827" s="29">
        <f>B1827-B1826</f>
        <v/>
      </c>
      <c r="D1827" s="25">
        <f>VLOOKUP(A1827,'Database Claims'!$A:$C,2,)</f>
        <v/>
      </c>
      <c r="E1827" s="29">
        <f>D1827-D1826</f>
        <v/>
      </c>
    </row>
    <row r="1828">
      <c r="A1828" s="28" t="n">
        <v>37240</v>
      </c>
      <c r="B1828" s="29">
        <f>VLOOKUP(A1828,'Database Claims'!$A:$C,3,)</f>
        <v/>
      </c>
      <c r="C1828" s="29">
        <f>B1828-B1827</f>
        <v/>
      </c>
      <c r="D1828" s="29">
        <f>VLOOKUP(A1828,'Database Claims'!$A:$C,2,)</f>
        <v/>
      </c>
      <c r="E1828" s="29">
        <f>D1828-D1827</f>
        <v/>
      </c>
    </row>
    <row r="1829">
      <c r="A1829" s="28" t="n">
        <v>37247</v>
      </c>
      <c r="B1829" s="25">
        <f>VLOOKUP(A1829,'Database Claims'!$A:$C,3,)</f>
        <v/>
      </c>
      <c r="C1829" s="29">
        <f>B1829-B1828</f>
        <v/>
      </c>
      <c r="D1829" s="25">
        <f>VLOOKUP(A1829,'Database Claims'!$A:$C,2,)</f>
        <v/>
      </c>
      <c r="E1829" s="29">
        <f>D1829-D1828</f>
        <v/>
      </c>
    </row>
    <row r="1830">
      <c r="A1830" s="28" t="n">
        <v>37254</v>
      </c>
      <c r="B1830" s="29">
        <f>VLOOKUP(A1830,'Database Claims'!$A:$C,3,)</f>
        <v/>
      </c>
      <c r="C1830" s="29">
        <f>B1830-B1829</f>
        <v/>
      </c>
      <c r="D1830" s="29">
        <f>VLOOKUP(A1830,'Database Claims'!$A:$C,2,)</f>
        <v/>
      </c>
      <c r="E1830" s="29">
        <f>D1830-D1829</f>
        <v/>
      </c>
    </row>
    <row r="1831">
      <c r="A1831" s="28" t="n">
        <v>37261</v>
      </c>
      <c r="B1831" s="25">
        <f>VLOOKUP(A1831,'Database Claims'!$A:$C,3,)</f>
        <v/>
      </c>
      <c r="C1831" s="29">
        <f>B1831-B1830</f>
        <v/>
      </c>
      <c r="D1831" s="25">
        <f>VLOOKUP(A1831,'Database Claims'!$A:$C,2,)</f>
        <v/>
      </c>
      <c r="E1831" s="29">
        <f>D1831-D1830</f>
        <v/>
      </c>
    </row>
    <row r="1832">
      <c r="A1832" s="28" t="n">
        <v>37268</v>
      </c>
      <c r="B1832" s="29">
        <f>VLOOKUP(A1832,'Database Claims'!$A:$C,3,)</f>
        <v/>
      </c>
      <c r="C1832" s="29">
        <f>B1832-B1831</f>
        <v/>
      </c>
      <c r="D1832" s="29">
        <f>VLOOKUP(A1832,'Database Claims'!$A:$C,2,)</f>
        <v/>
      </c>
      <c r="E1832" s="29">
        <f>D1832-D1831</f>
        <v/>
      </c>
    </row>
    <row r="1833">
      <c r="A1833" s="28" t="n">
        <v>37275</v>
      </c>
      <c r="B1833" s="25">
        <f>VLOOKUP(A1833,'Database Claims'!$A:$C,3,)</f>
        <v/>
      </c>
      <c r="C1833" s="29">
        <f>B1833-B1832</f>
        <v/>
      </c>
      <c r="D1833" s="25">
        <f>VLOOKUP(A1833,'Database Claims'!$A:$C,2,)</f>
        <v/>
      </c>
      <c r="E1833" s="29">
        <f>D1833-D1832</f>
        <v/>
      </c>
    </row>
    <row r="1834">
      <c r="A1834" s="28" t="n">
        <v>37282</v>
      </c>
      <c r="B1834" s="29">
        <f>VLOOKUP(A1834,'Database Claims'!$A:$C,3,)</f>
        <v/>
      </c>
      <c r="C1834" s="29">
        <f>B1834-B1833</f>
        <v/>
      </c>
      <c r="D1834" s="29">
        <f>VLOOKUP(A1834,'Database Claims'!$A:$C,2,)</f>
        <v/>
      </c>
      <c r="E1834" s="29">
        <f>D1834-D1833</f>
        <v/>
      </c>
    </row>
    <row r="1835">
      <c r="A1835" s="28" t="n">
        <v>37289</v>
      </c>
      <c r="B1835" s="25">
        <f>VLOOKUP(A1835,'Database Claims'!$A:$C,3,)</f>
        <v/>
      </c>
      <c r="C1835" s="29">
        <f>B1835-B1834</f>
        <v/>
      </c>
      <c r="D1835" s="25">
        <f>VLOOKUP(A1835,'Database Claims'!$A:$C,2,)</f>
        <v/>
      </c>
      <c r="E1835" s="29">
        <f>D1835-D1834</f>
        <v/>
      </c>
    </row>
    <row r="1836">
      <c r="A1836" s="28" t="n">
        <v>37296</v>
      </c>
      <c r="B1836" s="29">
        <f>VLOOKUP(A1836,'Database Claims'!$A:$C,3,)</f>
        <v/>
      </c>
      <c r="C1836" s="29">
        <f>B1836-B1835</f>
        <v/>
      </c>
      <c r="D1836" s="29">
        <f>VLOOKUP(A1836,'Database Claims'!$A:$C,2,)</f>
        <v/>
      </c>
      <c r="E1836" s="29">
        <f>D1836-D1835</f>
        <v/>
      </c>
    </row>
    <row r="1837">
      <c r="A1837" s="28" t="n">
        <v>37303</v>
      </c>
      <c r="B1837" s="25">
        <f>VLOOKUP(A1837,'Database Claims'!$A:$C,3,)</f>
        <v/>
      </c>
      <c r="C1837" s="29">
        <f>B1837-B1836</f>
        <v/>
      </c>
      <c r="D1837" s="25">
        <f>VLOOKUP(A1837,'Database Claims'!$A:$C,2,)</f>
        <v/>
      </c>
      <c r="E1837" s="29">
        <f>D1837-D1836</f>
        <v/>
      </c>
    </row>
    <row r="1838">
      <c r="A1838" s="28" t="n">
        <v>37310</v>
      </c>
      <c r="B1838" s="29">
        <f>VLOOKUP(A1838,'Database Claims'!$A:$C,3,)</f>
        <v/>
      </c>
      <c r="C1838" s="29">
        <f>B1838-B1837</f>
        <v/>
      </c>
      <c r="D1838" s="29">
        <f>VLOOKUP(A1838,'Database Claims'!$A:$C,2,)</f>
        <v/>
      </c>
      <c r="E1838" s="29">
        <f>D1838-D1837</f>
        <v/>
      </c>
    </row>
    <row r="1839">
      <c r="A1839" s="28" t="n">
        <v>37317</v>
      </c>
      <c r="B1839" s="25">
        <f>VLOOKUP(A1839,'Database Claims'!$A:$C,3,)</f>
        <v/>
      </c>
      <c r="C1839" s="29">
        <f>B1839-B1838</f>
        <v/>
      </c>
      <c r="D1839" s="25">
        <f>VLOOKUP(A1839,'Database Claims'!$A:$C,2,)</f>
        <v/>
      </c>
      <c r="E1839" s="29">
        <f>D1839-D1838</f>
        <v/>
      </c>
    </row>
    <row r="1840">
      <c r="A1840" s="28" t="n">
        <v>37324</v>
      </c>
      <c r="B1840" s="29">
        <f>VLOOKUP(A1840,'Database Claims'!$A:$C,3,)</f>
        <v/>
      </c>
      <c r="C1840" s="29">
        <f>B1840-B1839</f>
        <v/>
      </c>
      <c r="D1840" s="29">
        <f>VLOOKUP(A1840,'Database Claims'!$A:$C,2,)</f>
        <v/>
      </c>
      <c r="E1840" s="29">
        <f>D1840-D1839</f>
        <v/>
      </c>
    </row>
    <row r="1841">
      <c r="A1841" s="28" t="n">
        <v>37331</v>
      </c>
      <c r="B1841" s="25">
        <f>VLOOKUP(A1841,'Database Claims'!$A:$C,3,)</f>
        <v/>
      </c>
      <c r="C1841" s="29">
        <f>B1841-B1840</f>
        <v/>
      </c>
      <c r="D1841" s="25">
        <f>VLOOKUP(A1841,'Database Claims'!$A:$C,2,)</f>
        <v/>
      </c>
      <c r="E1841" s="29">
        <f>D1841-D1840</f>
        <v/>
      </c>
    </row>
    <row r="1842">
      <c r="A1842" s="28" t="n">
        <v>37338</v>
      </c>
      <c r="B1842" s="29">
        <f>VLOOKUP(A1842,'Database Claims'!$A:$C,3,)</f>
        <v/>
      </c>
      <c r="C1842" s="29">
        <f>B1842-B1841</f>
        <v/>
      </c>
      <c r="D1842" s="29">
        <f>VLOOKUP(A1842,'Database Claims'!$A:$C,2,)</f>
        <v/>
      </c>
      <c r="E1842" s="29">
        <f>D1842-D1841</f>
        <v/>
      </c>
    </row>
    <row r="1843">
      <c r="A1843" s="28" t="n">
        <v>37345</v>
      </c>
      <c r="B1843" s="25">
        <f>VLOOKUP(A1843,'Database Claims'!$A:$C,3,)</f>
        <v/>
      </c>
      <c r="C1843" s="29">
        <f>B1843-B1842</f>
        <v/>
      </c>
      <c r="D1843" s="25">
        <f>VLOOKUP(A1843,'Database Claims'!$A:$C,2,)</f>
        <v/>
      </c>
      <c r="E1843" s="29">
        <f>D1843-D1842</f>
        <v/>
      </c>
    </row>
    <row r="1844">
      <c r="A1844" s="28" t="n">
        <v>37352</v>
      </c>
      <c r="B1844" s="29">
        <f>VLOOKUP(A1844,'Database Claims'!$A:$C,3,)</f>
        <v/>
      </c>
      <c r="C1844" s="29">
        <f>B1844-B1843</f>
        <v/>
      </c>
      <c r="D1844" s="29">
        <f>VLOOKUP(A1844,'Database Claims'!$A:$C,2,)</f>
        <v/>
      </c>
      <c r="E1844" s="29">
        <f>D1844-D1843</f>
        <v/>
      </c>
    </row>
    <row r="1845">
      <c r="A1845" s="28" t="n">
        <v>37359</v>
      </c>
      <c r="B1845" s="25">
        <f>VLOOKUP(A1845,'Database Claims'!$A:$C,3,)</f>
        <v/>
      </c>
      <c r="C1845" s="29">
        <f>B1845-B1844</f>
        <v/>
      </c>
      <c r="D1845" s="25">
        <f>VLOOKUP(A1845,'Database Claims'!$A:$C,2,)</f>
        <v/>
      </c>
      <c r="E1845" s="29">
        <f>D1845-D1844</f>
        <v/>
      </c>
    </row>
    <row r="1846">
      <c r="A1846" s="28" t="n">
        <v>37366</v>
      </c>
      <c r="B1846" s="29">
        <f>VLOOKUP(A1846,'Database Claims'!$A:$C,3,)</f>
        <v/>
      </c>
      <c r="C1846" s="29">
        <f>B1846-B1845</f>
        <v/>
      </c>
      <c r="D1846" s="29">
        <f>VLOOKUP(A1846,'Database Claims'!$A:$C,2,)</f>
        <v/>
      </c>
      <c r="E1846" s="29">
        <f>D1846-D1845</f>
        <v/>
      </c>
    </row>
    <row r="1847">
      <c r="A1847" s="28" t="n">
        <v>37373</v>
      </c>
      <c r="B1847" s="25">
        <f>VLOOKUP(A1847,'Database Claims'!$A:$C,3,)</f>
        <v/>
      </c>
      <c r="C1847" s="29">
        <f>B1847-B1846</f>
        <v/>
      </c>
      <c r="D1847" s="25">
        <f>VLOOKUP(A1847,'Database Claims'!$A:$C,2,)</f>
        <v/>
      </c>
      <c r="E1847" s="29">
        <f>D1847-D1846</f>
        <v/>
      </c>
    </row>
    <row r="1848">
      <c r="A1848" s="28" t="n">
        <v>37380</v>
      </c>
      <c r="B1848" s="29">
        <f>VLOOKUP(A1848,'Database Claims'!$A:$C,3,)</f>
        <v/>
      </c>
      <c r="C1848" s="29">
        <f>B1848-B1847</f>
        <v/>
      </c>
      <c r="D1848" s="29">
        <f>VLOOKUP(A1848,'Database Claims'!$A:$C,2,)</f>
        <v/>
      </c>
      <c r="E1848" s="29">
        <f>D1848-D1847</f>
        <v/>
      </c>
    </row>
    <row r="1849">
      <c r="A1849" s="28" t="n">
        <v>37387</v>
      </c>
      <c r="B1849" s="25">
        <f>VLOOKUP(A1849,'Database Claims'!$A:$C,3,)</f>
        <v/>
      </c>
      <c r="C1849" s="29">
        <f>B1849-B1848</f>
        <v/>
      </c>
      <c r="D1849" s="25">
        <f>VLOOKUP(A1849,'Database Claims'!$A:$C,2,)</f>
        <v/>
      </c>
      <c r="E1849" s="29">
        <f>D1849-D1848</f>
        <v/>
      </c>
    </row>
    <row r="1850">
      <c r="A1850" s="28" t="n">
        <v>37394</v>
      </c>
      <c r="B1850" s="29">
        <f>VLOOKUP(A1850,'Database Claims'!$A:$C,3,)</f>
        <v/>
      </c>
      <c r="C1850" s="29">
        <f>B1850-B1849</f>
        <v/>
      </c>
      <c r="D1850" s="29">
        <f>VLOOKUP(A1850,'Database Claims'!$A:$C,2,)</f>
        <v/>
      </c>
      <c r="E1850" s="29">
        <f>D1850-D1849</f>
        <v/>
      </c>
    </row>
    <row r="1851">
      <c r="A1851" s="28" t="n">
        <v>37401</v>
      </c>
      <c r="B1851" s="25">
        <f>VLOOKUP(A1851,'Database Claims'!$A:$C,3,)</f>
        <v/>
      </c>
      <c r="C1851" s="29">
        <f>B1851-B1850</f>
        <v/>
      </c>
      <c r="D1851" s="25">
        <f>VLOOKUP(A1851,'Database Claims'!$A:$C,2,)</f>
        <v/>
      </c>
      <c r="E1851" s="29">
        <f>D1851-D1850</f>
        <v/>
      </c>
    </row>
    <row r="1852">
      <c r="A1852" s="28" t="n">
        <v>37408</v>
      </c>
      <c r="B1852" s="29">
        <f>VLOOKUP(A1852,'Database Claims'!$A:$C,3,)</f>
        <v/>
      </c>
      <c r="C1852" s="29">
        <f>B1852-B1851</f>
        <v/>
      </c>
      <c r="D1852" s="29">
        <f>VLOOKUP(A1852,'Database Claims'!$A:$C,2,)</f>
        <v/>
      </c>
      <c r="E1852" s="29">
        <f>D1852-D1851</f>
        <v/>
      </c>
    </row>
    <row r="1853">
      <c r="A1853" s="28" t="n">
        <v>37415</v>
      </c>
      <c r="B1853" s="25">
        <f>VLOOKUP(A1853,'Database Claims'!$A:$C,3,)</f>
        <v/>
      </c>
      <c r="C1853" s="29">
        <f>B1853-B1852</f>
        <v/>
      </c>
      <c r="D1853" s="25">
        <f>VLOOKUP(A1853,'Database Claims'!$A:$C,2,)</f>
        <v/>
      </c>
      <c r="E1853" s="29">
        <f>D1853-D1852</f>
        <v/>
      </c>
    </row>
    <row r="1854">
      <c r="A1854" s="28" t="n">
        <v>37422</v>
      </c>
      <c r="B1854" s="29">
        <f>VLOOKUP(A1854,'Database Claims'!$A:$C,3,)</f>
        <v/>
      </c>
      <c r="C1854" s="29">
        <f>B1854-B1853</f>
        <v/>
      </c>
      <c r="D1854" s="29">
        <f>VLOOKUP(A1854,'Database Claims'!$A:$C,2,)</f>
        <v/>
      </c>
      <c r="E1854" s="29">
        <f>D1854-D1853</f>
        <v/>
      </c>
    </row>
    <row r="1855">
      <c r="A1855" s="28" t="n">
        <v>37429</v>
      </c>
      <c r="B1855" s="25">
        <f>VLOOKUP(A1855,'Database Claims'!$A:$C,3,)</f>
        <v/>
      </c>
      <c r="C1855" s="29">
        <f>B1855-B1854</f>
        <v/>
      </c>
      <c r="D1855" s="25">
        <f>VLOOKUP(A1855,'Database Claims'!$A:$C,2,)</f>
        <v/>
      </c>
      <c r="E1855" s="29">
        <f>D1855-D1854</f>
        <v/>
      </c>
    </row>
    <row r="1856">
      <c r="A1856" s="28" t="n">
        <v>37436</v>
      </c>
      <c r="B1856" s="29">
        <f>VLOOKUP(A1856,'Database Claims'!$A:$C,3,)</f>
        <v/>
      </c>
      <c r="C1856" s="29">
        <f>B1856-B1855</f>
        <v/>
      </c>
      <c r="D1856" s="29">
        <f>VLOOKUP(A1856,'Database Claims'!$A:$C,2,)</f>
        <v/>
      </c>
      <c r="E1856" s="29">
        <f>D1856-D1855</f>
        <v/>
      </c>
    </row>
    <row r="1857">
      <c r="A1857" s="28" t="n">
        <v>37443</v>
      </c>
      <c r="B1857" s="25">
        <f>VLOOKUP(A1857,'Database Claims'!$A:$C,3,)</f>
        <v/>
      </c>
      <c r="C1857" s="29">
        <f>B1857-B1856</f>
        <v/>
      </c>
      <c r="D1857" s="25">
        <f>VLOOKUP(A1857,'Database Claims'!$A:$C,2,)</f>
        <v/>
      </c>
      <c r="E1857" s="29">
        <f>D1857-D1856</f>
        <v/>
      </c>
    </row>
    <row r="1858">
      <c r="A1858" s="28" t="n">
        <v>37450</v>
      </c>
      <c r="B1858" s="29">
        <f>VLOOKUP(A1858,'Database Claims'!$A:$C,3,)</f>
        <v/>
      </c>
      <c r="C1858" s="29">
        <f>B1858-B1857</f>
        <v/>
      </c>
      <c r="D1858" s="29">
        <f>VLOOKUP(A1858,'Database Claims'!$A:$C,2,)</f>
        <v/>
      </c>
      <c r="E1858" s="29">
        <f>D1858-D1857</f>
        <v/>
      </c>
    </row>
    <row r="1859">
      <c r="A1859" s="28" t="n">
        <v>37457</v>
      </c>
      <c r="B1859" s="25">
        <f>VLOOKUP(A1859,'Database Claims'!$A:$C,3,)</f>
        <v/>
      </c>
      <c r="C1859" s="29">
        <f>B1859-B1858</f>
        <v/>
      </c>
      <c r="D1859" s="25">
        <f>VLOOKUP(A1859,'Database Claims'!$A:$C,2,)</f>
        <v/>
      </c>
      <c r="E1859" s="29">
        <f>D1859-D1858</f>
        <v/>
      </c>
    </row>
    <row r="1860">
      <c r="A1860" s="28" t="n">
        <v>37464</v>
      </c>
      <c r="B1860" s="29">
        <f>VLOOKUP(A1860,'Database Claims'!$A:$C,3,)</f>
        <v/>
      </c>
      <c r="C1860" s="29">
        <f>B1860-B1859</f>
        <v/>
      </c>
      <c r="D1860" s="29">
        <f>VLOOKUP(A1860,'Database Claims'!$A:$C,2,)</f>
        <v/>
      </c>
      <c r="E1860" s="29">
        <f>D1860-D1859</f>
        <v/>
      </c>
    </row>
    <row r="1861">
      <c r="A1861" s="28" t="n">
        <v>37471</v>
      </c>
      <c r="B1861" s="25">
        <f>VLOOKUP(A1861,'Database Claims'!$A:$C,3,)</f>
        <v/>
      </c>
      <c r="C1861" s="29">
        <f>B1861-B1860</f>
        <v/>
      </c>
      <c r="D1861" s="25">
        <f>VLOOKUP(A1861,'Database Claims'!$A:$C,2,)</f>
        <v/>
      </c>
      <c r="E1861" s="29">
        <f>D1861-D1860</f>
        <v/>
      </c>
    </row>
    <row r="1862">
      <c r="A1862" s="28" t="n">
        <v>37478</v>
      </c>
      <c r="B1862" s="29">
        <f>VLOOKUP(A1862,'Database Claims'!$A:$C,3,)</f>
        <v/>
      </c>
      <c r="C1862" s="29">
        <f>B1862-B1861</f>
        <v/>
      </c>
      <c r="D1862" s="29">
        <f>VLOOKUP(A1862,'Database Claims'!$A:$C,2,)</f>
        <v/>
      </c>
      <c r="E1862" s="29">
        <f>D1862-D1861</f>
        <v/>
      </c>
    </row>
    <row r="1863">
      <c r="A1863" s="28" t="n">
        <v>37485</v>
      </c>
      <c r="B1863" s="25">
        <f>VLOOKUP(A1863,'Database Claims'!$A:$C,3,)</f>
        <v/>
      </c>
      <c r="C1863" s="29">
        <f>B1863-B1862</f>
        <v/>
      </c>
      <c r="D1863" s="25">
        <f>VLOOKUP(A1863,'Database Claims'!$A:$C,2,)</f>
        <v/>
      </c>
      <c r="E1863" s="29">
        <f>D1863-D1862</f>
        <v/>
      </c>
    </row>
    <row r="1864">
      <c r="A1864" s="28" t="n">
        <v>37492</v>
      </c>
      <c r="B1864" s="29">
        <f>VLOOKUP(A1864,'Database Claims'!$A:$C,3,)</f>
        <v/>
      </c>
      <c r="C1864" s="29">
        <f>B1864-B1863</f>
        <v/>
      </c>
      <c r="D1864" s="29">
        <f>VLOOKUP(A1864,'Database Claims'!$A:$C,2,)</f>
        <v/>
      </c>
      <c r="E1864" s="29">
        <f>D1864-D1863</f>
        <v/>
      </c>
    </row>
    <row r="1865">
      <c r="A1865" s="28" t="n">
        <v>37499</v>
      </c>
      <c r="B1865" s="25">
        <f>VLOOKUP(A1865,'Database Claims'!$A:$C,3,)</f>
        <v/>
      </c>
      <c r="C1865" s="29">
        <f>B1865-B1864</f>
        <v/>
      </c>
      <c r="D1865" s="25">
        <f>VLOOKUP(A1865,'Database Claims'!$A:$C,2,)</f>
        <v/>
      </c>
      <c r="E1865" s="29">
        <f>D1865-D1864</f>
        <v/>
      </c>
    </row>
    <row r="1866">
      <c r="A1866" s="28" t="n">
        <v>37506</v>
      </c>
      <c r="B1866" s="29">
        <f>VLOOKUP(A1866,'Database Claims'!$A:$C,3,)</f>
        <v/>
      </c>
      <c r="C1866" s="29">
        <f>B1866-B1865</f>
        <v/>
      </c>
      <c r="D1866" s="29">
        <f>VLOOKUP(A1866,'Database Claims'!$A:$C,2,)</f>
        <v/>
      </c>
      <c r="E1866" s="29">
        <f>D1866-D1865</f>
        <v/>
      </c>
    </row>
    <row r="1867">
      <c r="A1867" s="28" t="n">
        <v>37513</v>
      </c>
      <c r="B1867" s="25">
        <f>VLOOKUP(A1867,'Database Claims'!$A:$C,3,)</f>
        <v/>
      </c>
      <c r="C1867" s="29">
        <f>B1867-B1866</f>
        <v/>
      </c>
      <c r="D1867" s="25">
        <f>VLOOKUP(A1867,'Database Claims'!$A:$C,2,)</f>
        <v/>
      </c>
      <c r="E1867" s="29">
        <f>D1867-D1866</f>
        <v/>
      </c>
    </row>
    <row r="1868">
      <c r="A1868" s="28" t="n">
        <v>37520</v>
      </c>
      <c r="B1868" s="29">
        <f>VLOOKUP(A1868,'Database Claims'!$A:$C,3,)</f>
        <v/>
      </c>
      <c r="C1868" s="29">
        <f>B1868-B1867</f>
        <v/>
      </c>
      <c r="D1868" s="29">
        <f>VLOOKUP(A1868,'Database Claims'!$A:$C,2,)</f>
        <v/>
      </c>
      <c r="E1868" s="29">
        <f>D1868-D1867</f>
        <v/>
      </c>
    </row>
    <row r="1869">
      <c r="A1869" s="28" t="n">
        <v>37527</v>
      </c>
      <c r="B1869" s="25">
        <f>VLOOKUP(A1869,'Database Claims'!$A:$C,3,)</f>
        <v/>
      </c>
      <c r="C1869" s="29">
        <f>B1869-B1868</f>
        <v/>
      </c>
      <c r="D1869" s="25">
        <f>VLOOKUP(A1869,'Database Claims'!$A:$C,2,)</f>
        <v/>
      </c>
      <c r="E1869" s="29">
        <f>D1869-D1868</f>
        <v/>
      </c>
    </row>
    <row r="1870">
      <c r="A1870" s="28" t="n">
        <v>37534</v>
      </c>
      <c r="B1870" s="29">
        <f>VLOOKUP(A1870,'Database Claims'!$A:$C,3,)</f>
        <v/>
      </c>
      <c r="C1870" s="29">
        <f>B1870-B1869</f>
        <v/>
      </c>
      <c r="D1870" s="29">
        <f>VLOOKUP(A1870,'Database Claims'!$A:$C,2,)</f>
        <v/>
      </c>
      <c r="E1870" s="29">
        <f>D1870-D1869</f>
        <v/>
      </c>
    </row>
    <row r="1871">
      <c r="A1871" s="28" t="n">
        <v>37541</v>
      </c>
      <c r="B1871" s="25">
        <f>VLOOKUP(A1871,'Database Claims'!$A:$C,3,)</f>
        <v/>
      </c>
      <c r="C1871" s="29">
        <f>B1871-B1870</f>
        <v/>
      </c>
      <c r="D1871" s="25">
        <f>VLOOKUP(A1871,'Database Claims'!$A:$C,2,)</f>
        <v/>
      </c>
      <c r="E1871" s="29">
        <f>D1871-D1870</f>
        <v/>
      </c>
    </row>
    <row r="1872">
      <c r="A1872" s="28" t="n">
        <v>37548</v>
      </c>
      <c r="B1872" s="29">
        <f>VLOOKUP(A1872,'Database Claims'!$A:$C,3,)</f>
        <v/>
      </c>
      <c r="C1872" s="29">
        <f>B1872-B1871</f>
        <v/>
      </c>
      <c r="D1872" s="29">
        <f>VLOOKUP(A1872,'Database Claims'!$A:$C,2,)</f>
        <v/>
      </c>
      <c r="E1872" s="29">
        <f>D1872-D1871</f>
        <v/>
      </c>
    </row>
    <row r="1873">
      <c r="A1873" s="28" t="n">
        <v>37555</v>
      </c>
      <c r="B1873" s="25">
        <f>VLOOKUP(A1873,'Database Claims'!$A:$C,3,)</f>
        <v/>
      </c>
      <c r="C1873" s="29">
        <f>B1873-B1872</f>
        <v/>
      </c>
      <c r="D1873" s="25">
        <f>VLOOKUP(A1873,'Database Claims'!$A:$C,2,)</f>
        <v/>
      </c>
      <c r="E1873" s="29">
        <f>D1873-D1872</f>
        <v/>
      </c>
    </row>
    <row r="1874">
      <c r="A1874" s="28" t="n">
        <v>37562</v>
      </c>
      <c r="B1874" s="29">
        <f>VLOOKUP(A1874,'Database Claims'!$A:$C,3,)</f>
        <v/>
      </c>
      <c r="C1874" s="29">
        <f>B1874-B1873</f>
        <v/>
      </c>
      <c r="D1874" s="29">
        <f>VLOOKUP(A1874,'Database Claims'!$A:$C,2,)</f>
        <v/>
      </c>
      <c r="E1874" s="29">
        <f>D1874-D1873</f>
        <v/>
      </c>
    </row>
    <row r="1875">
      <c r="A1875" s="28" t="n">
        <v>37569</v>
      </c>
      <c r="B1875" s="25">
        <f>VLOOKUP(A1875,'Database Claims'!$A:$C,3,)</f>
        <v/>
      </c>
      <c r="C1875" s="29">
        <f>B1875-B1874</f>
        <v/>
      </c>
      <c r="D1875" s="25">
        <f>VLOOKUP(A1875,'Database Claims'!$A:$C,2,)</f>
        <v/>
      </c>
      <c r="E1875" s="29">
        <f>D1875-D1874</f>
        <v/>
      </c>
    </row>
    <row r="1876">
      <c r="A1876" s="28" t="n">
        <v>37576</v>
      </c>
      <c r="B1876" s="29">
        <f>VLOOKUP(A1876,'Database Claims'!$A:$C,3,)</f>
        <v/>
      </c>
      <c r="C1876" s="29">
        <f>B1876-B1875</f>
        <v/>
      </c>
      <c r="D1876" s="29">
        <f>VLOOKUP(A1876,'Database Claims'!$A:$C,2,)</f>
        <v/>
      </c>
      <c r="E1876" s="29">
        <f>D1876-D1875</f>
        <v/>
      </c>
    </row>
    <row r="1877">
      <c r="A1877" s="28" t="n">
        <v>37583</v>
      </c>
      <c r="B1877" s="25">
        <f>VLOOKUP(A1877,'Database Claims'!$A:$C,3,)</f>
        <v/>
      </c>
      <c r="C1877" s="29">
        <f>B1877-B1876</f>
        <v/>
      </c>
      <c r="D1877" s="25">
        <f>VLOOKUP(A1877,'Database Claims'!$A:$C,2,)</f>
        <v/>
      </c>
      <c r="E1877" s="29">
        <f>D1877-D1876</f>
        <v/>
      </c>
    </row>
    <row r="1878">
      <c r="A1878" s="28" t="n">
        <v>37590</v>
      </c>
      <c r="B1878" s="29">
        <f>VLOOKUP(A1878,'Database Claims'!$A:$C,3,)</f>
        <v/>
      </c>
      <c r="C1878" s="29">
        <f>B1878-B1877</f>
        <v/>
      </c>
      <c r="D1878" s="29">
        <f>VLOOKUP(A1878,'Database Claims'!$A:$C,2,)</f>
        <v/>
      </c>
      <c r="E1878" s="29">
        <f>D1878-D1877</f>
        <v/>
      </c>
    </row>
    <row r="1879">
      <c r="A1879" s="28" t="n">
        <v>37597</v>
      </c>
      <c r="B1879" s="25">
        <f>VLOOKUP(A1879,'Database Claims'!$A:$C,3,)</f>
        <v/>
      </c>
      <c r="C1879" s="29">
        <f>B1879-B1878</f>
        <v/>
      </c>
      <c r="D1879" s="25">
        <f>VLOOKUP(A1879,'Database Claims'!$A:$C,2,)</f>
        <v/>
      </c>
      <c r="E1879" s="29">
        <f>D1879-D1878</f>
        <v/>
      </c>
    </row>
    <row r="1880">
      <c r="A1880" s="28" t="n">
        <v>37604</v>
      </c>
      <c r="B1880" s="29">
        <f>VLOOKUP(A1880,'Database Claims'!$A:$C,3,)</f>
        <v/>
      </c>
      <c r="C1880" s="29">
        <f>B1880-B1879</f>
        <v/>
      </c>
      <c r="D1880" s="29">
        <f>VLOOKUP(A1880,'Database Claims'!$A:$C,2,)</f>
        <v/>
      </c>
      <c r="E1880" s="29">
        <f>D1880-D1879</f>
        <v/>
      </c>
    </row>
    <row r="1881">
      <c r="A1881" s="28" t="n">
        <v>37611</v>
      </c>
      <c r="B1881" s="25">
        <f>VLOOKUP(A1881,'Database Claims'!$A:$C,3,)</f>
        <v/>
      </c>
      <c r="C1881" s="29">
        <f>B1881-B1880</f>
        <v/>
      </c>
      <c r="D1881" s="25">
        <f>VLOOKUP(A1881,'Database Claims'!$A:$C,2,)</f>
        <v/>
      </c>
      <c r="E1881" s="29">
        <f>D1881-D1880</f>
        <v/>
      </c>
    </row>
    <row r="1882">
      <c r="A1882" s="28" t="n">
        <v>37618</v>
      </c>
      <c r="B1882" s="29">
        <f>VLOOKUP(A1882,'Database Claims'!$A:$C,3,)</f>
        <v/>
      </c>
      <c r="C1882" s="29">
        <f>B1882-B1881</f>
        <v/>
      </c>
      <c r="D1882" s="29">
        <f>VLOOKUP(A1882,'Database Claims'!$A:$C,2,)</f>
        <v/>
      </c>
      <c r="E1882" s="29">
        <f>D1882-D1881</f>
        <v/>
      </c>
    </row>
    <row r="1883">
      <c r="A1883" s="28" t="n">
        <v>37625</v>
      </c>
      <c r="B1883" s="25">
        <f>VLOOKUP(A1883,'Database Claims'!$A:$C,3,)</f>
        <v/>
      </c>
      <c r="C1883" s="29">
        <f>B1883-B1882</f>
        <v/>
      </c>
      <c r="D1883" s="25">
        <f>VLOOKUP(A1883,'Database Claims'!$A:$C,2,)</f>
        <v/>
      </c>
      <c r="E1883" s="29">
        <f>D1883-D1882</f>
        <v/>
      </c>
    </row>
    <row r="1884">
      <c r="A1884" s="28" t="n">
        <v>37632</v>
      </c>
      <c r="B1884" s="29">
        <f>VLOOKUP(A1884,'Database Claims'!$A:$C,3,)</f>
        <v/>
      </c>
      <c r="C1884" s="29">
        <f>B1884-B1883</f>
        <v/>
      </c>
      <c r="D1884" s="29">
        <f>VLOOKUP(A1884,'Database Claims'!$A:$C,2,)</f>
        <v/>
      </c>
      <c r="E1884" s="29">
        <f>D1884-D1883</f>
        <v/>
      </c>
    </row>
    <row r="1885">
      <c r="A1885" s="28" t="n">
        <v>37639</v>
      </c>
      <c r="B1885" s="25">
        <f>VLOOKUP(A1885,'Database Claims'!$A:$C,3,)</f>
        <v/>
      </c>
      <c r="C1885" s="29">
        <f>B1885-B1884</f>
        <v/>
      </c>
      <c r="D1885" s="25">
        <f>VLOOKUP(A1885,'Database Claims'!$A:$C,2,)</f>
        <v/>
      </c>
      <c r="E1885" s="29">
        <f>D1885-D1884</f>
        <v/>
      </c>
    </row>
    <row r="1886">
      <c r="A1886" s="28" t="n">
        <v>37646</v>
      </c>
      <c r="B1886" s="29">
        <f>VLOOKUP(A1886,'Database Claims'!$A:$C,3,)</f>
        <v/>
      </c>
      <c r="C1886" s="29">
        <f>B1886-B1885</f>
        <v/>
      </c>
      <c r="D1886" s="29">
        <f>VLOOKUP(A1886,'Database Claims'!$A:$C,2,)</f>
        <v/>
      </c>
      <c r="E1886" s="29">
        <f>D1886-D1885</f>
        <v/>
      </c>
    </row>
    <row r="1887">
      <c r="A1887" s="28" t="n">
        <v>37653</v>
      </c>
      <c r="B1887" s="25">
        <f>VLOOKUP(A1887,'Database Claims'!$A:$C,3,)</f>
        <v/>
      </c>
      <c r="C1887" s="29">
        <f>B1887-B1886</f>
        <v/>
      </c>
      <c r="D1887" s="25">
        <f>VLOOKUP(A1887,'Database Claims'!$A:$C,2,)</f>
        <v/>
      </c>
      <c r="E1887" s="29">
        <f>D1887-D1886</f>
        <v/>
      </c>
    </row>
    <row r="1888">
      <c r="A1888" s="28" t="n">
        <v>37660</v>
      </c>
      <c r="B1888" s="29">
        <f>VLOOKUP(A1888,'Database Claims'!$A:$C,3,)</f>
        <v/>
      </c>
      <c r="C1888" s="29">
        <f>B1888-B1887</f>
        <v/>
      </c>
      <c r="D1888" s="29">
        <f>VLOOKUP(A1888,'Database Claims'!$A:$C,2,)</f>
        <v/>
      </c>
      <c r="E1888" s="29">
        <f>D1888-D1887</f>
        <v/>
      </c>
    </row>
    <row r="1889">
      <c r="A1889" s="28" t="n">
        <v>37667</v>
      </c>
      <c r="B1889" s="25">
        <f>VLOOKUP(A1889,'Database Claims'!$A:$C,3,)</f>
        <v/>
      </c>
      <c r="C1889" s="29">
        <f>B1889-B1888</f>
        <v/>
      </c>
      <c r="D1889" s="25">
        <f>VLOOKUP(A1889,'Database Claims'!$A:$C,2,)</f>
        <v/>
      </c>
      <c r="E1889" s="29">
        <f>D1889-D1888</f>
        <v/>
      </c>
    </row>
    <row r="1890">
      <c r="A1890" s="28" t="n">
        <v>37674</v>
      </c>
      <c r="B1890" s="29">
        <f>VLOOKUP(A1890,'Database Claims'!$A:$C,3,)</f>
        <v/>
      </c>
      <c r="C1890" s="29">
        <f>B1890-B1889</f>
        <v/>
      </c>
      <c r="D1890" s="29">
        <f>VLOOKUP(A1890,'Database Claims'!$A:$C,2,)</f>
        <v/>
      </c>
      <c r="E1890" s="29">
        <f>D1890-D1889</f>
        <v/>
      </c>
    </row>
    <row r="1891">
      <c r="A1891" s="28" t="n">
        <v>37681</v>
      </c>
      <c r="B1891" s="25">
        <f>VLOOKUP(A1891,'Database Claims'!$A:$C,3,)</f>
        <v/>
      </c>
      <c r="C1891" s="29">
        <f>B1891-B1890</f>
        <v/>
      </c>
      <c r="D1891" s="25">
        <f>VLOOKUP(A1891,'Database Claims'!$A:$C,2,)</f>
        <v/>
      </c>
      <c r="E1891" s="29">
        <f>D1891-D1890</f>
        <v/>
      </c>
    </row>
    <row r="1892">
      <c r="A1892" s="28" t="n">
        <v>37688</v>
      </c>
      <c r="B1892" s="29">
        <f>VLOOKUP(A1892,'Database Claims'!$A:$C,3,)</f>
        <v/>
      </c>
      <c r="C1892" s="29">
        <f>B1892-B1891</f>
        <v/>
      </c>
      <c r="D1892" s="29">
        <f>VLOOKUP(A1892,'Database Claims'!$A:$C,2,)</f>
        <v/>
      </c>
      <c r="E1892" s="29">
        <f>D1892-D1891</f>
        <v/>
      </c>
    </row>
    <row r="1893">
      <c r="A1893" s="28" t="n">
        <v>37695</v>
      </c>
      <c r="B1893" s="25">
        <f>VLOOKUP(A1893,'Database Claims'!$A:$C,3,)</f>
        <v/>
      </c>
      <c r="C1893" s="29">
        <f>B1893-B1892</f>
        <v/>
      </c>
      <c r="D1893" s="25">
        <f>VLOOKUP(A1893,'Database Claims'!$A:$C,2,)</f>
        <v/>
      </c>
      <c r="E1893" s="29">
        <f>D1893-D1892</f>
        <v/>
      </c>
    </row>
    <row r="1894">
      <c r="A1894" s="28" t="n">
        <v>37702</v>
      </c>
      <c r="B1894" s="29">
        <f>VLOOKUP(A1894,'Database Claims'!$A:$C,3,)</f>
        <v/>
      </c>
      <c r="C1894" s="29">
        <f>B1894-B1893</f>
        <v/>
      </c>
      <c r="D1894" s="29">
        <f>VLOOKUP(A1894,'Database Claims'!$A:$C,2,)</f>
        <v/>
      </c>
      <c r="E1894" s="29">
        <f>D1894-D1893</f>
        <v/>
      </c>
    </row>
    <row r="1895">
      <c r="A1895" s="28" t="n">
        <v>37709</v>
      </c>
      <c r="B1895" s="25">
        <f>VLOOKUP(A1895,'Database Claims'!$A:$C,3,)</f>
        <v/>
      </c>
      <c r="C1895" s="29">
        <f>B1895-B1894</f>
        <v/>
      </c>
      <c r="D1895" s="25">
        <f>VLOOKUP(A1895,'Database Claims'!$A:$C,2,)</f>
        <v/>
      </c>
      <c r="E1895" s="29">
        <f>D1895-D1894</f>
        <v/>
      </c>
    </row>
    <row r="1896">
      <c r="A1896" s="28" t="n">
        <v>37716</v>
      </c>
      <c r="B1896" s="29">
        <f>VLOOKUP(A1896,'Database Claims'!$A:$C,3,)</f>
        <v/>
      </c>
      <c r="C1896" s="29">
        <f>B1896-B1895</f>
        <v/>
      </c>
      <c r="D1896" s="29">
        <f>VLOOKUP(A1896,'Database Claims'!$A:$C,2,)</f>
        <v/>
      </c>
      <c r="E1896" s="29">
        <f>D1896-D1895</f>
        <v/>
      </c>
    </row>
    <row r="1897">
      <c r="A1897" s="28" t="n">
        <v>37723</v>
      </c>
      <c r="B1897" s="25">
        <f>VLOOKUP(A1897,'Database Claims'!$A:$C,3,)</f>
        <v/>
      </c>
      <c r="C1897" s="29">
        <f>B1897-B1896</f>
        <v/>
      </c>
      <c r="D1897" s="25">
        <f>VLOOKUP(A1897,'Database Claims'!$A:$C,2,)</f>
        <v/>
      </c>
      <c r="E1897" s="29">
        <f>D1897-D1896</f>
        <v/>
      </c>
    </row>
    <row r="1898">
      <c r="A1898" s="28" t="n">
        <v>37730</v>
      </c>
      <c r="B1898" s="29">
        <f>VLOOKUP(A1898,'Database Claims'!$A:$C,3,)</f>
        <v/>
      </c>
      <c r="C1898" s="29">
        <f>B1898-B1897</f>
        <v/>
      </c>
      <c r="D1898" s="29">
        <f>VLOOKUP(A1898,'Database Claims'!$A:$C,2,)</f>
        <v/>
      </c>
      <c r="E1898" s="29">
        <f>D1898-D1897</f>
        <v/>
      </c>
    </row>
    <row r="1899">
      <c r="A1899" s="28" t="n">
        <v>37737</v>
      </c>
      <c r="B1899" s="25">
        <f>VLOOKUP(A1899,'Database Claims'!$A:$C,3,)</f>
        <v/>
      </c>
      <c r="C1899" s="29">
        <f>B1899-B1898</f>
        <v/>
      </c>
      <c r="D1899" s="25">
        <f>VLOOKUP(A1899,'Database Claims'!$A:$C,2,)</f>
        <v/>
      </c>
      <c r="E1899" s="29">
        <f>D1899-D1898</f>
        <v/>
      </c>
    </row>
    <row r="1900">
      <c r="A1900" s="28" t="n">
        <v>37744</v>
      </c>
      <c r="B1900" s="29">
        <f>VLOOKUP(A1900,'Database Claims'!$A:$C,3,)</f>
        <v/>
      </c>
      <c r="C1900" s="29">
        <f>B1900-B1899</f>
        <v/>
      </c>
      <c r="D1900" s="29">
        <f>VLOOKUP(A1900,'Database Claims'!$A:$C,2,)</f>
        <v/>
      </c>
      <c r="E1900" s="29">
        <f>D1900-D1899</f>
        <v/>
      </c>
    </row>
    <row r="1901">
      <c r="A1901" s="28" t="n">
        <v>37751</v>
      </c>
      <c r="B1901" s="25">
        <f>VLOOKUP(A1901,'Database Claims'!$A:$C,3,)</f>
        <v/>
      </c>
      <c r="C1901" s="29">
        <f>B1901-B1900</f>
        <v/>
      </c>
      <c r="D1901" s="25">
        <f>VLOOKUP(A1901,'Database Claims'!$A:$C,2,)</f>
        <v/>
      </c>
      <c r="E1901" s="29">
        <f>D1901-D1900</f>
        <v/>
      </c>
    </row>
    <row r="1902">
      <c r="A1902" s="28" t="n">
        <v>37758</v>
      </c>
      <c r="B1902" s="29">
        <f>VLOOKUP(A1902,'Database Claims'!$A:$C,3,)</f>
        <v/>
      </c>
      <c r="C1902" s="29">
        <f>B1902-B1901</f>
        <v/>
      </c>
      <c r="D1902" s="29">
        <f>VLOOKUP(A1902,'Database Claims'!$A:$C,2,)</f>
        <v/>
      </c>
      <c r="E1902" s="29">
        <f>D1902-D1901</f>
        <v/>
      </c>
    </row>
    <row r="1903">
      <c r="A1903" s="28" t="n">
        <v>37765</v>
      </c>
      <c r="B1903" s="25">
        <f>VLOOKUP(A1903,'Database Claims'!$A:$C,3,)</f>
        <v/>
      </c>
      <c r="C1903" s="29">
        <f>B1903-B1902</f>
        <v/>
      </c>
      <c r="D1903" s="25">
        <f>VLOOKUP(A1903,'Database Claims'!$A:$C,2,)</f>
        <v/>
      </c>
      <c r="E1903" s="29">
        <f>D1903-D1902</f>
        <v/>
      </c>
    </row>
    <row r="1904">
      <c r="A1904" s="28" t="n">
        <v>37772</v>
      </c>
      <c r="B1904" s="29">
        <f>VLOOKUP(A1904,'Database Claims'!$A:$C,3,)</f>
        <v/>
      </c>
      <c r="C1904" s="29">
        <f>B1904-B1903</f>
        <v/>
      </c>
      <c r="D1904" s="29">
        <f>VLOOKUP(A1904,'Database Claims'!$A:$C,2,)</f>
        <v/>
      </c>
      <c r="E1904" s="29">
        <f>D1904-D1903</f>
        <v/>
      </c>
    </row>
    <row r="1905">
      <c r="A1905" s="28" t="n">
        <v>37779</v>
      </c>
      <c r="B1905" s="25">
        <f>VLOOKUP(A1905,'Database Claims'!$A:$C,3,)</f>
        <v/>
      </c>
      <c r="C1905" s="29">
        <f>B1905-B1904</f>
        <v/>
      </c>
      <c r="D1905" s="25">
        <f>VLOOKUP(A1905,'Database Claims'!$A:$C,2,)</f>
        <v/>
      </c>
      <c r="E1905" s="29">
        <f>D1905-D1904</f>
        <v/>
      </c>
    </row>
    <row r="1906">
      <c r="A1906" s="28" t="n">
        <v>37786</v>
      </c>
      <c r="B1906" s="29">
        <f>VLOOKUP(A1906,'Database Claims'!$A:$C,3,)</f>
        <v/>
      </c>
      <c r="C1906" s="29">
        <f>B1906-B1905</f>
        <v/>
      </c>
      <c r="D1906" s="29">
        <f>VLOOKUP(A1906,'Database Claims'!$A:$C,2,)</f>
        <v/>
      </c>
      <c r="E1906" s="29">
        <f>D1906-D1905</f>
        <v/>
      </c>
    </row>
    <row r="1907">
      <c r="A1907" s="28" t="n">
        <v>37793</v>
      </c>
      <c r="B1907" s="25">
        <f>VLOOKUP(A1907,'Database Claims'!$A:$C,3,)</f>
        <v/>
      </c>
      <c r="C1907" s="29">
        <f>B1907-B1906</f>
        <v/>
      </c>
      <c r="D1907" s="25">
        <f>VLOOKUP(A1907,'Database Claims'!$A:$C,2,)</f>
        <v/>
      </c>
      <c r="E1907" s="29">
        <f>D1907-D1906</f>
        <v/>
      </c>
    </row>
    <row r="1908">
      <c r="A1908" s="28" t="n">
        <v>37800</v>
      </c>
      <c r="B1908" s="29">
        <f>VLOOKUP(A1908,'Database Claims'!$A:$C,3,)</f>
        <v/>
      </c>
      <c r="C1908" s="29">
        <f>B1908-B1907</f>
        <v/>
      </c>
      <c r="D1908" s="29">
        <f>VLOOKUP(A1908,'Database Claims'!$A:$C,2,)</f>
        <v/>
      </c>
      <c r="E1908" s="29">
        <f>D1908-D1907</f>
        <v/>
      </c>
    </row>
    <row r="1909">
      <c r="A1909" s="28" t="n">
        <v>37807</v>
      </c>
      <c r="B1909" s="25">
        <f>VLOOKUP(A1909,'Database Claims'!$A:$C,3,)</f>
        <v/>
      </c>
      <c r="C1909" s="29">
        <f>B1909-B1908</f>
        <v/>
      </c>
      <c r="D1909" s="25">
        <f>VLOOKUP(A1909,'Database Claims'!$A:$C,2,)</f>
        <v/>
      </c>
      <c r="E1909" s="29">
        <f>D1909-D1908</f>
        <v/>
      </c>
    </row>
    <row r="1910">
      <c r="A1910" s="28" t="n">
        <v>37814</v>
      </c>
      <c r="B1910" s="29">
        <f>VLOOKUP(A1910,'Database Claims'!$A:$C,3,)</f>
        <v/>
      </c>
      <c r="C1910" s="29">
        <f>B1910-B1909</f>
        <v/>
      </c>
      <c r="D1910" s="29">
        <f>VLOOKUP(A1910,'Database Claims'!$A:$C,2,)</f>
        <v/>
      </c>
      <c r="E1910" s="29">
        <f>D1910-D1909</f>
        <v/>
      </c>
    </row>
    <row r="1911">
      <c r="A1911" s="28" t="n">
        <v>37821</v>
      </c>
      <c r="B1911" s="25">
        <f>VLOOKUP(A1911,'Database Claims'!$A:$C,3,)</f>
        <v/>
      </c>
      <c r="C1911" s="29">
        <f>B1911-B1910</f>
        <v/>
      </c>
      <c r="D1911" s="25">
        <f>VLOOKUP(A1911,'Database Claims'!$A:$C,2,)</f>
        <v/>
      </c>
      <c r="E1911" s="29">
        <f>D1911-D1910</f>
        <v/>
      </c>
    </row>
    <row r="1912">
      <c r="A1912" s="28" t="n">
        <v>37828</v>
      </c>
      <c r="B1912" s="29">
        <f>VLOOKUP(A1912,'Database Claims'!$A:$C,3,)</f>
        <v/>
      </c>
      <c r="C1912" s="29">
        <f>B1912-B1911</f>
        <v/>
      </c>
      <c r="D1912" s="29">
        <f>VLOOKUP(A1912,'Database Claims'!$A:$C,2,)</f>
        <v/>
      </c>
      <c r="E1912" s="29">
        <f>D1912-D1911</f>
        <v/>
      </c>
    </row>
    <row r="1913">
      <c r="A1913" s="28" t="n">
        <v>37835</v>
      </c>
      <c r="B1913" s="25">
        <f>VLOOKUP(A1913,'Database Claims'!$A:$C,3,)</f>
        <v/>
      </c>
      <c r="C1913" s="29">
        <f>B1913-B1912</f>
        <v/>
      </c>
      <c r="D1913" s="25">
        <f>VLOOKUP(A1913,'Database Claims'!$A:$C,2,)</f>
        <v/>
      </c>
      <c r="E1913" s="29">
        <f>D1913-D1912</f>
        <v/>
      </c>
    </row>
    <row r="1914">
      <c r="A1914" s="28" t="n">
        <v>37842</v>
      </c>
      <c r="B1914" s="29">
        <f>VLOOKUP(A1914,'Database Claims'!$A:$C,3,)</f>
        <v/>
      </c>
      <c r="C1914" s="29">
        <f>B1914-B1913</f>
        <v/>
      </c>
      <c r="D1914" s="29">
        <f>VLOOKUP(A1914,'Database Claims'!$A:$C,2,)</f>
        <v/>
      </c>
      <c r="E1914" s="29">
        <f>D1914-D1913</f>
        <v/>
      </c>
    </row>
    <row r="1915">
      <c r="A1915" s="28" t="n">
        <v>37849</v>
      </c>
      <c r="B1915" s="25">
        <f>VLOOKUP(A1915,'Database Claims'!$A:$C,3,)</f>
        <v/>
      </c>
      <c r="C1915" s="29">
        <f>B1915-B1914</f>
        <v/>
      </c>
      <c r="D1915" s="25">
        <f>VLOOKUP(A1915,'Database Claims'!$A:$C,2,)</f>
        <v/>
      </c>
      <c r="E1915" s="29">
        <f>D1915-D1914</f>
        <v/>
      </c>
    </row>
    <row r="1916">
      <c r="A1916" s="28" t="n">
        <v>37856</v>
      </c>
      <c r="B1916" s="29">
        <f>VLOOKUP(A1916,'Database Claims'!$A:$C,3,)</f>
        <v/>
      </c>
      <c r="C1916" s="29">
        <f>B1916-B1915</f>
        <v/>
      </c>
      <c r="D1916" s="29">
        <f>VLOOKUP(A1916,'Database Claims'!$A:$C,2,)</f>
        <v/>
      </c>
      <c r="E1916" s="29">
        <f>D1916-D1915</f>
        <v/>
      </c>
    </row>
    <row r="1917">
      <c r="A1917" s="28" t="n">
        <v>37863</v>
      </c>
      <c r="B1917" s="25">
        <f>VLOOKUP(A1917,'Database Claims'!$A:$C,3,)</f>
        <v/>
      </c>
      <c r="C1917" s="29">
        <f>B1917-B1916</f>
        <v/>
      </c>
      <c r="D1917" s="25">
        <f>VLOOKUP(A1917,'Database Claims'!$A:$C,2,)</f>
        <v/>
      </c>
      <c r="E1917" s="29">
        <f>D1917-D1916</f>
        <v/>
      </c>
    </row>
    <row r="1918">
      <c r="A1918" s="28" t="n">
        <v>37870</v>
      </c>
      <c r="B1918" s="29">
        <f>VLOOKUP(A1918,'Database Claims'!$A:$C,3,)</f>
        <v/>
      </c>
      <c r="C1918" s="29">
        <f>B1918-B1917</f>
        <v/>
      </c>
      <c r="D1918" s="29">
        <f>VLOOKUP(A1918,'Database Claims'!$A:$C,2,)</f>
        <v/>
      </c>
      <c r="E1918" s="29">
        <f>D1918-D1917</f>
        <v/>
      </c>
    </row>
    <row r="1919">
      <c r="A1919" s="28" t="n">
        <v>37877</v>
      </c>
      <c r="B1919" s="25">
        <f>VLOOKUP(A1919,'Database Claims'!$A:$C,3,)</f>
        <v/>
      </c>
      <c r="C1919" s="29">
        <f>B1919-B1918</f>
        <v/>
      </c>
      <c r="D1919" s="25">
        <f>VLOOKUP(A1919,'Database Claims'!$A:$C,2,)</f>
        <v/>
      </c>
      <c r="E1919" s="29">
        <f>D1919-D1918</f>
        <v/>
      </c>
    </row>
    <row r="1920">
      <c r="A1920" s="28" t="n">
        <v>37884</v>
      </c>
      <c r="B1920" s="29">
        <f>VLOOKUP(A1920,'Database Claims'!$A:$C,3,)</f>
        <v/>
      </c>
      <c r="C1920" s="29">
        <f>B1920-B1919</f>
        <v/>
      </c>
      <c r="D1920" s="29">
        <f>VLOOKUP(A1920,'Database Claims'!$A:$C,2,)</f>
        <v/>
      </c>
      <c r="E1920" s="29">
        <f>D1920-D1919</f>
        <v/>
      </c>
    </row>
    <row r="1921">
      <c r="A1921" s="28" t="n">
        <v>37891</v>
      </c>
      <c r="B1921" s="25">
        <f>VLOOKUP(A1921,'Database Claims'!$A:$C,3,)</f>
        <v/>
      </c>
      <c r="C1921" s="29">
        <f>B1921-B1920</f>
        <v/>
      </c>
      <c r="D1921" s="25">
        <f>VLOOKUP(A1921,'Database Claims'!$A:$C,2,)</f>
        <v/>
      </c>
      <c r="E1921" s="29">
        <f>D1921-D1920</f>
        <v/>
      </c>
    </row>
    <row r="1922">
      <c r="A1922" s="28" t="n">
        <v>37898</v>
      </c>
      <c r="B1922" s="29">
        <f>VLOOKUP(A1922,'Database Claims'!$A:$C,3,)</f>
        <v/>
      </c>
      <c r="C1922" s="29">
        <f>B1922-B1921</f>
        <v/>
      </c>
      <c r="D1922" s="29">
        <f>VLOOKUP(A1922,'Database Claims'!$A:$C,2,)</f>
        <v/>
      </c>
      <c r="E1922" s="29">
        <f>D1922-D1921</f>
        <v/>
      </c>
    </row>
    <row r="1923">
      <c r="A1923" s="28" t="n">
        <v>37905</v>
      </c>
      <c r="B1923" s="25">
        <f>VLOOKUP(A1923,'Database Claims'!$A:$C,3,)</f>
        <v/>
      </c>
      <c r="C1923" s="29">
        <f>B1923-B1922</f>
        <v/>
      </c>
      <c r="D1923" s="25">
        <f>VLOOKUP(A1923,'Database Claims'!$A:$C,2,)</f>
        <v/>
      </c>
      <c r="E1923" s="29">
        <f>D1923-D1922</f>
        <v/>
      </c>
    </row>
    <row r="1924">
      <c r="A1924" s="28" t="n">
        <v>37912</v>
      </c>
      <c r="B1924" s="29">
        <f>VLOOKUP(A1924,'Database Claims'!$A:$C,3,)</f>
        <v/>
      </c>
      <c r="C1924" s="29">
        <f>B1924-B1923</f>
        <v/>
      </c>
      <c r="D1924" s="29">
        <f>VLOOKUP(A1924,'Database Claims'!$A:$C,2,)</f>
        <v/>
      </c>
      <c r="E1924" s="29">
        <f>D1924-D1923</f>
        <v/>
      </c>
    </row>
    <row r="1925">
      <c r="A1925" s="28" t="n">
        <v>37919</v>
      </c>
      <c r="B1925" s="25">
        <f>VLOOKUP(A1925,'Database Claims'!$A:$C,3,)</f>
        <v/>
      </c>
      <c r="C1925" s="29">
        <f>B1925-B1924</f>
        <v/>
      </c>
      <c r="D1925" s="25">
        <f>VLOOKUP(A1925,'Database Claims'!$A:$C,2,)</f>
        <v/>
      </c>
      <c r="E1925" s="29">
        <f>D1925-D1924</f>
        <v/>
      </c>
    </row>
    <row r="1926">
      <c r="A1926" s="28" t="n">
        <v>37926</v>
      </c>
      <c r="B1926" s="29">
        <f>VLOOKUP(A1926,'Database Claims'!$A:$C,3,)</f>
        <v/>
      </c>
      <c r="C1926" s="29">
        <f>B1926-B1925</f>
        <v/>
      </c>
      <c r="D1926" s="29">
        <f>VLOOKUP(A1926,'Database Claims'!$A:$C,2,)</f>
        <v/>
      </c>
      <c r="E1926" s="29">
        <f>D1926-D1925</f>
        <v/>
      </c>
    </row>
    <row r="1927">
      <c r="A1927" s="28" t="n">
        <v>37933</v>
      </c>
      <c r="B1927" s="25">
        <f>VLOOKUP(A1927,'Database Claims'!$A:$C,3,)</f>
        <v/>
      </c>
      <c r="C1927" s="29">
        <f>B1927-B1926</f>
        <v/>
      </c>
      <c r="D1927" s="25">
        <f>VLOOKUP(A1927,'Database Claims'!$A:$C,2,)</f>
        <v/>
      </c>
      <c r="E1927" s="29">
        <f>D1927-D1926</f>
        <v/>
      </c>
    </row>
    <row r="1928">
      <c r="A1928" s="28" t="n">
        <v>37940</v>
      </c>
      <c r="B1928" s="29">
        <f>VLOOKUP(A1928,'Database Claims'!$A:$C,3,)</f>
        <v/>
      </c>
      <c r="C1928" s="29">
        <f>B1928-B1927</f>
        <v/>
      </c>
      <c r="D1928" s="29">
        <f>VLOOKUP(A1928,'Database Claims'!$A:$C,2,)</f>
        <v/>
      </c>
      <c r="E1928" s="29">
        <f>D1928-D1927</f>
        <v/>
      </c>
    </row>
    <row r="1929">
      <c r="A1929" s="28" t="n">
        <v>37947</v>
      </c>
      <c r="B1929" s="25">
        <f>VLOOKUP(A1929,'Database Claims'!$A:$C,3,)</f>
        <v/>
      </c>
      <c r="C1929" s="29">
        <f>B1929-B1928</f>
        <v/>
      </c>
      <c r="D1929" s="25">
        <f>VLOOKUP(A1929,'Database Claims'!$A:$C,2,)</f>
        <v/>
      </c>
      <c r="E1929" s="29">
        <f>D1929-D1928</f>
        <v/>
      </c>
    </row>
    <row r="1930">
      <c r="A1930" s="28" t="n">
        <v>37954</v>
      </c>
      <c r="B1930" s="29">
        <f>VLOOKUP(A1930,'Database Claims'!$A:$C,3,)</f>
        <v/>
      </c>
      <c r="C1930" s="29">
        <f>B1930-B1929</f>
        <v/>
      </c>
      <c r="D1930" s="29">
        <f>VLOOKUP(A1930,'Database Claims'!$A:$C,2,)</f>
        <v/>
      </c>
      <c r="E1930" s="29">
        <f>D1930-D1929</f>
        <v/>
      </c>
    </row>
    <row r="1931">
      <c r="A1931" s="28" t="n">
        <v>37961</v>
      </c>
      <c r="B1931" s="25">
        <f>VLOOKUP(A1931,'Database Claims'!$A:$C,3,)</f>
        <v/>
      </c>
      <c r="C1931" s="29">
        <f>B1931-B1930</f>
        <v/>
      </c>
      <c r="D1931" s="25">
        <f>VLOOKUP(A1931,'Database Claims'!$A:$C,2,)</f>
        <v/>
      </c>
      <c r="E1931" s="29">
        <f>D1931-D1930</f>
        <v/>
      </c>
    </row>
    <row r="1932">
      <c r="A1932" s="28" t="n">
        <v>37968</v>
      </c>
      <c r="B1932" s="29">
        <f>VLOOKUP(A1932,'Database Claims'!$A:$C,3,)</f>
        <v/>
      </c>
      <c r="C1932" s="29">
        <f>B1932-B1931</f>
        <v/>
      </c>
      <c r="D1932" s="29">
        <f>VLOOKUP(A1932,'Database Claims'!$A:$C,2,)</f>
        <v/>
      </c>
      <c r="E1932" s="29">
        <f>D1932-D1931</f>
        <v/>
      </c>
    </row>
    <row r="1933">
      <c r="A1933" s="28" t="n">
        <v>37975</v>
      </c>
      <c r="B1933" s="25">
        <f>VLOOKUP(A1933,'Database Claims'!$A:$C,3,)</f>
        <v/>
      </c>
      <c r="C1933" s="29">
        <f>B1933-B1932</f>
        <v/>
      </c>
      <c r="D1933" s="25">
        <f>VLOOKUP(A1933,'Database Claims'!$A:$C,2,)</f>
        <v/>
      </c>
      <c r="E1933" s="29">
        <f>D1933-D1932</f>
        <v/>
      </c>
    </row>
    <row r="1934">
      <c r="A1934" s="28" t="n">
        <v>37982</v>
      </c>
      <c r="B1934" s="29">
        <f>VLOOKUP(A1934,'Database Claims'!$A:$C,3,)</f>
        <v/>
      </c>
      <c r="C1934" s="29">
        <f>B1934-B1933</f>
        <v/>
      </c>
      <c r="D1934" s="29">
        <f>VLOOKUP(A1934,'Database Claims'!$A:$C,2,)</f>
        <v/>
      </c>
      <c r="E1934" s="29">
        <f>D1934-D1933</f>
        <v/>
      </c>
    </row>
    <row r="1935">
      <c r="A1935" s="28" t="n">
        <v>37989</v>
      </c>
      <c r="B1935" s="25">
        <f>VLOOKUP(A1935,'Database Claims'!$A:$C,3,)</f>
        <v/>
      </c>
      <c r="C1935" s="29">
        <f>B1935-B1934</f>
        <v/>
      </c>
      <c r="D1935" s="25">
        <f>VLOOKUP(A1935,'Database Claims'!$A:$C,2,)</f>
        <v/>
      </c>
      <c r="E1935" s="29">
        <f>D1935-D1934</f>
        <v/>
      </c>
    </row>
    <row r="1936">
      <c r="A1936" s="28" t="n">
        <v>37996</v>
      </c>
      <c r="B1936" s="29">
        <f>VLOOKUP(A1936,'Database Claims'!$A:$C,3,)</f>
        <v/>
      </c>
      <c r="C1936" s="29">
        <f>B1936-B1935</f>
        <v/>
      </c>
      <c r="D1936" s="29">
        <f>VLOOKUP(A1936,'Database Claims'!$A:$C,2,)</f>
        <v/>
      </c>
      <c r="E1936" s="29">
        <f>D1936-D1935</f>
        <v/>
      </c>
    </row>
    <row r="1937">
      <c r="A1937" s="28" t="n">
        <v>38003</v>
      </c>
      <c r="B1937" s="25">
        <f>VLOOKUP(A1937,'Database Claims'!$A:$C,3,)</f>
        <v/>
      </c>
      <c r="C1937" s="29">
        <f>B1937-B1936</f>
        <v/>
      </c>
      <c r="D1937" s="25">
        <f>VLOOKUP(A1937,'Database Claims'!$A:$C,2,)</f>
        <v/>
      </c>
      <c r="E1937" s="29">
        <f>D1937-D1936</f>
        <v/>
      </c>
    </row>
    <row r="1938">
      <c r="A1938" s="28" t="n">
        <v>38010</v>
      </c>
      <c r="B1938" s="29">
        <f>VLOOKUP(A1938,'Database Claims'!$A:$C,3,)</f>
        <v/>
      </c>
      <c r="C1938" s="29">
        <f>B1938-B1937</f>
        <v/>
      </c>
      <c r="D1938" s="29">
        <f>VLOOKUP(A1938,'Database Claims'!$A:$C,2,)</f>
        <v/>
      </c>
      <c r="E1938" s="29">
        <f>D1938-D1937</f>
        <v/>
      </c>
    </row>
    <row r="1939">
      <c r="A1939" s="28" t="n">
        <v>38017</v>
      </c>
      <c r="B1939" s="25">
        <f>VLOOKUP(A1939,'Database Claims'!$A:$C,3,)</f>
        <v/>
      </c>
      <c r="C1939" s="29">
        <f>B1939-B1938</f>
        <v/>
      </c>
      <c r="D1939" s="25">
        <f>VLOOKUP(A1939,'Database Claims'!$A:$C,2,)</f>
        <v/>
      </c>
      <c r="E1939" s="29">
        <f>D1939-D1938</f>
        <v/>
      </c>
    </row>
    <row r="1940">
      <c r="A1940" s="28" t="n">
        <v>38024</v>
      </c>
      <c r="B1940" s="29">
        <f>VLOOKUP(A1940,'Database Claims'!$A:$C,3,)</f>
        <v/>
      </c>
      <c r="C1940" s="29">
        <f>B1940-B1939</f>
        <v/>
      </c>
      <c r="D1940" s="29">
        <f>VLOOKUP(A1940,'Database Claims'!$A:$C,2,)</f>
        <v/>
      </c>
      <c r="E1940" s="29">
        <f>D1940-D1939</f>
        <v/>
      </c>
    </row>
    <row r="1941">
      <c r="A1941" s="28" t="n">
        <v>38031</v>
      </c>
      <c r="B1941" s="25">
        <f>VLOOKUP(A1941,'Database Claims'!$A:$C,3,)</f>
        <v/>
      </c>
      <c r="C1941" s="29">
        <f>B1941-B1940</f>
        <v/>
      </c>
      <c r="D1941" s="25">
        <f>VLOOKUP(A1941,'Database Claims'!$A:$C,2,)</f>
        <v/>
      </c>
      <c r="E1941" s="29">
        <f>D1941-D1940</f>
        <v/>
      </c>
    </row>
    <row r="1942">
      <c r="A1942" s="28" t="n">
        <v>38038</v>
      </c>
      <c r="B1942" s="29">
        <f>VLOOKUP(A1942,'Database Claims'!$A:$C,3,)</f>
        <v/>
      </c>
      <c r="C1942" s="29">
        <f>B1942-B1941</f>
        <v/>
      </c>
      <c r="D1942" s="29">
        <f>VLOOKUP(A1942,'Database Claims'!$A:$C,2,)</f>
        <v/>
      </c>
      <c r="E1942" s="29">
        <f>D1942-D1941</f>
        <v/>
      </c>
    </row>
    <row r="1943">
      <c r="A1943" s="28" t="n">
        <v>38045</v>
      </c>
      <c r="B1943" s="25">
        <f>VLOOKUP(A1943,'Database Claims'!$A:$C,3,)</f>
        <v/>
      </c>
      <c r="C1943" s="29">
        <f>B1943-B1942</f>
        <v/>
      </c>
      <c r="D1943" s="25">
        <f>VLOOKUP(A1943,'Database Claims'!$A:$C,2,)</f>
        <v/>
      </c>
      <c r="E1943" s="29">
        <f>D1943-D1942</f>
        <v/>
      </c>
    </row>
    <row r="1944">
      <c r="A1944" s="28" t="n">
        <v>38052</v>
      </c>
      <c r="B1944" s="29">
        <f>VLOOKUP(A1944,'Database Claims'!$A:$C,3,)</f>
        <v/>
      </c>
      <c r="C1944" s="29">
        <f>B1944-B1943</f>
        <v/>
      </c>
      <c r="D1944" s="29">
        <f>VLOOKUP(A1944,'Database Claims'!$A:$C,2,)</f>
        <v/>
      </c>
      <c r="E1944" s="29">
        <f>D1944-D1943</f>
        <v/>
      </c>
    </row>
    <row r="1945">
      <c r="A1945" s="28" t="n">
        <v>38059</v>
      </c>
      <c r="B1945" s="25">
        <f>VLOOKUP(A1945,'Database Claims'!$A:$C,3,)</f>
        <v/>
      </c>
      <c r="C1945" s="29">
        <f>B1945-B1944</f>
        <v/>
      </c>
      <c r="D1945" s="25">
        <f>VLOOKUP(A1945,'Database Claims'!$A:$C,2,)</f>
        <v/>
      </c>
      <c r="E1945" s="29">
        <f>D1945-D1944</f>
        <v/>
      </c>
    </row>
    <row r="1946">
      <c r="A1946" s="28" t="n">
        <v>38066</v>
      </c>
      <c r="B1946" s="29">
        <f>VLOOKUP(A1946,'Database Claims'!$A:$C,3,)</f>
        <v/>
      </c>
      <c r="C1946" s="29">
        <f>B1946-B1945</f>
        <v/>
      </c>
      <c r="D1946" s="29">
        <f>VLOOKUP(A1946,'Database Claims'!$A:$C,2,)</f>
        <v/>
      </c>
      <c r="E1946" s="29">
        <f>D1946-D1945</f>
        <v/>
      </c>
    </row>
    <row r="1947">
      <c r="A1947" s="28" t="n">
        <v>38073</v>
      </c>
      <c r="B1947" s="25">
        <f>VLOOKUP(A1947,'Database Claims'!$A:$C,3,)</f>
        <v/>
      </c>
      <c r="C1947" s="29">
        <f>B1947-B1946</f>
        <v/>
      </c>
      <c r="D1947" s="25">
        <f>VLOOKUP(A1947,'Database Claims'!$A:$C,2,)</f>
        <v/>
      </c>
      <c r="E1947" s="29">
        <f>D1947-D1946</f>
        <v/>
      </c>
    </row>
    <row r="1948">
      <c r="A1948" s="28" t="n">
        <v>38080</v>
      </c>
      <c r="B1948" s="29">
        <f>VLOOKUP(A1948,'Database Claims'!$A:$C,3,)</f>
        <v/>
      </c>
      <c r="C1948" s="29">
        <f>B1948-B1947</f>
        <v/>
      </c>
      <c r="D1948" s="29">
        <f>VLOOKUP(A1948,'Database Claims'!$A:$C,2,)</f>
        <v/>
      </c>
      <c r="E1948" s="29">
        <f>D1948-D1947</f>
        <v/>
      </c>
    </row>
    <row r="1949">
      <c r="A1949" s="28" t="n">
        <v>38087</v>
      </c>
      <c r="B1949" s="25">
        <f>VLOOKUP(A1949,'Database Claims'!$A:$C,3,)</f>
        <v/>
      </c>
      <c r="C1949" s="29">
        <f>B1949-B1948</f>
        <v/>
      </c>
      <c r="D1949" s="25">
        <f>VLOOKUP(A1949,'Database Claims'!$A:$C,2,)</f>
        <v/>
      </c>
      <c r="E1949" s="29">
        <f>D1949-D1948</f>
        <v/>
      </c>
    </row>
    <row r="1950">
      <c r="A1950" s="28" t="n">
        <v>38094</v>
      </c>
      <c r="B1950" s="29">
        <f>VLOOKUP(A1950,'Database Claims'!$A:$C,3,)</f>
        <v/>
      </c>
      <c r="C1950" s="29">
        <f>B1950-B1949</f>
        <v/>
      </c>
      <c r="D1950" s="29">
        <f>VLOOKUP(A1950,'Database Claims'!$A:$C,2,)</f>
        <v/>
      </c>
      <c r="E1950" s="29">
        <f>D1950-D1949</f>
        <v/>
      </c>
    </row>
    <row r="1951">
      <c r="A1951" s="28" t="n">
        <v>38101</v>
      </c>
      <c r="B1951" s="25">
        <f>VLOOKUP(A1951,'Database Claims'!$A:$C,3,)</f>
        <v/>
      </c>
      <c r="C1951" s="29">
        <f>B1951-B1950</f>
        <v/>
      </c>
      <c r="D1951" s="25">
        <f>VLOOKUP(A1951,'Database Claims'!$A:$C,2,)</f>
        <v/>
      </c>
      <c r="E1951" s="29">
        <f>D1951-D1950</f>
        <v/>
      </c>
    </row>
    <row r="1952">
      <c r="A1952" s="28" t="n">
        <v>38108</v>
      </c>
      <c r="B1952" s="29">
        <f>VLOOKUP(A1952,'Database Claims'!$A:$C,3,)</f>
        <v/>
      </c>
      <c r="C1952" s="29">
        <f>B1952-B1951</f>
        <v/>
      </c>
      <c r="D1952" s="29">
        <f>VLOOKUP(A1952,'Database Claims'!$A:$C,2,)</f>
        <v/>
      </c>
      <c r="E1952" s="29">
        <f>D1952-D1951</f>
        <v/>
      </c>
    </row>
    <row r="1953">
      <c r="A1953" s="28" t="n">
        <v>38115</v>
      </c>
      <c r="B1953" s="25">
        <f>VLOOKUP(A1953,'Database Claims'!$A:$C,3,)</f>
        <v/>
      </c>
      <c r="C1953" s="29">
        <f>B1953-B1952</f>
        <v/>
      </c>
      <c r="D1953" s="25">
        <f>VLOOKUP(A1953,'Database Claims'!$A:$C,2,)</f>
        <v/>
      </c>
      <c r="E1953" s="29">
        <f>D1953-D1952</f>
        <v/>
      </c>
    </row>
    <row r="1954">
      <c r="A1954" s="28" t="n">
        <v>38122</v>
      </c>
      <c r="B1954" s="29">
        <f>VLOOKUP(A1954,'Database Claims'!$A:$C,3,)</f>
        <v/>
      </c>
      <c r="C1954" s="29">
        <f>B1954-B1953</f>
        <v/>
      </c>
      <c r="D1954" s="29">
        <f>VLOOKUP(A1954,'Database Claims'!$A:$C,2,)</f>
        <v/>
      </c>
      <c r="E1954" s="29">
        <f>D1954-D1953</f>
        <v/>
      </c>
    </row>
    <row r="1955">
      <c r="A1955" s="28" t="n">
        <v>38129</v>
      </c>
      <c r="B1955" s="25">
        <f>VLOOKUP(A1955,'Database Claims'!$A:$C,3,)</f>
        <v/>
      </c>
      <c r="C1955" s="29">
        <f>B1955-B1954</f>
        <v/>
      </c>
      <c r="D1955" s="25">
        <f>VLOOKUP(A1955,'Database Claims'!$A:$C,2,)</f>
        <v/>
      </c>
      <c r="E1955" s="29">
        <f>D1955-D1954</f>
        <v/>
      </c>
    </row>
    <row r="1956">
      <c r="A1956" s="28" t="n">
        <v>38136</v>
      </c>
      <c r="B1956" s="29">
        <f>VLOOKUP(A1956,'Database Claims'!$A:$C,3,)</f>
        <v/>
      </c>
      <c r="C1956" s="29">
        <f>B1956-B1955</f>
        <v/>
      </c>
      <c r="D1956" s="29">
        <f>VLOOKUP(A1956,'Database Claims'!$A:$C,2,)</f>
        <v/>
      </c>
      <c r="E1956" s="29">
        <f>D1956-D1955</f>
        <v/>
      </c>
    </row>
    <row r="1957">
      <c r="A1957" s="28" t="n">
        <v>38143</v>
      </c>
      <c r="B1957" s="25">
        <f>VLOOKUP(A1957,'Database Claims'!$A:$C,3,)</f>
        <v/>
      </c>
      <c r="C1957" s="29">
        <f>B1957-B1956</f>
        <v/>
      </c>
      <c r="D1957" s="25">
        <f>VLOOKUP(A1957,'Database Claims'!$A:$C,2,)</f>
        <v/>
      </c>
      <c r="E1957" s="29">
        <f>D1957-D1956</f>
        <v/>
      </c>
    </row>
    <row r="1958">
      <c r="A1958" s="28" t="n">
        <v>38150</v>
      </c>
      <c r="B1958" s="29">
        <f>VLOOKUP(A1958,'Database Claims'!$A:$C,3,)</f>
        <v/>
      </c>
      <c r="C1958" s="29">
        <f>B1958-B1957</f>
        <v/>
      </c>
      <c r="D1958" s="29">
        <f>VLOOKUP(A1958,'Database Claims'!$A:$C,2,)</f>
        <v/>
      </c>
      <c r="E1958" s="29">
        <f>D1958-D1957</f>
        <v/>
      </c>
    </row>
    <row r="1959">
      <c r="A1959" s="28" t="n">
        <v>38157</v>
      </c>
      <c r="B1959" s="25">
        <f>VLOOKUP(A1959,'Database Claims'!$A:$C,3,)</f>
        <v/>
      </c>
      <c r="C1959" s="29">
        <f>B1959-B1958</f>
        <v/>
      </c>
      <c r="D1959" s="25">
        <f>VLOOKUP(A1959,'Database Claims'!$A:$C,2,)</f>
        <v/>
      </c>
      <c r="E1959" s="29">
        <f>D1959-D1958</f>
        <v/>
      </c>
    </row>
    <row r="1960">
      <c r="A1960" s="28" t="n">
        <v>38164</v>
      </c>
      <c r="B1960" s="29">
        <f>VLOOKUP(A1960,'Database Claims'!$A:$C,3,)</f>
        <v/>
      </c>
      <c r="C1960" s="29">
        <f>B1960-B1959</f>
        <v/>
      </c>
      <c r="D1960" s="29">
        <f>VLOOKUP(A1960,'Database Claims'!$A:$C,2,)</f>
        <v/>
      </c>
      <c r="E1960" s="29">
        <f>D1960-D1959</f>
        <v/>
      </c>
    </row>
    <row r="1961">
      <c r="A1961" s="28" t="n">
        <v>38171</v>
      </c>
      <c r="B1961" s="25">
        <f>VLOOKUP(A1961,'Database Claims'!$A:$C,3,)</f>
        <v/>
      </c>
      <c r="C1961" s="29">
        <f>B1961-B1960</f>
        <v/>
      </c>
      <c r="D1961" s="25">
        <f>VLOOKUP(A1961,'Database Claims'!$A:$C,2,)</f>
        <v/>
      </c>
      <c r="E1961" s="29">
        <f>D1961-D1960</f>
        <v/>
      </c>
    </row>
    <row r="1962">
      <c r="A1962" s="28" t="n">
        <v>38178</v>
      </c>
      <c r="B1962" s="29">
        <f>VLOOKUP(A1962,'Database Claims'!$A:$C,3,)</f>
        <v/>
      </c>
      <c r="C1962" s="29">
        <f>B1962-B1961</f>
        <v/>
      </c>
      <c r="D1962" s="29">
        <f>VLOOKUP(A1962,'Database Claims'!$A:$C,2,)</f>
        <v/>
      </c>
      <c r="E1962" s="29">
        <f>D1962-D1961</f>
        <v/>
      </c>
    </row>
    <row r="1963">
      <c r="A1963" s="28" t="n">
        <v>38185</v>
      </c>
      <c r="B1963" s="25">
        <f>VLOOKUP(A1963,'Database Claims'!$A:$C,3,)</f>
        <v/>
      </c>
      <c r="C1963" s="29">
        <f>B1963-B1962</f>
        <v/>
      </c>
      <c r="D1963" s="25">
        <f>VLOOKUP(A1963,'Database Claims'!$A:$C,2,)</f>
        <v/>
      </c>
      <c r="E1963" s="29">
        <f>D1963-D1962</f>
        <v/>
      </c>
    </row>
    <row r="1964">
      <c r="A1964" s="28" t="n">
        <v>38192</v>
      </c>
      <c r="B1964" s="29">
        <f>VLOOKUP(A1964,'Database Claims'!$A:$C,3,)</f>
        <v/>
      </c>
      <c r="C1964" s="29">
        <f>B1964-B1963</f>
        <v/>
      </c>
      <c r="D1964" s="29">
        <f>VLOOKUP(A1964,'Database Claims'!$A:$C,2,)</f>
        <v/>
      </c>
      <c r="E1964" s="29">
        <f>D1964-D1963</f>
        <v/>
      </c>
    </row>
    <row r="1965">
      <c r="A1965" s="28" t="n">
        <v>38199</v>
      </c>
      <c r="B1965" s="25">
        <f>VLOOKUP(A1965,'Database Claims'!$A:$C,3,)</f>
        <v/>
      </c>
      <c r="C1965" s="29">
        <f>B1965-B1964</f>
        <v/>
      </c>
      <c r="D1965" s="25">
        <f>VLOOKUP(A1965,'Database Claims'!$A:$C,2,)</f>
        <v/>
      </c>
      <c r="E1965" s="29">
        <f>D1965-D1964</f>
        <v/>
      </c>
    </row>
    <row r="1966">
      <c r="A1966" s="28" t="n">
        <v>38206</v>
      </c>
      <c r="B1966" s="29">
        <f>VLOOKUP(A1966,'Database Claims'!$A:$C,3,)</f>
        <v/>
      </c>
      <c r="C1966" s="29">
        <f>B1966-B1965</f>
        <v/>
      </c>
      <c r="D1966" s="29">
        <f>VLOOKUP(A1966,'Database Claims'!$A:$C,2,)</f>
        <v/>
      </c>
      <c r="E1966" s="29">
        <f>D1966-D1965</f>
        <v/>
      </c>
    </row>
    <row r="1967">
      <c r="A1967" s="28" t="n">
        <v>38213</v>
      </c>
      <c r="B1967" s="25">
        <f>VLOOKUP(A1967,'Database Claims'!$A:$C,3,)</f>
        <v/>
      </c>
      <c r="C1967" s="29">
        <f>B1967-B1966</f>
        <v/>
      </c>
      <c r="D1967" s="25">
        <f>VLOOKUP(A1967,'Database Claims'!$A:$C,2,)</f>
        <v/>
      </c>
      <c r="E1967" s="29">
        <f>D1967-D1966</f>
        <v/>
      </c>
    </row>
    <row r="1968">
      <c r="A1968" s="28" t="n">
        <v>38220</v>
      </c>
      <c r="B1968" s="29">
        <f>VLOOKUP(A1968,'Database Claims'!$A:$C,3,)</f>
        <v/>
      </c>
      <c r="C1968" s="29">
        <f>B1968-B1967</f>
        <v/>
      </c>
      <c r="D1968" s="29">
        <f>VLOOKUP(A1968,'Database Claims'!$A:$C,2,)</f>
        <v/>
      </c>
      <c r="E1968" s="29">
        <f>D1968-D1967</f>
        <v/>
      </c>
    </row>
    <row r="1969">
      <c r="A1969" s="28" t="n">
        <v>38227</v>
      </c>
      <c r="B1969" s="25">
        <f>VLOOKUP(A1969,'Database Claims'!$A:$C,3,)</f>
        <v/>
      </c>
      <c r="C1969" s="29">
        <f>B1969-B1968</f>
        <v/>
      </c>
      <c r="D1969" s="25">
        <f>VLOOKUP(A1969,'Database Claims'!$A:$C,2,)</f>
        <v/>
      </c>
      <c r="E1969" s="29">
        <f>D1969-D1968</f>
        <v/>
      </c>
    </row>
    <row r="1970">
      <c r="A1970" s="28" t="n">
        <v>38234</v>
      </c>
      <c r="B1970" s="29">
        <f>VLOOKUP(A1970,'Database Claims'!$A:$C,3,)</f>
        <v/>
      </c>
      <c r="C1970" s="29">
        <f>B1970-B1969</f>
        <v/>
      </c>
      <c r="D1970" s="29">
        <f>VLOOKUP(A1970,'Database Claims'!$A:$C,2,)</f>
        <v/>
      </c>
      <c r="E1970" s="29">
        <f>D1970-D1969</f>
        <v/>
      </c>
    </row>
    <row r="1971">
      <c r="A1971" s="28" t="n">
        <v>38241</v>
      </c>
      <c r="B1971" s="25">
        <f>VLOOKUP(A1971,'Database Claims'!$A:$C,3,)</f>
        <v/>
      </c>
      <c r="C1971" s="29">
        <f>B1971-B1970</f>
        <v/>
      </c>
      <c r="D1971" s="25">
        <f>VLOOKUP(A1971,'Database Claims'!$A:$C,2,)</f>
        <v/>
      </c>
      <c r="E1971" s="29">
        <f>D1971-D1970</f>
        <v/>
      </c>
    </row>
    <row r="1972">
      <c r="A1972" s="28" t="n">
        <v>38248</v>
      </c>
      <c r="B1972" s="29">
        <f>VLOOKUP(A1972,'Database Claims'!$A:$C,3,)</f>
        <v/>
      </c>
      <c r="C1972" s="29">
        <f>B1972-B1971</f>
        <v/>
      </c>
      <c r="D1972" s="29">
        <f>VLOOKUP(A1972,'Database Claims'!$A:$C,2,)</f>
        <v/>
      </c>
      <c r="E1972" s="29">
        <f>D1972-D1971</f>
        <v/>
      </c>
    </row>
    <row r="1973">
      <c r="A1973" s="28" t="n">
        <v>38255</v>
      </c>
      <c r="B1973" s="25">
        <f>VLOOKUP(A1973,'Database Claims'!$A:$C,3,)</f>
        <v/>
      </c>
      <c r="C1973" s="29">
        <f>B1973-B1972</f>
        <v/>
      </c>
      <c r="D1973" s="25">
        <f>VLOOKUP(A1973,'Database Claims'!$A:$C,2,)</f>
        <v/>
      </c>
      <c r="E1973" s="29">
        <f>D1973-D1972</f>
        <v/>
      </c>
    </row>
    <row r="1974">
      <c r="A1974" s="28" t="n">
        <v>38262</v>
      </c>
      <c r="B1974" s="29">
        <f>VLOOKUP(A1974,'Database Claims'!$A:$C,3,)</f>
        <v/>
      </c>
      <c r="C1974" s="29">
        <f>B1974-B1973</f>
        <v/>
      </c>
      <c r="D1974" s="29">
        <f>VLOOKUP(A1974,'Database Claims'!$A:$C,2,)</f>
        <v/>
      </c>
      <c r="E1974" s="29">
        <f>D1974-D1973</f>
        <v/>
      </c>
    </row>
    <row r="1975">
      <c r="A1975" s="28" t="n">
        <v>38269</v>
      </c>
      <c r="B1975" s="25">
        <f>VLOOKUP(A1975,'Database Claims'!$A:$C,3,)</f>
        <v/>
      </c>
      <c r="C1975" s="29">
        <f>B1975-B1974</f>
        <v/>
      </c>
      <c r="D1975" s="25">
        <f>VLOOKUP(A1975,'Database Claims'!$A:$C,2,)</f>
        <v/>
      </c>
      <c r="E1975" s="29">
        <f>D1975-D1974</f>
        <v/>
      </c>
    </row>
    <row r="1976">
      <c r="A1976" s="28" t="n">
        <v>38276</v>
      </c>
      <c r="B1976" s="29">
        <f>VLOOKUP(A1976,'Database Claims'!$A:$C,3,)</f>
        <v/>
      </c>
      <c r="C1976" s="29">
        <f>B1976-B1975</f>
        <v/>
      </c>
      <c r="D1976" s="29">
        <f>VLOOKUP(A1976,'Database Claims'!$A:$C,2,)</f>
        <v/>
      </c>
      <c r="E1976" s="29">
        <f>D1976-D1975</f>
        <v/>
      </c>
    </row>
    <row r="1977">
      <c r="A1977" s="28" t="n">
        <v>38283</v>
      </c>
      <c r="B1977" s="25">
        <f>VLOOKUP(A1977,'Database Claims'!$A:$C,3,)</f>
        <v/>
      </c>
      <c r="C1977" s="29">
        <f>B1977-B1976</f>
        <v/>
      </c>
      <c r="D1977" s="25">
        <f>VLOOKUP(A1977,'Database Claims'!$A:$C,2,)</f>
        <v/>
      </c>
      <c r="E1977" s="29">
        <f>D1977-D1976</f>
        <v/>
      </c>
    </row>
    <row r="1978">
      <c r="A1978" s="28" t="n">
        <v>38290</v>
      </c>
      <c r="B1978" s="29">
        <f>VLOOKUP(A1978,'Database Claims'!$A:$C,3,)</f>
        <v/>
      </c>
      <c r="C1978" s="29">
        <f>B1978-B1977</f>
        <v/>
      </c>
      <c r="D1978" s="29">
        <f>VLOOKUP(A1978,'Database Claims'!$A:$C,2,)</f>
        <v/>
      </c>
      <c r="E1978" s="29">
        <f>D1978-D1977</f>
        <v/>
      </c>
    </row>
    <row r="1979">
      <c r="A1979" s="28" t="n">
        <v>38297</v>
      </c>
      <c r="B1979" s="25">
        <f>VLOOKUP(A1979,'Database Claims'!$A:$C,3,)</f>
        <v/>
      </c>
      <c r="C1979" s="29">
        <f>B1979-B1978</f>
        <v/>
      </c>
      <c r="D1979" s="25">
        <f>VLOOKUP(A1979,'Database Claims'!$A:$C,2,)</f>
        <v/>
      </c>
      <c r="E1979" s="29">
        <f>D1979-D1978</f>
        <v/>
      </c>
    </row>
    <row r="1980">
      <c r="A1980" s="28" t="n">
        <v>38304</v>
      </c>
      <c r="B1980" s="29">
        <f>VLOOKUP(A1980,'Database Claims'!$A:$C,3,)</f>
        <v/>
      </c>
      <c r="C1980" s="29">
        <f>B1980-B1979</f>
        <v/>
      </c>
      <c r="D1980" s="29">
        <f>VLOOKUP(A1980,'Database Claims'!$A:$C,2,)</f>
        <v/>
      </c>
      <c r="E1980" s="29">
        <f>D1980-D1979</f>
        <v/>
      </c>
    </row>
    <row r="1981">
      <c r="A1981" s="28" t="n">
        <v>38311</v>
      </c>
      <c r="B1981" s="25">
        <f>VLOOKUP(A1981,'Database Claims'!$A:$C,3,)</f>
        <v/>
      </c>
      <c r="C1981" s="29">
        <f>B1981-B1980</f>
        <v/>
      </c>
      <c r="D1981" s="25">
        <f>VLOOKUP(A1981,'Database Claims'!$A:$C,2,)</f>
        <v/>
      </c>
      <c r="E1981" s="29">
        <f>D1981-D1980</f>
        <v/>
      </c>
    </row>
    <row r="1982">
      <c r="A1982" s="28" t="n">
        <v>38318</v>
      </c>
      <c r="B1982" s="29">
        <f>VLOOKUP(A1982,'Database Claims'!$A:$C,3,)</f>
        <v/>
      </c>
      <c r="C1982" s="29">
        <f>B1982-B1981</f>
        <v/>
      </c>
      <c r="D1982" s="29">
        <f>VLOOKUP(A1982,'Database Claims'!$A:$C,2,)</f>
        <v/>
      </c>
      <c r="E1982" s="29">
        <f>D1982-D1981</f>
        <v/>
      </c>
    </row>
    <row r="1983">
      <c r="A1983" s="28" t="n">
        <v>38325</v>
      </c>
      <c r="B1983" s="25">
        <f>VLOOKUP(A1983,'Database Claims'!$A:$C,3,)</f>
        <v/>
      </c>
      <c r="C1983" s="29">
        <f>B1983-B1982</f>
        <v/>
      </c>
      <c r="D1983" s="25">
        <f>VLOOKUP(A1983,'Database Claims'!$A:$C,2,)</f>
        <v/>
      </c>
      <c r="E1983" s="29">
        <f>D1983-D1982</f>
        <v/>
      </c>
    </row>
    <row r="1984">
      <c r="A1984" s="28" t="n">
        <v>38332</v>
      </c>
      <c r="B1984" s="29">
        <f>VLOOKUP(A1984,'Database Claims'!$A:$C,3,)</f>
        <v/>
      </c>
      <c r="C1984" s="29">
        <f>B1984-B1983</f>
        <v/>
      </c>
      <c r="D1984" s="29">
        <f>VLOOKUP(A1984,'Database Claims'!$A:$C,2,)</f>
        <v/>
      </c>
      <c r="E1984" s="29">
        <f>D1984-D1983</f>
        <v/>
      </c>
    </row>
    <row r="1985">
      <c r="A1985" s="28" t="n">
        <v>38339</v>
      </c>
      <c r="B1985" s="25">
        <f>VLOOKUP(A1985,'Database Claims'!$A:$C,3,)</f>
        <v/>
      </c>
      <c r="C1985" s="29">
        <f>B1985-B1984</f>
        <v/>
      </c>
      <c r="D1985" s="25">
        <f>VLOOKUP(A1985,'Database Claims'!$A:$C,2,)</f>
        <v/>
      </c>
      <c r="E1985" s="29">
        <f>D1985-D1984</f>
        <v/>
      </c>
    </row>
    <row r="1986">
      <c r="A1986" s="28" t="n">
        <v>38346</v>
      </c>
      <c r="B1986" s="29">
        <f>VLOOKUP(A1986,'Database Claims'!$A:$C,3,)</f>
        <v/>
      </c>
      <c r="C1986" s="29">
        <f>B1986-B1985</f>
        <v/>
      </c>
      <c r="D1986" s="29">
        <f>VLOOKUP(A1986,'Database Claims'!$A:$C,2,)</f>
        <v/>
      </c>
      <c r="E1986" s="29">
        <f>D1986-D1985</f>
        <v/>
      </c>
    </row>
    <row r="1987">
      <c r="A1987" s="28" t="n">
        <v>38353</v>
      </c>
      <c r="B1987" s="25">
        <f>VLOOKUP(A1987,'Database Claims'!$A:$C,3,)</f>
        <v/>
      </c>
      <c r="C1987" s="29">
        <f>B1987-B1986</f>
        <v/>
      </c>
      <c r="D1987" s="25">
        <f>VLOOKUP(A1987,'Database Claims'!$A:$C,2,)</f>
        <v/>
      </c>
      <c r="E1987" s="29">
        <f>D1987-D1986</f>
        <v/>
      </c>
    </row>
    <row r="1988">
      <c r="A1988" s="28" t="n">
        <v>38360</v>
      </c>
      <c r="B1988" s="29">
        <f>VLOOKUP(A1988,'Database Claims'!$A:$C,3,)</f>
        <v/>
      </c>
      <c r="C1988" s="29">
        <f>B1988-B1987</f>
        <v/>
      </c>
      <c r="D1988" s="29">
        <f>VLOOKUP(A1988,'Database Claims'!$A:$C,2,)</f>
        <v/>
      </c>
      <c r="E1988" s="29">
        <f>D1988-D1987</f>
        <v/>
      </c>
    </row>
    <row r="1989">
      <c r="A1989" s="28" t="n">
        <v>38367</v>
      </c>
      <c r="B1989" s="25">
        <f>VLOOKUP(A1989,'Database Claims'!$A:$C,3,)</f>
        <v/>
      </c>
      <c r="C1989" s="29">
        <f>B1989-B1988</f>
        <v/>
      </c>
      <c r="D1989" s="25">
        <f>VLOOKUP(A1989,'Database Claims'!$A:$C,2,)</f>
        <v/>
      </c>
      <c r="E1989" s="29">
        <f>D1989-D1988</f>
        <v/>
      </c>
    </row>
    <row r="1990">
      <c r="A1990" s="28" t="n">
        <v>38374</v>
      </c>
      <c r="B1990" s="29">
        <f>VLOOKUP(A1990,'Database Claims'!$A:$C,3,)</f>
        <v/>
      </c>
      <c r="C1990" s="29">
        <f>B1990-B1989</f>
        <v/>
      </c>
      <c r="D1990" s="29">
        <f>VLOOKUP(A1990,'Database Claims'!$A:$C,2,)</f>
        <v/>
      </c>
      <c r="E1990" s="29">
        <f>D1990-D1989</f>
        <v/>
      </c>
    </row>
    <row r="1991">
      <c r="A1991" s="28" t="n">
        <v>38381</v>
      </c>
      <c r="B1991" s="25">
        <f>VLOOKUP(A1991,'Database Claims'!$A:$C,3,)</f>
        <v/>
      </c>
      <c r="C1991" s="29">
        <f>B1991-B1990</f>
        <v/>
      </c>
      <c r="D1991" s="25">
        <f>VLOOKUP(A1991,'Database Claims'!$A:$C,2,)</f>
        <v/>
      </c>
      <c r="E1991" s="29">
        <f>D1991-D1990</f>
        <v/>
      </c>
    </row>
    <row r="1992">
      <c r="A1992" s="28" t="n">
        <v>38388</v>
      </c>
      <c r="B1992" s="29">
        <f>VLOOKUP(A1992,'Database Claims'!$A:$C,3,)</f>
        <v/>
      </c>
      <c r="C1992" s="29">
        <f>B1992-B1991</f>
        <v/>
      </c>
      <c r="D1992" s="29">
        <f>VLOOKUP(A1992,'Database Claims'!$A:$C,2,)</f>
        <v/>
      </c>
      <c r="E1992" s="29">
        <f>D1992-D1991</f>
        <v/>
      </c>
    </row>
    <row r="1993">
      <c r="A1993" s="28" t="n">
        <v>38395</v>
      </c>
      <c r="B1993" s="25">
        <f>VLOOKUP(A1993,'Database Claims'!$A:$C,3,)</f>
        <v/>
      </c>
      <c r="C1993" s="29">
        <f>B1993-B1992</f>
        <v/>
      </c>
      <c r="D1993" s="25">
        <f>VLOOKUP(A1993,'Database Claims'!$A:$C,2,)</f>
        <v/>
      </c>
      <c r="E1993" s="29">
        <f>D1993-D1992</f>
        <v/>
      </c>
    </row>
    <row r="1994">
      <c r="A1994" s="28" t="n">
        <v>38402</v>
      </c>
      <c r="B1994" s="29">
        <f>VLOOKUP(A1994,'Database Claims'!$A:$C,3,)</f>
        <v/>
      </c>
      <c r="C1994" s="29">
        <f>B1994-B1993</f>
        <v/>
      </c>
      <c r="D1994" s="29">
        <f>VLOOKUP(A1994,'Database Claims'!$A:$C,2,)</f>
        <v/>
      </c>
      <c r="E1994" s="29">
        <f>D1994-D1993</f>
        <v/>
      </c>
    </row>
    <row r="1995">
      <c r="A1995" s="28" t="n">
        <v>38409</v>
      </c>
      <c r="B1995" s="25">
        <f>VLOOKUP(A1995,'Database Claims'!$A:$C,3,)</f>
        <v/>
      </c>
      <c r="C1995" s="29">
        <f>B1995-B1994</f>
        <v/>
      </c>
      <c r="D1995" s="25">
        <f>VLOOKUP(A1995,'Database Claims'!$A:$C,2,)</f>
        <v/>
      </c>
      <c r="E1995" s="29">
        <f>D1995-D1994</f>
        <v/>
      </c>
    </row>
    <row r="1996">
      <c r="A1996" s="28" t="n">
        <v>38416</v>
      </c>
      <c r="B1996" s="29">
        <f>VLOOKUP(A1996,'Database Claims'!$A:$C,3,)</f>
        <v/>
      </c>
      <c r="C1996" s="29">
        <f>B1996-B1995</f>
        <v/>
      </c>
      <c r="D1996" s="29">
        <f>VLOOKUP(A1996,'Database Claims'!$A:$C,2,)</f>
        <v/>
      </c>
      <c r="E1996" s="29">
        <f>D1996-D1995</f>
        <v/>
      </c>
    </row>
    <row r="1997">
      <c r="A1997" s="28" t="n">
        <v>38423</v>
      </c>
      <c r="B1997" s="25">
        <f>VLOOKUP(A1997,'Database Claims'!$A:$C,3,)</f>
        <v/>
      </c>
      <c r="C1997" s="29">
        <f>B1997-B1996</f>
        <v/>
      </c>
      <c r="D1997" s="25">
        <f>VLOOKUP(A1997,'Database Claims'!$A:$C,2,)</f>
        <v/>
      </c>
      <c r="E1997" s="29">
        <f>D1997-D1996</f>
        <v/>
      </c>
    </row>
    <row r="1998">
      <c r="A1998" s="28" t="n">
        <v>38430</v>
      </c>
      <c r="B1998" s="29">
        <f>VLOOKUP(A1998,'Database Claims'!$A:$C,3,)</f>
        <v/>
      </c>
      <c r="C1998" s="29">
        <f>B1998-B1997</f>
        <v/>
      </c>
      <c r="D1998" s="29">
        <f>VLOOKUP(A1998,'Database Claims'!$A:$C,2,)</f>
        <v/>
      </c>
      <c r="E1998" s="29">
        <f>D1998-D1997</f>
        <v/>
      </c>
    </row>
    <row r="1999">
      <c r="A1999" s="28" t="n">
        <v>38437</v>
      </c>
      <c r="B1999" s="25">
        <f>VLOOKUP(A1999,'Database Claims'!$A:$C,3,)</f>
        <v/>
      </c>
      <c r="C1999" s="29">
        <f>B1999-B1998</f>
        <v/>
      </c>
      <c r="D1999" s="25">
        <f>VLOOKUP(A1999,'Database Claims'!$A:$C,2,)</f>
        <v/>
      </c>
      <c r="E1999" s="29">
        <f>D1999-D1998</f>
        <v/>
      </c>
    </row>
    <row r="2000">
      <c r="A2000" s="28" t="n">
        <v>38444</v>
      </c>
      <c r="B2000" s="29">
        <f>VLOOKUP(A2000,'Database Claims'!$A:$C,3,)</f>
        <v/>
      </c>
      <c r="C2000" s="29">
        <f>B2000-B1999</f>
        <v/>
      </c>
      <c r="D2000" s="29">
        <f>VLOOKUP(A2000,'Database Claims'!$A:$C,2,)</f>
        <v/>
      </c>
      <c r="E2000" s="29">
        <f>D2000-D1999</f>
        <v/>
      </c>
    </row>
    <row r="2001">
      <c r="A2001" s="28" t="n">
        <v>38451</v>
      </c>
      <c r="B2001" s="25">
        <f>VLOOKUP(A2001,'Database Claims'!$A:$C,3,)</f>
        <v/>
      </c>
      <c r="C2001" s="29">
        <f>B2001-B2000</f>
        <v/>
      </c>
      <c r="D2001" s="25">
        <f>VLOOKUP(A2001,'Database Claims'!$A:$C,2,)</f>
        <v/>
      </c>
      <c r="E2001" s="29">
        <f>D2001-D2000</f>
        <v/>
      </c>
    </row>
    <row r="2002">
      <c r="A2002" s="28" t="n">
        <v>38458</v>
      </c>
      <c r="B2002" s="29">
        <f>VLOOKUP(A2002,'Database Claims'!$A:$C,3,)</f>
        <v/>
      </c>
      <c r="C2002" s="29">
        <f>B2002-B2001</f>
        <v/>
      </c>
      <c r="D2002" s="29">
        <f>VLOOKUP(A2002,'Database Claims'!$A:$C,2,)</f>
        <v/>
      </c>
      <c r="E2002" s="29">
        <f>D2002-D2001</f>
        <v/>
      </c>
    </row>
    <row r="2003">
      <c r="A2003" s="28" t="n">
        <v>38465</v>
      </c>
      <c r="B2003" s="25">
        <f>VLOOKUP(A2003,'Database Claims'!$A:$C,3,)</f>
        <v/>
      </c>
      <c r="C2003" s="29">
        <f>B2003-B2002</f>
        <v/>
      </c>
      <c r="D2003" s="25">
        <f>VLOOKUP(A2003,'Database Claims'!$A:$C,2,)</f>
        <v/>
      </c>
      <c r="E2003" s="29">
        <f>D2003-D2002</f>
        <v/>
      </c>
    </row>
    <row r="2004">
      <c r="A2004" s="28" t="n">
        <v>38472</v>
      </c>
      <c r="B2004" s="29">
        <f>VLOOKUP(A2004,'Database Claims'!$A:$C,3,)</f>
        <v/>
      </c>
      <c r="C2004" s="29">
        <f>B2004-B2003</f>
        <v/>
      </c>
      <c r="D2004" s="29">
        <f>VLOOKUP(A2004,'Database Claims'!$A:$C,2,)</f>
        <v/>
      </c>
      <c r="E2004" s="29">
        <f>D2004-D2003</f>
        <v/>
      </c>
    </row>
    <row r="2005">
      <c r="A2005" s="28" t="n">
        <v>38479</v>
      </c>
      <c r="B2005" s="25">
        <f>VLOOKUP(A2005,'Database Claims'!$A:$C,3,)</f>
        <v/>
      </c>
      <c r="C2005" s="29">
        <f>B2005-B2004</f>
        <v/>
      </c>
      <c r="D2005" s="25">
        <f>VLOOKUP(A2005,'Database Claims'!$A:$C,2,)</f>
        <v/>
      </c>
      <c r="E2005" s="29">
        <f>D2005-D2004</f>
        <v/>
      </c>
    </row>
    <row r="2006">
      <c r="A2006" s="28" t="n">
        <v>38486</v>
      </c>
      <c r="B2006" s="29">
        <f>VLOOKUP(A2006,'Database Claims'!$A:$C,3,)</f>
        <v/>
      </c>
      <c r="C2006" s="29">
        <f>B2006-B2005</f>
        <v/>
      </c>
      <c r="D2006" s="29">
        <f>VLOOKUP(A2006,'Database Claims'!$A:$C,2,)</f>
        <v/>
      </c>
      <c r="E2006" s="29">
        <f>D2006-D2005</f>
        <v/>
      </c>
    </row>
    <row r="2007">
      <c r="A2007" s="28" t="n">
        <v>38493</v>
      </c>
      <c r="B2007" s="25">
        <f>VLOOKUP(A2007,'Database Claims'!$A:$C,3,)</f>
        <v/>
      </c>
      <c r="C2007" s="29">
        <f>B2007-B2006</f>
        <v/>
      </c>
      <c r="D2007" s="25">
        <f>VLOOKUP(A2007,'Database Claims'!$A:$C,2,)</f>
        <v/>
      </c>
      <c r="E2007" s="29">
        <f>D2007-D2006</f>
        <v/>
      </c>
    </row>
    <row r="2008">
      <c r="A2008" s="28" t="n">
        <v>38500</v>
      </c>
      <c r="B2008" s="29">
        <f>VLOOKUP(A2008,'Database Claims'!$A:$C,3,)</f>
        <v/>
      </c>
      <c r="C2008" s="29">
        <f>B2008-B2007</f>
        <v/>
      </c>
      <c r="D2008" s="29">
        <f>VLOOKUP(A2008,'Database Claims'!$A:$C,2,)</f>
        <v/>
      </c>
      <c r="E2008" s="29">
        <f>D2008-D2007</f>
        <v/>
      </c>
    </row>
    <row r="2009">
      <c r="A2009" s="28" t="n">
        <v>38507</v>
      </c>
      <c r="B2009" s="25">
        <f>VLOOKUP(A2009,'Database Claims'!$A:$C,3,)</f>
        <v/>
      </c>
      <c r="C2009" s="29">
        <f>B2009-B2008</f>
        <v/>
      </c>
      <c r="D2009" s="25">
        <f>VLOOKUP(A2009,'Database Claims'!$A:$C,2,)</f>
        <v/>
      </c>
      <c r="E2009" s="29">
        <f>D2009-D2008</f>
        <v/>
      </c>
    </row>
    <row r="2010">
      <c r="A2010" s="28" t="n">
        <v>38514</v>
      </c>
      <c r="B2010" s="29">
        <f>VLOOKUP(A2010,'Database Claims'!$A:$C,3,)</f>
        <v/>
      </c>
      <c r="C2010" s="29">
        <f>B2010-B2009</f>
        <v/>
      </c>
      <c r="D2010" s="29">
        <f>VLOOKUP(A2010,'Database Claims'!$A:$C,2,)</f>
        <v/>
      </c>
      <c r="E2010" s="29">
        <f>D2010-D2009</f>
        <v/>
      </c>
    </row>
    <row r="2011">
      <c r="A2011" s="28" t="n">
        <v>38521</v>
      </c>
      <c r="B2011" s="25">
        <f>VLOOKUP(A2011,'Database Claims'!$A:$C,3,)</f>
        <v/>
      </c>
      <c r="C2011" s="29">
        <f>B2011-B2010</f>
        <v/>
      </c>
      <c r="D2011" s="25">
        <f>VLOOKUP(A2011,'Database Claims'!$A:$C,2,)</f>
        <v/>
      </c>
      <c r="E2011" s="29">
        <f>D2011-D2010</f>
        <v/>
      </c>
    </row>
    <row r="2012">
      <c r="A2012" s="28" t="n">
        <v>38528</v>
      </c>
      <c r="B2012" s="29">
        <f>VLOOKUP(A2012,'Database Claims'!$A:$C,3,)</f>
        <v/>
      </c>
      <c r="C2012" s="29">
        <f>B2012-B2011</f>
        <v/>
      </c>
      <c r="D2012" s="29">
        <f>VLOOKUP(A2012,'Database Claims'!$A:$C,2,)</f>
        <v/>
      </c>
      <c r="E2012" s="29">
        <f>D2012-D2011</f>
        <v/>
      </c>
    </row>
    <row r="2013">
      <c r="A2013" s="28" t="n">
        <v>38535</v>
      </c>
      <c r="B2013" s="25">
        <f>VLOOKUP(A2013,'Database Claims'!$A:$C,3,)</f>
        <v/>
      </c>
      <c r="C2013" s="29">
        <f>B2013-B2012</f>
        <v/>
      </c>
      <c r="D2013" s="25">
        <f>VLOOKUP(A2013,'Database Claims'!$A:$C,2,)</f>
        <v/>
      </c>
      <c r="E2013" s="29">
        <f>D2013-D2012</f>
        <v/>
      </c>
    </row>
    <row r="2014">
      <c r="A2014" s="28" t="n">
        <v>38542</v>
      </c>
      <c r="B2014" s="29">
        <f>VLOOKUP(A2014,'Database Claims'!$A:$C,3,)</f>
        <v/>
      </c>
      <c r="C2014" s="29">
        <f>B2014-B2013</f>
        <v/>
      </c>
      <c r="D2014" s="29">
        <f>VLOOKUP(A2014,'Database Claims'!$A:$C,2,)</f>
        <v/>
      </c>
      <c r="E2014" s="29">
        <f>D2014-D2013</f>
        <v/>
      </c>
    </row>
    <row r="2015">
      <c r="A2015" s="28" t="n">
        <v>38549</v>
      </c>
      <c r="B2015" s="25">
        <f>VLOOKUP(A2015,'Database Claims'!$A:$C,3,)</f>
        <v/>
      </c>
      <c r="C2015" s="29">
        <f>B2015-B2014</f>
        <v/>
      </c>
      <c r="D2015" s="25">
        <f>VLOOKUP(A2015,'Database Claims'!$A:$C,2,)</f>
        <v/>
      </c>
      <c r="E2015" s="29">
        <f>D2015-D2014</f>
        <v/>
      </c>
    </row>
    <row r="2016">
      <c r="A2016" s="28" t="n">
        <v>38556</v>
      </c>
      <c r="B2016" s="29">
        <f>VLOOKUP(A2016,'Database Claims'!$A:$C,3,)</f>
        <v/>
      </c>
      <c r="C2016" s="29">
        <f>B2016-B2015</f>
        <v/>
      </c>
      <c r="D2016" s="29">
        <f>VLOOKUP(A2016,'Database Claims'!$A:$C,2,)</f>
        <v/>
      </c>
      <c r="E2016" s="29">
        <f>D2016-D2015</f>
        <v/>
      </c>
    </row>
    <row r="2017">
      <c r="A2017" s="28" t="n">
        <v>38563</v>
      </c>
      <c r="B2017" s="25">
        <f>VLOOKUP(A2017,'Database Claims'!$A:$C,3,)</f>
        <v/>
      </c>
      <c r="C2017" s="29">
        <f>B2017-B2016</f>
        <v/>
      </c>
      <c r="D2017" s="25">
        <f>VLOOKUP(A2017,'Database Claims'!$A:$C,2,)</f>
        <v/>
      </c>
      <c r="E2017" s="29">
        <f>D2017-D2016</f>
        <v/>
      </c>
    </row>
    <row r="2018">
      <c r="A2018" s="28" t="n">
        <v>38570</v>
      </c>
      <c r="B2018" s="29">
        <f>VLOOKUP(A2018,'Database Claims'!$A:$C,3,)</f>
        <v/>
      </c>
      <c r="C2018" s="29">
        <f>B2018-B2017</f>
        <v/>
      </c>
      <c r="D2018" s="29">
        <f>VLOOKUP(A2018,'Database Claims'!$A:$C,2,)</f>
        <v/>
      </c>
      <c r="E2018" s="29">
        <f>D2018-D2017</f>
        <v/>
      </c>
    </row>
    <row r="2019">
      <c r="A2019" s="28" t="n">
        <v>38577</v>
      </c>
      <c r="B2019" s="25">
        <f>VLOOKUP(A2019,'Database Claims'!$A:$C,3,)</f>
        <v/>
      </c>
      <c r="C2019" s="29">
        <f>B2019-B2018</f>
        <v/>
      </c>
      <c r="D2019" s="25">
        <f>VLOOKUP(A2019,'Database Claims'!$A:$C,2,)</f>
        <v/>
      </c>
      <c r="E2019" s="29">
        <f>D2019-D2018</f>
        <v/>
      </c>
    </row>
    <row r="2020">
      <c r="A2020" s="28" t="n">
        <v>38584</v>
      </c>
      <c r="B2020" s="29">
        <f>VLOOKUP(A2020,'Database Claims'!$A:$C,3,)</f>
        <v/>
      </c>
      <c r="C2020" s="29">
        <f>B2020-B2019</f>
        <v/>
      </c>
      <c r="D2020" s="29">
        <f>VLOOKUP(A2020,'Database Claims'!$A:$C,2,)</f>
        <v/>
      </c>
      <c r="E2020" s="29">
        <f>D2020-D2019</f>
        <v/>
      </c>
    </row>
    <row r="2021">
      <c r="A2021" s="28" t="n">
        <v>38591</v>
      </c>
      <c r="B2021" s="25">
        <f>VLOOKUP(A2021,'Database Claims'!$A:$C,3,)</f>
        <v/>
      </c>
      <c r="C2021" s="29">
        <f>B2021-B2020</f>
        <v/>
      </c>
      <c r="D2021" s="25">
        <f>VLOOKUP(A2021,'Database Claims'!$A:$C,2,)</f>
        <v/>
      </c>
      <c r="E2021" s="29">
        <f>D2021-D2020</f>
        <v/>
      </c>
    </row>
    <row r="2022">
      <c r="A2022" s="28" t="n">
        <v>38598</v>
      </c>
      <c r="B2022" s="29">
        <f>VLOOKUP(A2022,'Database Claims'!$A:$C,3,)</f>
        <v/>
      </c>
      <c r="C2022" s="29">
        <f>B2022-B2021</f>
        <v/>
      </c>
      <c r="D2022" s="29">
        <f>VLOOKUP(A2022,'Database Claims'!$A:$C,2,)</f>
        <v/>
      </c>
      <c r="E2022" s="29">
        <f>D2022-D2021</f>
        <v/>
      </c>
    </row>
    <row r="2023">
      <c r="A2023" s="28" t="n">
        <v>38605</v>
      </c>
      <c r="B2023" s="25">
        <f>VLOOKUP(A2023,'Database Claims'!$A:$C,3,)</f>
        <v/>
      </c>
      <c r="C2023" s="29">
        <f>B2023-B2022</f>
        <v/>
      </c>
      <c r="D2023" s="25">
        <f>VLOOKUP(A2023,'Database Claims'!$A:$C,2,)</f>
        <v/>
      </c>
      <c r="E2023" s="29">
        <f>D2023-D2022</f>
        <v/>
      </c>
    </row>
    <row r="2024">
      <c r="A2024" s="28" t="n">
        <v>38612</v>
      </c>
      <c r="B2024" s="29">
        <f>VLOOKUP(A2024,'Database Claims'!$A:$C,3,)</f>
        <v/>
      </c>
      <c r="C2024" s="29">
        <f>B2024-B2023</f>
        <v/>
      </c>
      <c r="D2024" s="29">
        <f>VLOOKUP(A2024,'Database Claims'!$A:$C,2,)</f>
        <v/>
      </c>
      <c r="E2024" s="29">
        <f>D2024-D2023</f>
        <v/>
      </c>
    </row>
    <row r="2025">
      <c r="A2025" s="28" t="n">
        <v>38619</v>
      </c>
      <c r="B2025" s="25">
        <f>VLOOKUP(A2025,'Database Claims'!$A:$C,3,)</f>
        <v/>
      </c>
      <c r="C2025" s="29">
        <f>B2025-B2024</f>
        <v/>
      </c>
      <c r="D2025" s="25">
        <f>VLOOKUP(A2025,'Database Claims'!$A:$C,2,)</f>
        <v/>
      </c>
      <c r="E2025" s="29">
        <f>D2025-D2024</f>
        <v/>
      </c>
    </row>
    <row r="2026">
      <c r="A2026" s="28" t="n">
        <v>38626</v>
      </c>
      <c r="B2026" s="29">
        <f>VLOOKUP(A2026,'Database Claims'!$A:$C,3,)</f>
        <v/>
      </c>
      <c r="C2026" s="29">
        <f>B2026-B2025</f>
        <v/>
      </c>
      <c r="D2026" s="29">
        <f>VLOOKUP(A2026,'Database Claims'!$A:$C,2,)</f>
        <v/>
      </c>
      <c r="E2026" s="29">
        <f>D2026-D2025</f>
        <v/>
      </c>
    </row>
    <row r="2027">
      <c r="A2027" s="28" t="n">
        <v>38633</v>
      </c>
      <c r="B2027" s="25">
        <f>VLOOKUP(A2027,'Database Claims'!$A:$C,3,)</f>
        <v/>
      </c>
      <c r="C2027" s="29">
        <f>B2027-B2026</f>
        <v/>
      </c>
      <c r="D2027" s="25">
        <f>VLOOKUP(A2027,'Database Claims'!$A:$C,2,)</f>
        <v/>
      </c>
      <c r="E2027" s="29">
        <f>D2027-D2026</f>
        <v/>
      </c>
    </row>
    <row r="2028">
      <c r="A2028" s="28" t="n">
        <v>38640</v>
      </c>
      <c r="B2028" s="29">
        <f>VLOOKUP(A2028,'Database Claims'!$A:$C,3,)</f>
        <v/>
      </c>
      <c r="C2028" s="29">
        <f>B2028-B2027</f>
        <v/>
      </c>
      <c r="D2028" s="29">
        <f>VLOOKUP(A2028,'Database Claims'!$A:$C,2,)</f>
        <v/>
      </c>
      <c r="E2028" s="29">
        <f>D2028-D2027</f>
        <v/>
      </c>
    </row>
    <row r="2029">
      <c r="A2029" s="28" t="n">
        <v>38647</v>
      </c>
      <c r="B2029" s="25">
        <f>VLOOKUP(A2029,'Database Claims'!$A:$C,3,)</f>
        <v/>
      </c>
      <c r="C2029" s="29">
        <f>B2029-B2028</f>
        <v/>
      </c>
      <c r="D2029" s="25">
        <f>VLOOKUP(A2029,'Database Claims'!$A:$C,2,)</f>
        <v/>
      </c>
      <c r="E2029" s="29">
        <f>D2029-D2028</f>
        <v/>
      </c>
    </row>
    <row r="2030">
      <c r="A2030" s="28" t="n">
        <v>38654</v>
      </c>
      <c r="B2030" s="29">
        <f>VLOOKUP(A2030,'Database Claims'!$A:$C,3,)</f>
        <v/>
      </c>
      <c r="C2030" s="29">
        <f>B2030-B2029</f>
        <v/>
      </c>
      <c r="D2030" s="29">
        <f>VLOOKUP(A2030,'Database Claims'!$A:$C,2,)</f>
        <v/>
      </c>
      <c r="E2030" s="29">
        <f>D2030-D2029</f>
        <v/>
      </c>
    </row>
    <row r="2031">
      <c r="A2031" s="28" t="n">
        <v>38661</v>
      </c>
      <c r="B2031" s="25">
        <f>VLOOKUP(A2031,'Database Claims'!$A:$C,3,)</f>
        <v/>
      </c>
      <c r="C2031" s="29">
        <f>B2031-B2030</f>
        <v/>
      </c>
      <c r="D2031" s="25">
        <f>VLOOKUP(A2031,'Database Claims'!$A:$C,2,)</f>
        <v/>
      </c>
      <c r="E2031" s="29">
        <f>D2031-D2030</f>
        <v/>
      </c>
    </row>
    <row r="2032">
      <c r="A2032" s="28" t="n">
        <v>38668</v>
      </c>
      <c r="B2032" s="29">
        <f>VLOOKUP(A2032,'Database Claims'!$A:$C,3,)</f>
        <v/>
      </c>
      <c r="C2032" s="29">
        <f>B2032-B2031</f>
        <v/>
      </c>
      <c r="D2032" s="29">
        <f>VLOOKUP(A2032,'Database Claims'!$A:$C,2,)</f>
        <v/>
      </c>
      <c r="E2032" s="29">
        <f>D2032-D2031</f>
        <v/>
      </c>
    </row>
    <row r="2033">
      <c r="A2033" s="28" t="n">
        <v>38675</v>
      </c>
      <c r="B2033" s="25">
        <f>VLOOKUP(A2033,'Database Claims'!$A:$C,3,)</f>
        <v/>
      </c>
      <c r="C2033" s="29">
        <f>B2033-B2032</f>
        <v/>
      </c>
      <c r="D2033" s="25">
        <f>VLOOKUP(A2033,'Database Claims'!$A:$C,2,)</f>
        <v/>
      </c>
      <c r="E2033" s="29">
        <f>D2033-D2032</f>
        <v/>
      </c>
    </row>
    <row r="2034">
      <c r="A2034" s="28" t="n">
        <v>38682</v>
      </c>
      <c r="B2034" s="29">
        <f>VLOOKUP(A2034,'Database Claims'!$A:$C,3,)</f>
        <v/>
      </c>
      <c r="C2034" s="29">
        <f>B2034-B2033</f>
        <v/>
      </c>
      <c r="D2034" s="29">
        <f>VLOOKUP(A2034,'Database Claims'!$A:$C,2,)</f>
        <v/>
      </c>
      <c r="E2034" s="29">
        <f>D2034-D2033</f>
        <v/>
      </c>
    </row>
    <row r="2035">
      <c r="A2035" s="28" t="n">
        <v>38689</v>
      </c>
      <c r="B2035" s="25">
        <f>VLOOKUP(A2035,'Database Claims'!$A:$C,3,)</f>
        <v/>
      </c>
      <c r="C2035" s="29">
        <f>B2035-B2034</f>
        <v/>
      </c>
      <c r="D2035" s="25">
        <f>VLOOKUP(A2035,'Database Claims'!$A:$C,2,)</f>
        <v/>
      </c>
      <c r="E2035" s="29">
        <f>D2035-D2034</f>
        <v/>
      </c>
    </row>
    <row r="2036">
      <c r="A2036" s="28" t="n">
        <v>38696</v>
      </c>
      <c r="B2036" s="29">
        <f>VLOOKUP(A2036,'Database Claims'!$A:$C,3,)</f>
        <v/>
      </c>
      <c r="C2036" s="29">
        <f>B2036-B2035</f>
        <v/>
      </c>
      <c r="D2036" s="29">
        <f>VLOOKUP(A2036,'Database Claims'!$A:$C,2,)</f>
        <v/>
      </c>
      <c r="E2036" s="29">
        <f>D2036-D2035</f>
        <v/>
      </c>
    </row>
    <row r="2037">
      <c r="A2037" s="28" t="n">
        <v>38703</v>
      </c>
      <c r="B2037" s="25">
        <f>VLOOKUP(A2037,'Database Claims'!$A:$C,3,)</f>
        <v/>
      </c>
      <c r="C2037" s="29">
        <f>B2037-B2036</f>
        <v/>
      </c>
      <c r="D2037" s="25">
        <f>VLOOKUP(A2037,'Database Claims'!$A:$C,2,)</f>
        <v/>
      </c>
      <c r="E2037" s="29">
        <f>D2037-D2036</f>
        <v/>
      </c>
    </row>
    <row r="2038">
      <c r="A2038" s="28" t="n">
        <v>38710</v>
      </c>
      <c r="B2038" s="29">
        <f>VLOOKUP(A2038,'Database Claims'!$A:$C,3,)</f>
        <v/>
      </c>
      <c r="C2038" s="29">
        <f>B2038-B2037</f>
        <v/>
      </c>
      <c r="D2038" s="29">
        <f>VLOOKUP(A2038,'Database Claims'!$A:$C,2,)</f>
        <v/>
      </c>
      <c r="E2038" s="29">
        <f>D2038-D2037</f>
        <v/>
      </c>
    </row>
    <row r="2039">
      <c r="A2039" s="28" t="n">
        <v>38717</v>
      </c>
      <c r="B2039" s="25">
        <f>VLOOKUP(A2039,'Database Claims'!$A:$C,3,)</f>
        <v/>
      </c>
      <c r="C2039" s="29">
        <f>B2039-B2038</f>
        <v/>
      </c>
      <c r="D2039" s="25">
        <f>VLOOKUP(A2039,'Database Claims'!$A:$C,2,)</f>
        <v/>
      </c>
      <c r="E2039" s="29">
        <f>D2039-D2038</f>
        <v/>
      </c>
    </row>
    <row r="2040">
      <c r="A2040" s="28" t="n">
        <v>38724</v>
      </c>
      <c r="B2040" s="29">
        <f>VLOOKUP(A2040,'Database Claims'!$A:$C,3,)</f>
        <v/>
      </c>
      <c r="C2040" s="29">
        <f>B2040-B2039</f>
        <v/>
      </c>
      <c r="D2040" s="29">
        <f>VLOOKUP(A2040,'Database Claims'!$A:$C,2,)</f>
        <v/>
      </c>
      <c r="E2040" s="29">
        <f>D2040-D2039</f>
        <v/>
      </c>
    </row>
    <row r="2041">
      <c r="A2041" s="28" t="n">
        <v>38731</v>
      </c>
      <c r="B2041" s="25">
        <f>VLOOKUP(A2041,'Database Claims'!$A:$C,3,)</f>
        <v/>
      </c>
      <c r="C2041" s="29">
        <f>B2041-B2040</f>
        <v/>
      </c>
      <c r="D2041" s="25">
        <f>VLOOKUP(A2041,'Database Claims'!$A:$C,2,)</f>
        <v/>
      </c>
      <c r="E2041" s="29">
        <f>D2041-D2040</f>
        <v/>
      </c>
    </row>
    <row r="2042">
      <c r="A2042" s="28" t="n">
        <v>38738</v>
      </c>
      <c r="B2042" s="29">
        <f>VLOOKUP(A2042,'Database Claims'!$A:$C,3,)</f>
        <v/>
      </c>
      <c r="C2042" s="29">
        <f>B2042-B2041</f>
        <v/>
      </c>
      <c r="D2042" s="29">
        <f>VLOOKUP(A2042,'Database Claims'!$A:$C,2,)</f>
        <v/>
      </c>
      <c r="E2042" s="29">
        <f>D2042-D2041</f>
        <v/>
      </c>
    </row>
    <row r="2043">
      <c r="A2043" s="28" t="n">
        <v>38745</v>
      </c>
      <c r="B2043" s="25">
        <f>VLOOKUP(A2043,'Database Claims'!$A:$C,3,)</f>
        <v/>
      </c>
      <c r="C2043" s="29">
        <f>B2043-B2042</f>
        <v/>
      </c>
      <c r="D2043" s="25">
        <f>VLOOKUP(A2043,'Database Claims'!$A:$C,2,)</f>
        <v/>
      </c>
      <c r="E2043" s="29">
        <f>D2043-D2042</f>
        <v/>
      </c>
    </row>
    <row r="2044">
      <c r="A2044" s="28" t="n">
        <v>38752</v>
      </c>
      <c r="B2044" s="29">
        <f>VLOOKUP(A2044,'Database Claims'!$A:$C,3,)</f>
        <v/>
      </c>
      <c r="C2044" s="29">
        <f>B2044-B2043</f>
        <v/>
      </c>
      <c r="D2044" s="29">
        <f>VLOOKUP(A2044,'Database Claims'!$A:$C,2,)</f>
        <v/>
      </c>
      <c r="E2044" s="29">
        <f>D2044-D2043</f>
        <v/>
      </c>
    </row>
    <row r="2045">
      <c r="A2045" s="28" t="n">
        <v>38759</v>
      </c>
      <c r="B2045" s="25">
        <f>VLOOKUP(A2045,'Database Claims'!$A:$C,3,)</f>
        <v/>
      </c>
      <c r="C2045" s="29">
        <f>B2045-B2044</f>
        <v/>
      </c>
      <c r="D2045" s="25">
        <f>VLOOKUP(A2045,'Database Claims'!$A:$C,2,)</f>
        <v/>
      </c>
      <c r="E2045" s="29">
        <f>D2045-D2044</f>
        <v/>
      </c>
    </row>
    <row r="2046">
      <c r="A2046" s="28" t="n">
        <v>38766</v>
      </c>
      <c r="B2046" s="29">
        <f>VLOOKUP(A2046,'Database Claims'!$A:$C,3,)</f>
        <v/>
      </c>
      <c r="C2046" s="29">
        <f>B2046-B2045</f>
        <v/>
      </c>
      <c r="D2046" s="29">
        <f>VLOOKUP(A2046,'Database Claims'!$A:$C,2,)</f>
        <v/>
      </c>
      <c r="E2046" s="29">
        <f>D2046-D2045</f>
        <v/>
      </c>
    </row>
    <row r="2047">
      <c r="A2047" s="28" t="n">
        <v>38773</v>
      </c>
      <c r="B2047" s="25">
        <f>VLOOKUP(A2047,'Database Claims'!$A:$C,3,)</f>
        <v/>
      </c>
      <c r="C2047" s="29">
        <f>B2047-B2046</f>
        <v/>
      </c>
      <c r="D2047" s="25">
        <f>VLOOKUP(A2047,'Database Claims'!$A:$C,2,)</f>
        <v/>
      </c>
      <c r="E2047" s="29">
        <f>D2047-D2046</f>
        <v/>
      </c>
    </row>
    <row r="2048">
      <c r="A2048" s="28" t="n">
        <v>38780</v>
      </c>
      <c r="B2048" s="29">
        <f>VLOOKUP(A2048,'Database Claims'!$A:$C,3,)</f>
        <v/>
      </c>
      <c r="C2048" s="29">
        <f>B2048-B2047</f>
        <v/>
      </c>
      <c r="D2048" s="29">
        <f>VLOOKUP(A2048,'Database Claims'!$A:$C,2,)</f>
        <v/>
      </c>
      <c r="E2048" s="29">
        <f>D2048-D2047</f>
        <v/>
      </c>
    </row>
    <row r="2049">
      <c r="A2049" s="28" t="n">
        <v>38787</v>
      </c>
      <c r="B2049" s="25">
        <f>VLOOKUP(A2049,'Database Claims'!$A:$C,3,)</f>
        <v/>
      </c>
      <c r="C2049" s="29">
        <f>B2049-B2048</f>
        <v/>
      </c>
      <c r="D2049" s="25">
        <f>VLOOKUP(A2049,'Database Claims'!$A:$C,2,)</f>
        <v/>
      </c>
      <c r="E2049" s="29">
        <f>D2049-D2048</f>
        <v/>
      </c>
    </row>
    <row r="2050">
      <c r="A2050" s="28" t="n">
        <v>38794</v>
      </c>
      <c r="B2050" s="29">
        <f>VLOOKUP(A2050,'Database Claims'!$A:$C,3,)</f>
        <v/>
      </c>
      <c r="C2050" s="29">
        <f>B2050-B2049</f>
        <v/>
      </c>
      <c r="D2050" s="29">
        <f>VLOOKUP(A2050,'Database Claims'!$A:$C,2,)</f>
        <v/>
      </c>
      <c r="E2050" s="29">
        <f>D2050-D2049</f>
        <v/>
      </c>
    </row>
    <row r="2051">
      <c r="A2051" s="28" t="n">
        <v>38801</v>
      </c>
      <c r="B2051" s="25">
        <f>VLOOKUP(A2051,'Database Claims'!$A:$C,3,)</f>
        <v/>
      </c>
      <c r="C2051" s="29">
        <f>B2051-B2050</f>
        <v/>
      </c>
      <c r="D2051" s="25">
        <f>VLOOKUP(A2051,'Database Claims'!$A:$C,2,)</f>
        <v/>
      </c>
      <c r="E2051" s="29">
        <f>D2051-D2050</f>
        <v/>
      </c>
    </row>
    <row r="2052">
      <c r="A2052" s="28" t="n">
        <v>38808</v>
      </c>
      <c r="B2052" s="29">
        <f>VLOOKUP(A2052,'Database Claims'!$A:$C,3,)</f>
        <v/>
      </c>
      <c r="C2052" s="29">
        <f>B2052-B2051</f>
        <v/>
      </c>
      <c r="D2052" s="29">
        <f>VLOOKUP(A2052,'Database Claims'!$A:$C,2,)</f>
        <v/>
      </c>
      <c r="E2052" s="29">
        <f>D2052-D2051</f>
        <v/>
      </c>
    </row>
    <row r="2053">
      <c r="A2053" s="28" t="n">
        <v>38815</v>
      </c>
      <c r="B2053" s="25">
        <f>VLOOKUP(A2053,'Database Claims'!$A:$C,3,)</f>
        <v/>
      </c>
      <c r="C2053" s="29">
        <f>B2053-B2052</f>
        <v/>
      </c>
      <c r="D2053" s="25">
        <f>VLOOKUP(A2053,'Database Claims'!$A:$C,2,)</f>
        <v/>
      </c>
      <c r="E2053" s="29">
        <f>D2053-D2052</f>
        <v/>
      </c>
    </row>
    <row r="2054">
      <c r="A2054" s="28" t="n">
        <v>38822</v>
      </c>
      <c r="B2054" s="29">
        <f>VLOOKUP(A2054,'Database Claims'!$A:$C,3,)</f>
        <v/>
      </c>
      <c r="C2054" s="29">
        <f>B2054-B2053</f>
        <v/>
      </c>
      <c r="D2054" s="29">
        <f>VLOOKUP(A2054,'Database Claims'!$A:$C,2,)</f>
        <v/>
      </c>
      <c r="E2054" s="29">
        <f>D2054-D2053</f>
        <v/>
      </c>
    </row>
    <row r="2055">
      <c r="A2055" s="28" t="n">
        <v>38829</v>
      </c>
      <c r="B2055" s="25">
        <f>VLOOKUP(A2055,'Database Claims'!$A:$C,3,)</f>
        <v/>
      </c>
      <c r="C2055" s="29">
        <f>B2055-B2054</f>
        <v/>
      </c>
      <c r="D2055" s="25">
        <f>VLOOKUP(A2055,'Database Claims'!$A:$C,2,)</f>
        <v/>
      </c>
      <c r="E2055" s="29">
        <f>D2055-D2054</f>
        <v/>
      </c>
    </row>
    <row r="2056">
      <c r="A2056" s="28" t="n">
        <v>38836</v>
      </c>
      <c r="B2056" s="29">
        <f>VLOOKUP(A2056,'Database Claims'!$A:$C,3,)</f>
        <v/>
      </c>
      <c r="C2056" s="29">
        <f>B2056-B2055</f>
        <v/>
      </c>
      <c r="D2056" s="29">
        <f>VLOOKUP(A2056,'Database Claims'!$A:$C,2,)</f>
        <v/>
      </c>
      <c r="E2056" s="29">
        <f>D2056-D2055</f>
        <v/>
      </c>
    </row>
    <row r="2057">
      <c r="A2057" s="28" t="n">
        <v>38843</v>
      </c>
      <c r="B2057" s="25">
        <f>VLOOKUP(A2057,'Database Claims'!$A:$C,3,)</f>
        <v/>
      </c>
      <c r="C2057" s="29">
        <f>B2057-B2056</f>
        <v/>
      </c>
      <c r="D2057" s="25">
        <f>VLOOKUP(A2057,'Database Claims'!$A:$C,2,)</f>
        <v/>
      </c>
      <c r="E2057" s="29">
        <f>D2057-D2056</f>
        <v/>
      </c>
    </row>
    <row r="2058">
      <c r="A2058" s="28" t="n">
        <v>38850</v>
      </c>
      <c r="B2058" s="29">
        <f>VLOOKUP(A2058,'Database Claims'!$A:$C,3,)</f>
        <v/>
      </c>
      <c r="C2058" s="29">
        <f>B2058-B2057</f>
        <v/>
      </c>
      <c r="D2058" s="29">
        <f>VLOOKUP(A2058,'Database Claims'!$A:$C,2,)</f>
        <v/>
      </c>
      <c r="E2058" s="29">
        <f>D2058-D2057</f>
        <v/>
      </c>
    </row>
    <row r="2059">
      <c r="A2059" s="28" t="n">
        <v>38857</v>
      </c>
      <c r="B2059" s="25">
        <f>VLOOKUP(A2059,'Database Claims'!$A:$C,3,)</f>
        <v/>
      </c>
      <c r="C2059" s="29">
        <f>B2059-B2058</f>
        <v/>
      </c>
      <c r="D2059" s="25">
        <f>VLOOKUP(A2059,'Database Claims'!$A:$C,2,)</f>
        <v/>
      </c>
      <c r="E2059" s="29">
        <f>D2059-D2058</f>
        <v/>
      </c>
    </row>
    <row r="2060">
      <c r="A2060" s="28" t="n">
        <v>38864</v>
      </c>
      <c r="B2060" s="29">
        <f>VLOOKUP(A2060,'Database Claims'!$A:$C,3,)</f>
        <v/>
      </c>
      <c r="C2060" s="29">
        <f>B2060-B2059</f>
        <v/>
      </c>
      <c r="D2060" s="29">
        <f>VLOOKUP(A2060,'Database Claims'!$A:$C,2,)</f>
        <v/>
      </c>
      <c r="E2060" s="29">
        <f>D2060-D2059</f>
        <v/>
      </c>
    </row>
    <row r="2061">
      <c r="A2061" s="28" t="n">
        <v>38871</v>
      </c>
      <c r="B2061" s="25">
        <f>VLOOKUP(A2061,'Database Claims'!$A:$C,3,)</f>
        <v/>
      </c>
      <c r="C2061" s="29">
        <f>B2061-B2060</f>
        <v/>
      </c>
      <c r="D2061" s="25">
        <f>VLOOKUP(A2061,'Database Claims'!$A:$C,2,)</f>
        <v/>
      </c>
      <c r="E2061" s="29">
        <f>D2061-D2060</f>
        <v/>
      </c>
    </row>
    <row r="2062">
      <c r="A2062" s="28" t="n">
        <v>38878</v>
      </c>
      <c r="B2062" s="29">
        <f>VLOOKUP(A2062,'Database Claims'!$A:$C,3,)</f>
        <v/>
      </c>
      <c r="C2062" s="29">
        <f>B2062-B2061</f>
        <v/>
      </c>
      <c r="D2062" s="29">
        <f>VLOOKUP(A2062,'Database Claims'!$A:$C,2,)</f>
        <v/>
      </c>
      <c r="E2062" s="29">
        <f>D2062-D2061</f>
        <v/>
      </c>
    </row>
    <row r="2063">
      <c r="A2063" s="28" t="n">
        <v>38885</v>
      </c>
      <c r="B2063" s="25">
        <f>VLOOKUP(A2063,'Database Claims'!$A:$C,3,)</f>
        <v/>
      </c>
      <c r="C2063" s="29">
        <f>B2063-B2062</f>
        <v/>
      </c>
      <c r="D2063" s="25">
        <f>VLOOKUP(A2063,'Database Claims'!$A:$C,2,)</f>
        <v/>
      </c>
      <c r="E2063" s="29">
        <f>D2063-D2062</f>
        <v/>
      </c>
    </row>
    <row r="2064">
      <c r="A2064" s="28" t="n">
        <v>38892</v>
      </c>
      <c r="B2064" s="29">
        <f>VLOOKUP(A2064,'Database Claims'!$A:$C,3,)</f>
        <v/>
      </c>
      <c r="C2064" s="29">
        <f>B2064-B2063</f>
        <v/>
      </c>
      <c r="D2064" s="29">
        <f>VLOOKUP(A2064,'Database Claims'!$A:$C,2,)</f>
        <v/>
      </c>
      <c r="E2064" s="29">
        <f>D2064-D2063</f>
        <v/>
      </c>
    </row>
    <row r="2065">
      <c r="A2065" s="28" t="n">
        <v>38899</v>
      </c>
      <c r="B2065" s="25">
        <f>VLOOKUP(A2065,'Database Claims'!$A:$C,3,)</f>
        <v/>
      </c>
      <c r="C2065" s="29">
        <f>B2065-B2064</f>
        <v/>
      </c>
      <c r="D2065" s="25">
        <f>VLOOKUP(A2065,'Database Claims'!$A:$C,2,)</f>
        <v/>
      </c>
      <c r="E2065" s="29">
        <f>D2065-D2064</f>
        <v/>
      </c>
    </row>
    <row r="2066">
      <c r="A2066" s="28" t="n">
        <v>38906</v>
      </c>
      <c r="B2066" s="29">
        <f>VLOOKUP(A2066,'Database Claims'!$A:$C,3,)</f>
        <v/>
      </c>
      <c r="C2066" s="29">
        <f>B2066-B2065</f>
        <v/>
      </c>
      <c r="D2066" s="29">
        <f>VLOOKUP(A2066,'Database Claims'!$A:$C,2,)</f>
        <v/>
      </c>
      <c r="E2066" s="29">
        <f>D2066-D2065</f>
        <v/>
      </c>
    </row>
    <row r="2067">
      <c r="A2067" s="28" t="n">
        <v>38913</v>
      </c>
      <c r="B2067" s="25">
        <f>VLOOKUP(A2067,'Database Claims'!$A:$C,3,)</f>
        <v/>
      </c>
      <c r="C2067" s="29">
        <f>B2067-B2066</f>
        <v/>
      </c>
      <c r="D2067" s="25">
        <f>VLOOKUP(A2067,'Database Claims'!$A:$C,2,)</f>
        <v/>
      </c>
      <c r="E2067" s="29">
        <f>D2067-D2066</f>
        <v/>
      </c>
    </row>
    <row r="2068">
      <c r="A2068" s="28" t="n">
        <v>38920</v>
      </c>
      <c r="B2068" s="29">
        <f>VLOOKUP(A2068,'Database Claims'!$A:$C,3,)</f>
        <v/>
      </c>
      <c r="C2068" s="29">
        <f>B2068-B2067</f>
        <v/>
      </c>
      <c r="D2068" s="29">
        <f>VLOOKUP(A2068,'Database Claims'!$A:$C,2,)</f>
        <v/>
      </c>
      <c r="E2068" s="29">
        <f>D2068-D2067</f>
        <v/>
      </c>
    </row>
    <row r="2069">
      <c r="A2069" s="28" t="n">
        <v>38927</v>
      </c>
      <c r="B2069" s="25">
        <f>VLOOKUP(A2069,'Database Claims'!$A:$C,3,)</f>
        <v/>
      </c>
      <c r="C2069" s="29">
        <f>B2069-B2068</f>
        <v/>
      </c>
      <c r="D2069" s="25">
        <f>VLOOKUP(A2069,'Database Claims'!$A:$C,2,)</f>
        <v/>
      </c>
      <c r="E2069" s="29">
        <f>D2069-D2068</f>
        <v/>
      </c>
    </row>
    <row r="2070">
      <c r="A2070" s="28" t="n">
        <v>38934</v>
      </c>
      <c r="B2070" s="29">
        <f>VLOOKUP(A2070,'Database Claims'!$A:$C,3,)</f>
        <v/>
      </c>
      <c r="C2070" s="29">
        <f>B2070-B2069</f>
        <v/>
      </c>
      <c r="D2070" s="29">
        <f>VLOOKUP(A2070,'Database Claims'!$A:$C,2,)</f>
        <v/>
      </c>
      <c r="E2070" s="29">
        <f>D2070-D2069</f>
        <v/>
      </c>
    </row>
    <row r="2071">
      <c r="A2071" s="28" t="n">
        <v>38941</v>
      </c>
      <c r="B2071" s="25">
        <f>VLOOKUP(A2071,'Database Claims'!$A:$C,3,)</f>
        <v/>
      </c>
      <c r="C2071" s="29">
        <f>B2071-B2070</f>
        <v/>
      </c>
      <c r="D2071" s="25">
        <f>VLOOKUP(A2071,'Database Claims'!$A:$C,2,)</f>
        <v/>
      </c>
      <c r="E2071" s="29">
        <f>D2071-D2070</f>
        <v/>
      </c>
    </row>
    <row r="2072">
      <c r="A2072" s="28" t="n">
        <v>38948</v>
      </c>
      <c r="B2072" s="29">
        <f>VLOOKUP(A2072,'Database Claims'!$A:$C,3,)</f>
        <v/>
      </c>
      <c r="C2072" s="29">
        <f>B2072-B2071</f>
        <v/>
      </c>
      <c r="D2072" s="29">
        <f>VLOOKUP(A2072,'Database Claims'!$A:$C,2,)</f>
        <v/>
      </c>
      <c r="E2072" s="29">
        <f>D2072-D2071</f>
        <v/>
      </c>
    </row>
    <row r="2073">
      <c r="A2073" s="28" t="n">
        <v>38955</v>
      </c>
      <c r="B2073" s="25">
        <f>VLOOKUP(A2073,'Database Claims'!$A:$C,3,)</f>
        <v/>
      </c>
      <c r="C2073" s="29">
        <f>B2073-B2072</f>
        <v/>
      </c>
      <c r="D2073" s="25">
        <f>VLOOKUP(A2073,'Database Claims'!$A:$C,2,)</f>
        <v/>
      </c>
      <c r="E2073" s="29">
        <f>D2073-D2072</f>
        <v/>
      </c>
    </row>
    <row r="2074">
      <c r="A2074" s="28" t="n">
        <v>38962</v>
      </c>
      <c r="B2074" s="29">
        <f>VLOOKUP(A2074,'Database Claims'!$A:$C,3,)</f>
        <v/>
      </c>
      <c r="C2074" s="29">
        <f>B2074-B2073</f>
        <v/>
      </c>
      <c r="D2074" s="29">
        <f>VLOOKUP(A2074,'Database Claims'!$A:$C,2,)</f>
        <v/>
      </c>
      <c r="E2074" s="29">
        <f>D2074-D2073</f>
        <v/>
      </c>
    </row>
    <row r="2075">
      <c r="A2075" s="28" t="n">
        <v>38969</v>
      </c>
      <c r="B2075" s="25">
        <f>VLOOKUP(A2075,'Database Claims'!$A:$C,3,)</f>
        <v/>
      </c>
      <c r="C2075" s="29">
        <f>B2075-B2074</f>
        <v/>
      </c>
      <c r="D2075" s="25">
        <f>VLOOKUP(A2075,'Database Claims'!$A:$C,2,)</f>
        <v/>
      </c>
      <c r="E2075" s="29">
        <f>D2075-D2074</f>
        <v/>
      </c>
    </row>
    <row r="2076">
      <c r="A2076" s="28" t="n">
        <v>38976</v>
      </c>
      <c r="B2076" s="29">
        <f>VLOOKUP(A2076,'Database Claims'!$A:$C,3,)</f>
        <v/>
      </c>
      <c r="C2076" s="29">
        <f>B2076-B2075</f>
        <v/>
      </c>
      <c r="D2076" s="29">
        <f>VLOOKUP(A2076,'Database Claims'!$A:$C,2,)</f>
        <v/>
      </c>
      <c r="E2076" s="29">
        <f>D2076-D2075</f>
        <v/>
      </c>
    </row>
    <row r="2077">
      <c r="A2077" s="28" t="n">
        <v>38983</v>
      </c>
      <c r="B2077" s="25">
        <f>VLOOKUP(A2077,'Database Claims'!$A:$C,3,)</f>
        <v/>
      </c>
      <c r="C2077" s="29">
        <f>B2077-B2076</f>
        <v/>
      </c>
      <c r="D2077" s="25">
        <f>VLOOKUP(A2077,'Database Claims'!$A:$C,2,)</f>
        <v/>
      </c>
      <c r="E2077" s="29">
        <f>D2077-D2076</f>
        <v/>
      </c>
    </row>
    <row r="2078">
      <c r="A2078" s="28" t="n">
        <v>38990</v>
      </c>
      <c r="B2078" s="29">
        <f>VLOOKUP(A2078,'Database Claims'!$A:$C,3,)</f>
        <v/>
      </c>
      <c r="C2078" s="29">
        <f>B2078-B2077</f>
        <v/>
      </c>
      <c r="D2078" s="29">
        <f>VLOOKUP(A2078,'Database Claims'!$A:$C,2,)</f>
        <v/>
      </c>
      <c r="E2078" s="29">
        <f>D2078-D2077</f>
        <v/>
      </c>
    </row>
    <row r="2079">
      <c r="A2079" s="28" t="n">
        <v>38997</v>
      </c>
      <c r="B2079" s="25">
        <f>VLOOKUP(A2079,'Database Claims'!$A:$C,3,)</f>
        <v/>
      </c>
      <c r="C2079" s="29">
        <f>B2079-B2078</f>
        <v/>
      </c>
      <c r="D2079" s="25">
        <f>VLOOKUP(A2079,'Database Claims'!$A:$C,2,)</f>
        <v/>
      </c>
      <c r="E2079" s="29">
        <f>D2079-D2078</f>
        <v/>
      </c>
    </row>
    <row r="2080">
      <c r="A2080" s="28" t="n">
        <v>39004</v>
      </c>
      <c r="B2080" s="29">
        <f>VLOOKUP(A2080,'Database Claims'!$A:$C,3,)</f>
        <v/>
      </c>
      <c r="C2080" s="29">
        <f>B2080-B2079</f>
        <v/>
      </c>
      <c r="D2080" s="29">
        <f>VLOOKUP(A2080,'Database Claims'!$A:$C,2,)</f>
        <v/>
      </c>
      <c r="E2080" s="29">
        <f>D2080-D2079</f>
        <v/>
      </c>
    </row>
    <row r="2081">
      <c r="A2081" s="28" t="n">
        <v>39011</v>
      </c>
      <c r="B2081" s="25">
        <f>VLOOKUP(A2081,'Database Claims'!$A:$C,3,)</f>
        <v/>
      </c>
      <c r="C2081" s="29">
        <f>B2081-B2080</f>
        <v/>
      </c>
      <c r="D2081" s="25">
        <f>VLOOKUP(A2081,'Database Claims'!$A:$C,2,)</f>
        <v/>
      </c>
      <c r="E2081" s="29">
        <f>D2081-D2080</f>
        <v/>
      </c>
    </row>
    <row r="2082">
      <c r="A2082" s="28" t="n">
        <v>39018</v>
      </c>
      <c r="B2082" s="29">
        <f>VLOOKUP(A2082,'Database Claims'!$A:$C,3,)</f>
        <v/>
      </c>
      <c r="C2082" s="29">
        <f>B2082-B2081</f>
        <v/>
      </c>
      <c r="D2082" s="29">
        <f>VLOOKUP(A2082,'Database Claims'!$A:$C,2,)</f>
        <v/>
      </c>
      <c r="E2082" s="29">
        <f>D2082-D2081</f>
        <v/>
      </c>
    </row>
    <row r="2083">
      <c r="A2083" s="28" t="n">
        <v>39025</v>
      </c>
      <c r="B2083" s="25">
        <f>VLOOKUP(A2083,'Database Claims'!$A:$C,3,)</f>
        <v/>
      </c>
      <c r="C2083" s="29">
        <f>B2083-B2082</f>
        <v/>
      </c>
      <c r="D2083" s="25">
        <f>VLOOKUP(A2083,'Database Claims'!$A:$C,2,)</f>
        <v/>
      </c>
      <c r="E2083" s="29">
        <f>D2083-D2082</f>
        <v/>
      </c>
    </row>
    <row r="2084">
      <c r="A2084" s="28" t="n">
        <v>39032</v>
      </c>
      <c r="B2084" s="29">
        <f>VLOOKUP(A2084,'Database Claims'!$A:$C,3,)</f>
        <v/>
      </c>
      <c r="C2084" s="29">
        <f>B2084-B2083</f>
        <v/>
      </c>
      <c r="D2084" s="29">
        <f>VLOOKUP(A2084,'Database Claims'!$A:$C,2,)</f>
        <v/>
      </c>
      <c r="E2084" s="29">
        <f>D2084-D2083</f>
        <v/>
      </c>
    </row>
    <row r="2085">
      <c r="A2085" s="28" t="n">
        <v>39039</v>
      </c>
      <c r="B2085" s="25">
        <f>VLOOKUP(A2085,'Database Claims'!$A:$C,3,)</f>
        <v/>
      </c>
      <c r="C2085" s="29">
        <f>B2085-B2084</f>
        <v/>
      </c>
      <c r="D2085" s="25">
        <f>VLOOKUP(A2085,'Database Claims'!$A:$C,2,)</f>
        <v/>
      </c>
      <c r="E2085" s="29">
        <f>D2085-D2084</f>
        <v/>
      </c>
    </row>
    <row r="2086">
      <c r="A2086" s="28" t="n">
        <v>39046</v>
      </c>
      <c r="B2086" s="29">
        <f>VLOOKUP(A2086,'Database Claims'!$A:$C,3,)</f>
        <v/>
      </c>
      <c r="C2086" s="29">
        <f>B2086-B2085</f>
        <v/>
      </c>
      <c r="D2086" s="29">
        <f>VLOOKUP(A2086,'Database Claims'!$A:$C,2,)</f>
        <v/>
      </c>
      <c r="E2086" s="29">
        <f>D2086-D2085</f>
        <v/>
      </c>
    </row>
    <row r="2087">
      <c r="A2087" s="28" t="n">
        <v>39053</v>
      </c>
      <c r="B2087" s="25">
        <f>VLOOKUP(A2087,'Database Claims'!$A:$C,3,)</f>
        <v/>
      </c>
      <c r="C2087" s="29">
        <f>B2087-B2086</f>
        <v/>
      </c>
      <c r="D2087" s="25">
        <f>VLOOKUP(A2087,'Database Claims'!$A:$C,2,)</f>
        <v/>
      </c>
      <c r="E2087" s="29">
        <f>D2087-D2086</f>
        <v/>
      </c>
    </row>
    <row r="2088">
      <c r="A2088" s="28" t="n">
        <v>39060</v>
      </c>
      <c r="B2088" s="29">
        <f>VLOOKUP(A2088,'Database Claims'!$A:$C,3,)</f>
        <v/>
      </c>
      <c r="C2088" s="29">
        <f>B2088-B2087</f>
        <v/>
      </c>
      <c r="D2088" s="29">
        <f>VLOOKUP(A2088,'Database Claims'!$A:$C,2,)</f>
        <v/>
      </c>
      <c r="E2088" s="29">
        <f>D2088-D2087</f>
        <v/>
      </c>
    </row>
    <row r="2089">
      <c r="A2089" s="28" t="n">
        <v>39067</v>
      </c>
      <c r="B2089" s="25">
        <f>VLOOKUP(A2089,'Database Claims'!$A:$C,3,)</f>
        <v/>
      </c>
      <c r="C2089" s="29">
        <f>B2089-B2088</f>
        <v/>
      </c>
      <c r="D2089" s="25">
        <f>VLOOKUP(A2089,'Database Claims'!$A:$C,2,)</f>
        <v/>
      </c>
      <c r="E2089" s="29">
        <f>D2089-D2088</f>
        <v/>
      </c>
    </row>
    <row r="2090">
      <c r="A2090" s="28" t="n">
        <v>39074</v>
      </c>
      <c r="B2090" s="29">
        <f>VLOOKUP(A2090,'Database Claims'!$A:$C,3,)</f>
        <v/>
      </c>
      <c r="C2090" s="29">
        <f>B2090-B2089</f>
        <v/>
      </c>
      <c r="D2090" s="29">
        <f>VLOOKUP(A2090,'Database Claims'!$A:$C,2,)</f>
        <v/>
      </c>
      <c r="E2090" s="29">
        <f>D2090-D2089</f>
        <v/>
      </c>
    </row>
    <row r="2091">
      <c r="A2091" s="28" t="n">
        <v>39081</v>
      </c>
      <c r="B2091" s="25">
        <f>VLOOKUP(A2091,'Database Claims'!$A:$C,3,)</f>
        <v/>
      </c>
      <c r="C2091" s="29">
        <f>B2091-B2090</f>
        <v/>
      </c>
      <c r="D2091" s="25">
        <f>VLOOKUP(A2091,'Database Claims'!$A:$C,2,)</f>
        <v/>
      </c>
      <c r="E2091" s="29">
        <f>D2091-D2090</f>
        <v/>
      </c>
    </row>
    <row r="2092">
      <c r="A2092" s="28" t="n">
        <v>39088</v>
      </c>
      <c r="B2092" s="29">
        <f>VLOOKUP(A2092,'Database Claims'!$A:$C,3,)</f>
        <v/>
      </c>
      <c r="C2092" s="29">
        <f>B2092-B2091</f>
        <v/>
      </c>
      <c r="D2092" s="29">
        <f>VLOOKUP(A2092,'Database Claims'!$A:$C,2,)</f>
        <v/>
      </c>
      <c r="E2092" s="29">
        <f>D2092-D2091</f>
        <v/>
      </c>
    </row>
    <row r="2093">
      <c r="A2093" s="28" t="n">
        <v>39095</v>
      </c>
      <c r="B2093" s="25">
        <f>VLOOKUP(A2093,'Database Claims'!$A:$C,3,)</f>
        <v/>
      </c>
      <c r="C2093" s="29">
        <f>B2093-B2092</f>
        <v/>
      </c>
      <c r="D2093" s="25">
        <f>VLOOKUP(A2093,'Database Claims'!$A:$C,2,)</f>
        <v/>
      </c>
      <c r="E2093" s="29">
        <f>D2093-D2092</f>
        <v/>
      </c>
    </row>
    <row r="2094">
      <c r="A2094" s="28" t="n">
        <v>39102</v>
      </c>
      <c r="B2094" s="29">
        <f>VLOOKUP(A2094,'Database Claims'!$A:$C,3,)</f>
        <v/>
      </c>
      <c r="C2094" s="29">
        <f>B2094-B2093</f>
        <v/>
      </c>
      <c r="D2094" s="29">
        <f>VLOOKUP(A2094,'Database Claims'!$A:$C,2,)</f>
        <v/>
      </c>
      <c r="E2094" s="29">
        <f>D2094-D2093</f>
        <v/>
      </c>
    </row>
    <row r="2095">
      <c r="A2095" s="28" t="n">
        <v>39109</v>
      </c>
      <c r="B2095" s="25">
        <f>VLOOKUP(A2095,'Database Claims'!$A:$C,3,)</f>
        <v/>
      </c>
      <c r="C2095" s="29">
        <f>B2095-B2094</f>
        <v/>
      </c>
      <c r="D2095" s="25">
        <f>VLOOKUP(A2095,'Database Claims'!$A:$C,2,)</f>
        <v/>
      </c>
      <c r="E2095" s="29">
        <f>D2095-D2094</f>
        <v/>
      </c>
    </row>
    <row r="2096">
      <c r="A2096" s="28" t="n">
        <v>39116</v>
      </c>
      <c r="B2096" s="29">
        <f>VLOOKUP(A2096,'Database Claims'!$A:$C,3,)</f>
        <v/>
      </c>
      <c r="C2096" s="29">
        <f>B2096-B2095</f>
        <v/>
      </c>
      <c r="D2096" s="29">
        <f>VLOOKUP(A2096,'Database Claims'!$A:$C,2,)</f>
        <v/>
      </c>
      <c r="E2096" s="29">
        <f>D2096-D2095</f>
        <v/>
      </c>
    </row>
    <row r="2097">
      <c r="A2097" s="28" t="n">
        <v>39123</v>
      </c>
      <c r="B2097" s="25">
        <f>VLOOKUP(A2097,'Database Claims'!$A:$C,3,)</f>
        <v/>
      </c>
      <c r="C2097" s="29">
        <f>B2097-B2096</f>
        <v/>
      </c>
      <c r="D2097" s="25">
        <f>VLOOKUP(A2097,'Database Claims'!$A:$C,2,)</f>
        <v/>
      </c>
      <c r="E2097" s="29">
        <f>D2097-D2096</f>
        <v/>
      </c>
    </row>
    <row r="2098">
      <c r="A2098" s="28" t="n">
        <v>39130</v>
      </c>
      <c r="B2098" s="29">
        <f>VLOOKUP(A2098,'Database Claims'!$A:$C,3,)</f>
        <v/>
      </c>
      <c r="C2098" s="29">
        <f>B2098-B2097</f>
        <v/>
      </c>
      <c r="D2098" s="29">
        <f>VLOOKUP(A2098,'Database Claims'!$A:$C,2,)</f>
        <v/>
      </c>
      <c r="E2098" s="29">
        <f>D2098-D2097</f>
        <v/>
      </c>
    </row>
    <row r="2099">
      <c r="A2099" s="28" t="n">
        <v>39137</v>
      </c>
      <c r="B2099" s="25">
        <f>VLOOKUP(A2099,'Database Claims'!$A:$C,3,)</f>
        <v/>
      </c>
      <c r="C2099" s="29">
        <f>B2099-B2098</f>
        <v/>
      </c>
      <c r="D2099" s="25">
        <f>VLOOKUP(A2099,'Database Claims'!$A:$C,2,)</f>
        <v/>
      </c>
      <c r="E2099" s="29">
        <f>D2099-D2098</f>
        <v/>
      </c>
    </row>
    <row r="2100">
      <c r="A2100" s="28" t="n">
        <v>39144</v>
      </c>
      <c r="B2100" s="29">
        <f>VLOOKUP(A2100,'Database Claims'!$A:$C,3,)</f>
        <v/>
      </c>
      <c r="C2100" s="29">
        <f>B2100-B2099</f>
        <v/>
      </c>
      <c r="D2100" s="29">
        <f>VLOOKUP(A2100,'Database Claims'!$A:$C,2,)</f>
        <v/>
      </c>
      <c r="E2100" s="29">
        <f>D2100-D2099</f>
        <v/>
      </c>
    </row>
    <row r="2101">
      <c r="A2101" s="28" t="n">
        <v>39151</v>
      </c>
      <c r="B2101" s="25">
        <f>VLOOKUP(A2101,'Database Claims'!$A:$C,3,)</f>
        <v/>
      </c>
      <c r="C2101" s="29">
        <f>B2101-B2100</f>
        <v/>
      </c>
      <c r="D2101" s="25">
        <f>VLOOKUP(A2101,'Database Claims'!$A:$C,2,)</f>
        <v/>
      </c>
      <c r="E2101" s="29">
        <f>D2101-D2100</f>
        <v/>
      </c>
    </row>
    <row r="2102">
      <c r="A2102" s="28" t="n">
        <v>39158</v>
      </c>
      <c r="B2102" s="29">
        <f>VLOOKUP(A2102,'Database Claims'!$A:$C,3,)</f>
        <v/>
      </c>
      <c r="C2102" s="29">
        <f>B2102-B2101</f>
        <v/>
      </c>
      <c r="D2102" s="29">
        <f>VLOOKUP(A2102,'Database Claims'!$A:$C,2,)</f>
        <v/>
      </c>
      <c r="E2102" s="29">
        <f>D2102-D2101</f>
        <v/>
      </c>
    </row>
    <row r="2103">
      <c r="A2103" s="28" t="n">
        <v>39165</v>
      </c>
      <c r="B2103" s="25">
        <f>VLOOKUP(A2103,'Database Claims'!$A:$C,3,)</f>
        <v/>
      </c>
      <c r="C2103" s="29">
        <f>B2103-B2102</f>
        <v/>
      </c>
      <c r="D2103" s="25">
        <f>VLOOKUP(A2103,'Database Claims'!$A:$C,2,)</f>
        <v/>
      </c>
      <c r="E2103" s="29">
        <f>D2103-D2102</f>
        <v/>
      </c>
    </row>
    <row r="2104">
      <c r="A2104" s="28" t="n">
        <v>39172</v>
      </c>
      <c r="B2104" s="29">
        <f>VLOOKUP(A2104,'Database Claims'!$A:$C,3,)</f>
        <v/>
      </c>
      <c r="C2104" s="29">
        <f>B2104-B2103</f>
        <v/>
      </c>
      <c r="D2104" s="29">
        <f>VLOOKUP(A2104,'Database Claims'!$A:$C,2,)</f>
        <v/>
      </c>
      <c r="E2104" s="29">
        <f>D2104-D2103</f>
        <v/>
      </c>
    </row>
    <row r="2105">
      <c r="A2105" s="28" t="n">
        <v>39179</v>
      </c>
      <c r="B2105" s="25">
        <f>VLOOKUP(A2105,'Database Claims'!$A:$C,3,)</f>
        <v/>
      </c>
      <c r="C2105" s="29">
        <f>B2105-B2104</f>
        <v/>
      </c>
      <c r="D2105" s="25">
        <f>VLOOKUP(A2105,'Database Claims'!$A:$C,2,)</f>
        <v/>
      </c>
      <c r="E2105" s="29">
        <f>D2105-D2104</f>
        <v/>
      </c>
    </row>
    <row r="2106">
      <c r="A2106" s="28" t="n">
        <v>39186</v>
      </c>
      <c r="B2106" s="29">
        <f>VLOOKUP(A2106,'Database Claims'!$A:$C,3,)</f>
        <v/>
      </c>
      <c r="C2106" s="29">
        <f>B2106-B2105</f>
        <v/>
      </c>
      <c r="D2106" s="29">
        <f>VLOOKUP(A2106,'Database Claims'!$A:$C,2,)</f>
        <v/>
      </c>
      <c r="E2106" s="29">
        <f>D2106-D2105</f>
        <v/>
      </c>
    </row>
    <row r="2107">
      <c r="A2107" s="28" t="n">
        <v>39193</v>
      </c>
      <c r="B2107" s="25">
        <f>VLOOKUP(A2107,'Database Claims'!$A:$C,3,)</f>
        <v/>
      </c>
      <c r="C2107" s="29">
        <f>B2107-B2106</f>
        <v/>
      </c>
      <c r="D2107" s="25">
        <f>VLOOKUP(A2107,'Database Claims'!$A:$C,2,)</f>
        <v/>
      </c>
      <c r="E2107" s="29">
        <f>D2107-D2106</f>
        <v/>
      </c>
    </row>
    <row r="2108">
      <c r="A2108" s="28" t="n">
        <v>39200</v>
      </c>
      <c r="B2108" s="29">
        <f>VLOOKUP(A2108,'Database Claims'!$A:$C,3,)</f>
        <v/>
      </c>
      <c r="C2108" s="29">
        <f>B2108-B2107</f>
        <v/>
      </c>
      <c r="D2108" s="29">
        <f>VLOOKUP(A2108,'Database Claims'!$A:$C,2,)</f>
        <v/>
      </c>
      <c r="E2108" s="29">
        <f>D2108-D2107</f>
        <v/>
      </c>
    </row>
    <row r="2109">
      <c r="A2109" s="28" t="n">
        <v>39207</v>
      </c>
      <c r="B2109" s="25">
        <f>VLOOKUP(A2109,'Database Claims'!$A:$C,3,)</f>
        <v/>
      </c>
      <c r="C2109" s="29">
        <f>B2109-B2108</f>
        <v/>
      </c>
      <c r="D2109" s="25">
        <f>VLOOKUP(A2109,'Database Claims'!$A:$C,2,)</f>
        <v/>
      </c>
      <c r="E2109" s="29">
        <f>D2109-D2108</f>
        <v/>
      </c>
    </row>
    <row r="2110">
      <c r="A2110" s="28" t="n">
        <v>39214</v>
      </c>
      <c r="B2110" s="29">
        <f>VLOOKUP(A2110,'Database Claims'!$A:$C,3,)</f>
        <v/>
      </c>
      <c r="C2110" s="29">
        <f>B2110-B2109</f>
        <v/>
      </c>
      <c r="D2110" s="29">
        <f>VLOOKUP(A2110,'Database Claims'!$A:$C,2,)</f>
        <v/>
      </c>
      <c r="E2110" s="29">
        <f>D2110-D2109</f>
        <v/>
      </c>
    </row>
    <row r="2111">
      <c r="A2111" s="28" t="n">
        <v>39221</v>
      </c>
      <c r="B2111" s="25">
        <f>VLOOKUP(A2111,'Database Claims'!$A:$C,3,)</f>
        <v/>
      </c>
      <c r="C2111" s="29">
        <f>B2111-B2110</f>
        <v/>
      </c>
      <c r="D2111" s="25">
        <f>VLOOKUP(A2111,'Database Claims'!$A:$C,2,)</f>
        <v/>
      </c>
      <c r="E2111" s="29">
        <f>D2111-D2110</f>
        <v/>
      </c>
    </row>
    <row r="2112">
      <c r="A2112" s="28" t="n">
        <v>39228</v>
      </c>
      <c r="B2112" s="29">
        <f>VLOOKUP(A2112,'Database Claims'!$A:$C,3,)</f>
        <v/>
      </c>
      <c r="C2112" s="29">
        <f>B2112-B2111</f>
        <v/>
      </c>
      <c r="D2112" s="29">
        <f>VLOOKUP(A2112,'Database Claims'!$A:$C,2,)</f>
        <v/>
      </c>
      <c r="E2112" s="29">
        <f>D2112-D2111</f>
        <v/>
      </c>
    </row>
    <row r="2113">
      <c r="A2113" s="28" t="n">
        <v>39235</v>
      </c>
      <c r="B2113" s="25">
        <f>VLOOKUP(A2113,'Database Claims'!$A:$C,3,)</f>
        <v/>
      </c>
      <c r="C2113" s="29">
        <f>B2113-B2112</f>
        <v/>
      </c>
      <c r="D2113" s="25">
        <f>VLOOKUP(A2113,'Database Claims'!$A:$C,2,)</f>
        <v/>
      </c>
      <c r="E2113" s="29">
        <f>D2113-D2112</f>
        <v/>
      </c>
    </row>
    <row r="2114">
      <c r="A2114" s="28" t="n">
        <v>39242</v>
      </c>
      <c r="B2114" s="29">
        <f>VLOOKUP(A2114,'Database Claims'!$A:$C,3,)</f>
        <v/>
      </c>
      <c r="C2114" s="29">
        <f>B2114-B2113</f>
        <v/>
      </c>
      <c r="D2114" s="29">
        <f>VLOOKUP(A2114,'Database Claims'!$A:$C,2,)</f>
        <v/>
      </c>
      <c r="E2114" s="29">
        <f>D2114-D2113</f>
        <v/>
      </c>
    </row>
    <row r="2115">
      <c r="A2115" s="28" t="n">
        <v>39249</v>
      </c>
      <c r="B2115" s="25">
        <f>VLOOKUP(A2115,'Database Claims'!$A:$C,3,)</f>
        <v/>
      </c>
      <c r="C2115" s="29">
        <f>B2115-B2114</f>
        <v/>
      </c>
      <c r="D2115" s="25">
        <f>VLOOKUP(A2115,'Database Claims'!$A:$C,2,)</f>
        <v/>
      </c>
      <c r="E2115" s="29">
        <f>D2115-D2114</f>
        <v/>
      </c>
    </row>
    <row r="2116">
      <c r="A2116" s="28" t="n">
        <v>39256</v>
      </c>
      <c r="B2116" s="29">
        <f>VLOOKUP(A2116,'Database Claims'!$A:$C,3,)</f>
        <v/>
      </c>
      <c r="C2116" s="29">
        <f>B2116-B2115</f>
        <v/>
      </c>
      <c r="D2116" s="29">
        <f>VLOOKUP(A2116,'Database Claims'!$A:$C,2,)</f>
        <v/>
      </c>
      <c r="E2116" s="29">
        <f>D2116-D2115</f>
        <v/>
      </c>
    </row>
    <row r="2117">
      <c r="A2117" s="28" t="n">
        <v>39263</v>
      </c>
      <c r="B2117" s="25">
        <f>VLOOKUP(A2117,'Database Claims'!$A:$C,3,)</f>
        <v/>
      </c>
      <c r="C2117" s="29">
        <f>B2117-B2116</f>
        <v/>
      </c>
      <c r="D2117" s="25">
        <f>VLOOKUP(A2117,'Database Claims'!$A:$C,2,)</f>
        <v/>
      </c>
      <c r="E2117" s="29">
        <f>D2117-D2116</f>
        <v/>
      </c>
    </row>
    <row r="2118">
      <c r="A2118" s="28" t="n">
        <v>39270</v>
      </c>
      <c r="B2118" s="29">
        <f>VLOOKUP(A2118,'Database Claims'!$A:$C,3,)</f>
        <v/>
      </c>
      <c r="C2118" s="29">
        <f>B2118-B2117</f>
        <v/>
      </c>
      <c r="D2118" s="29">
        <f>VLOOKUP(A2118,'Database Claims'!$A:$C,2,)</f>
        <v/>
      </c>
      <c r="E2118" s="29">
        <f>D2118-D2117</f>
        <v/>
      </c>
    </row>
    <row r="2119">
      <c r="A2119" s="28" t="n">
        <v>39277</v>
      </c>
      <c r="B2119" s="25">
        <f>VLOOKUP(A2119,'Database Claims'!$A:$C,3,)</f>
        <v/>
      </c>
      <c r="C2119" s="29">
        <f>B2119-B2118</f>
        <v/>
      </c>
      <c r="D2119" s="25">
        <f>VLOOKUP(A2119,'Database Claims'!$A:$C,2,)</f>
        <v/>
      </c>
      <c r="E2119" s="29">
        <f>D2119-D2118</f>
        <v/>
      </c>
    </row>
    <row r="2120">
      <c r="A2120" s="28" t="n">
        <v>39284</v>
      </c>
      <c r="B2120" s="29">
        <f>VLOOKUP(A2120,'Database Claims'!$A:$C,3,)</f>
        <v/>
      </c>
      <c r="C2120" s="29">
        <f>B2120-B2119</f>
        <v/>
      </c>
      <c r="D2120" s="29">
        <f>VLOOKUP(A2120,'Database Claims'!$A:$C,2,)</f>
        <v/>
      </c>
      <c r="E2120" s="29">
        <f>D2120-D2119</f>
        <v/>
      </c>
    </row>
    <row r="2121">
      <c r="A2121" s="28" t="n">
        <v>39291</v>
      </c>
      <c r="B2121" s="25">
        <f>VLOOKUP(A2121,'Database Claims'!$A:$C,3,)</f>
        <v/>
      </c>
      <c r="C2121" s="29">
        <f>B2121-B2120</f>
        <v/>
      </c>
      <c r="D2121" s="25">
        <f>VLOOKUP(A2121,'Database Claims'!$A:$C,2,)</f>
        <v/>
      </c>
      <c r="E2121" s="29">
        <f>D2121-D2120</f>
        <v/>
      </c>
    </row>
    <row r="2122">
      <c r="A2122" s="28" t="n">
        <v>39298</v>
      </c>
      <c r="B2122" s="29">
        <f>VLOOKUP(A2122,'Database Claims'!$A:$C,3,)</f>
        <v/>
      </c>
      <c r="C2122" s="29">
        <f>B2122-B2121</f>
        <v/>
      </c>
      <c r="D2122" s="29">
        <f>VLOOKUP(A2122,'Database Claims'!$A:$C,2,)</f>
        <v/>
      </c>
      <c r="E2122" s="29">
        <f>D2122-D2121</f>
        <v/>
      </c>
    </row>
    <row r="2123">
      <c r="A2123" s="28" t="n">
        <v>39305</v>
      </c>
      <c r="B2123" s="25">
        <f>VLOOKUP(A2123,'Database Claims'!$A:$C,3,)</f>
        <v/>
      </c>
      <c r="C2123" s="29">
        <f>B2123-B2122</f>
        <v/>
      </c>
      <c r="D2123" s="25">
        <f>VLOOKUP(A2123,'Database Claims'!$A:$C,2,)</f>
        <v/>
      </c>
      <c r="E2123" s="29">
        <f>D2123-D2122</f>
        <v/>
      </c>
    </row>
    <row r="2124">
      <c r="A2124" s="28" t="n">
        <v>39312</v>
      </c>
      <c r="B2124" s="29">
        <f>VLOOKUP(A2124,'Database Claims'!$A:$C,3,)</f>
        <v/>
      </c>
      <c r="C2124" s="29">
        <f>B2124-B2123</f>
        <v/>
      </c>
      <c r="D2124" s="29">
        <f>VLOOKUP(A2124,'Database Claims'!$A:$C,2,)</f>
        <v/>
      </c>
      <c r="E2124" s="29">
        <f>D2124-D2123</f>
        <v/>
      </c>
    </row>
    <row r="2125">
      <c r="A2125" s="28" t="n">
        <v>39319</v>
      </c>
      <c r="B2125" s="25">
        <f>VLOOKUP(A2125,'Database Claims'!$A:$C,3,)</f>
        <v/>
      </c>
      <c r="C2125" s="29">
        <f>B2125-B2124</f>
        <v/>
      </c>
      <c r="D2125" s="25">
        <f>VLOOKUP(A2125,'Database Claims'!$A:$C,2,)</f>
        <v/>
      </c>
      <c r="E2125" s="29">
        <f>D2125-D2124</f>
        <v/>
      </c>
    </row>
    <row r="2126">
      <c r="A2126" s="28" t="n">
        <v>39326</v>
      </c>
      <c r="B2126" s="29">
        <f>VLOOKUP(A2126,'Database Claims'!$A:$C,3,)</f>
        <v/>
      </c>
      <c r="C2126" s="29">
        <f>B2126-B2125</f>
        <v/>
      </c>
      <c r="D2126" s="29">
        <f>VLOOKUP(A2126,'Database Claims'!$A:$C,2,)</f>
        <v/>
      </c>
      <c r="E2126" s="29">
        <f>D2126-D2125</f>
        <v/>
      </c>
    </row>
    <row r="2127">
      <c r="A2127" s="28" t="n">
        <v>39333</v>
      </c>
      <c r="B2127" s="25">
        <f>VLOOKUP(A2127,'Database Claims'!$A:$C,3,)</f>
        <v/>
      </c>
      <c r="C2127" s="29">
        <f>B2127-B2126</f>
        <v/>
      </c>
      <c r="D2127" s="25">
        <f>VLOOKUP(A2127,'Database Claims'!$A:$C,2,)</f>
        <v/>
      </c>
      <c r="E2127" s="29">
        <f>D2127-D2126</f>
        <v/>
      </c>
    </row>
    <row r="2128">
      <c r="A2128" s="28" t="n">
        <v>39340</v>
      </c>
      <c r="B2128" s="29">
        <f>VLOOKUP(A2128,'Database Claims'!$A:$C,3,)</f>
        <v/>
      </c>
      <c r="C2128" s="29">
        <f>B2128-B2127</f>
        <v/>
      </c>
      <c r="D2128" s="29">
        <f>VLOOKUP(A2128,'Database Claims'!$A:$C,2,)</f>
        <v/>
      </c>
      <c r="E2128" s="29">
        <f>D2128-D2127</f>
        <v/>
      </c>
    </row>
    <row r="2129">
      <c r="A2129" s="28" t="n">
        <v>39347</v>
      </c>
      <c r="B2129" s="25">
        <f>VLOOKUP(A2129,'Database Claims'!$A:$C,3,)</f>
        <v/>
      </c>
      <c r="C2129" s="29">
        <f>B2129-B2128</f>
        <v/>
      </c>
      <c r="D2129" s="25">
        <f>VLOOKUP(A2129,'Database Claims'!$A:$C,2,)</f>
        <v/>
      </c>
      <c r="E2129" s="29">
        <f>D2129-D2128</f>
        <v/>
      </c>
    </row>
    <row r="2130">
      <c r="A2130" s="28" t="n">
        <v>39354</v>
      </c>
      <c r="B2130" s="29">
        <f>VLOOKUP(A2130,'Database Claims'!$A:$C,3,)</f>
        <v/>
      </c>
      <c r="C2130" s="29">
        <f>B2130-B2129</f>
        <v/>
      </c>
      <c r="D2130" s="29">
        <f>VLOOKUP(A2130,'Database Claims'!$A:$C,2,)</f>
        <v/>
      </c>
      <c r="E2130" s="29">
        <f>D2130-D2129</f>
        <v/>
      </c>
    </row>
    <row r="2131">
      <c r="A2131" s="28" t="n">
        <v>39361</v>
      </c>
      <c r="B2131" s="25">
        <f>VLOOKUP(A2131,'Database Claims'!$A:$C,3,)</f>
        <v/>
      </c>
      <c r="C2131" s="29">
        <f>B2131-B2130</f>
        <v/>
      </c>
      <c r="D2131" s="25">
        <f>VLOOKUP(A2131,'Database Claims'!$A:$C,2,)</f>
        <v/>
      </c>
      <c r="E2131" s="29">
        <f>D2131-D2130</f>
        <v/>
      </c>
    </row>
    <row r="2132">
      <c r="A2132" s="28" t="n">
        <v>39368</v>
      </c>
      <c r="B2132" s="29">
        <f>VLOOKUP(A2132,'Database Claims'!$A:$C,3,)</f>
        <v/>
      </c>
      <c r="C2132" s="29">
        <f>B2132-B2131</f>
        <v/>
      </c>
      <c r="D2132" s="29">
        <f>VLOOKUP(A2132,'Database Claims'!$A:$C,2,)</f>
        <v/>
      </c>
      <c r="E2132" s="29">
        <f>D2132-D2131</f>
        <v/>
      </c>
    </row>
    <row r="2133">
      <c r="A2133" s="28" t="n">
        <v>39375</v>
      </c>
      <c r="B2133" s="25">
        <f>VLOOKUP(A2133,'Database Claims'!$A:$C,3,)</f>
        <v/>
      </c>
      <c r="C2133" s="29">
        <f>B2133-B2132</f>
        <v/>
      </c>
      <c r="D2133" s="25">
        <f>VLOOKUP(A2133,'Database Claims'!$A:$C,2,)</f>
        <v/>
      </c>
      <c r="E2133" s="29">
        <f>D2133-D2132</f>
        <v/>
      </c>
    </row>
    <row r="2134">
      <c r="A2134" s="28" t="n">
        <v>39382</v>
      </c>
      <c r="B2134" s="29">
        <f>VLOOKUP(A2134,'Database Claims'!$A:$C,3,)</f>
        <v/>
      </c>
      <c r="C2134" s="29">
        <f>B2134-B2133</f>
        <v/>
      </c>
      <c r="D2134" s="29">
        <f>VLOOKUP(A2134,'Database Claims'!$A:$C,2,)</f>
        <v/>
      </c>
      <c r="E2134" s="29">
        <f>D2134-D2133</f>
        <v/>
      </c>
    </row>
    <row r="2135">
      <c r="A2135" s="28" t="n">
        <v>39389</v>
      </c>
      <c r="B2135" s="25">
        <f>VLOOKUP(A2135,'Database Claims'!$A:$C,3,)</f>
        <v/>
      </c>
      <c r="C2135" s="29">
        <f>B2135-B2134</f>
        <v/>
      </c>
      <c r="D2135" s="25">
        <f>VLOOKUP(A2135,'Database Claims'!$A:$C,2,)</f>
        <v/>
      </c>
      <c r="E2135" s="29">
        <f>D2135-D2134</f>
        <v/>
      </c>
    </row>
    <row r="2136">
      <c r="A2136" s="28" t="n">
        <v>39396</v>
      </c>
      <c r="B2136" s="29">
        <f>VLOOKUP(A2136,'Database Claims'!$A:$C,3,)</f>
        <v/>
      </c>
      <c r="C2136" s="29">
        <f>B2136-B2135</f>
        <v/>
      </c>
      <c r="D2136" s="29">
        <f>VLOOKUP(A2136,'Database Claims'!$A:$C,2,)</f>
        <v/>
      </c>
      <c r="E2136" s="29">
        <f>D2136-D2135</f>
        <v/>
      </c>
    </row>
    <row r="2137">
      <c r="A2137" s="28" t="n">
        <v>39403</v>
      </c>
      <c r="B2137" s="25">
        <f>VLOOKUP(A2137,'Database Claims'!$A:$C,3,)</f>
        <v/>
      </c>
      <c r="C2137" s="29">
        <f>B2137-B2136</f>
        <v/>
      </c>
      <c r="D2137" s="25">
        <f>VLOOKUP(A2137,'Database Claims'!$A:$C,2,)</f>
        <v/>
      </c>
      <c r="E2137" s="29">
        <f>D2137-D2136</f>
        <v/>
      </c>
    </row>
    <row r="2138">
      <c r="A2138" s="28" t="n">
        <v>39410</v>
      </c>
      <c r="B2138" s="29">
        <f>VLOOKUP(A2138,'Database Claims'!$A:$C,3,)</f>
        <v/>
      </c>
      <c r="C2138" s="29">
        <f>B2138-B2137</f>
        <v/>
      </c>
      <c r="D2138" s="29">
        <f>VLOOKUP(A2138,'Database Claims'!$A:$C,2,)</f>
        <v/>
      </c>
      <c r="E2138" s="29">
        <f>D2138-D2137</f>
        <v/>
      </c>
    </row>
    <row r="2139">
      <c r="A2139" s="28" t="n">
        <v>39417</v>
      </c>
      <c r="B2139" s="25">
        <f>VLOOKUP(A2139,'Database Claims'!$A:$C,3,)</f>
        <v/>
      </c>
      <c r="C2139" s="29">
        <f>B2139-B2138</f>
        <v/>
      </c>
      <c r="D2139" s="25">
        <f>VLOOKUP(A2139,'Database Claims'!$A:$C,2,)</f>
        <v/>
      </c>
      <c r="E2139" s="29">
        <f>D2139-D2138</f>
        <v/>
      </c>
    </row>
    <row r="2140">
      <c r="A2140" s="28" t="n">
        <v>39424</v>
      </c>
      <c r="B2140" s="29">
        <f>VLOOKUP(A2140,'Database Claims'!$A:$C,3,)</f>
        <v/>
      </c>
      <c r="C2140" s="29">
        <f>B2140-B2139</f>
        <v/>
      </c>
      <c r="D2140" s="29">
        <f>VLOOKUP(A2140,'Database Claims'!$A:$C,2,)</f>
        <v/>
      </c>
      <c r="E2140" s="29">
        <f>D2140-D2139</f>
        <v/>
      </c>
    </row>
    <row r="2141">
      <c r="A2141" s="28" t="n">
        <v>39431</v>
      </c>
      <c r="B2141" s="25">
        <f>VLOOKUP(A2141,'Database Claims'!$A:$C,3,)</f>
        <v/>
      </c>
      <c r="C2141" s="29">
        <f>B2141-B2140</f>
        <v/>
      </c>
      <c r="D2141" s="25">
        <f>VLOOKUP(A2141,'Database Claims'!$A:$C,2,)</f>
        <v/>
      </c>
      <c r="E2141" s="29">
        <f>D2141-D2140</f>
        <v/>
      </c>
    </row>
    <row r="2142">
      <c r="A2142" s="28" t="n">
        <v>39438</v>
      </c>
      <c r="B2142" s="29">
        <f>VLOOKUP(A2142,'Database Claims'!$A:$C,3,)</f>
        <v/>
      </c>
      <c r="C2142" s="29">
        <f>B2142-B2141</f>
        <v/>
      </c>
      <c r="D2142" s="29">
        <f>VLOOKUP(A2142,'Database Claims'!$A:$C,2,)</f>
        <v/>
      </c>
      <c r="E2142" s="29">
        <f>D2142-D2141</f>
        <v/>
      </c>
    </row>
    <row r="2143">
      <c r="A2143" s="28" t="n">
        <v>39445</v>
      </c>
      <c r="B2143" s="25">
        <f>VLOOKUP(A2143,'Database Claims'!$A:$C,3,)</f>
        <v/>
      </c>
      <c r="C2143" s="29">
        <f>B2143-B2142</f>
        <v/>
      </c>
      <c r="D2143" s="25">
        <f>VLOOKUP(A2143,'Database Claims'!$A:$C,2,)</f>
        <v/>
      </c>
      <c r="E2143" s="29">
        <f>D2143-D2142</f>
        <v/>
      </c>
    </row>
    <row r="2144">
      <c r="A2144" s="28" t="n">
        <v>39452</v>
      </c>
      <c r="B2144" s="29">
        <f>VLOOKUP(A2144,'Database Claims'!$A:$C,3,)</f>
        <v/>
      </c>
      <c r="C2144" s="29">
        <f>B2144-B2143</f>
        <v/>
      </c>
      <c r="D2144" s="29">
        <f>VLOOKUP(A2144,'Database Claims'!$A:$C,2,)</f>
        <v/>
      </c>
      <c r="E2144" s="29">
        <f>D2144-D2143</f>
        <v/>
      </c>
    </row>
    <row r="2145">
      <c r="A2145" s="28" t="n">
        <v>39459</v>
      </c>
      <c r="B2145" s="25">
        <f>VLOOKUP(A2145,'Database Claims'!$A:$C,3,)</f>
        <v/>
      </c>
      <c r="C2145" s="29">
        <f>B2145-B2144</f>
        <v/>
      </c>
      <c r="D2145" s="25">
        <f>VLOOKUP(A2145,'Database Claims'!$A:$C,2,)</f>
        <v/>
      </c>
      <c r="E2145" s="29">
        <f>D2145-D2144</f>
        <v/>
      </c>
    </row>
    <row r="2146">
      <c r="A2146" s="28" t="n">
        <v>39466</v>
      </c>
      <c r="B2146" s="29">
        <f>VLOOKUP(A2146,'Database Claims'!$A:$C,3,)</f>
        <v/>
      </c>
      <c r="C2146" s="29">
        <f>B2146-B2145</f>
        <v/>
      </c>
      <c r="D2146" s="29">
        <f>VLOOKUP(A2146,'Database Claims'!$A:$C,2,)</f>
        <v/>
      </c>
      <c r="E2146" s="29">
        <f>D2146-D2145</f>
        <v/>
      </c>
    </row>
    <row r="2147">
      <c r="A2147" s="28" t="n">
        <v>39473</v>
      </c>
      <c r="B2147" s="25">
        <f>VLOOKUP(A2147,'Database Claims'!$A:$C,3,)</f>
        <v/>
      </c>
      <c r="C2147" s="29">
        <f>B2147-B2146</f>
        <v/>
      </c>
      <c r="D2147" s="25">
        <f>VLOOKUP(A2147,'Database Claims'!$A:$C,2,)</f>
        <v/>
      </c>
      <c r="E2147" s="29">
        <f>D2147-D2146</f>
        <v/>
      </c>
    </row>
    <row r="2148">
      <c r="A2148" s="28" t="n">
        <v>39480</v>
      </c>
      <c r="B2148" s="29">
        <f>VLOOKUP(A2148,'Database Claims'!$A:$C,3,)</f>
        <v/>
      </c>
      <c r="C2148" s="29">
        <f>B2148-B2147</f>
        <v/>
      </c>
      <c r="D2148" s="29">
        <f>VLOOKUP(A2148,'Database Claims'!$A:$C,2,)</f>
        <v/>
      </c>
      <c r="E2148" s="29">
        <f>D2148-D2147</f>
        <v/>
      </c>
    </row>
    <row r="2149">
      <c r="A2149" s="28" t="n">
        <v>39487</v>
      </c>
      <c r="B2149" s="25">
        <f>VLOOKUP(A2149,'Database Claims'!$A:$C,3,)</f>
        <v/>
      </c>
      <c r="C2149" s="29">
        <f>B2149-B2148</f>
        <v/>
      </c>
      <c r="D2149" s="25">
        <f>VLOOKUP(A2149,'Database Claims'!$A:$C,2,)</f>
        <v/>
      </c>
      <c r="E2149" s="29">
        <f>D2149-D2148</f>
        <v/>
      </c>
    </row>
    <row r="2150">
      <c r="A2150" s="28" t="n">
        <v>39494</v>
      </c>
      <c r="B2150" s="29">
        <f>VLOOKUP(A2150,'Database Claims'!$A:$C,3,)</f>
        <v/>
      </c>
      <c r="C2150" s="29">
        <f>B2150-B2149</f>
        <v/>
      </c>
      <c r="D2150" s="29">
        <f>VLOOKUP(A2150,'Database Claims'!$A:$C,2,)</f>
        <v/>
      </c>
      <c r="E2150" s="29">
        <f>D2150-D2149</f>
        <v/>
      </c>
    </row>
    <row r="2151">
      <c r="A2151" s="28" t="n">
        <v>39501</v>
      </c>
      <c r="B2151" s="25">
        <f>VLOOKUP(A2151,'Database Claims'!$A:$C,3,)</f>
        <v/>
      </c>
      <c r="C2151" s="29">
        <f>B2151-B2150</f>
        <v/>
      </c>
      <c r="D2151" s="25">
        <f>VLOOKUP(A2151,'Database Claims'!$A:$C,2,)</f>
        <v/>
      </c>
      <c r="E2151" s="29">
        <f>D2151-D2150</f>
        <v/>
      </c>
    </row>
    <row r="2152">
      <c r="A2152" s="28" t="n">
        <v>39508</v>
      </c>
      <c r="B2152" s="29">
        <f>VLOOKUP(A2152,'Database Claims'!$A:$C,3,)</f>
        <v/>
      </c>
      <c r="C2152" s="29">
        <f>B2152-B2151</f>
        <v/>
      </c>
      <c r="D2152" s="29">
        <f>VLOOKUP(A2152,'Database Claims'!$A:$C,2,)</f>
        <v/>
      </c>
      <c r="E2152" s="29">
        <f>D2152-D2151</f>
        <v/>
      </c>
    </row>
    <row r="2153">
      <c r="A2153" s="28" t="n">
        <v>39515</v>
      </c>
      <c r="B2153" s="25">
        <f>VLOOKUP(A2153,'Database Claims'!$A:$C,3,)</f>
        <v/>
      </c>
      <c r="C2153" s="29">
        <f>B2153-B2152</f>
        <v/>
      </c>
      <c r="D2153" s="25">
        <f>VLOOKUP(A2153,'Database Claims'!$A:$C,2,)</f>
        <v/>
      </c>
      <c r="E2153" s="29">
        <f>D2153-D2152</f>
        <v/>
      </c>
    </row>
    <row r="2154">
      <c r="A2154" s="28" t="n">
        <v>39522</v>
      </c>
      <c r="B2154" s="29">
        <f>VLOOKUP(A2154,'Database Claims'!$A:$C,3,)</f>
        <v/>
      </c>
      <c r="C2154" s="29">
        <f>B2154-B2153</f>
        <v/>
      </c>
      <c r="D2154" s="29">
        <f>VLOOKUP(A2154,'Database Claims'!$A:$C,2,)</f>
        <v/>
      </c>
      <c r="E2154" s="29">
        <f>D2154-D2153</f>
        <v/>
      </c>
    </row>
    <row r="2155">
      <c r="A2155" s="28" t="n">
        <v>39529</v>
      </c>
      <c r="B2155" s="25">
        <f>VLOOKUP(A2155,'Database Claims'!$A:$C,3,)</f>
        <v/>
      </c>
      <c r="C2155" s="29">
        <f>B2155-B2154</f>
        <v/>
      </c>
      <c r="D2155" s="25">
        <f>VLOOKUP(A2155,'Database Claims'!$A:$C,2,)</f>
        <v/>
      </c>
      <c r="E2155" s="29">
        <f>D2155-D2154</f>
        <v/>
      </c>
    </row>
    <row r="2156">
      <c r="A2156" s="28" t="n">
        <v>39536</v>
      </c>
      <c r="B2156" s="29">
        <f>VLOOKUP(A2156,'Database Claims'!$A:$C,3,)</f>
        <v/>
      </c>
      <c r="C2156" s="29">
        <f>B2156-B2155</f>
        <v/>
      </c>
      <c r="D2156" s="29">
        <f>VLOOKUP(A2156,'Database Claims'!$A:$C,2,)</f>
        <v/>
      </c>
      <c r="E2156" s="29">
        <f>D2156-D2155</f>
        <v/>
      </c>
    </row>
    <row r="2157">
      <c r="A2157" s="28" t="n">
        <v>39543</v>
      </c>
      <c r="B2157" s="25">
        <f>VLOOKUP(A2157,'Database Claims'!$A:$C,3,)</f>
        <v/>
      </c>
      <c r="C2157" s="29">
        <f>B2157-B2156</f>
        <v/>
      </c>
      <c r="D2157" s="25">
        <f>VLOOKUP(A2157,'Database Claims'!$A:$C,2,)</f>
        <v/>
      </c>
      <c r="E2157" s="29">
        <f>D2157-D2156</f>
        <v/>
      </c>
    </row>
    <row r="2158">
      <c r="A2158" s="28" t="n">
        <v>39550</v>
      </c>
      <c r="B2158" s="29">
        <f>VLOOKUP(A2158,'Database Claims'!$A:$C,3,)</f>
        <v/>
      </c>
      <c r="C2158" s="29">
        <f>B2158-B2157</f>
        <v/>
      </c>
      <c r="D2158" s="29">
        <f>VLOOKUP(A2158,'Database Claims'!$A:$C,2,)</f>
        <v/>
      </c>
      <c r="E2158" s="29">
        <f>D2158-D2157</f>
        <v/>
      </c>
    </row>
    <row r="2159">
      <c r="A2159" s="28" t="n">
        <v>39557</v>
      </c>
      <c r="B2159" s="25">
        <f>VLOOKUP(A2159,'Database Claims'!$A:$C,3,)</f>
        <v/>
      </c>
      <c r="C2159" s="29">
        <f>B2159-B2158</f>
        <v/>
      </c>
      <c r="D2159" s="25">
        <f>VLOOKUP(A2159,'Database Claims'!$A:$C,2,)</f>
        <v/>
      </c>
      <c r="E2159" s="29">
        <f>D2159-D2158</f>
        <v/>
      </c>
    </row>
    <row r="2160">
      <c r="A2160" s="28" t="n">
        <v>39564</v>
      </c>
      <c r="B2160" s="29">
        <f>VLOOKUP(A2160,'Database Claims'!$A:$C,3,)</f>
        <v/>
      </c>
      <c r="C2160" s="29">
        <f>B2160-B2159</f>
        <v/>
      </c>
      <c r="D2160" s="29">
        <f>VLOOKUP(A2160,'Database Claims'!$A:$C,2,)</f>
        <v/>
      </c>
      <c r="E2160" s="29">
        <f>D2160-D2159</f>
        <v/>
      </c>
    </row>
    <row r="2161">
      <c r="A2161" s="28" t="n">
        <v>39571</v>
      </c>
      <c r="B2161" s="25">
        <f>VLOOKUP(A2161,'Database Claims'!$A:$C,3,)</f>
        <v/>
      </c>
      <c r="C2161" s="29">
        <f>B2161-B2160</f>
        <v/>
      </c>
      <c r="D2161" s="25">
        <f>VLOOKUP(A2161,'Database Claims'!$A:$C,2,)</f>
        <v/>
      </c>
      <c r="E2161" s="29">
        <f>D2161-D2160</f>
        <v/>
      </c>
    </row>
    <row r="2162">
      <c r="A2162" s="28" t="n">
        <v>39578</v>
      </c>
      <c r="B2162" s="29">
        <f>VLOOKUP(A2162,'Database Claims'!$A:$C,3,)</f>
        <v/>
      </c>
      <c r="C2162" s="29">
        <f>B2162-B2161</f>
        <v/>
      </c>
      <c r="D2162" s="29">
        <f>VLOOKUP(A2162,'Database Claims'!$A:$C,2,)</f>
        <v/>
      </c>
      <c r="E2162" s="29">
        <f>D2162-D2161</f>
        <v/>
      </c>
    </row>
    <row r="2163">
      <c r="A2163" s="28" t="n">
        <v>39585</v>
      </c>
      <c r="B2163" s="25">
        <f>VLOOKUP(A2163,'Database Claims'!$A:$C,3,)</f>
        <v/>
      </c>
      <c r="C2163" s="29">
        <f>B2163-B2162</f>
        <v/>
      </c>
      <c r="D2163" s="25">
        <f>VLOOKUP(A2163,'Database Claims'!$A:$C,2,)</f>
        <v/>
      </c>
      <c r="E2163" s="29">
        <f>D2163-D2162</f>
        <v/>
      </c>
    </row>
    <row r="2164">
      <c r="A2164" s="28" t="n">
        <v>39592</v>
      </c>
      <c r="B2164" s="29">
        <f>VLOOKUP(A2164,'Database Claims'!$A:$C,3,)</f>
        <v/>
      </c>
      <c r="C2164" s="29">
        <f>B2164-B2163</f>
        <v/>
      </c>
      <c r="D2164" s="29">
        <f>VLOOKUP(A2164,'Database Claims'!$A:$C,2,)</f>
        <v/>
      </c>
      <c r="E2164" s="29">
        <f>D2164-D2163</f>
        <v/>
      </c>
    </row>
    <row r="2165">
      <c r="A2165" s="28" t="n">
        <v>39599</v>
      </c>
      <c r="B2165" s="25">
        <f>VLOOKUP(A2165,'Database Claims'!$A:$C,3,)</f>
        <v/>
      </c>
      <c r="C2165" s="29">
        <f>B2165-B2164</f>
        <v/>
      </c>
      <c r="D2165" s="25">
        <f>VLOOKUP(A2165,'Database Claims'!$A:$C,2,)</f>
        <v/>
      </c>
      <c r="E2165" s="29">
        <f>D2165-D2164</f>
        <v/>
      </c>
    </row>
    <row r="2166">
      <c r="A2166" s="28" t="n">
        <v>39606</v>
      </c>
      <c r="B2166" s="29">
        <f>VLOOKUP(A2166,'Database Claims'!$A:$C,3,)</f>
        <v/>
      </c>
      <c r="C2166" s="29">
        <f>B2166-B2165</f>
        <v/>
      </c>
      <c r="D2166" s="29">
        <f>VLOOKUP(A2166,'Database Claims'!$A:$C,2,)</f>
        <v/>
      </c>
      <c r="E2166" s="29">
        <f>D2166-D2165</f>
        <v/>
      </c>
    </row>
    <row r="2167">
      <c r="A2167" s="28" t="n">
        <v>39613</v>
      </c>
      <c r="B2167" s="25">
        <f>VLOOKUP(A2167,'Database Claims'!$A:$C,3,)</f>
        <v/>
      </c>
      <c r="C2167" s="29">
        <f>B2167-B2166</f>
        <v/>
      </c>
      <c r="D2167" s="25">
        <f>VLOOKUP(A2167,'Database Claims'!$A:$C,2,)</f>
        <v/>
      </c>
      <c r="E2167" s="29">
        <f>D2167-D2166</f>
        <v/>
      </c>
    </row>
    <row r="2168">
      <c r="A2168" s="28" t="n">
        <v>39620</v>
      </c>
      <c r="B2168" s="29">
        <f>VLOOKUP(A2168,'Database Claims'!$A:$C,3,)</f>
        <v/>
      </c>
      <c r="C2168" s="29">
        <f>B2168-B2167</f>
        <v/>
      </c>
      <c r="D2168" s="29">
        <f>VLOOKUP(A2168,'Database Claims'!$A:$C,2,)</f>
        <v/>
      </c>
      <c r="E2168" s="29">
        <f>D2168-D2167</f>
        <v/>
      </c>
    </row>
    <row r="2169">
      <c r="A2169" s="28" t="n">
        <v>39627</v>
      </c>
      <c r="B2169" s="25">
        <f>VLOOKUP(A2169,'Database Claims'!$A:$C,3,)</f>
        <v/>
      </c>
      <c r="C2169" s="29">
        <f>B2169-B2168</f>
        <v/>
      </c>
      <c r="D2169" s="25">
        <f>VLOOKUP(A2169,'Database Claims'!$A:$C,2,)</f>
        <v/>
      </c>
      <c r="E2169" s="29">
        <f>D2169-D2168</f>
        <v/>
      </c>
    </row>
    <row r="2170">
      <c r="A2170" s="28" t="n">
        <v>39634</v>
      </c>
      <c r="B2170" s="29">
        <f>VLOOKUP(A2170,'Database Claims'!$A:$C,3,)</f>
        <v/>
      </c>
      <c r="C2170" s="29">
        <f>B2170-B2169</f>
        <v/>
      </c>
      <c r="D2170" s="29">
        <f>VLOOKUP(A2170,'Database Claims'!$A:$C,2,)</f>
        <v/>
      </c>
      <c r="E2170" s="29">
        <f>D2170-D2169</f>
        <v/>
      </c>
    </row>
    <row r="2171">
      <c r="A2171" s="28" t="n">
        <v>39641</v>
      </c>
      <c r="B2171" s="25">
        <f>VLOOKUP(A2171,'Database Claims'!$A:$C,3,)</f>
        <v/>
      </c>
      <c r="C2171" s="29">
        <f>B2171-B2170</f>
        <v/>
      </c>
      <c r="D2171" s="25">
        <f>VLOOKUP(A2171,'Database Claims'!$A:$C,2,)</f>
        <v/>
      </c>
      <c r="E2171" s="29">
        <f>D2171-D2170</f>
        <v/>
      </c>
    </row>
    <row r="2172">
      <c r="A2172" s="28" t="n">
        <v>39648</v>
      </c>
      <c r="B2172" s="29">
        <f>VLOOKUP(A2172,'Database Claims'!$A:$C,3,)</f>
        <v/>
      </c>
      <c r="C2172" s="29">
        <f>B2172-B2171</f>
        <v/>
      </c>
      <c r="D2172" s="29">
        <f>VLOOKUP(A2172,'Database Claims'!$A:$C,2,)</f>
        <v/>
      </c>
      <c r="E2172" s="29">
        <f>D2172-D2171</f>
        <v/>
      </c>
    </row>
    <row r="2173">
      <c r="A2173" s="28" t="n">
        <v>39655</v>
      </c>
      <c r="B2173" s="25">
        <f>VLOOKUP(A2173,'Database Claims'!$A:$C,3,)</f>
        <v/>
      </c>
      <c r="C2173" s="29">
        <f>B2173-B2172</f>
        <v/>
      </c>
      <c r="D2173" s="25">
        <f>VLOOKUP(A2173,'Database Claims'!$A:$C,2,)</f>
        <v/>
      </c>
      <c r="E2173" s="29">
        <f>D2173-D2172</f>
        <v/>
      </c>
    </row>
    <row r="2174">
      <c r="A2174" s="28" t="n">
        <v>39662</v>
      </c>
      <c r="B2174" s="29">
        <f>VLOOKUP(A2174,'Database Claims'!$A:$C,3,)</f>
        <v/>
      </c>
      <c r="C2174" s="29">
        <f>B2174-B2173</f>
        <v/>
      </c>
      <c r="D2174" s="29">
        <f>VLOOKUP(A2174,'Database Claims'!$A:$C,2,)</f>
        <v/>
      </c>
      <c r="E2174" s="29">
        <f>D2174-D2173</f>
        <v/>
      </c>
    </row>
    <row r="2175">
      <c r="A2175" s="28" t="n">
        <v>39669</v>
      </c>
      <c r="B2175" s="25">
        <f>VLOOKUP(A2175,'Database Claims'!$A:$C,3,)</f>
        <v/>
      </c>
      <c r="C2175" s="29">
        <f>B2175-B2174</f>
        <v/>
      </c>
      <c r="D2175" s="25">
        <f>VLOOKUP(A2175,'Database Claims'!$A:$C,2,)</f>
        <v/>
      </c>
      <c r="E2175" s="29">
        <f>D2175-D2174</f>
        <v/>
      </c>
    </row>
    <row r="2176">
      <c r="A2176" s="28" t="n">
        <v>39676</v>
      </c>
      <c r="B2176" s="29">
        <f>VLOOKUP(A2176,'Database Claims'!$A:$C,3,)</f>
        <v/>
      </c>
      <c r="C2176" s="29">
        <f>B2176-B2175</f>
        <v/>
      </c>
      <c r="D2176" s="29">
        <f>VLOOKUP(A2176,'Database Claims'!$A:$C,2,)</f>
        <v/>
      </c>
      <c r="E2176" s="29">
        <f>D2176-D2175</f>
        <v/>
      </c>
    </row>
    <row r="2177">
      <c r="A2177" s="28" t="n">
        <v>39683</v>
      </c>
      <c r="B2177" s="25">
        <f>VLOOKUP(A2177,'Database Claims'!$A:$C,3,)</f>
        <v/>
      </c>
      <c r="C2177" s="29">
        <f>B2177-B2176</f>
        <v/>
      </c>
      <c r="D2177" s="25">
        <f>VLOOKUP(A2177,'Database Claims'!$A:$C,2,)</f>
        <v/>
      </c>
      <c r="E2177" s="29">
        <f>D2177-D2176</f>
        <v/>
      </c>
    </row>
    <row r="2178">
      <c r="A2178" s="28" t="n">
        <v>39690</v>
      </c>
      <c r="B2178" s="29">
        <f>VLOOKUP(A2178,'Database Claims'!$A:$C,3,)</f>
        <v/>
      </c>
      <c r="C2178" s="29">
        <f>B2178-B2177</f>
        <v/>
      </c>
      <c r="D2178" s="29">
        <f>VLOOKUP(A2178,'Database Claims'!$A:$C,2,)</f>
        <v/>
      </c>
      <c r="E2178" s="29">
        <f>D2178-D2177</f>
        <v/>
      </c>
    </row>
    <row r="2179">
      <c r="A2179" s="28" t="n">
        <v>39697</v>
      </c>
      <c r="B2179" s="25">
        <f>VLOOKUP(A2179,'Database Claims'!$A:$C,3,)</f>
        <v/>
      </c>
      <c r="C2179" s="29">
        <f>B2179-B2178</f>
        <v/>
      </c>
      <c r="D2179" s="25">
        <f>VLOOKUP(A2179,'Database Claims'!$A:$C,2,)</f>
        <v/>
      </c>
      <c r="E2179" s="29">
        <f>D2179-D2178</f>
        <v/>
      </c>
    </row>
    <row r="2180">
      <c r="A2180" s="28" t="n">
        <v>39704</v>
      </c>
      <c r="B2180" s="29">
        <f>VLOOKUP(A2180,'Database Claims'!$A:$C,3,)</f>
        <v/>
      </c>
      <c r="C2180" s="29">
        <f>B2180-B2179</f>
        <v/>
      </c>
      <c r="D2180" s="29">
        <f>VLOOKUP(A2180,'Database Claims'!$A:$C,2,)</f>
        <v/>
      </c>
      <c r="E2180" s="29">
        <f>D2180-D2179</f>
        <v/>
      </c>
    </row>
    <row r="2181">
      <c r="A2181" s="28" t="n">
        <v>39711</v>
      </c>
      <c r="B2181" s="25">
        <f>VLOOKUP(A2181,'Database Claims'!$A:$C,3,)</f>
        <v/>
      </c>
      <c r="C2181" s="29">
        <f>B2181-B2180</f>
        <v/>
      </c>
      <c r="D2181" s="25">
        <f>VLOOKUP(A2181,'Database Claims'!$A:$C,2,)</f>
        <v/>
      </c>
      <c r="E2181" s="29">
        <f>D2181-D2180</f>
        <v/>
      </c>
    </row>
    <row r="2182">
      <c r="A2182" s="28" t="n">
        <v>39718</v>
      </c>
      <c r="B2182" s="29">
        <f>VLOOKUP(A2182,'Database Claims'!$A:$C,3,)</f>
        <v/>
      </c>
      <c r="C2182" s="29">
        <f>B2182-B2181</f>
        <v/>
      </c>
      <c r="D2182" s="29">
        <f>VLOOKUP(A2182,'Database Claims'!$A:$C,2,)</f>
        <v/>
      </c>
      <c r="E2182" s="29">
        <f>D2182-D2181</f>
        <v/>
      </c>
    </row>
    <row r="2183">
      <c r="A2183" s="28" t="n">
        <v>39725</v>
      </c>
      <c r="B2183" s="25">
        <f>VLOOKUP(A2183,'Database Claims'!$A:$C,3,)</f>
        <v/>
      </c>
      <c r="C2183" s="29">
        <f>B2183-B2182</f>
        <v/>
      </c>
      <c r="D2183" s="25">
        <f>VLOOKUP(A2183,'Database Claims'!$A:$C,2,)</f>
        <v/>
      </c>
      <c r="E2183" s="29">
        <f>D2183-D2182</f>
        <v/>
      </c>
    </row>
    <row r="2184">
      <c r="A2184" s="28" t="n">
        <v>39732</v>
      </c>
      <c r="B2184" s="29">
        <f>VLOOKUP(A2184,'Database Claims'!$A:$C,3,)</f>
        <v/>
      </c>
      <c r="C2184" s="29">
        <f>B2184-B2183</f>
        <v/>
      </c>
      <c r="D2184" s="29">
        <f>VLOOKUP(A2184,'Database Claims'!$A:$C,2,)</f>
        <v/>
      </c>
      <c r="E2184" s="29">
        <f>D2184-D2183</f>
        <v/>
      </c>
    </row>
    <row r="2185">
      <c r="A2185" s="28" t="n">
        <v>39739</v>
      </c>
      <c r="B2185" s="25">
        <f>VLOOKUP(A2185,'Database Claims'!$A:$C,3,)</f>
        <v/>
      </c>
      <c r="C2185" s="29">
        <f>B2185-B2184</f>
        <v/>
      </c>
      <c r="D2185" s="25">
        <f>VLOOKUP(A2185,'Database Claims'!$A:$C,2,)</f>
        <v/>
      </c>
      <c r="E2185" s="29">
        <f>D2185-D2184</f>
        <v/>
      </c>
    </row>
    <row r="2186">
      <c r="A2186" s="28" t="n">
        <v>39746</v>
      </c>
      <c r="B2186" s="29">
        <f>VLOOKUP(A2186,'Database Claims'!$A:$C,3,)</f>
        <v/>
      </c>
      <c r="C2186" s="29">
        <f>B2186-B2185</f>
        <v/>
      </c>
      <c r="D2186" s="29">
        <f>VLOOKUP(A2186,'Database Claims'!$A:$C,2,)</f>
        <v/>
      </c>
      <c r="E2186" s="29">
        <f>D2186-D2185</f>
        <v/>
      </c>
    </row>
    <row r="2187">
      <c r="A2187" s="28" t="n">
        <v>39753</v>
      </c>
      <c r="B2187" s="25">
        <f>VLOOKUP(A2187,'Database Claims'!$A:$C,3,)</f>
        <v/>
      </c>
      <c r="C2187" s="29">
        <f>B2187-B2186</f>
        <v/>
      </c>
      <c r="D2187" s="25">
        <f>VLOOKUP(A2187,'Database Claims'!$A:$C,2,)</f>
        <v/>
      </c>
      <c r="E2187" s="29">
        <f>D2187-D2186</f>
        <v/>
      </c>
    </row>
    <row r="2188">
      <c r="A2188" s="28" t="n">
        <v>39760</v>
      </c>
      <c r="B2188" s="29">
        <f>VLOOKUP(A2188,'Database Claims'!$A:$C,3,)</f>
        <v/>
      </c>
      <c r="C2188" s="29">
        <f>B2188-B2187</f>
        <v/>
      </c>
      <c r="D2188" s="29">
        <f>VLOOKUP(A2188,'Database Claims'!$A:$C,2,)</f>
        <v/>
      </c>
      <c r="E2188" s="29">
        <f>D2188-D2187</f>
        <v/>
      </c>
    </row>
    <row r="2189">
      <c r="A2189" s="28" t="n">
        <v>39767</v>
      </c>
      <c r="B2189" s="25">
        <f>VLOOKUP(A2189,'Database Claims'!$A:$C,3,)</f>
        <v/>
      </c>
      <c r="C2189" s="29">
        <f>B2189-B2188</f>
        <v/>
      </c>
      <c r="D2189" s="25">
        <f>VLOOKUP(A2189,'Database Claims'!$A:$C,2,)</f>
        <v/>
      </c>
      <c r="E2189" s="29">
        <f>D2189-D2188</f>
        <v/>
      </c>
    </row>
    <row r="2190">
      <c r="A2190" s="28" t="n">
        <v>39774</v>
      </c>
      <c r="B2190" s="29">
        <f>VLOOKUP(A2190,'Database Claims'!$A:$C,3,)</f>
        <v/>
      </c>
      <c r="C2190" s="29">
        <f>B2190-B2189</f>
        <v/>
      </c>
      <c r="D2190" s="29">
        <f>VLOOKUP(A2190,'Database Claims'!$A:$C,2,)</f>
        <v/>
      </c>
      <c r="E2190" s="29">
        <f>D2190-D2189</f>
        <v/>
      </c>
    </row>
    <row r="2191">
      <c r="A2191" s="28" t="n">
        <v>39781</v>
      </c>
      <c r="B2191" s="25">
        <f>VLOOKUP(A2191,'Database Claims'!$A:$C,3,)</f>
        <v/>
      </c>
      <c r="C2191" s="29">
        <f>B2191-B2190</f>
        <v/>
      </c>
      <c r="D2191" s="25">
        <f>VLOOKUP(A2191,'Database Claims'!$A:$C,2,)</f>
        <v/>
      </c>
      <c r="E2191" s="29">
        <f>D2191-D2190</f>
        <v/>
      </c>
    </row>
    <row r="2192">
      <c r="A2192" s="28" t="n">
        <v>39788</v>
      </c>
      <c r="B2192" s="29">
        <f>VLOOKUP(A2192,'Database Claims'!$A:$C,3,)</f>
        <v/>
      </c>
      <c r="C2192" s="29">
        <f>B2192-B2191</f>
        <v/>
      </c>
      <c r="D2192" s="29">
        <f>VLOOKUP(A2192,'Database Claims'!$A:$C,2,)</f>
        <v/>
      </c>
      <c r="E2192" s="29">
        <f>D2192-D2191</f>
        <v/>
      </c>
    </row>
    <row r="2193">
      <c r="A2193" s="28" t="n">
        <v>39795</v>
      </c>
      <c r="B2193" s="25">
        <f>VLOOKUP(A2193,'Database Claims'!$A:$C,3,)</f>
        <v/>
      </c>
      <c r="C2193" s="29">
        <f>B2193-B2192</f>
        <v/>
      </c>
      <c r="D2193" s="25">
        <f>VLOOKUP(A2193,'Database Claims'!$A:$C,2,)</f>
        <v/>
      </c>
      <c r="E2193" s="29">
        <f>D2193-D2192</f>
        <v/>
      </c>
    </row>
    <row r="2194">
      <c r="A2194" s="28" t="n">
        <v>39802</v>
      </c>
      <c r="B2194" s="29">
        <f>VLOOKUP(A2194,'Database Claims'!$A:$C,3,)</f>
        <v/>
      </c>
      <c r="C2194" s="29">
        <f>B2194-B2193</f>
        <v/>
      </c>
      <c r="D2194" s="29">
        <f>VLOOKUP(A2194,'Database Claims'!$A:$C,2,)</f>
        <v/>
      </c>
      <c r="E2194" s="29">
        <f>D2194-D2193</f>
        <v/>
      </c>
    </row>
    <row r="2195">
      <c r="A2195" s="28" t="n">
        <v>39809</v>
      </c>
      <c r="B2195" s="25">
        <f>VLOOKUP(A2195,'Database Claims'!$A:$C,3,)</f>
        <v/>
      </c>
      <c r="C2195" s="29">
        <f>B2195-B2194</f>
        <v/>
      </c>
      <c r="D2195" s="25">
        <f>VLOOKUP(A2195,'Database Claims'!$A:$C,2,)</f>
        <v/>
      </c>
      <c r="E2195" s="29">
        <f>D2195-D2194</f>
        <v/>
      </c>
    </row>
    <row r="2196">
      <c r="A2196" s="28" t="n">
        <v>39816</v>
      </c>
      <c r="B2196" s="29">
        <f>VLOOKUP(A2196,'Database Claims'!$A:$C,3,)</f>
        <v/>
      </c>
      <c r="C2196" s="29">
        <f>B2196-B2195</f>
        <v/>
      </c>
      <c r="D2196" s="29">
        <f>VLOOKUP(A2196,'Database Claims'!$A:$C,2,)</f>
        <v/>
      </c>
      <c r="E2196" s="29">
        <f>D2196-D2195</f>
        <v/>
      </c>
    </row>
    <row r="2197">
      <c r="A2197" s="28" t="n">
        <v>39823</v>
      </c>
      <c r="B2197" s="25">
        <f>VLOOKUP(A2197,'Database Claims'!$A:$C,3,)</f>
        <v/>
      </c>
      <c r="C2197" s="29">
        <f>B2197-B2196</f>
        <v/>
      </c>
      <c r="D2197" s="25">
        <f>VLOOKUP(A2197,'Database Claims'!$A:$C,2,)</f>
        <v/>
      </c>
      <c r="E2197" s="29">
        <f>D2197-D2196</f>
        <v/>
      </c>
    </row>
    <row r="2198">
      <c r="A2198" s="28" t="n">
        <v>39830</v>
      </c>
      <c r="B2198" s="29">
        <f>VLOOKUP(A2198,'Database Claims'!$A:$C,3,)</f>
        <v/>
      </c>
      <c r="C2198" s="29">
        <f>B2198-B2197</f>
        <v/>
      </c>
      <c r="D2198" s="29">
        <f>VLOOKUP(A2198,'Database Claims'!$A:$C,2,)</f>
        <v/>
      </c>
      <c r="E2198" s="29">
        <f>D2198-D2197</f>
        <v/>
      </c>
    </row>
    <row r="2199">
      <c r="A2199" s="28" t="n">
        <v>39837</v>
      </c>
      <c r="B2199" s="25">
        <f>VLOOKUP(A2199,'Database Claims'!$A:$C,3,)</f>
        <v/>
      </c>
      <c r="C2199" s="29">
        <f>B2199-B2198</f>
        <v/>
      </c>
      <c r="D2199" s="25">
        <f>VLOOKUP(A2199,'Database Claims'!$A:$C,2,)</f>
        <v/>
      </c>
      <c r="E2199" s="29">
        <f>D2199-D2198</f>
        <v/>
      </c>
    </row>
    <row r="2200">
      <c r="A2200" s="28" t="n">
        <v>39844</v>
      </c>
      <c r="B2200" s="29">
        <f>VLOOKUP(A2200,'Database Claims'!$A:$C,3,)</f>
        <v/>
      </c>
      <c r="C2200" s="29">
        <f>B2200-B2199</f>
        <v/>
      </c>
      <c r="D2200" s="29">
        <f>VLOOKUP(A2200,'Database Claims'!$A:$C,2,)</f>
        <v/>
      </c>
      <c r="E2200" s="29">
        <f>D2200-D2199</f>
        <v/>
      </c>
    </row>
    <row r="2201">
      <c r="A2201" s="28" t="n">
        <v>39851</v>
      </c>
      <c r="B2201" s="25">
        <f>VLOOKUP(A2201,'Database Claims'!$A:$C,3,)</f>
        <v/>
      </c>
      <c r="C2201" s="29">
        <f>B2201-B2200</f>
        <v/>
      </c>
      <c r="D2201" s="25">
        <f>VLOOKUP(A2201,'Database Claims'!$A:$C,2,)</f>
        <v/>
      </c>
      <c r="E2201" s="29">
        <f>D2201-D2200</f>
        <v/>
      </c>
    </row>
    <row r="2202">
      <c r="A2202" s="28" t="n">
        <v>39858</v>
      </c>
      <c r="B2202" s="29">
        <f>VLOOKUP(A2202,'Database Claims'!$A:$C,3,)</f>
        <v/>
      </c>
      <c r="C2202" s="29">
        <f>B2202-B2201</f>
        <v/>
      </c>
      <c r="D2202" s="29">
        <f>VLOOKUP(A2202,'Database Claims'!$A:$C,2,)</f>
        <v/>
      </c>
      <c r="E2202" s="29">
        <f>D2202-D2201</f>
        <v/>
      </c>
    </row>
    <row r="2203">
      <c r="A2203" s="28" t="n">
        <v>39865</v>
      </c>
      <c r="B2203" s="25">
        <f>VLOOKUP(A2203,'Database Claims'!$A:$C,3,)</f>
        <v/>
      </c>
      <c r="C2203" s="29">
        <f>B2203-B2202</f>
        <v/>
      </c>
      <c r="D2203" s="25">
        <f>VLOOKUP(A2203,'Database Claims'!$A:$C,2,)</f>
        <v/>
      </c>
      <c r="E2203" s="29">
        <f>D2203-D2202</f>
        <v/>
      </c>
    </row>
    <row r="2204">
      <c r="A2204" s="28" t="n">
        <v>39872</v>
      </c>
      <c r="B2204" s="29">
        <f>VLOOKUP(A2204,'Database Claims'!$A:$C,3,)</f>
        <v/>
      </c>
      <c r="C2204" s="29">
        <f>B2204-B2203</f>
        <v/>
      </c>
      <c r="D2204" s="29">
        <f>VLOOKUP(A2204,'Database Claims'!$A:$C,2,)</f>
        <v/>
      </c>
      <c r="E2204" s="29">
        <f>D2204-D2203</f>
        <v/>
      </c>
    </row>
    <row r="2205">
      <c r="A2205" s="28" t="n">
        <v>39879</v>
      </c>
      <c r="B2205" s="25">
        <f>VLOOKUP(A2205,'Database Claims'!$A:$C,3,)</f>
        <v/>
      </c>
      <c r="C2205" s="29">
        <f>B2205-B2204</f>
        <v/>
      </c>
      <c r="D2205" s="25">
        <f>VLOOKUP(A2205,'Database Claims'!$A:$C,2,)</f>
        <v/>
      </c>
      <c r="E2205" s="29">
        <f>D2205-D2204</f>
        <v/>
      </c>
    </row>
    <row r="2206">
      <c r="A2206" s="28" t="n">
        <v>39886</v>
      </c>
      <c r="B2206" s="29">
        <f>VLOOKUP(A2206,'Database Claims'!$A:$C,3,)</f>
        <v/>
      </c>
      <c r="C2206" s="29">
        <f>B2206-B2205</f>
        <v/>
      </c>
      <c r="D2206" s="29">
        <f>VLOOKUP(A2206,'Database Claims'!$A:$C,2,)</f>
        <v/>
      </c>
      <c r="E2206" s="29">
        <f>D2206-D2205</f>
        <v/>
      </c>
    </row>
    <row r="2207">
      <c r="A2207" s="28" t="n">
        <v>39893</v>
      </c>
      <c r="B2207" s="25">
        <f>VLOOKUP(A2207,'Database Claims'!$A:$C,3,)</f>
        <v/>
      </c>
      <c r="C2207" s="29">
        <f>B2207-B2206</f>
        <v/>
      </c>
      <c r="D2207" s="25">
        <f>VLOOKUP(A2207,'Database Claims'!$A:$C,2,)</f>
        <v/>
      </c>
      <c r="E2207" s="29">
        <f>D2207-D2206</f>
        <v/>
      </c>
    </row>
    <row r="2208">
      <c r="A2208" s="28" t="n">
        <v>39900</v>
      </c>
      <c r="B2208" s="29">
        <f>VLOOKUP(A2208,'Database Claims'!$A:$C,3,)</f>
        <v/>
      </c>
      <c r="C2208" s="29">
        <f>B2208-B2207</f>
        <v/>
      </c>
      <c r="D2208" s="29">
        <f>VLOOKUP(A2208,'Database Claims'!$A:$C,2,)</f>
        <v/>
      </c>
      <c r="E2208" s="29">
        <f>D2208-D2207</f>
        <v/>
      </c>
    </row>
    <row r="2209">
      <c r="A2209" s="28" t="n">
        <v>39907</v>
      </c>
      <c r="B2209" s="25">
        <f>VLOOKUP(A2209,'Database Claims'!$A:$C,3,)</f>
        <v/>
      </c>
      <c r="C2209" s="29">
        <f>B2209-B2208</f>
        <v/>
      </c>
      <c r="D2209" s="25">
        <f>VLOOKUP(A2209,'Database Claims'!$A:$C,2,)</f>
        <v/>
      </c>
      <c r="E2209" s="29">
        <f>D2209-D2208</f>
        <v/>
      </c>
    </row>
    <row r="2210">
      <c r="A2210" s="28" t="n">
        <v>39914</v>
      </c>
      <c r="B2210" s="29">
        <f>VLOOKUP(A2210,'Database Claims'!$A:$C,3,)</f>
        <v/>
      </c>
      <c r="C2210" s="29">
        <f>B2210-B2209</f>
        <v/>
      </c>
      <c r="D2210" s="29">
        <f>VLOOKUP(A2210,'Database Claims'!$A:$C,2,)</f>
        <v/>
      </c>
      <c r="E2210" s="29">
        <f>D2210-D2209</f>
        <v/>
      </c>
    </row>
    <row r="2211">
      <c r="A2211" s="28" t="n">
        <v>39921</v>
      </c>
      <c r="B2211" s="25">
        <f>VLOOKUP(A2211,'Database Claims'!$A:$C,3,)</f>
        <v/>
      </c>
      <c r="C2211" s="29">
        <f>B2211-B2210</f>
        <v/>
      </c>
      <c r="D2211" s="25">
        <f>VLOOKUP(A2211,'Database Claims'!$A:$C,2,)</f>
        <v/>
      </c>
      <c r="E2211" s="29">
        <f>D2211-D2210</f>
        <v/>
      </c>
    </row>
    <row r="2212">
      <c r="A2212" s="28" t="n">
        <v>39928</v>
      </c>
      <c r="B2212" s="29">
        <f>VLOOKUP(A2212,'Database Claims'!$A:$C,3,)</f>
        <v/>
      </c>
      <c r="C2212" s="29">
        <f>B2212-B2211</f>
        <v/>
      </c>
      <c r="D2212" s="29">
        <f>VLOOKUP(A2212,'Database Claims'!$A:$C,2,)</f>
        <v/>
      </c>
      <c r="E2212" s="29">
        <f>D2212-D2211</f>
        <v/>
      </c>
    </row>
    <row r="2213">
      <c r="A2213" s="28" t="n">
        <v>39935</v>
      </c>
      <c r="B2213" s="25">
        <f>VLOOKUP(A2213,'Database Claims'!$A:$C,3,)</f>
        <v/>
      </c>
      <c r="C2213" s="29">
        <f>B2213-B2212</f>
        <v/>
      </c>
      <c r="D2213" s="25">
        <f>VLOOKUP(A2213,'Database Claims'!$A:$C,2,)</f>
        <v/>
      </c>
      <c r="E2213" s="29">
        <f>D2213-D2212</f>
        <v/>
      </c>
    </row>
    <row r="2214">
      <c r="A2214" s="28" t="n">
        <v>39942</v>
      </c>
      <c r="B2214" s="29">
        <f>VLOOKUP(A2214,'Database Claims'!$A:$C,3,)</f>
        <v/>
      </c>
      <c r="C2214" s="29">
        <f>B2214-B2213</f>
        <v/>
      </c>
      <c r="D2214" s="29">
        <f>VLOOKUP(A2214,'Database Claims'!$A:$C,2,)</f>
        <v/>
      </c>
      <c r="E2214" s="29">
        <f>D2214-D2213</f>
        <v/>
      </c>
    </row>
    <row r="2215">
      <c r="A2215" s="28" t="n">
        <v>39949</v>
      </c>
      <c r="B2215" s="25">
        <f>VLOOKUP(A2215,'Database Claims'!$A:$C,3,)</f>
        <v/>
      </c>
      <c r="C2215" s="29">
        <f>B2215-B2214</f>
        <v/>
      </c>
      <c r="D2215" s="25">
        <f>VLOOKUP(A2215,'Database Claims'!$A:$C,2,)</f>
        <v/>
      </c>
      <c r="E2215" s="29">
        <f>D2215-D2214</f>
        <v/>
      </c>
    </row>
    <row r="2216">
      <c r="A2216" s="28" t="n">
        <v>39956</v>
      </c>
      <c r="B2216" s="29">
        <f>VLOOKUP(A2216,'Database Claims'!$A:$C,3,)</f>
        <v/>
      </c>
      <c r="C2216" s="29">
        <f>B2216-B2215</f>
        <v/>
      </c>
      <c r="D2216" s="29">
        <f>VLOOKUP(A2216,'Database Claims'!$A:$C,2,)</f>
        <v/>
      </c>
      <c r="E2216" s="29">
        <f>D2216-D2215</f>
        <v/>
      </c>
    </row>
    <row r="2217">
      <c r="A2217" s="28" t="n">
        <v>39963</v>
      </c>
      <c r="B2217" s="25">
        <f>VLOOKUP(A2217,'Database Claims'!$A:$C,3,)</f>
        <v/>
      </c>
      <c r="C2217" s="29">
        <f>B2217-B2216</f>
        <v/>
      </c>
      <c r="D2217" s="25">
        <f>VLOOKUP(A2217,'Database Claims'!$A:$C,2,)</f>
        <v/>
      </c>
      <c r="E2217" s="29">
        <f>D2217-D2216</f>
        <v/>
      </c>
    </row>
    <row r="2218">
      <c r="A2218" s="28" t="n">
        <v>39970</v>
      </c>
      <c r="B2218" s="29">
        <f>VLOOKUP(A2218,'Database Claims'!$A:$C,3,)</f>
        <v/>
      </c>
      <c r="C2218" s="29">
        <f>B2218-B2217</f>
        <v/>
      </c>
      <c r="D2218" s="29">
        <f>VLOOKUP(A2218,'Database Claims'!$A:$C,2,)</f>
        <v/>
      </c>
      <c r="E2218" s="29">
        <f>D2218-D2217</f>
        <v/>
      </c>
    </row>
    <row r="2219">
      <c r="A2219" s="28" t="n">
        <v>39977</v>
      </c>
      <c r="B2219" s="25">
        <f>VLOOKUP(A2219,'Database Claims'!$A:$C,3,)</f>
        <v/>
      </c>
      <c r="C2219" s="29">
        <f>B2219-B2218</f>
        <v/>
      </c>
      <c r="D2219" s="25">
        <f>VLOOKUP(A2219,'Database Claims'!$A:$C,2,)</f>
        <v/>
      </c>
      <c r="E2219" s="29">
        <f>D2219-D2218</f>
        <v/>
      </c>
    </row>
    <row r="2220">
      <c r="A2220" s="28" t="n">
        <v>39984</v>
      </c>
      <c r="B2220" s="29">
        <f>VLOOKUP(A2220,'Database Claims'!$A:$C,3,)</f>
        <v/>
      </c>
      <c r="C2220" s="29">
        <f>B2220-B2219</f>
        <v/>
      </c>
      <c r="D2220" s="29">
        <f>VLOOKUP(A2220,'Database Claims'!$A:$C,2,)</f>
        <v/>
      </c>
      <c r="E2220" s="29">
        <f>D2220-D2219</f>
        <v/>
      </c>
    </row>
    <row r="2221">
      <c r="A2221" s="28" t="n">
        <v>39991</v>
      </c>
      <c r="B2221" s="25">
        <f>VLOOKUP(A2221,'Database Claims'!$A:$C,3,)</f>
        <v/>
      </c>
      <c r="C2221" s="29">
        <f>B2221-B2220</f>
        <v/>
      </c>
      <c r="D2221" s="25">
        <f>VLOOKUP(A2221,'Database Claims'!$A:$C,2,)</f>
        <v/>
      </c>
      <c r="E2221" s="29">
        <f>D2221-D2220</f>
        <v/>
      </c>
    </row>
    <row r="2222">
      <c r="A2222" s="28" t="n">
        <v>39998</v>
      </c>
      <c r="B2222" s="29">
        <f>VLOOKUP(A2222,'Database Claims'!$A:$C,3,)</f>
        <v/>
      </c>
      <c r="C2222" s="29">
        <f>B2222-B2221</f>
        <v/>
      </c>
      <c r="D2222" s="29">
        <f>VLOOKUP(A2222,'Database Claims'!$A:$C,2,)</f>
        <v/>
      </c>
      <c r="E2222" s="29">
        <f>D2222-D2221</f>
        <v/>
      </c>
    </row>
    <row r="2223">
      <c r="A2223" s="28" t="n">
        <v>40005</v>
      </c>
      <c r="B2223" s="25">
        <f>VLOOKUP(A2223,'Database Claims'!$A:$C,3,)</f>
        <v/>
      </c>
      <c r="C2223" s="29">
        <f>B2223-B2222</f>
        <v/>
      </c>
      <c r="D2223" s="25">
        <f>VLOOKUP(A2223,'Database Claims'!$A:$C,2,)</f>
        <v/>
      </c>
      <c r="E2223" s="29">
        <f>D2223-D2222</f>
        <v/>
      </c>
    </row>
    <row r="2224">
      <c r="A2224" s="28" t="n">
        <v>40012</v>
      </c>
      <c r="B2224" s="29">
        <f>VLOOKUP(A2224,'Database Claims'!$A:$C,3,)</f>
        <v/>
      </c>
      <c r="C2224" s="29">
        <f>B2224-B2223</f>
        <v/>
      </c>
      <c r="D2224" s="29">
        <f>VLOOKUP(A2224,'Database Claims'!$A:$C,2,)</f>
        <v/>
      </c>
      <c r="E2224" s="29">
        <f>D2224-D2223</f>
        <v/>
      </c>
    </row>
    <row r="2225">
      <c r="A2225" s="28" t="n">
        <v>40019</v>
      </c>
      <c r="B2225" s="25">
        <f>VLOOKUP(A2225,'Database Claims'!$A:$C,3,)</f>
        <v/>
      </c>
      <c r="C2225" s="29">
        <f>B2225-B2224</f>
        <v/>
      </c>
      <c r="D2225" s="25">
        <f>VLOOKUP(A2225,'Database Claims'!$A:$C,2,)</f>
        <v/>
      </c>
      <c r="E2225" s="29">
        <f>D2225-D2224</f>
        <v/>
      </c>
    </row>
    <row r="2226">
      <c r="A2226" s="28" t="n">
        <v>40026</v>
      </c>
      <c r="B2226" s="29">
        <f>VLOOKUP(A2226,'Database Claims'!$A:$C,3,)</f>
        <v/>
      </c>
      <c r="C2226" s="29">
        <f>B2226-B2225</f>
        <v/>
      </c>
      <c r="D2226" s="29">
        <f>VLOOKUP(A2226,'Database Claims'!$A:$C,2,)</f>
        <v/>
      </c>
      <c r="E2226" s="29">
        <f>D2226-D2225</f>
        <v/>
      </c>
    </row>
    <row r="2227">
      <c r="A2227" s="28" t="n">
        <v>40033</v>
      </c>
      <c r="B2227" s="25">
        <f>VLOOKUP(A2227,'Database Claims'!$A:$C,3,)</f>
        <v/>
      </c>
      <c r="C2227" s="29">
        <f>B2227-B2226</f>
        <v/>
      </c>
      <c r="D2227" s="25">
        <f>VLOOKUP(A2227,'Database Claims'!$A:$C,2,)</f>
        <v/>
      </c>
      <c r="E2227" s="29">
        <f>D2227-D2226</f>
        <v/>
      </c>
    </row>
    <row r="2228">
      <c r="A2228" s="28" t="n">
        <v>40040</v>
      </c>
      <c r="B2228" s="29">
        <f>VLOOKUP(A2228,'Database Claims'!$A:$C,3,)</f>
        <v/>
      </c>
      <c r="C2228" s="29">
        <f>B2228-B2227</f>
        <v/>
      </c>
      <c r="D2228" s="29">
        <f>VLOOKUP(A2228,'Database Claims'!$A:$C,2,)</f>
        <v/>
      </c>
      <c r="E2228" s="29">
        <f>D2228-D2227</f>
        <v/>
      </c>
    </row>
    <row r="2229">
      <c r="A2229" s="28" t="n">
        <v>40047</v>
      </c>
      <c r="B2229" s="25">
        <f>VLOOKUP(A2229,'Database Claims'!$A:$C,3,)</f>
        <v/>
      </c>
      <c r="C2229" s="29">
        <f>B2229-B2228</f>
        <v/>
      </c>
      <c r="D2229" s="25">
        <f>VLOOKUP(A2229,'Database Claims'!$A:$C,2,)</f>
        <v/>
      </c>
      <c r="E2229" s="29">
        <f>D2229-D2228</f>
        <v/>
      </c>
    </row>
    <row r="2230">
      <c r="A2230" s="28" t="n">
        <v>40054</v>
      </c>
      <c r="B2230" s="29">
        <f>VLOOKUP(A2230,'Database Claims'!$A:$C,3,)</f>
        <v/>
      </c>
      <c r="C2230" s="29">
        <f>B2230-B2229</f>
        <v/>
      </c>
      <c r="D2230" s="29">
        <f>VLOOKUP(A2230,'Database Claims'!$A:$C,2,)</f>
        <v/>
      </c>
      <c r="E2230" s="29">
        <f>D2230-D2229</f>
        <v/>
      </c>
    </row>
    <row r="2231">
      <c r="A2231" s="28" t="n">
        <v>40061</v>
      </c>
      <c r="B2231" s="25">
        <f>VLOOKUP(A2231,'Database Claims'!$A:$C,3,)</f>
        <v/>
      </c>
      <c r="C2231" s="29">
        <f>B2231-B2230</f>
        <v/>
      </c>
      <c r="D2231" s="25">
        <f>VLOOKUP(A2231,'Database Claims'!$A:$C,2,)</f>
        <v/>
      </c>
      <c r="E2231" s="29">
        <f>D2231-D2230</f>
        <v/>
      </c>
    </row>
    <row r="2232">
      <c r="A2232" s="28" t="n">
        <v>40068</v>
      </c>
      <c r="B2232" s="29">
        <f>VLOOKUP(A2232,'Database Claims'!$A:$C,3,)</f>
        <v/>
      </c>
      <c r="C2232" s="29">
        <f>B2232-B2231</f>
        <v/>
      </c>
      <c r="D2232" s="29">
        <f>VLOOKUP(A2232,'Database Claims'!$A:$C,2,)</f>
        <v/>
      </c>
      <c r="E2232" s="29">
        <f>D2232-D2231</f>
        <v/>
      </c>
    </row>
    <row r="2233">
      <c r="A2233" s="28" t="n">
        <v>40075</v>
      </c>
      <c r="B2233" s="25">
        <f>VLOOKUP(A2233,'Database Claims'!$A:$C,3,)</f>
        <v/>
      </c>
      <c r="C2233" s="29">
        <f>B2233-B2232</f>
        <v/>
      </c>
      <c r="D2233" s="25">
        <f>VLOOKUP(A2233,'Database Claims'!$A:$C,2,)</f>
        <v/>
      </c>
      <c r="E2233" s="29">
        <f>D2233-D2232</f>
        <v/>
      </c>
    </row>
    <row r="2234">
      <c r="A2234" s="28" t="n">
        <v>40082</v>
      </c>
      <c r="B2234" s="29">
        <f>VLOOKUP(A2234,'Database Claims'!$A:$C,3,)</f>
        <v/>
      </c>
      <c r="C2234" s="29">
        <f>B2234-B2233</f>
        <v/>
      </c>
      <c r="D2234" s="29">
        <f>VLOOKUP(A2234,'Database Claims'!$A:$C,2,)</f>
        <v/>
      </c>
      <c r="E2234" s="29">
        <f>D2234-D2233</f>
        <v/>
      </c>
    </row>
    <row r="2235">
      <c r="A2235" s="28" t="n">
        <v>40089</v>
      </c>
      <c r="B2235" s="25">
        <f>VLOOKUP(A2235,'Database Claims'!$A:$C,3,)</f>
        <v/>
      </c>
      <c r="C2235" s="29">
        <f>B2235-B2234</f>
        <v/>
      </c>
      <c r="D2235" s="25">
        <f>VLOOKUP(A2235,'Database Claims'!$A:$C,2,)</f>
        <v/>
      </c>
      <c r="E2235" s="29">
        <f>D2235-D2234</f>
        <v/>
      </c>
    </row>
    <row r="2236">
      <c r="A2236" s="28" t="n">
        <v>40096</v>
      </c>
      <c r="B2236" s="29">
        <f>VLOOKUP(A2236,'Database Claims'!$A:$C,3,)</f>
        <v/>
      </c>
      <c r="C2236" s="29">
        <f>B2236-B2235</f>
        <v/>
      </c>
      <c r="D2236" s="29">
        <f>VLOOKUP(A2236,'Database Claims'!$A:$C,2,)</f>
        <v/>
      </c>
      <c r="E2236" s="29">
        <f>D2236-D2235</f>
        <v/>
      </c>
    </row>
    <row r="2237">
      <c r="A2237" s="28" t="n">
        <v>40103</v>
      </c>
      <c r="B2237" s="25">
        <f>VLOOKUP(A2237,'Database Claims'!$A:$C,3,)</f>
        <v/>
      </c>
      <c r="C2237" s="29">
        <f>B2237-B2236</f>
        <v/>
      </c>
      <c r="D2237" s="25">
        <f>VLOOKUP(A2237,'Database Claims'!$A:$C,2,)</f>
        <v/>
      </c>
      <c r="E2237" s="29">
        <f>D2237-D2236</f>
        <v/>
      </c>
    </row>
    <row r="2238">
      <c r="A2238" s="28" t="n">
        <v>40110</v>
      </c>
      <c r="B2238" s="29">
        <f>VLOOKUP(A2238,'Database Claims'!$A:$C,3,)</f>
        <v/>
      </c>
      <c r="C2238" s="29">
        <f>B2238-B2237</f>
        <v/>
      </c>
      <c r="D2238" s="29">
        <f>VLOOKUP(A2238,'Database Claims'!$A:$C,2,)</f>
        <v/>
      </c>
      <c r="E2238" s="29">
        <f>D2238-D2237</f>
        <v/>
      </c>
    </row>
    <row r="2239">
      <c r="A2239" s="28" t="n">
        <v>40117</v>
      </c>
      <c r="B2239" s="25">
        <f>VLOOKUP(A2239,'Database Claims'!$A:$C,3,)</f>
        <v/>
      </c>
      <c r="C2239" s="29">
        <f>B2239-B2238</f>
        <v/>
      </c>
      <c r="D2239" s="25">
        <f>VLOOKUP(A2239,'Database Claims'!$A:$C,2,)</f>
        <v/>
      </c>
      <c r="E2239" s="29">
        <f>D2239-D2238</f>
        <v/>
      </c>
    </row>
    <row r="2240">
      <c r="A2240" s="28" t="n">
        <v>40124</v>
      </c>
      <c r="B2240" s="29">
        <f>VLOOKUP(A2240,'Database Claims'!$A:$C,3,)</f>
        <v/>
      </c>
      <c r="C2240" s="29">
        <f>B2240-B2239</f>
        <v/>
      </c>
      <c r="D2240" s="29">
        <f>VLOOKUP(A2240,'Database Claims'!$A:$C,2,)</f>
        <v/>
      </c>
      <c r="E2240" s="29">
        <f>D2240-D2239</f>
        <v/>
      </c>
    </row>
    <row r="2241">
      <c r="A2241" s="28" t="n">
        <v>40131</v>
      </c>
      <c r="B2241" s="25">
        <f>VLOOKUP(A2241,'Database Claims'!$A:$C,3,)</f>
        <v/>
      </c>
      <c r="C2241" s="29">
        <f>B2241-B2240</f>
        <v/>
      </c>
      <c r="D2241" s="25">
        <f>VLOOKUP(A2241,'Database Claims'!$A:$C,2,)</f>
        <v/>
      </c>
      <c r="E2241" s="29">
        <f>D2241-D2240</f>
        <v/>
      </c>
    </row>
    <row r="2242">
      <c r="A2242" s="28" t="n">
        <v>40138</v>
      </c>
      <c r="B2242" s="29">
        <f>VLOOKUP(A2242,'Database Claims'!$A:$C,3,)</f>
        <v/>
      </c>
      <c r="C2242" s="29">
        <f>B2242-B2241</f>
        <v/>
      </c>
      <c r="D2242" s="29">
        <f>VLOOKUP(A2242,'Database Claims'!$A:$C,2,)</f>
        <v/>
      </c>
      <c r="E2242" s="29">
        <f>D2242-D2241</f>
        <v/>
      </c>
    </row>
    <row r="2243">
      <c r="A2243" s="28" t="n">
        <v>40145</v>
      </c>
      <c r="B2243" s="25">
        <f>VLOOKUP(A2243,'Database Claims'!$A:$C,3,)</f>
        <v/>
      </c>
      <c r="C2243" s="29">
        <f>B2243-B2242</f>
        <v/>
      </c>
      <c r="D2243" s="25">
        <f>VLOOKUP(A2243,'Database Claims'!$A:$C,2,)</f>
        <v/>
      </c>
      <c r="E2243" s="29">
        <f>D2243-D2242</f>
        <v/>
      </c>
    </row>
    <row r="2244">
      <c r="A2244" s="28" t="n">
        <v>40152</v>
      </c>
      <c r="B2244" s="29">
        <f>VLOOKUP(A2244,'Database Claims'!$A:$C,3,)</f>
        <v/>
      </c>
      <c r="C2244" s="29">
        <f>B2244-B2243</f>
        <v/>
      </c>
      <c r="D2244" s="29">
        <f>VLOOKUP(A2244,'Database Claims'!$A:$C,2,)</f>
        <v/>
      </c>
      <c r="E2244" s="29">
        <f>D2244-D2243</f>
        <v/>
      </c>
    </row>
    <row r="2245">
      <c r="A2245" s="28" t="n">
        <v>40159</v>
      </c>
      <c r="B2245" s="25">
        <f>VLOOKUP(A2245,'Database Claims'!$A:$C,3,)</f>
        <v/>
      </c>
      <c r="C2245" s="29">
        <f>B2245-B2244</f>
        <v/>
      </c>
      <c r="D2245" s="25">
        <f>VLOOKUP(A2245,'Database Claims'!$A:$C,2,)</f>
        <v/>
      </c>
      <c r="E2245" s="29">
        <f>D2245-D2244</f>
        <v/>
      </c>
    </row>
    <row r="2246">
      <c r="A2246" s="28" t="n">
        <v>40166</v>
      </c>
      <c r="B2246" s="29">
        <f>VLOOKUP(A2246,'Database Claims'!$A:$C,3,)</f>
        <v/>
      </c>
      <c r="C2246" s="29">
        <f>B2246-B2245</f>
        <v/>
      </c>
      <c r="D2246" s="29">
        <f>VLOOKUP(A2246,'Database Claims'!$A:$C,2,)</f>
        <v/>
      </c>
      <c r="E2246" s="29">
        <f>D2246-D2245</f>
        <v/>
      </c>
    </row>
    <row r="2247">
      <c r="A2247" s="28" t="n">
        <v>40173</v>
      </c>
      <c r="B2247" s="25">
        <f>VLOOKUP(A2247,'Database Claims'!$A:$C,3,)</f>
        <v/>
      </c>
      <c r="C2247" s="29">
        <f>B2247-B2246</f>
        <v/>
      </c>
      <c r="D2247" s="25">
        <f>VLOOKUP(A2247,'Database Claims'!$A:$C,2,)</f>
        <v/>
      </c>
      <c r="E2247" s="29">
        <f>D2247-D2246</f>
        <v/>
      </c>
    </row>
    <row r="2248">
      <c r="A2248" s="28" t="n">
        <v>40180</v>
      </c>
      <c r="B2248" s="29">
        <f>VLOOKUP(A2248,'Database Claims'!$A:$C,3,)</f>
        <v/>
      </c>
      <c r="C2248" s="29">
        <f>B2248-B2247</f>
        <v/>
      </c>
      <c r="D2248" s="29">
        <f>VLOOKUP(A2248,'Database Claims'!$A:$C,2,)</f>
        <v/>
      </c>
      <c r="E2248" s="29">
        <f>D2248-D2247</f>
        <v/>
      </c>
    </row>
    <row r="2249">
      <c r="A2249" s="28" t="n">
        <v>40187</v>
      </c>
      <c r="B2249" s="25">
        <f>VLOOKUP(A2249,'Database Claims'!$A:$C,3,)</f>
        <v/>
      </c>
      <c r="C2249" s="29">
        <f>B2249-B2248</f>
        <v/>
      </c>
      <c r="D2249" s="25">
        <f>VLOOKUP(A2249,'Database Claims'!$A:$C,2,)</f>
        <v/>
      </c>
      <c r="E2249" s="29">
        <f>D2249-D2248</f>
        <v/>
      </c>
    </row>
    <row r="2250">
      <c r="A2250" s="28" t="n">
        <v>40194</v>
      </c>
      <c r="B2250" s="29">
        <f>VLOOKUP(A2250,'Database Claims'!$A:$C,3,)</f>
        <v/>
      </c>
      <c r="C2250" s="29">
        <f>B2250-B2249</f>
        <v/>
      </c>
      <c r="D2250" s="29">
        <f>VLOOKUP(A2250,'Database Claims'!$A:$C,2,)</f>
        <v/>
      </c>
      <c r="E2250" s="29">
        <f>D2250-D2249</f>
        <v/>
      </c>
    </row>
    <row r="2251">
      <c r="A2251" s="28" t="n">
        <v>40201</v>
      </c>
      <c r="B2251" s="25">
        <f>VLOOKUP(A2251,'Database Claims'!$A:$C,3,)</f>
        <v/>
      </c>
      <c r="C2251" s="29">
        <f>B2251-B2250</f>
        <v/>
      </c>
      <c r="D2251" s="25">
        <f>VLOOKUP(A2251,'Database Claims'!$A:$C,2,)</f>
        <v/>
      </c>
      <c r="E2251" s="29">
        <f>D2251-D2250</f>
        <v/>
      </c>
    </row>
    <row r="2252">
      <c r="A2252" s="28" t="n">
        <v>40208</v>
      </c>
      <c r="B2252" s="29">
        <f>VLOOKUP(A2252,'Database Claims'!$A:$C,3,)</f>
        <v/>
      </c>
      <c r="C2252" s="29">
        <f>B2252-B2251</f>
        <v/>
      </c>
      <c r="D2252" s="29">
        <f>VLOOKUP(A2252,'Database Claims'!$A:$C,2,)</f>
        <v/>
      </c>
      <c r="E2252" s="29">
        <f>D2252-D2251</f>
        <v/>
      </c>
    </row>
    <row r="2253">
      <c r="A2253" s="28" t="n">
        <v>40215</v>
      </c>
      <c r="B2253" s="25">
        <f>VLOOKUP(A2253,'Database Claims'!$A:$C,3,)</f>
        <v/>
      </c>
      <c r="C2253" s="29">
        <f>B2253-B2252</f>
        <v/>
      </c>
      <c r="D2253" s="25">
        <f>VLOOKUP(A2253,'Database Claims'!$A:$C,2,)</f>
        <v/>
      </c>
      <c r="E2253" s="29">
        <f>D2253-D2252</f>
        <v/>
      </c>
    </row>
    <row r="2254">
      <c r="A2254" s="28" t="n">
        <v>40222</v>
      </c>
      <c r="B2254" s="29">
        <f>VLOOKUP(A2254,'Database Claims'!$A:$C,3,)</f>
        <v/>
      </c>
      <c r="C2254" s="29">
        <f>B2254-B2253</f>
        <v/>
      </c>
      <c r="D2254" s="29">
        <f>VLOOKUP(A2254,'Database Claims'!$A:$C,2,)</f>
        <v/>
      </c>
      <c r="E2254" s="29">
        <f>D2254-D2253</f>
        <v/>
      </c>
    </row>
    <row r="2255">
      <c r="A2255" s="28" t="n">
        <v>40229</v>
      </c>
      <c r="B2255" s="25">
        <f>VLOOKUP(A2255,'Database Claims'!$A:$C,3,)</f>
        <v/>
      </c>
      <c r="C2255" s="29">
        <f>B2255-B2254</f>
        <v/>
      </c>
      <c r="D2255" s="25">
        <f>VLOOKUP(A2255,'Database Claims'!$A:$C,2,)</f>
        <v/>
      </c>
      <c r="E2255" s="29">
        <f>D2255-D2254</f>
        <v/>
      </c>
    </row>
    <row r="2256">
      <c r="A2256" s="28" t="n">
        <v>40236</v>
      </c>
      <c r="B2256" s="29">
        <f>VLOOKUP(A2256,'Database Claims'!$A:$C,3,)</f>
        <v/>
      </c>
      <c r="C2256" s="29">
        <f>B2256-B2255</f>
        <v/>
      </c>
      <c r="D2256" s="29">
        <f>VLOOKUP(A2256,'Database Claims'!$A:$C,2,)</f>
        <v/>
      </c>
      <c r="E2256" s="29">
        <f>D2256-D2255</f>
        <v/>
      </c>
    </row>
    <row r="2257">
      <c r="A2257" s="28" t="n">
        <v>40243</v>
      </c>
      <c r="B2257" s="25">
        <f>VLOOKUP(A2257,'Database Claims'!$A:$C,3,)</f>
        <v/>
      </c>
      <c r="C2257" s="29">
        <f>B2257-B2256</f>
        <v/>
      </c>
      <c r="D2257" s="25">
        <f>VLOOKUP(A2257,'Database Claims'!$A:$C,2,)</f>
        <v/>
      </c>
      <c r="E2257" s="29">
        <f>D2257-D2256</f>
        <v/>
      </c>
    </row>
    <row r="2258">
      <c r="A2258" s="28" t="n">
        <v>40250</v>
      </c>
      <c r="B2258" s="29">
        <f>VLOOKUP(A2258,'Database Claims'!$A:$C,3,)</f>
        <v/>
      </c>
      <c r="C2258" s="29">
        <f>B2258-B2257</f>
        <v/>
      </c>
      <c r="D2258" s="29">
        <f>VLOOKUP(A2258,'Database Claims'!$A:$C,2,)</f>
        <v/>
      </c>
      <c r="E2258" s="29">
        <f>D2258-D2257</f>
        <v/>
      </c>
    </row>
    <row r="2259">
      <c r="A2259" s="28" t="n">
        <v>40257</v>
      </c>
      <c r="B2259" s="25">
        <f>VLOOKUP(A2259,'Database Claims'!$A:$C,3,)</f>
        <v/>
      </c>
      <c r="C2259" s="29">
        <f>B2259-B2258</f>
        <v/>
      </c>
      <c r="D2259" s="25">
        <f>VLOOKUP(A2259,'Database Claims'!$A:$C,2,)</f>
        <v/>
      </c>
      <c r="E2259" s="29">
        <f>D2259-D2258</f>
        <v/>
      </c>
    </row>
    <row r="2260">
      <c r="A2260" s="28" t="n">
        <v>40264</v>
      </c>
      <c r="B2260" s="29">
        <f>VLOOKUP(A2260,'Database Claims'!$A:$C,3,)</f>
        <v/>
      </c>
      <c r="C2260" s="29">
        <f>B2260-B2259</f>
        <v/>
      </c>
      <c r="D2260" s="29">
        <f>VLOOKUP(A2260,'Database Claims'!$A:$C,2,)</f>
        <v/>
      </c>
      <c r="E2260" s="29">
        <f>D2260-D2259</f>
        <v/>
      </c>
    </row>
    <row r="2261">
      <c r="A2261" s="28" t="n">
        <v>40271</v>
      </c>
      <c r="B2261" s="25">
        <f>VLOOKUP(A2261,'Database Claims'!$A:$C,3,)</f>
        <v/>
      </c>
      <c r="C2261" s="29">
        <f>B2261-B2260</f>
        <v/>
      </c>
      <c r="D2261" s="25">
        <f>VLOOKUP(A2261,'Database Claims'!$A:$C,2,)</f>
        <v/>
      </c>
      <c r="E2261" s="29">
        <f>D2261-D2260</f>
        <v/>
      </c>
    </row>
    <row r="2262">
      <c r="A2262" s="28" t="n">
        <v>40278</v>
      </c>
      <c r="B2262" s="29">
        <f>VLOOKUP(A2262,'Database Claims'!$A:$C,3,)</f>
        <v/>
      </c>
      <c r="C2262" s="29">
        <f>B2262-B2261</f>
        <v/>
      </c>
      <c r="D2262" s="29">
        <f>VLOOKUP(A2262,'Database Claims'!$A:$C,2,)</f>
        <v/>
      </c>
      <c r="E2262" s="29">
        <f>D2262-D2261</f>
        <v/>
      </c>
    </row>
    <row r="2263">
      <c r="A2263" s="28" t="n">
        <v>40285</v>
      </c>
      <c r="B2263" s="25">
        <f>VLOOKUP(A2263,'Database Claims'!$A:$C,3,)</f>
        <v/>
      </c>
      <c r="C2263" s="29">
        <f>B2263-B2262</f>
        <v/>
      </c>
      <c r="D2263" s="25">
        <f>VLOOKUP(A2263,'Database Claims'!$A:$C,2,)</f>
        <v/>
      </c>
      <c r="E2263" s="29">
        <f>D2263-D2262</f>
        <v/>
      </c>
    </row>
    <row r="2264">
      <c r="A2264" s="28" t="n">
        <v>40292</v>
      </c>
      <c r="B2264" s="29">
        <f>VLOOKUP(A2264,'Database Claims'!$A:$C,3,)</f>
        <v/>
      </c>
      <c r="C2264" s="29">
        <f>B2264-B2263</f>
        <v/>
      </c>
      <c r="D2264" s="29">
        <f>VLOOKUP(A2264,'Database Claims'!$A:$C,2,)</f>
        <v/>
      </c>
      <c r="E2264" s="29">
        <f>D2264-D2263</f>
        <v/>
      </c>
    </row>
    <row r="2265">
      <c r="A2265" s="28" t="n">
        <v>40299</v>
      </c>
      <c r="B2265" s="25">
        <f>VLOOKUP(A2265,'Database Claims'!$A:$C,3,)</f>
        <v/>
      </c>
      <c r="C2265" s="29">
        <f>B2265-B2264</f>
        <v/>
      </c>
      <c r="D2265" s="25">
        <f>VLOOKUP(A2265,'Database Claims'!$A:$C,2,)</f>
        <v/>
      </c>
      <c r="E2265" s="29">
        <f>D2265-D2264</f>
        <v/>
      </c>
    </row>
    <row r="2266">
      <c r="A2266" s="28" t="n">
        <v>40306</v>
      </c>
      <c r="B2266" s="29">
        <f>VLOOKUP(A2266,'Database Claims'!$A:$C,3,)</f>
        <v/>
      </c>
      <c r="C2266" s="29">
        <f>B2266-B2265</f>
        <v/>
      </c>
      <c r="D2266" s="29">
        <f>VLOOKUP(A2266,'Database Claims'!$A:$C,2,)</f>
        <v/>
      </c>
      <c r="E2266" s="29">
        <f>D2266-D2265</f>
        <v/>
      </c>
    </row>
    <row r="2267">
      <c r="A2267" s="28" t="n">
        <v>40313</v>
      </c>
      <c r="B2267" s="25">
        <f>VLOOKUP(A2267,'Database Claims'!$A:$C,3,)</f>
        <v/>
      </c>
      <c r="C2267" s="29">
        <f>B2267-B2266</f>
        <v/>
      </c>
      <c r="D2267" s="25">
        <f>VLOOKUP(A2267,'Database Claims'!$A:$C,2,)</f>
        <v/>
      </c>
      <c r="E2267" s="29">
        <f>D2267-D2266</f>
        <v/>
      </c>
    </row>
    <row r="2268">
      <c r="A2268" s="28" t="n">
        <v>40320</v>
      </c>
      <c r="B2268" s="29">
        <f>VLOOKUP(A2268,'Database Claims'!$A:$C,3,)</f>
        <v/>
      </c>
      <c r="C2268" s="29">
        <f>B2268-B2267</f>
        <v/>
      </c>
      <c r="D2268" s="29">
        <f>VLOOKUP(A2268,'Database Claims'!$A:$C,2,)</f>
        <v/>
      </c>
      <c r="E2268" s="29">
        <f>D2268-D2267</f>
        <v/>
      </c>
    </row>
    <row r="2269">
      <c r="A2269" s="28" t="n">
        <v>40327</v>
      </c>
      <c r="B2269" s="25">
        <f>VLOOKUP(A2269,'Database Claims'!$A:$C,3,)</f>
        <v/>
      </c>
      <c r="C2269" s="29">
        <f>B2269-B2268</f>
        <v/>
      </c>
      <c r="D2269" s="25">
        <f>VLOOKUP(A2269,'Database Claims'!$A:$C,2,)</f>
        <v/>
      </c>
      <c r="E2269" s="29">
        <f>D2269-D2268</f>
        <v/>
      </c>
    </row>
    <row r="2270">
      <c r="A2270" s="28" t="n">
        <v>40334</v>
      </c>
      <c r="B2270" s="29">
        <f>VLOOKUP(A2270,'Database Claims'!$A:$C,3,)</f>
        <v/>
      </c>
      <c r="C2270" s="29">
        <f>B2270-B2269</f>
        <v/>
      </c>
      <c r="D2270" s="29">
        <f>VLOOKUP(A2270,'Database Claims'!$A:$C,2,)</f>
        <v/>
      </c>
      <c r="E2270" s="29">
        <f>D2270-D2269</f>
        <v/>
      </c>
    </row>
    <row r="2271">
      <c r="A2271" s="28" t="n">
        <v>40341</v>
      </c>
      <c r="B2271" s="25">
        <f>VLOOKUP(A2271,'Database Claims'!$A:$C,3,)</f>
        <v/>
      </c>
      <c r="C2271" s="29">
        <f>B2271-B2270</f>
        <v/>
      </c>
      <c r="D2271" s="25">
        <f>VLOOKUP(A2271,'Database Claims'!$A:$C,2,)</f>
        <v/>
      </c>
      <c r="E2271" s="29">
        <f>D2271-D2270</f>
        <v/>
      </c>
    </row>
    <row r="2272">
      <c r="A2272" s="28" t="n">
        <v>40348</v>
      </c>
      <c r="B2272" s="29">
        <f>VLOOKUP(A2272,'Database Claims'!$A:$C,3,)</f>
        <v/>
      </c>
      <c r="C2272" s="29">
        <f>B2272-B2271</f>
        <v/>
      </c>
      <c r="D2272" s="29">
        <f>VLOOKUP(A2272,'Database Claims'!$A:$C,2,)</f>
        <v/>
      </c>
      <c r="E2272" s="29">
        <f>D2272-D2271</f>
        <v/>
      </c>
    </row>
    <row r="2273">
      <c r="A2273" s="28" t="n">
        <v>40355</v>
      </c>
      <c r="B2273" s="25">
        <f>VLOOKUP(A2273,'Database Claims'!$A:$C,3,)</f>
        <v/>
      </c>
      <c r="C2273" s="29">
        <f>B2273-B2272</f>
        <v/>
      </c>
      <c r="D2273" s="25">
        <f>VLOOKUP(A2273,'Database Claims'!$A:$C,2,)</f>
        <v/>
      </c>
      <c r="E2273" s="29">
        <f>D2273-D2272</f>
        <v/>
      </c>
    </row>
    <row r="2274">
      <c r="A2274" s="28" t="n">
        <v>40362</v>
      </c>
      <c r="B2274" s="29">
        <f>VLOOKUP(A2274,'Database Claims'!$A:$C,3,)</f>
        <v/>
      </c>
      <c r="C2274" s="29">
        <f>B2274-B2273</f>
        <v/>
      </c>
      <c r="D2274" s="29">
        <f>VLOOKUP(A2274,'Database Claims'!$A:$C,2,)</f>
        <v/>
      </c>
      <c r="E2274" s="29">
        <f>D2274-D2273</f>
        <v/>
      </c>
    </row>
    <row r="2275">
      <c r="A2275" s="28" t="n">
        <v>40369</v>
      </c>
      <c r="B2275" s="25">
        <f>VLOOKUP(A2275,'Database Claims'!$A:$C,3,)</f>
        <v/>
      </c>
      <c r="C2275" s="29">
        <f>B2275-B2274</f>
        <v/>
      </c>
      <c r="D2275" s="25">
        <f>VLOOKUP(A2275,'Database Claims'!$A:$C,2,)</f>
        <v/>
      </c>
      <c r="E2275" s="29">
        <f>D2275-D2274</f>
        <v/>
      </c>
    </row>
    <row r="2276">
      <c r="A2276" s="28" t="n">
        <v>40376</v>
      </c>
      <c r="B2276" s="29">
        <f>VLOOKUP(A2276,'Database Claims'!$A:$C,3,)</f>
        <v/>
      </c>
      <c r="C2276" s="29">
        <f>B2276-B2275</f>
        <v/>
      </c>
      <c r="D2276" s="29">
        <f>VLOOKUP(A2276,'Database Claims'!$A:$C,2,)</f>
        <v/>
      </c>
      <c r="E2276" s="29">
        <f>D2276-D2275</f>
        <v/>
      </c>
    </row>
    <row r="2277">
      <c r="A2277" s="28" t="n">
        <v>40383</v>
      </c>
      <c r="B2277" s="25">
        <f>VLOOKUP(A2277,'Database Claims'!$A:$C,3,)</f>
        <v/>
      </c>
      <c r="C2277" s="29">
        <f>B2277-B2276</f>
        <v/>
      </c>
      <c r="D2277" s="25">
        <f>VLOOKUP(A2277,'Database Claims'!$A:$C,2,)</f>
        <v/>
      </c>
      <c r="E2277" s="29">
        <f>D2277-D2276</f>
        <v/>
      </c>
    </row>
    <row r="2278">
      <c r="A2278" s="28" t="n">
        <v>40390</v>
      </c>
      <c r="B2278" s="29">
        <f>VLOOKUP(A2278,'Database Claims'!$A:$C,3,)</f>
        <v/>
      </c>
      <c r="C2278" s="29">
        <f>B2278-B2277</f>
        <v/>
      </c>
      <c r="D2278" s="29">
        <f>VLOOKUP(A2278,'Database Claims'!$A:$C,2,)</f>
        <v/>
      </c>
      <c r="E2278" s="29">
        <f>D2278-D2277</f>
        <v/>
      </c>
    </row>
    <row r="2279">
      <c r="A2279" s="28" t="n">
        <v>40397</v>
      </c>
      <c r="B2279" s="25">
        <f>VLOOKUP(A2279,'Database Claims'!$A:$C,3,)</f>
        <v/>
      </c>
      <c r="C2279" s="29">
        <f>B2279-B2278</f>
        <v/>
      </c>
      <c r="D2279" s="25">
        <f>VLOOKUP(A2279,'Database Claims'!$A:$C,2,)</f>
        <v/>
      </c>
      <c r="E2279" s="29">
        <f>D2279-D2278</f>
        <v/>
      </c>
    </row>
    <row r="2280">
      <c r="A2280" s="28" t="n">
        <v>40404</v>
      </c>
      <c r="B2280" s="29">
        <f>VLOOKUP(A2280,'Database Claims'!$A:$C,3,)</f>
        <v/>
      </c>
      <c r="C2280" s="29">
        <f>B2280-B2279</f>
        <v/>
      </c>
      <c r="D2280" s="29">
        <f>VLOOKUP(A2280,'Database Claims'!$A:$C,2,)</f>
        <v/>
      </c>
      <c r="E2280" s="29">
        <f>D2280-D2279</f>
        <v/>
      </c>
    </row>
    <row r="2281">
      <c r="A2281" s="28" t="n">
        <v>40411</v>
      </c>
      <c r="B2281" s="25">
        <f>VLOOKUP(A2281,'Database Claims'!$A:$C,3,)</f>
        <v/>
      </c>
      <c r="C2281" s="29">
        <f>B2281-B2280</f>
        <v/>
      </c>
      <c r="D2281" s="25">
        <f>VLOOKUP(A2281,'Database Claims'!$A:$C,2,)</f>
        <v/>
      </c>
      <c r="E2281" s="29">
        <f>D2281-D2280</f>
        <v/>
      </c>
    </row>
    <row r="2282">
      <c r="A2282" s="28" t="n">
        <v>40418</v>
      </c>
      <c r="B2282" s="29">
        <f>VLOOKUP(A2282,'Database Claims'!$A:$C,3,)</f>
        <v/>
      </c>
      <c r="C2282" s="29">
        <f>B2282-B2281</f>
        <v/>
      </c>
      <c r="D2282" s="29">
        <f>VLOOKUP(A2282,'Database Claims'!$A:$C,2,)</f>
        <v/>
      </c>
      <c r="E2282" s="29">
        <f>D2282-D2281</f>
        <v/>
      </c>
    </row>
    <row r="2283">
      <c r="A2283" s="28" t="n">
        <v>40425</v>
      </c>
      <c r="B2283" s="25">
        <f>VLOOKUP(A2283,'Database Claims'!$A:$C,3,)</f>
        <v/>
      </c>
      <c r="C2283" s="29">
        <f>B2283-B2282</f>
        <v/>
      </c>
      <c r="D2283" s="25">
        <f>VLOOKUP(A2283,'Database Claims'!$A:$C,2,)</f>
        <v/>
      </c>
      <c r="E2283" s="29">
        <f>D2283-D2282</f>
        <v/>
      </c>
    </row>
    <row r="2284">
      <c r="A2284" s="28" t="n">
        <v>40432</v>
      </c>
      <c r="B2284" s="29">
        <f>VLOOKUP(A2284,'Database Claims'!$A:$C,3,)</f>
        <v/>
      </c>
      <c r="C2284" s="29">
        <f>B2284-B2283</f>
        <v/>
      </c>
      <c r="D2284" s="29">
        <f>VLOOKUP(A2284,'Database Claims'!$A:$C,2,)</f>
        <v/>
      </c>
      <c r="E2284" s="29">
        <f>D2284-D2283</f>
        <v/>
      </c>
    </row>
    <row r="2285">
      <c r="A2285" s="28" t="n">
        <v>40439</v>
      </c>
      <c r="B2285" s="25">
        <f>VLOOKUP(A2285,'Database Claims'!$A:$C,3,)</f>
        <v/>
      </c>
      <c r="C2285" s="29">
        <f>B2285-B2284</f>
        <v/>
      </c>
      <c r="D2285" s="25">
        <f>VLOOKUP(A2285,'Database Claims'!$A:$C,2,)</f>
        <v/>
      </c>
      <c r="E2285" s="29">
        <f>D2285-D2284</f>
        <v/>
      </c>
    </row>
    <row r="2286">
      <c r="A2286" s="28" t="n">
        <v>40446</v>
      </c>
      <c r="B2286" s="29">
        <f>VLOOKUP(A2286,'Database Claims'!$A:$C,3,)</f>
        <v/>
      </c>
      <c r="C2286" s="29">
        <f>B2286-B2285</f>
        <v/>
      </c>
      <c r="D2286" s="29">
        <f>VLOOKUP(A2286,'Database Claims'!$A:$C,2,)</f>
        <v/>
      </c>
      <c r="E2286" s="29">
        <f>D2286-D2285</f>
        <v/>
      </c>
    </row>
    <row r="2287">
      <c r="A2287" s="28" t="n">
        <v>40453</v>
      </c>
      <c r="B2287" s="25">
        <f>VLOOKUP(A2287,'Database Claims'!$A:$C,3,)</f>
        <v/>
      </c>
      <c r="C2287" s="29">
        <f>B2287-B2286</f>
        <v/>
      </c>
      <c r="D2287" s="25">
        <f>VLOOKUP(A2287,'Database Claims'!$A:$C,2,)</f>
        <v/>
      </c>
      <c r="E2287" s="29">
        <f>D2287-D2286</f>
        <v/>
      </c>
    </row>
    <row r="2288">
      <c r="A2288" s="28" t="n">
        <v>40460</v>
      </c>
      <c r="B2288" s="29">
        <f>VLOOKUP(A2288,'Database Claims'!$A:$C,3,)</f>
        <v/>
      </c>
      <c r="C2288" s="29">
        <f>B2288-B2287</f>
        <v/>
      </c>
      <c r="D2288" s="29">
        <f>VLOOKUP(A2288,'Database Claims'!$A:$C,2,)</f>
        <v/>
      </c>
      <c r="E2288" s="29">
        <f>D2288-D2287</f>
        <v/>
      </c>
    </row>
    <row r="2289">
      <c r="A2289" s="28" t="n">
        <v>40467</v>
      </c>
      <c r="B2289" s="25">
        <f>VLOOKUP(A2289,'Database Claims'!$A:$C,3,)</f>
        <v/>
      </c>
      <c r="C2289" s="29">
        <f>B2289-B2288</f>
        <v/>
      </c>
      <c r="D2289" s="25">
        <f>VLOOKUP(A2289,'Database Claims'!$A:$C,2,)</f>
        <v/>
      </c>
      <c r="E2289" s="29">
        <f>D2289-D2288</f>
        <v/>
      </c>
    </row>
    <row r="2290">
      <c r="A2290" s="28" t="n">
        <v>40474</v>
      </c>
      <c r="B2290" s="29">
        <f>VLOOKUP(A2290,'Database Claims'!$A:$C,3,)</f>
        <v/>
      </c>
      <c r="C2290" s="29">
        <f>B2290-B2289</f>
        <v/>
      </c>
      <c r="D2290" s="29">
        <f>VLOOKUP(A2290,'Database Claims'!$A:$C,2,)</f>
        <v/>
      </c>
      <c r="E2290" s="29">
        <f>D2290-D2289</f>
        <v/>
      </c>
    </row>
    <row r="2291">
      <c r="A2291" s="28" t="n">
        <v>40481</v>
      </c>
      <c r="B2291" s="25">
        <f>VLOOKUP(A2291,'Database Claims'!$A:$C,3,)</f>
        <v/>
      </c>
      <c r="C2291" s="29">
        <f>B2291-B2290</f>
        <v/>
      </c>
      <c r="D2291" s="25">
        <f>VLOOKUP(A2291,'Database Claims'!$A:$C,2,)</f>
        <v/>
      </c>
      <c r="E2291" s="29">
        <f>D2291-D2290</f>
        <v/>
      </c>
    </row>
    <row r="2292">
      <c r="A2292" s="28" t="n">
        <v>40488</v>
      </c>
      <c r="B2292" s="29">
        <f>VLOOKUP(A2292,'Database Claims'!$A:$C,3,)</f>
        <v/>
      </c>
      <c r="C2292" s="29">
        <f>B2292-B2291</f>
        <v/>
      </c>
      <c r="D2292" s="29">
        <f>VLOOKUP(A2292,'Database Claims'!$A:$C,2,)</f>
        <v/>
      </c>
      <c r="E2292" s="29">
        <f>D2292-D2291</f>
        <v/>
      </c>
    </row>
    <row r="2293">
      <c r="A2293" s="28" t="n">
        <v>40495</v>
      </c>
      <c r="B2293" s="25">
        <f>VLOOKUP(A2293,'Database Claims'!$A:$C,3,)</f>
        <v/>
      </c>
      <c r="C2293" s="29">
        <f>B2293-B2292</f>
        <v/>
      </c>
      <c r="D2293" s="25">
        <f>VLOOKUP(A2293,'Database Claims'!$A:$C,2,)</f>
        <v/>
      </c>
      <c r="E2293" s="29">
        <f>D2293-D2292</f>
        <v/>
      </c>
    </row>
    <row r="2294">
      <c r="A2294" s="28" t="n">
        <v>40502</v>
      </c>
      <c r="B2294" s="29">
        <f>VLOOKUP(A2294,'Database Claims'!$A:$C,3,)</f>
        <v/>
      </c>
      <c r="C2294" s="29">
        <f>B2294-B2293</f>
        <v/>
      </c>
      <c r="D2294" s="29">
        <f>VLOOKUP(A2294,'Database Claims'!$A:$C,2,)</f>
        <v/>
      </c>
      <c r="E2294" s="29">
        <f>D2294-D2293</f>
        <v/>
      </c>
    </row>
    <row r="2295">
      <c r="A2295" s="28" t="n">
        <v>40509</v>
      </c>
      <c r="B2295" s="25">
        <f>VLOOKUP(A2295,'Database Claims'!$A:$C,3,)</f>
        <v/>
      </c>
      <c r="C2295" s="29">
        <f>B2295-B2294</f>
        <v/>
      </c>
      <c r="D2295" s="25">
        <f>VLOOKUP(A2295,'Database Claims'!$A:$C,2,)</f>
        <v/>
      </c>
      <c r="E2295" s="29">
        <f>D2295-D2294</f>
        <v/>
      </c>
    </row>
    <row r="2296">
      <c r="A2296" s="28" t="n">
        <v>40516</v>
      </c>
      <c r="B2296" s="29">
        <f>VLOOKUP(A2296,'Database Claims'!$A:$C,3,)</f>
        <v/>
      </c>
      <c r="C2296" s="29">
        <f>B2296-B2295</f>
        <v/>
      </c>
      <c r="D2296" s="29">
        <f>VLOOKUP(A2296,'Database Claims'!$A:$C,2,)</f>
        <v/>
      </c>
      <c r="E2296" s="29">
        <f>D2296-D2295</f>
        <v/>
      </c>
    </row>
    <row r="2297">
      <c r="A2297" s="28" t="n">
        <v>40523</v>
      </c>
      <c r="B2297" s="25">
        <f>VLOOKUP(A2297,'Database Claims'!$A:$C,3,)</f>
        <v/>
      </c>
      <c r="C2297" s="29">
        <f>B2297-B2296</f>
        <v/>
      </c>
      <c r="D2297" s="25">
        <f>VLOOKUP(A2297,'Database Claims'!$A:$C,2,)</f>
        <v/>
      </c>
      <c r="E2297" s="29">
        <f>D2297-D2296</f>
        <v/>
      </c>
    </row>
    <row r="2298">
      <c r="A2298" s="28" t="n">
        <v>40530</v>
      </c>
      <c r="B2298" s="29">
        <f>VLOOKUP(A2298,'Database Claims'!$A:$C,3,)</f>
        <v/>
      </c>
      <c r="C2298" s="29">
        <f>B2298-B2297</f>
        <v/>
      </c>
      <c r="D2298" s="29">
        <f>VLOOKUP(A2298,'Database Claims'!$A:$C,2,)</f>
        <v/>
      </c>
      <c r="E2298" s="29">
        <f>D2298-D2297</f>
        <v/>
      </c>
    </row>
    <row r="2299">
      <c r="A2299" s="28" t="n">
        <v>40537</v>
      </c>
      <c r="B2299" s="25">
        <f>VLOOKUP(A2299,'Database Claims'!$A:$C,3,)</f>
        <v/>
      </c>
      <c r="C2299" s="29">
        <f>B2299-B2298</f>
        <v/>
      </c>
      <c r="D2299" s="25">
        <f>VLOOKUP(A2299,'Database Claims'!$A:$C,2,)</f>
        <v/>
      </c>
      <c r="E2299" s="29">
        <f>D2299-D2298</f>
        <v/>
      </c>
    </row>
    <row r="2300">
      <c r="A2300" s="28" t="n">
        <v>40544</v>
      </c>
      <c r="B2300" s="29">
        <f>VLOOKUP(A2300,'Database Claims'!$A:$C,3,)</f>
        <v/>
      </c>
      <c r="C2300" s="29">
        <f>B2300-B2299</f>
        <v/>
      </c>
      <c r="D2300" s="29">
        <f>VLOOKUP(A2300,'Database Claims'!$A:$C,2,)</f>
        <v/>
      </c>
      <c r="E2300" s="29">
        <f>D2300-D2299</f>
        <v/>
      </c>
    </row>
    <row r="2301">
      <c r="A2301" s="28" t="n">
        <v>40551</v>
      </c>
      <c r="B2301" s="25">
        <f>VLOOKUP(A2301,'Database Claims'!$A:$C,3,)</f>
        <v/>
      </c>
      <c r="C2301" s="29">
        <f>B2301-B2300</f>
        <v/>
      </c>
      <c r="D2301" s="25">
        <f>VLOOKUP(A2301,'Database Claims'!$A:$C,2,)</f>
        <v/>
      </c>
      <c r="E2301" s="29">
        <f>D2301-D2300</f>
        <v/>
      </c>
    </row>
    <row r="2302">
      <c r="A2302" s="28" t="n">
        <v>40558</v>
      </c>
      <c r="B2302" s="29">
        <f>VLOOKUP(A2302,'Database Claims'!$A:$C,3,)</f>
        <v/>
      </c>
      <c r="C2302" s="29">
        <f>B2302-B2301</f>
        <v/>
      </c>
      <c r="D2302" s="29">
        <f>VLOOKUP(A2302,'Database Claims'!$A:$C,2,)</f>
        <v/>
      </c>
      <c r="E2302" s="29">
        <f>D2302-D2301</f>
        <v/>
      </c>
    </row>
    <row r="2303">
      <c r="A2303" s="28" t="n">
        <v>40565</v>
      </c>
      <c r="B2303" s="25">
        <f>VLOOKUP(A2303,'Database Claims'!$A:$C,3,)</f>
        <v/>
      </c>
      <c r="C2303" s="29">
        <f>B2303-B2302</f>
        <v/>
      </c>
      <c r="D2303" s="25">
        <f>VLOOKUP(A2303,'Database Claims'!$A:$C,2,)</f>
        <v/>
      </c>
      <c r="E2303" s="29">
        <f>D2303-D2302</f>
        <v/>
      </c>
    </row>
    <row r="2304">
      <c r="A2304" s="28" t="n">
        <v>40572</v>
      </c>
      <c r="B2304" s="29">
        <f>VLOOKUP(A2304,'Database Claims'!$A:$C,3,)</f>
        <v/>
      </c>
      <c r="C2304" s="29">
        <f>B2304-B2303</f>
        <v/>
      </c>
      <c r="D2304" s="29">
        <f>VLOOKUP(A2304,'Database Claims'!$A:$C,2,)</f>
        <v/>
      </c>
      <c r="E2304" s="29">
        <f>D2304-D2303</f>
        <v/>
      </c>
    </row>
    <row r="2305">
      <c r="A2305" s="28" t="n">
        <v>40579</v>
      </c>
      <c r="B2305" s="25">
        <f>VLOOKUP(A2305,'Database Claims'!$A:$C,3,)</f>
        <v/>
      </c>
      <c r="C2305" s="29">
        <f>B2305-B2304</f>
        <v/>
      </c>
      <c r="D2305" s="25">
        <f>VLOOKUP(A2305,'Database Claims'!$A:$C,2,)</f>
        <v/>
      </c>
      <c r="E2305" s="29">
        <f>D2305-D2304</f>
        <v/>
      </c>
    </row>
    <row r="2306">
      <c r="A2306" s="28" t="n">
        <v>40586</v>
      </c>
      <c r="B2306" s="29">
        <f>VLOOKUP(A2306,'Database Claims'!$A:$C,3,)</f>
        <v/>
      </c>
      <c r="C2306" s="29">
        <f>B2306-B2305</f>
        <v/>
      </c>
      <c r="D2306" s="29">
        <f>VLOOKUP(A2306,'Database Claims'!$A:$C,2,)</f>
        <v/>
      </c>
      <c r="E2306" s="29">
        <f>D2306-D2305</f>
        <v/>
      </c>
    </row>
    <row r="2307">
      <c r="A2307" s="28" t="n">
        <v>40593</v>
      </c>
      <c r="B2307" s="25">
        <f>VLOOKUP(A2307,'Database Claims'!$A:$C,3,)</f>
        <v/>
      </c>
      <c r="C2307" s="29">
        <f>B2307-B2306</f>
        <v/>
      </c>
      <c r="D2307" s="25">
        <f>VLOOKUP(A2307,'Database Claims'!$A:$C,2,)</f>
        <v/>
      </c>
      <c r="E2307" s="29">
        <f>D2307-D2306</f>
        <v/>
      </c>
    </row>
    <row r="2308">
      <c r="A2308" s="28" t="n">
        <v>40600</v>
      </c>
      <c r="B2308" s="29">
        <f>VLOOKUP(A2308,'Database Claims'!$A:$C,3,)</f>
        <v/>
      </c>
      <c r="C2308" s="29">
        <f>B2308-B2307</f>
        <v/>
      </c>
      <c r="D2308" s="29">
        <f>VLOOKUP(A2308,'Database Claims'!$A:$C,2,)</f>
        <v/>
      </c>
      <c r="E2308" s="29">
        <f>D2308-D2307</f>
        <v/>
      </c>
    </row>
    <row r="2309">
      <c r="A2309" s="28" t="n">
        <v>40607</v>
      </c>
      <c r="B2309" s="25">
        <f>VLOOKUP(A2309,'Database Claims'!$A:$C,3,)</f>
        <v/>
      </c>
      <c r="C2309" s="29">
        <f>B2309-B2308</f>
        <v/>
      </c>
      <c r="D2309" s="25">
        <f>VLOOKUP(A2309,'Database Claims'!$A:$C,2,)</f>
        <v/>
      </c>
      <c r="E2309" s="29">
        <f>D2309-D2308</f>
        <v/>
      </c>
    </row>
    <row r="2310">
      <c r="A2310" s="28" t="n">
        <v>40614</v>
      </c>
      <c r="B2310" s="29">
        <f>VLOOKUP(A2310,'Database Claims'!$A:$C,3,)</f>
        <v/>
      </c>
      <c r="C2310" s="29">
        <f>B2310-B2309</f>
        <v/>
      </c>
      <c r="D2310" s="29">
        <f>VLOOKUP(A2310,'Database Claims'!$A:$C,2,)</f>
        <v/>
      </c>
      <c r="E2310" s="29">
        <f>D2310-D2309</f>
        <v/>
      </c>
    </row>
    <row r="2311">
      <c r="A2311" s="28" t="n">
        <v>40621</v>
      </c>
      <c r="B2311" s="25">
        <f>VLOOKUP(A2311,'Database Claims'!$A:$C,3,)</f>
        <v/>
      </c>
      <c r="C2311" s="29">
        <f>B2311-B2310</f>
        <v/>
      </c>
      <c r="D2311" s="25">
        <f>VLOOKUP(A2311,'Database Claims'!$A:$C,2,)</f>
        <v/>
      </c>
      <c r="E2311" s="29">
        <f>D2311-D2310</f>
        <v/>
      </c>
    </row>
    <row r="2312">
      <c r="A2312" s="28" t="n">
        <v>40628</v>
      </c>
      <c r="B2312" s="29">
        <f>VLOOKUP(A2312,'Database Claims'!$A:$C,3,)</f>
        <v/>
      </c>
      <c r="C2312" s="29">
        <f>B2312-B2311</f>
        <v/>
      </c>
      <c r="D2312" s="29">
        <f>VLOOKUP(A2312,'Database Claims'!$A:$C,2,)</f>
        <v/>
      </c>
      <c r="E2312" s="29">
        <f>D2312-D2311</f>
        <v/>
      </c>
    </row>
    <row r="2313">
      <c r="A2313" s="28" t="n">
        <v>40635</v>
      </c>
      <c r="B2313" s="25">
        <f>VLOOKUP(A2313,'Database Claims'!$A:$C,3,)</f>
        <v/>
      </c>
      <c r="C2313" s="29">
        <f>B2313-B2312</f>
        <v/>
      </c>
      <c r="D2313" s="25">
        <f>VLOOKUP(A2313,'Database Claims'!$A:$C,2,)</f>
        <v/>
      </c>
      <c r="E2313" s="29">
        <f>D2313-D2312</f>
        <v/>
      </c>
    </row>
    <row r="2314">
      <c r="A2314" s="28" t="n">
        <v>40642</v>
      </c>
      <c r="B2314" s="29">
        <f>VLOOKUP(A2314,'Database Claims'!$A:$C,3,)</f>
        <v/>
      </c>
      <c r="C2314" s="29">
        <f>B2314-B2313</f>
        <v/>
      </c>
      <c r="D2314" s="29">
        <f>VLOOKUP(A2314,'Database Claims'!$A:$C,2,)</f>
        <v/>
      </c>
      <c r="E2314" s="29">
        <f>D2314-D2313</f>
        <v/>
      </c>
    </row>
    <row r="2315">
      <c r="A2315" s="28" t="n">
        <v>40649</v>
      </c>
      <c r="B2315" s="25">
        <f>VLOOKUP(A2315,'Database Claims'!$A:$C,3,)</f>
        <v/>
      </c>
      <c r="C2315" s="29">
        <f>B2315-B2314</f>
        <v/>
      </c>
      <c r="D2315" s="25">
        <f>VLOOKUP(A2315,'Database Claims'!$A:$C,2,)</f>
        <v/>
      </c>
      <c r="E2315" s="29">
        <f>D2315-D2314</f>
        <v/>
      </c>
    </row>
    <row r="2316">
      <c r="A2316" s="28" t="n">
        <v>40656</v>
      </c>
      <c r="B2316" s="29">
        <f>VLOOKUP(A2316,'Database Claims'!$A:$C,3,)</f>
        <v/>
      </c>
      <c r="C2316" s="29">
        <f>B2316-B2315</f>
        <v/>
      </c>
      <c r="D2316" s="29">
        <f>VLOOKUP(A2316,'Database Claims'!$A:$C,2,)</f>
        <v/>
      </c>
      <c r="E2316" s="29">
        <f>D2316-D2315</f>
        <v/>
      </c>
    </row>
    <row r="2317">
      <c r="A2317" s="28" t="n">
        <v>40663</v>
      </c>
      <c r="B2317" s="25">
        <f>VLOOKUP(A2317,'Database Claims'!$A:$C,3,)</f>
        <v/>
      </c>
      <c r="C2317" s="29">
        <f>B2317-B2316</f>
        <v/>
      </c>
      <c r="D2317" s="25">
        <f>VLOOKUP(A2317,'Database Claims'!$A:$C,2,)</f>
        <v/>
      </c>
      <c r="E2317" s="29">
        <f>D2317-D2316</f>
        <v/>
      </c>
    </row>
    <row r="2318">
      <c r="A2318" s="28" t="n">
        <v>40670</v>
      </c>
      <c r="B2318" s="29">
        <f>VLOOKUP(A2318,'Database Claims'!$A:$C,3,)</f>
        <v/>
      </c>
      <c r="C2318" s="29">
        <f>B2318-B2317</f>
        <v/>
      </c>
      <c r="D2318" s="29">
        <f>VLOOKUP(A2318,'Database Claims'!$A:$C,2,)</f>
        <v/>
      </c>
      <c r="E2318" s="29">
        <f>D2318-D2317</f>
        <v/>
      </c>
    </row>
    <row r="2319">
      <c r="A2319" s="28" t="n">
        <v>40677</v>
      </c>
      <c r="B2319" s="25">
        <f>VLOOKUP(A2319,'Database Claims'!$A:$C,3,)</f>
        <v/>
      </c>
      <c r="C2319" s="29">
        <f>B2319-B2318</f>
        <v/>
      </c>
      <c r="D2319" s="25">
        <f>VLOOKUP(A2319,'Database Claims'!$A:$C,2,)</f>
        <v/>
      </c>
      <c r="E2319" s="29">
        <f>D2319-D2318</f>
        <v/>
      </c>
    </row>
    <row r="2320">
      <c r="A2320" s="28" t="n">
        <v>40684</v>
      </c>
      <c r="B2320" s="29">
        <f>VLOOKUP(A2320,'Database Claims'!$A:$C,3,)</f>
        <v/>
      </c>
      <c r="C2320" s="29">
        <f>B2320-B2319</f>
        <v/>
      </c>
      <c r="D2320" s="29">
        <f>VLOOKUP(A2320,'Database Claims'!$A:$C,2,)</f>
        <v/>
      </c>
      <c r="E2320" s="29">
        <f>D2320-D2319</f>
        <v/>
      </c>
    </row>
    <row r="2321">
      <c r="A2321" s="28" t="n">
        <v>40691</v>
      </c>
      <c r="B2321" s="25">
        <f>VLOOKUP(A2321,'Database Claims'!$A:$C,3,)</f>
        <v/>
      </c>
      <c r="C2321" s="29">
        <f>B2321-B2320</f>
        <v/>
      </c>
      <c r="D2321" s="25">
        <f>VLOOKUP(A2321,'Database Claims'!$A:$C,2,)</f>
        <v/>
      </c>
      <c r="E2321" s="29">
        <f>D2321-D2320</f>
        <v/>
      </c>
    </row>
    <row r="2322">
      <c r="A2322" s="28" t="n">
        <v>40698</v>
      </c>
      <c r="B2322" s="29">
        <f>VLOOKUP(A2322,'Database Claims'!$A:$C,3,)</f>
        <v/>
      </c>
      <c r="C2322" s="29">
        <f>B2322-B2321</f>
        <v/>
      </c>
      <c r="D2322" s="29">
        <f>VLOOKUP(A2322,'Database Claims'!$A:$C,2,)</f>
        <v/>
      </c>
      <c r="E2322" s="29">
        <f>D2322-D2321</f>
        <v/>
      </c>
    </row>
    <row r="2323">
      <c r="A2323" s="28" t="n">
        <v>40705</v>
      </c>
      <c r="B2323" s="25">
        <f>VLOOKUP(A2323,'Database Claims'!$A:$C,3,)</f>
        <v/>
      </c>
      <c r="C2323" s="29">
        <f>B2323-B2322</f>
        <v/>
      </c>
      <c r="D2323" s="25">
        <f>VLOOKUP(A2323,'Database Claims'!$A:$C,2,)</f>
        <v/>
      </c>
      <c r="E2323" s="29">
        <f>D2323-D2322</f>
        <v/>
      </c>
    </row>
    <row r="2324">
      <c r="A2324" s="28" t="n">
        <v>40712</v>
      </c>
      <c r="B2324" s="29">
        <f>VLOOKUP(A2324,'Database Claims'!$A:$C,3,)</f>
        <v/>
      </c>
      <c r="C2324" s="29">
        <f>B2324-B2323</f>
        <v/>
      </c>
      <c r="D2324" s="29">
        <f>VLOOKUP(A2324,'Database Claims'!$A:$C,2,)</f>
        <v/>
      </c>
      <c r="E2324" s="29">
        <f>D2324-D2323</f>
        <v/>
      </c>
    </row>
    <row r="2325">
      <c r="A2325" s="28" t="n">
        <v>40719</v>
      </c>
      <c r="B2325" s="25">
        <f>VLOOKUP(A2325,'Database Claims'!$A:$C,3,)</f>
        <v/>
      </c>
      <c r="C2325" s="29">
        <f>B2325-B2324</f>
        <v/>
      </c>
      <c r="D2325" s="25">
        <f>VLOOKUP(A2325,'Database Claims'!$A:$C,2,)</f>
        <v/>
      </c>
      <c r="E2325" s="29">
        <f>D2325-D2324</f>
        <v/>
      </c>
    </row>
    <row r="2326">
      <c r="A2326" s="28" t="n">
        <v>40726</v>
      </c>
      <c r="B2326" s="29">
        <f>VLOOKUP(A2326,'Database Claims'!$A:$C,3,)</f>
        <v/>
      </c>
      <c r="C2326" s="29">
        <f>B2326-B2325</f>
        <v/>
      </c>
      <c r="D2326" s="29">
        <f>VLOOKUP(A2326,'Database Claims'!$A:$C,2,)</f>
        <v/>
      </c>
      <c r="E2326" s="29">
        <f>D2326-D2325</f>
        <v/>
      </c>
    </row>
    <row r="2327">
      <c r="A2327" s="28" t="n">
        <v>40733</v>
      </c>
      <c r="B2327" s="25">
        <f>VLOOKUP(A2327,'Database Claims'!$A:$C,3,)</f>
        <v/>
      </c>
      <c r="C2327" s="29">
        <f>B2327-B2326</f>
        <v/>
      </c>
      <c r="D2327" s="25">
        <f>VLOOKUP(A2327,'Database Claims'!$A:$C,2,)</f>
        <v/>
      </c>
      <c r="E2327" s="29">
        <f>D2327-D2326</f>
        <v/>
      </c>
    </row>
    <row r="2328">
      <c r="A2328" s="28" t="n">
        <v>40740</v>
      </c>
      <c r="B2328" s="29">
        <f>VLOOKUP(A2328,'Database Claims'!$A:$C,3,)</f>
        <v/>
      </c>
      <c r="C2328" s="29">
        <f>B2328-B2327</f>
        <v/>
      </c>
      <c r="D2328" s="29">
        <f>VLOOKUP(A2328,'Database Claims'!$A:$C,2,)</f>
        <v/>
      </c>
      <c r="E2328" s="29">
        <f>D2328-D2327</f>
        <v/>
      </c>
    </row>
    <row r="2329">
      <c r="A2329" s="28" t="n">
        <v>40747</v>
      </c>
      <c r="B2329" s="25">
        <f>VLOOKUP(A2329,'Database Claims'!$A:$C,3,)</f>
        <v/>
      </c>
      <c r="C2329" s="29">
        <f>B2329-B2328</f>
        <v/>
      </c>
      <c r="D2329" s="25">
        <f>VLOOKUP(A2329,'Database Claims'!$A:$C,2,)</f>
        <v/>
      </c>
      <c r="E2329" s="29">
        <f>D2329-D2328</f>
        <v/>
      </c>
    </row>
    <row r="2330">
      <c r="A2330" s="28" t="n">
        <v>40754</v>
      </c>
      <c r="B2330" s="29">
        <f>VLOOKUP(A2330,'Database Claims'!$A:$C,3,)</f>
        <v/>
      </c>
      <c r="C2330" s="29">
        <f>B2330-B2329</f>
        <v/>
      </c>
      <c r="D2330" s="29">
        <f>VLOOKUP(A2330,'Database Claims'!$A:$C,2,)</f>
        <v/>
      </c>
      <c r="E2330" s="29">
        <f>D2330-D2329</f>
        <v/>
      </c>
    </row>
    <row r="2331">
      <c r="A2331" s="28" t="n">
        <v>40761</v>
      </c>
      <c r="B2331" s="25">
        <f>VLOOKUP(A2331,'Database Claims'!$A:$C,3,)</f>
        <v/>
      </c>
      <c r="C2331" s="29">
        <f>B2331-B2330</f>
        <v/>
      </c>
      <c r="D2331" s="25">
        <f>VLOOKUP(A2331,'Database Claims'!$A:$C,2,)</f>
        <v/>
      </c>
      <c r="E2331" s="29">
        <f>D2331-D2330</f>
        <v/>
      </c>
    </row>
    <row r="2332">
      <c r="A2332" s="28" t="n">
        <v>40768</v>
      </c>
      <c r="B2332" s="29">
        <f>VLOOKUP(A2332,'Database Claims'!$A:$C,3,)</f>
        <v/>
      </c>
      <c r="C2332" s="29">
        <f>B2332-B2331</f>
        <v/>
      </c>
      <c r="D2332" s="29">
        <f>VLOOKUP(A2332,'Database Claims'!$A:$C,2,)</f>
        <v/>
      </c>
      <c r="E2332" s="29">
        <f>D2332-D2331</f>
        <v/>
      </c>
    </row>
    <row r="2333">
      <c r="A2333" s="28" t="n">
        <v>40775</v>
      </c>
      <c r="B2333" s="25">
        <f>VLOOKUP(A2333,'Database Claims'!$A:$C,3,)</f>
        <v/>
      </c>
      <c r="C2333" s="29">
        <f>B2333-B2332</f>
        <v/>
      </c>
      <c r="D2333" s="25">
        <f>VLOOKUP(A2333,'Database Claims'!$A:$C,2,)</f>
        <v/>
      </c>
      <c r="E2333" s="29">
        <f>D2333-D2332</f>
        <v/>
      </c>
    </row>
    <row r="2334">
      <c r="A2334" s="28" t="n">
        <v>40782</v>
      </c>
      <c r="B2334" s="29">
        <f>VLOOKUP(A2334,'Database Claims'!$A:$C,3,)</f>
        <v/>
      </c>
      <c r="C2334" s="29">
        <f>B2334-B2333</f>
        <v/>
      </c>
      <c r="D2334" s="29">
        <f>VLOOKUP(A2334,'Database Claims'!$A:$C,2,)</f>
        <v/>
      </c>
      <c r="E2334" s="29">
        <f>D2334-D2333</f>
        <v/>
      </c>
    </row>
    <row r="2335">
      <c r="A2335" s="28" t="n">
        <v>40789</v>
      </c>
      <c r="B2335" s="25">
        <f>VLOOKUP(A2335,'Database Claims'!$A:$C,3,)</f>
        <v/>
      </c>
      <c r="C2335" s="29">
        <f>B2335-B2334</f>
        <v/>
      </c>
      <c r="D2335" s="25">
        <f>VLOOKUP(A2335,'Database Claims'!$A:$C,2,)</f>
        <v/>
      </c>
      <c r="E2335" s="29">
        <f>D2335-D2334</f>
        <v/>
      </c>
    </row>
    <row r="2336">
      <c r="A2336" s="28" t="n">
        <v>40796</v>
      </c>
      <c r="B2336" s="29">
        <f>VLOOKUP(A2336,'Database Claims'!$A:$C,3,)</f>
        <v/>
      </c>
      <c r="C2336" s="29">
        <f>B2336-B2335</f>
        <v/>
      </c>
      <c r="D2336" s="29">
        <f>VLOOKUP(A2336,'Database Claims'!$A:$C,2,)</f>
        <v/>
      </c>
      <c r="E2336" s="29">
        <f>D2336-D2335</f>
        <v/>
      </c>
    </row>
    <row r="2337">
      <c r="A2337" s="28" t="n">
        <v>40803</v>
      </c>
      <c r="B2337" s="25">
        <f>VLOOKUP(A2337,'Database Claims'!$A:$C,3,)</f>
        <v/>
      </c>
      <c r="C2337" s="29">
        <f>B2337-B2336</f>
        <v/>
      </c>
      <c r="D2337" s="25">
        <f>VLOOKUP(A2337,'Database Claims'!$A:$C,2,)</f>
        <v/>
      </c>
      <c r="E2337" s="29">
        <f>D2337-D2336</f>
        <v/>
      </c>
    </row>
    <row r="2338">
      <c r="A2338" s="28" t="n">
        <v>40810</v>
      </c>
      <c r="B2338" s="29">
        <f>VLOOKUP(A2338,'Database Claims'!$A:$C,3,)</f>
        <v/>
      </c>
      <c r="C2338" s="29">
        <f>B2338-B2337</f>
        <v/>
      </c>
      <c r="D2338" s="29">
        <f>VLOOKUP(A2338,'Database Claims'!$A:$C,2,)</f>
        <v/>
      </c>
      <c r="E2338" s="29">
        <f>D2338-D2337</f>
        <v/>
      </c>
    </row>
    <row r="2339">
      <c r="A2339" s="28" t="n">
        <v>40817</v>
      </c>
      <c r="B2339" s="25">
        <f>VLOOKUP(A2339,'Database Claims'!$A:$C,3,)</f>
        <v/>
      </c>
      <c r="C2339" s="29">
        <f>B2339-B2338</f>
        <v/>
      </c>
      <c r="D2339" s="25">
        <f>VLOOKUP(A2339,'Database Claims'!$A:$C,2,)</f>
        <v/>
      </c>
      <c r="E2339" s="29">
        <f>D2339-D2338</f>
        <v/>
      </c>
    </row>
    <row r="2340">
      <c r="A2340" s="28" t="n">
        <v>40824</v>
      </c>
      <c r="B2340" s="29">
        <f>VLOOKUP(A2340,'Database Claims'!$A:$C,3,)</f>
        <v/>
      </c>
      <c r="C2340" s="29">
        <f>B2340-B2339</f>
        <v/>
      </c>
      <c r="D2340" s="29">
        <f>VLOOKUP(A2340,'Database Claims'!$A:$C,2,)</f>
        <v/>
      </c>
      <c r="E2340" s="29">
        <f>D2340-D2339</f>
        <v/>
      </c>
    </row>
    <row r="2341">
      <c r="A2341" s="28" t="n">
        <v>40831</v>
      </c>
      <c r="B2341" s="25">
        <f>VLOOKUP(A2341,'Database Claims'!$A:$C,3,)</f>
        <v/>
      </c>
      <c r="C2341" s="29">
        <f>B2341-B2340</f>
        <v/>
      </c>
      <c r="D2341" s="25">
        <f>VLOOKUP(A2341,'Database Claims'!$A:$C,2,)</f>
        <v/>
      </c>
      <c r="E2341" s="29">
        <f>D2341-D2340</f>
        <v/>
      </c>
    </row>
    <row r="2342">
      <c r="A2342" s="28" t="n">
        <v>40838</v>
      </c>
      <c r="B2342" s="29">
        <f>VLOOKUP(A2342,'Database Claims'!$A:$C,3,)</f>
        <v/>
      </c>
      <c r="C2342" s="29">
        <f>B2342-B2341</f>
        <v/>
      </c>
      <c r="D2342" s="29">
        <f>VLOOKUP(A2342,'Database Claims'!$A:$C,2,)</f>
        <v/>
      </c>
      <c r="E2342" s="29">
        <f>D2342-D2341</f>
        <v/>
      </c>
    </row>
    <row r="2343">
      <c r="A2343" s="28" t="n">
        <v>40845</v>
      </c>
      <c r="B2343" s="25">
        <f>VLOOKUP(A2343,'Database Claims'!$A:$C,3,)</f>
        <v/>
      </c>
      <c r="C2343" s="29">
        <f>B2343-B2342</f>
        <v/>
      </c>
      <c r="D2343" s="25">
        <f>VLOOKUP(A2343,'Database Claims'!$A:$C,2,)</f>
        <v/>
      </c>
      <c r="E2343" s="29">
        <f>D2343-D2342</f>
        <v/>
      </c>
    </row>
    <row r="2344">
      <c r="A2344" s="28" t="n">
        <v>40852</v>
      </c>
      <c r="B2344" s="29">
        <f>VLOOKUP(A2344,'Database Claims'!$A:$C,3,)</f>
        <v/>
      </c>
      <c r="C2344" s="29">
        <f>B2344-B2343</f>
        <v/>
      </c>
      <c r="D2344" s="29">
        <f>VLOOKUP(A2344,'Database Claims'!$A:$C,2,)</f>
        <v/>
      </c>
      <c r="E2344" s="29">
        <f>D2344-D2343</f>
        <v/>
      </c>
    </row>
    <row r="2345">
      <c r="A2345" s="28" t="n">
        <v>40859</v>
      </c>
      <c r="B2345" s="25">
        <f>VLOOKUP(A2345,'Database Claims'!$A:$C,3,)</f>
        <v/>
      </c>
      <c r="C2345" s="29">
        <f>B2345-B2344</f>
        <v/>
      </c>
      <c r="D2345" s="25">
        <f>VLOOKUP(A2345,'Database Claims'!$A:$C,2,)</f>
        <v/>
      </c>
      <c r="E2345" s="29">
        <f>D2345-D2344</f>
        <v/>
      </c>
    </row>
    <row r="2346">
      <c r="A2346" s="28" t="n">
        <v>40866</v>
      </c>
      <c r="B2346" s="29">
        <f>VLOOKUP(A2346,'Database Claims'!$A:$C,3,)</f>
        <v/>
      </c>
      <c r="C2346" s="29">
        <f>B2346-B2345</f>
        <v/>
      </c>
      <c r="D2346" s="29">
        <f>VLOOKUP(A2346,'Database Claims'!$A:$C,2,)</f>
        <v/>
      </c>
      <c r="E2346" s="29">
        <f>D2346-D2345</f>
        <v/>
      </c>
    </row>
    <row r="2347">
      <c r="A2347" s="28" t="n">
        <v>40873</v>
      </c>
      <c r="B2347" s="25">
        <f>VLOOKUP(A2347,'Database Claims'!$A:$C,3,)</f>
        <v/>
      </c>
      <c r="C2347" s="29">
        <f>B2347-B2346</f>
        <v/>
      </c>
      <c r="D2347" s="25">
        <f>VLOOKUP(A2347,'Database Claims'!$A:$C,2,)</f>
        <v/>
      </c>
      <c r="E2347" s="29">
        <f>D2347-D2346</f>
        <v/>
      </c>
    </row>
    <row r="2348">
      <c r="A2348" s="28" t="n">
        <v>40880</v>
      </c>
      <c r="B2348" s="29">
        <f>VLOOKUP(A2348,'Database Claims'!$A:$C,3,)</f>
        <v/>
      </c>
      <c r="C2348" s="29">
        <f>B2348-B2347</f>
        <v/>
      </c>
      <c r="D2348" s="29">
        <f>VLOOKUP(A2348,'Database Claims'!$A:$C,2,)</f>
        <v/>
      </c>
      <c r="E2348" s="29">
        <f>D2348-D2347</f>
        <v/>
      </c>
    </row>
    <row r="2349">
      <c r="A2349" s="28" t="n">
        <v>40887</v>
      </c>
      <c r="B2349" s="25">
        <f>VLOOKUP(A2349,'Database Claims'!$A:$C,3,)</f>
        <v/>
      </c>
      <c r="C2349" s="29">
        <f>B2349-B2348</f>
        <v/>
      </c>
      <c r="D2349" s="25">
        <f>VLOOKUP(A2349,'Database Claims'!$A:$C,2,)</f>
        <v/>
      </c>
      <c r="E2349" s="29">
        <f>D2349-D2348</f>
        <v/>
      </c>
    </row>
    <row r="2350">
      <c r="A2350" s="28" t="n">
        <v>40894</v>
      </c>
      <c r="B2350" s="29">
        <f>VLOOKUP(A2350,'Database Claims'!$A:$C,3,)</f>
        <v/>
      </c>
      <c r="C2350" s="29">
        <f>B2350-B2349</f>
        <v/>
      </c>
      <c r="D2350" s="29">
        <f>VLOOKUP(A2350,'Database Claims'!$A:$C,2,)</f>
        <v/>
      </c>
      <c r="E2350" s="29">
        <f>D2350-D2349</f>
        <v/>
      </c>
    </row>
    <row r="2351">
      <c r="A2351" s="28" t="n">
        <v>40901</v>
      </c>
      <c r="B2351" s="25">
        <f>VLOOKUP(A2351,'Database Claims'!$A:$C,3,)</f>
        <v/>
      </c>
      <c r="C2351" s="29">
        <f>B2351-B2350</f>
        <v/>
      </c>
      <c r="D2351" s="25">
        <f>VLOOKUP(A2351,'Database Claims'!$A:$C,2,)</f>
        <v/>
      </c>
      <c r="E2351" s="29">
        <f>D2351-D2350</f>
        <v/>
      </c>
    </row>
    <row r="2352">
      <c r="A2352" s="28" t="n">
        <v>40908</v>
      </c>
      <c r="B2352" s="29">
        <f>VLOOKUP(A2352,'Database Claims'!$A:$C,3,)</f>
        <v/>
      </c>
      <c r="C2352" s="29">
        <f>B2352-B2351</f>
        <v/>
      </c>
      <c r="D2352" s="29">
        <f>VLOOKUP(A2352,'Database Claims'!$A:$C,2,)</f>
        <v/>
      </c>
      <c r="E2352" s="29">
        <f>D2352-D2351</f>
        <v/>
      </c>
    </row>
    <row r="2353">
      <c r="A2353" s="28" t="n">
        <v>40915</v>
      </c>
      <c r="B2353" s="25">
        <f>VLOOKUP(A2353,'Database Claims'!$A:$C,3,)</f>
        <v/>
      </c>
      <c r="C2353" s="29">
        <f>B2353-B2352</f>
        <v/>
      </c>
      <c r="D2353" s="25">
        <f>VLOOKUP(A2353,'Database Claims'!$A:$C,2,)</f>
        <v/>
      </c>
      <c r="E2353" s="29">
        <f>D2353-D2352</f>
        <v/>
      </c>
    </row>
    <row r="2354">
      <c r="A2354" s="28" t="n">
        <v>40922</v>
      </c>
      <c r="B2354" s="29">
        <f>VLOOKUP(A2354,'Database Claims'!$A:$C,3,)</f>
        <v/>
      </c>
      <c r="C2354" s="29">
        <f>B2354-B2353</f>
        <v/>
      </c>
      <c r="D2354" s="29">
        <f>VLOOKUP(A2354,'Database Claims'!$A:$C,2,)</f>
        <v/>
      </c>
      <c r="E2354" s="29">
        <f>D2354-D2353</f>
        <v/>
      </c>
    </row>
    <row r="2355">
      <c r="A2355" s="28" t="n">
        <v>40929</v>
      </c>
      <c r="B2355" s="25">
        <f>VLOOKUP(A2355,'Database Claims'!$A:$C,3,)</f>
        <v/>
      </c>
      <c r="C2355" s="29">
        <f>B2355-B2354</f>
        <v/>
      </c>
      <c r="D2355" s="25">
        <f>VLOOKUP(A2355,'Database Claims'!$A:$C,2,)</f>
        <v/>
      </c>
      <c r="E2355" s="29">
        <f>D2355-D2354</f>
        <v/>
      </c>
    </row>
    <row r="2356">
      <c r="A2356" s="28" t="n">
        <v>40936</v>
      </c>
      <c r="B2356" s="29">
        <f>VLOOKUP(A2356,'Database Claims'!$A:$C,3,)</f>
        <v/>
      </c>
      <c r="C2356" s="29">
        <f>B2356-B2355</f>
        <v/>
      </c>
      <c r="D2356" s="29">
        <f>VLOOKUP(A2356,'Database Claims'!$A:$C,2,)</f>
        <v/>
      </c>
      <c r="E2356" s="29">
        <f>D2356-D2355</f>
        <v/>
      </c>
    </row>
    <row r="2357">
      <c r="A2357" s="28" t="n">
        <v>40943</v>
      </c>
      <c r="B2357" s="25">
        <f>VLOOKUP(A2357,'Database Claims'!$A:$C,3,)</f>
        <v/>
      </c>
      <c r="C2357" s="29">
        <f>B2357-B2356</f>
        <v/>
      </c>
      <c r="D2357" s="25">
        <f>VLOOKUP(A2357,'Database Claims'!$A:$C,2,)</f>
        <v/>
      </c>
      <c r="E2357" s="29">
        <f>D2357-D2356</f>
        <v/>
      </c>
    </row>
    <row r="2358">
      <c r="A2358" s="28" t="n">
        <v>40950</v>
      </c>
      <c r="B2358" s="29">
        <f>VLOOKUP(A2358,'Database Claims'!$A:$C,3,)</f>
        <v/>
      </c>
      <c r="C2358" s="29">
        <f>B2358-B2357</f>
        <v/>
      </c>
      <c r="D2358" s="29">
        <f>VLOOKUP(A2358,'Database Claims'!$A:$C,2,)</f>
        <v/>
      </c>
      <c r="E2358" s="29">
        <f>D2358-D2357</f>
        <v/>
      </c>
    </row>
    <row r="2359">
      <c r="A2359" s="28" t="n">
        <v>40957</v>
      </c>
      <c r="B2359" s="25">
        <f>VLOOKUP(A2359,'Database Claims'!$A:$C,3,)</f>
        <v/>
      </c>
      <c r="C2359" s="29">
        <f>B2359-B2358</f>
        <v/>
      </c>
      <c r="D2359" s="25">
        <f>VLOOKUP(A2359,'Database Claims'!$A:$C,2,)</f>
        <v/>
      </c>
      <c r="E2359" s="29">
        <f>D2359-D2358</f>
        <v/>
      </c>
    </row>
    <row r="2360">
      <c r="A2360" s="28" t="n">
        <v>40964</v>
      </c>
      <c r="B2360" s="29">
        <f>VLOOKUP(A2360,'Database Claims'!$A:$C,3,)</f>
        <v/>
      </c>
      <c r="C2360" s="29">
        <f>B2360-B2359</f>
        <v/>
      </c>
      <c r="D2360" s="29">
        <f>VLOOKUP(A2360,'Database Claims'!$A:$C,2,)</f>
        <v/>
      </c>
      <c r="E2360" s="29">
        <f>D2360-D2359</f>
        <v/>
      </c>
    </row>
    <row r="2361">
      <c r="A2361" s="28" t="n">
        <v>40971</v>
      </c>
      <c r="B2361" s="25">
        <f>VLOOKUP(A2361,'Database Claims'!$A:$C,3,)</f>
        <v/>
      </c>
      <c r="C2361" s="29">
        <f>B2361-B2360</f>
        <v/>
      </c>
      <c r="D2361" s="25">
        <f>VLOOKUP(A2361,'Database Claims'!$A:$C,2,)</f>
        <v/>
      </c>
      <c r="E2361" s="29">
        <f>D2361-D2360</f>
        <v/>
      </c>
    </row>
    <row r="2362">
      <c r="A2362" s="28" t="n">
        <v>40978</v>
      </c>
      <c r="B2362" s="29">
        <f>VLOOKUP(A2362,'Database Claims'!$A:$C,3,)</f>
        <v/>
      </c>
      <c r="C2362" s="29">
        <f>B2362-B2361</f>
        <v/>
      </c>
      <c r="D2362" s="29">
        <f>VLOOKUP(A2362,'Database Claims'!$A:$C,2,)</f>
        <v/>
      </c>
      <c r="E2362" s="29">
        <f>D2362-D2361</f>
        <v/>
      </c>
    </row>
    <row r="2363">
      <c r="A2363" s="28" t="n">
        <v>40985</v>
      </c>
      <c r="B2363" s="25">
        <f>VLOOKUP(A2363,'Database Claims'!$A:$C,3,)</f>
        <v/>
      </c>
      <c r="C2363" s="29">
        <f>B2363-B2362</f>
        <v/>
      </c>
      <c r="D2363" s="25">
        <f>VLOOKUP(A2363,'Database Claims'!$A:$C,2,)</f>
        <v/>
      </c>
      <c r="E2363" s="29">
        <f>D2363-D2362</f>
        <v/>
      </c>
    </row>
    <row r="2364">
      <c r="A2364" s="28" t="n">
        <v>40992</v>
      </c>
      <c r="B2364" s="29">
        <f>VLOOKUP(A2364,'Database Claims'!$A:$C,3,)</f>
        <v/>
      </c>
      <c r="C2364" s="29">
        <f>B2364-B2363</f>
        <v/>
      </c>
      <c r="D2364" s="29">
        <f>VLOOKUP(A2364,'Database Claims'!$A:$C,2,)</f>
        <v/>
      </c>
      <c r="E2364" s="29">
        <f>D2364-D2363</f>
        <v/>
      </c>
    </row>
    <row r="2365">
      <c r="A2365" s="28" t="n">
        <v>40999</v>
      </c>
      <c r="B2365" s="25">
        <f>VLOOKUP(A2365,'Database Claims'!$A:$C,3,)</f>
        <v/>
      </c>
      <c r="C2365" s="29">
        <f>B2365-B2364</f>
        <v/>
      </c>
      <c r="D2365" s="25">
        <f>VLOOKUP(A2365,'Database Claims'!$A:$C,2,)</f>
        <v/>
      </c>
      <c r="E2365" s="29">
        <f>D2365-D2364</f>
        <v/>
      </c>
    </row>
    <row r="2366">
      <c r="A2366" s="28" t="n">
        <v>41006</v>
      </c>
      <c r="B2366" s="29">
        <f>VLOOKUP(A2366,'Database Claims'!$A:$C,3,)</f>
        <v/>
      </c>
      <c r="C2366" s="29">
        <f>B2366-B2365</f>
        <v/>
      </c>
      <c r="D2366" s="29">
        <f>VLOOKUP(A2366,'Database Claims'!$A:$C,2,)</f>
        <v/>
      </c>
      <c r="E2366" s="29">
        <f>D2366-D2365</f>
        <v/>
      </c>
    </row>
    <row r="2367">
      <c r="A2367" s="28" t="n">
        <v>41013</v>
      </c>
      <c r="B2367" s="25">
        <f>VLOOKUP(A2367,'Database Claims'!$A:$C,3,)</f>
        <v/>
      </c>
      <c r="C2367" s="29">
        <f>B2367-B2366</f>
        <v/>
      </c>
      <c r="D2367" s="25">
        <f>VLOOKUP(A2367,'Database Claims'!$A:$C,2,)</f>
        <v/>
      </c>
      <c r="E2367" s="29">
        <f>D2367-D2366</f>
        <v/>
      </c>
    </row>
    <row r="2368">
      <c r="A2368" s="28" t="n">
        <v>41020</v>
      </c>
      <c r="B2368" s="29">
        <f>VLOOKUP(A2368,'Database Claims'!$A:$C,3,)</f>
        <v/>
      </c>
      <c r="C2368" s="29">
        <f>B2368-B2367</f>
        <v/>
      </c>
      <c r="D2368" s="29">
        <f>VLOOKUP(A2368,'Database Claims'!$A:$C,2,)</f>
        <v/>
      </c>
      <c r="E2368" s="29">
        <f>D2368-D2367</f>
        <v/>
      </c>
    </row>
    <row r="2369">
      <c r="A2369" s="28" t="n">
        <v>41027</v>
      </c>
      <c r="B2369" s="25">
        <f>VLOOKUP(A2369,'Database Claims'!$A:$C,3,)</f>
        <v/>
      </c>
      <c r="C2369" s="29">
        <f>B2369-B2368</f>
        <v/>
      </c>
      <c r="D2369" s="25">
        <f>VLOOKUP(A2369,'Database Claims'!$A:$C,2,)</f>
        <v/>
      </c>
      <c r="E2369" s="29">
        <f>D2369-D2368</f>
        <v/>
      </c>
    </row>
    <row r="2370">
      <c r="A2370" s="28" t="n">
        <v>41034</v>
      </c>
      <c r="B2370" s="29">
        <f>VLOOKUP(A2370,'Database Claims'!$A:$C,3,)</f>
        <v/>
      </c>
      <c r="C2370" s="29">
        <f>B2370-B2369</f>
        <v/>
      </c>
      <c r="D2370" s="29">
        <f>VLOOKUP(A2370,'Database Claims'!$A:$C,2,)</f>
        <v/>
      </c>
      <c r="E2370" s="29">
        <f>D2370-D2369</f>
        <v/>
      </c>
    </row>
    <row r="2371">
      <c r="A2371" s="28" t="n">
        <v>41041</v>
      </c>
      <c r="B2371" s="25">
        <f>VLOOKUP(A2371,'Database Claims'!$A:$C,3,)</f>
        <v/>
      </c>
      <c r="C2371" s="29">
        <f>B2371-B2370</f>
        <v/>
      </c>
      <c r="D2371" s="25">
        <f>VLOOKUP(A2371,'Database Claims'!$A:$C,2,)</f>
        <v/>
      </c>
      <c r="E2371" s="29">
        <f>D2371-D2370</f>
        <v/>
      </c>
    </row>
    <row r="2372">
      <c r="A2372" s="28" t="n">
        <v>41048</v>
      </c>
      <c r="B2372" s="29">
        <f>VLOOKUP(A2372,'Database Claims'!$A:$C,3,)</f>
        <v/>
      </c>
      <c r="C2372" s="29">
        <f>B2372-B2371</f>
        <v/>
      </c>
      <c r="D2372" s="29">
        <f>VLOOKUP(A2372,'Database Claims'!$A:$C,2,)</f>
        <v/>
      </c>
      <c r="E2372" s="29">
        <f>D2372-D2371</f>
        <v/>
      </c>
    </row>
    <row r="2373">
      <c r="A2373" s="28" t="n">
        <v>41055</v>
      </c>
      <c r="B2373" s="25">
        <f>VLOOKUP(A2373,'Database Claims'!$A:$C,3,)</f>
        <v/>
      </c>
      <c r="C2373" s="29">
        <f>B2373-B2372</f>
        <v/>
      </c>
      <c r="D2373" s="25">
        <f>VLOOKUP(A2373,'Database Claims'!$A:$C,2,)</f>
        <v/>
      </c>
      <c r="E2373" s="29">
        <f>D2373-D2372</f>
        <v/>
      </c>
    </row>
    <row r="2374">
      <c r="A2374" s="28" t="n">
        <v>41062</v>
      </c>
      <c r="B2374" s="29">
        <f>VLOOKUP(A2374,'Database Claims'!$A:$C,3,)</f>
        <v/>
      </c>
      <c r="C2374" s="29">
        <f>B2374-B2373</f>
        <v/>
      </c>
      <c r="D2374" s="29">
        <f>VLOOKUP(A2374,'Database Claims'!$A:$C,2,)</f>
        <v/>
      </c>
      <c r="E2374" s="29">
        <f>D2374-D2373</f>
        <v/>
      </c>
    </row>
    <row r="2375">
      <c r="A2375" s="28" t="n">
        <v>41069</v>
      </c>
      <c r="B2375" s="25">
        <f>VLOOKUP(A2375,'Database Claims'!$A:$C,3,)</f>
        <v/>
      </c>
      <c r="C2375" s="29">
        <f>B2375-B2374</f>
        <v/>
      </c>
      <c r="D2375" s="25">
        <f>VLOOKUP(A2375,'Database Claims'!$A:$C,2,)</f>
        <v/>
      </c>
      <c r="E2375" s="29">
        <f>D2375-D2374</f>
        <v/>
      </c>
    </row>
    <row r="2376">
      <c r="A2376" s="28" t="n">
        <v>41076</v>
      </c>
      <c r="B2376" s="29">
        <f>VLOOKUP(A2376,'Database Claims'!$A:$C,3,)</f>
        <v/>
      </c>
      <c r="C2376" s="29">
        <f>B2376-B2375</f>
        <v/>
      </c>
      <c r="D2376" s="29">
        <f>VLOOKUP(A2376,'Database Claims'!$A:$C,2,)</f>
        <v/>
      </c>
      <c r="E2376" s="29">
        <f>D2376-D2375</f>
        <v/>
      </c>
    </row>
    <row r="2377">
      <c r="A2377" s="28" t="n">
        <v>41083</v>
      </c>
      <c r="B2377" s="25">
        <f>VLOOKUP(A2377,'Database Claims'!$A:$C,3,)</f>
        <v/>
      </c>
      <c r="C2377" s="29">
        <f>B2377-B2376</f>
        <v/>
      </c>
      <c r="D2377" s="25">
        <f>VLOOKUP(A2377,'Database Claims'!$A:$C,2,)</f>
        <v/>
      </c>
      <c r="E2377" s="29">
        <f>D2377-D2376</f>
        <v/>
      </c>
    </row>
    <row r="2378">
      <c r="A2378" s="28" t="n">
        <v>41090</v>
      </c>
      <c r="B2378" s="29">
        <f>VLOOKUP(A2378,'Database Claims'!$A:$C,3,)</f>
        <v/>
      </c>
      <c r="C2378" s="29">
        <f>B2378-B2377</f>
        <v/>
      </c>
      <c r="D2378" s="29">
        <f>VLOOKUP(A2378,'Database Claims'!$A:$C,2,)</f>
        <v/>
      </c>
      <c r="E2378" s="29">
        <f>D2378-D2377</f>
        <v/>
      </c>
    </row>
    <row r="2379">
      <c r="A2379" s="28" t="n">
        <v>41097</v>
      </c>
      <c r="B2379" s="25">
        <f>VLOOKUP(A2379,'Database Claims'!$A:$C,3,)</f>
        <v/>
      </c>
      <c r="C2379" s="29">
        <f>B2379-B2378</f>
        <v/>
      </c>
      <c r="D2379" s="25">
        <f>VLOOKUP(A2379,'Database Claims'!$A:$C,2,)</f>
        <v/>
      </c>
      <c r="E2379" s="29">
        <f>D2379-D2378</f>
        <v/>
      </c>
    </row>
    <row r="2380">
      <c r="A2380" s="28" t="n">
        <v>41104</v>
      </c>
      <c r="B2380" s="29">
        <f>VLOOKUP(A2380,'Database Claims'!$A:$C,3,)</f>
        <v/>
      </c>
      <c r="C2380" s="29">
        <f>B2380-B2379</f>
        <v/>
      </c>
      <c r="D2380" s="29">
        <f>VLOOKUP(A2380,'Database Claims'!$A:$C,2,)</f>
        <v/>
      </c>
      <c r="E2380" s="29">
        <f>D2380-D2379</f>
        <v/>
      </c>
    </row>
    <row r="2381">
      <c r="A2381" s="28" t="n">
        <v>41111</v>
      </c>
      <c r="B2381" s="25">
        <f>VLOOKUP(A2381,'Database Claims'!$A:$C,3,)</f>
        <v/>
      </c>
      <c r="C2381" s="29">
        <f>B2381-B2380</f>
        <v/>
      </c>
      <c r="D2381" s="25">
        <f>VLOOKUP(A2381,'Database Claims'!$A:$C,2,)</f>
        <v/>
      </c>
      <c r="E2381" s="29">
        <f>D2381-D2380</f>
        <v/>
      </c>
    </row>
    <row r="2382">
      <c r="A2382" s="28" t="n">
        <v>41118</v>
      </c>
      <c r="B2382" s="29">
        <f>VLOOKUP(A2382,'Database Claims'!$A:$C,3,)</f>
        <v/>
      </c>
      <c r="C2382" s="29">
        <f>B2382-B2381</f>
        <v/>
      </c>
      <c r="D2382" s="29">
        <f>VLOOKUP(A2382,'Database Claims'!$A:$C,2,)</f>
        <v/>
      </c>
      <c r="E2382" s="29">
        <f>D2382-D2381</f>
        <v/>
      </c>
    </row>
    <row r="2383">
      <c r="A2383" s="28" t="n">
        <v>41125</v>
      </c>
      <c r="B2383" s="25">
        <f>VLOOKUP(A2383,'Database Claims'!$A:$C,3,)</f>
        <v/>
      </c>
      <c r="C2383" s="29">
        <f>B2383-B2382</f>
        <v/>
      </c>
      <c r="D2383" s="25">
        <f>VLOOKUP(A2383,'Database Claims'!$A:$C,2,)</f>
        <v/>
      </c>
      <c r="E2383" s="29">
        <f>D2383-D2382</f>
        <v/>
      </c>
    </row>
    <row r="2384">
      <c r="A2384" s="28" t="n">
        <v>41132</v>
      </c>
      <c r="B2384" s="29">
        <f>VLOOKUP(A2384,'Database Claims'!$A:$C,3,)</f>
        <v/>
      </c>
      <c r="C2384" s="29">
        <f>B2384-B2383</f>
        <v/>
      </c>
      <c r="D2384" s="29">
        <f>VLOOKUP(A2384,'Database Claims'!$A:$C,2,)</f>
        <v/>
      </c>
      <c r="E2384" s="29">
        <f>D2384-D2383</f>
        <v/>
      </c>
    </row>
    <row r="2385">
      <c r="A2385" s="28" t="n">
        <v>41139</v>
      </c>
      <c r="B2385" s="25">
        <f>VLOOKUP(A2385,'Database Claims'!$A:$C,3,)</f>
        <v/>
      </c>
      <c r="C2385" s="29">
        <f>B2385-B2384</f>
        <v/>
      </c>
      <c r="D2385" s="25">
        <f>VLOOKUP(A2385,'Database Claims'!$A:$C,2,)</f>
        <v/>
      </c>
      <c r="E2385" s="29">
        <f>D2385-D2384</f>
        <v/>
      </c>
    </row>
    <row r="2386">
      <c r="A2386" s="28" t="n">
        <v>41146</v>
      </c>
      <c r="B2386" s="29">
        <f>VLOOKUP(A2386,'Database Claims'!$A:$C,3,)</f>
        <v/>
      </c>
      <c r="C2386" s="29">
        <f>B2386-B2385</f>
        <v/>
      </c>
      <c r="D2386" s="29">
        <f>VLOOKUP(A2386,'Database Claims'!$A:$C,2,)</f>
        <v/>
      </c>
      <c r="E2386" s="29">
        <f>D2386-D2385</f>
        <v/>
      </c>
    </row>
    <row r="2387">
      <c r="A2387" s="28" t="n">
        <v>41153</v>
      </c>
      <c r="B2387" s="25">
        <f>VLOOKUP(A2387,'Database Claims'!$A:$C,3,)</f>
        <v/>
      </c>
      <c r="C2387" s="29">
        <f>B2387-B2386</f>
        <v/>
      </c>
      <c r="D2387" s="25">
        <f>VLOOKUP(A2387,'Database Claims'!$A:$C,2,)</f>
        <v/>
      </c>
      <c r="E2387" s="29">
        <f>D2387-D2386</f>
        <v/>
      </c>
    </row>
    <row r="2388">
      <c r="A2388" s="28" t="n">
        <v>41160</v>
      </c>
      <c r="B2388" s="29">
        <f>VLOOKUP(A2388,'Database Claims'!$A:$C,3,)</f>
        <v/>
      </c>
      <c r="C2388" s="29">
        <f>B2388-B2387</f>
        <v/>
      </c>
      <c r="D2388" s="29">
        <f>VLOOKUP(A2388,'Database Claims'!$A:$C,2,)</f>
        <v/>
      </c>
      <c r="E2388" s="29">
        <f>D2388-D2387</f>
        <v/>
      </c>
    </row>
    <row r="2389">
      <c r="A2389" s="28" t="n">
        <v>41167</v>
      </c>
      <c r="B2389" s="25">
        <f>VLOOKUP(A2389,'Database Claims'!$A:$C,3,)</f>
        <v/>
      </c>
      <c r="C2389" s="29">
        <f>B2389-B2388</f>
        <v/>
      </c>
      <c r="D2389" s="25">
        <f>VLOOKUP(A2389,'Database Claims'!$A:$C,2,)</f>
        <v/>
      </c>
      <c r="E2389" s="29">
        <f>D2389-D2388</f>
        <v/>
      </c>
    </row>
    <row r="2390">
      <c r="A2390" s="28" t="n">
        <v>41174</v>
      </c>
      <c r="B2390" s="29">
        <f>VLOOKUP(A2390,'Database Claims'!$A:$C,3,)</f>
        <v/>
      </c>
      <c r="C2390" s="29">
        <f>B2390-B2389</f>
        <v/>
      </c>
      <c r="D2390" s="29">
        <f>VLOOKUP(A2390,'Database Claims'!$A:$C,2,)</f>
        <v/>
      </c>
      <c r="E2390" s="29">
        <f>D2390-D2389</f>
        <v/>
      </c>
    </row>
    <row r="2391">
      <c r="A2391" s="28" t="n">
        <v>41181</v>
      </c>
      <c r="B2391" s="25">
        <f>VLOOKUP(A2391,'Database Claims'!$A:$C,3,)</f>
        <v/>
      </c>
      <c r="C2391" s="29">
        <f>B2391-B2390</f>
        <v/>
      </c>
      <c r="D2391" s="25">
        <f>VLOOKUP(A2391,'Database Claims'!$A:$C,2,)</f>
        <v/>
      </c>
      <c r="E2391" s="29">
        <f>D2391-D2390</f>
        <v/>
      </c>
    </row>
    <row r="2392">
      <c r="A2392" s="28" t="n">
        <v>41188</v>
      </c>
      <c r="B2392" s="29">
        <f>VLOOKUP(A2392,'Database Claims'!$A:$C,3,)</f>
        <v/>
      </c>
      <c r="C2392" s="29">
        <f>B2392-B2391</f>
        <v/>
      </c>
      <c r="D2392" s="29">
        <f>VLOOKUP(A2392,'Database Claims'!$A:$C,2,)</f>
        <v/>
      </c>
      <c r="E2392" s="29">
        <f>D2392-D2391</f>
        <v/>
      </c>
    </row>
    <row r="2393">
      <c r="A2393" s="28" t="n">
        <v>41195</v>
      </c>
      <c r="B2393" s="25">
        <f>VLOOKUP(A2393,'Database Claims'!$A:$C,3,)</f>
        <v/>
      </c>
      <c r="C2393" s="29">
        <f>B2393-B2392</f>
        <v/>
      </c>
      <c r="D2393" s="25">
        <f>VLOOKUP(A2393,'Database Claims'!$A:$C,2,)</f>
        <v/>
      </c>
      <c r="E2393" s="29">
        <f>D2393-D2392</f>
        <v/>
      </c>
    </row>
    <row r="2394">
      <c r="A2394" s="28" t="n">
        <v>41202</v>
      </c>
      <c r="B2394" s="29">
        <f>VLOOKUP(A2394,'Database Claims'!$A:$C,3,)</f>
        <v/>
      </c>
      <c r="C2394" s="29">
        <f>B2394-B2393</f>
        <v/>
      </c>
      <c r="D2394" s="29">
        <f>VLOOKUP(A2394,'Database Claims'!$A:$C,2,)</f>
        <v/>
      </c>
      <c r="E2394" s="29">
        <f>D2394-D2393</f>
        <v/>
      </c>
    </row>
    <row r="2395">
      <c r="A2395" s="28" t="n">
        <v>41209</v>
      </c>
      <c r="B2395" s="25">
        <f>VLOOKUP(A2395,'Database Claims'!$A:$C,3,)</f>
        <v/>
      </c>
      <c r="C2395" s="29">
        <f>B2395-B2394</f>
        <v/>
      </c>
      <c r="D2395" s="25">
        <f>VLOOKUP(A2395,'Database Claims'!$A:$C,2,)</f>
        <v/>
      </c>
      <c r="E2395" s="29">
        <f>D2395-D2394</f>
        <v/>
      </c>
    </row>
    <row r="2396">
      <c r="A2396" s="28" t="n">
        <v>41216</v>
      </c>
      <c r="B2396" s="29">
        <f>VLOOKUP(A2396,'Database Claims'!$A:$C,3,)</f>
        <v/>
      </c>
      <c r="C2396" s="29">
        <f>B2396-B2395</f>
        <v/>
      </c>
      <c r="D2396" s="29">
        <f>VLOOKUP(A2396,'Database Claims'!$A:$C,2,)</f>
        <v/>
      </c>
      <c r="E2396" s="29">
        <f>D2396-D2395</f>
        <v/>
      </c>
    </row>
    <row r="2397">
      <c r="A2397" s="28" t="n">
        <v>41223</v>
      </c>
      <c r="B2397" s="25">
        <f>VLOOKUP(A2397,'Database Claims'!$A:$C,3,)</f>
        <v/>
      </c>
      <c r="C2397" s="29">
        <f>B2397-B2396</f>
        <v/>
      </c>
      <c r="D2397" s="25">
        <f>VLOOKUP(A2397,'Database Claims'!$A:$C,2,)</f>
        <v/>
      </c>
      <c r="E2397" s="29">
        <f>D2397-D2396</f>
        <v/>
      </c>
    </row>
    <row r="2398">
      <c r="A2398" s="28" t="n">
        <v>41230</v>
      </c>
      <c r="B2398" s="29">
        <f>VLOOKUP(A2398,'Database Claims'!$A:$C,3,)</f>
        <v/>
      </c>
      <c r="C2398" s="29">
        <f>B2398-B2397</f>
        <v/>
      </c>
      <c r="D2398" s="29">
        <f>VLOOKUP(A2398,'Database Claims'!$A:$C,2,)</f>
        <v/>
      </c>
      <c r="E2398" s="29">
        <f>D2398-D2397</f>
        <v/>
      </c>
    </row>
    <row r="2399">
      <c r="A2399" s="28" t="n">
        <v>41237</v>
      </c>
      <c r="B2399" s="25">
        <f>VLOOKUP(A2399,'Database Claims'!$A:$C,3,)</f>
        <v/>
      </c>
      <c r="C2399" s="29">
        <f>B2399-B2398</f>
        <v/>
      </c>
      <c r="D2399" s="25">
        <f>VLOOKUP(A2399,'Database Claims'!$A:$C,2,)</f>
        <v/>
      </c>
      <c r="E2399" s="29">
        <f>D2399-D2398</f>
        <v/>
      </c>
    </row>
    <row r="2400">
      <c r="A2400" s="28" t="n">
        <v>41244</v>
      </c>
      <c r="B2400" s="29">
        <f>VLOOKUP(A2400,'Database Claims'!$A:$C,3,)</f>
        <v/>
      </c>
      <c r="C2400" s="29">
        <f>B2400-B2399</f>
        <v/>
      </c>
      <c r="D2400" s="29">
        <f>VLOOKUP(A2400,'Database Claims'!$A:$C,2,)</f>
        <v/>
      </c>
      <c r="E2400" s="29">
        <f>D2400-D2399</f>
        <v/>
      </c>
    </row>
    <row r="2401">
      <c r="A2401" s="28" t="n">
        <v>41251</v>
      </c>
      <c r="B2401" s="25">
        <f>VLOOKUP(A2401,'Database Claims'!$A:$C,3,)</f>
        <v/>
      </c>
      <c r="C2401" s="29">
        <f>B2401-B2400</f>
        <v/>
      </c>
      <c r="D2401" s="25">
        <f>VLOOKUP(A2401,'Database Claims'!$A:$C,2,)</f>
        <v/>
      </c>
      <c r="E2401" s="29">
        <f>D2401-D2400</f>
        <v/>
      </c>
    </row>
    <row r="2402">
      <c r="A2402" s="28" t="n">
        <v>41258</v>
      </c>
      <c r="B2402" s="29">
        <f>VLOOKUP(A2402,'Database Claims'!$A:$C,3,)</f>
        <v/>
      </c>
      <c r="C2402" s="29">
        <f>B2402-B2401</f>
        <v/>
      </c>
      <c r="D2402" s="29">
        <f>VLOOKUP(A2402,'Database Claims'!$A:$C,2,)</f>
        <v/>
      </c>
      <c r="E2402" s="29">
        <f>D2402-D2401</f>
        <v/>
      </c>
    </row>
    <row r="2403">
      <c r="A2403" s="28" t="n">
        <v>41265</v>
      </c>
      <c r="B2403" s="25">
        <f>VLOOKUP(A2403,'Database Claims'!$A:$C,3,)</f>
        <v/>
      </c>
      <c r="C2403" s="29">
        <f>B2403-B2402</f>
        <v/>
      </c>
      <c r="D2403" s="25">
        <f>VLOOKUP(A2403,'Database Claims'!$A:$C,2,)</f>
        <v/>
      </c>
      <c r="E2403" s="29">
        <f>D2403-D2402</f>
        <v/>
      </c>
    </row>
    <row r="2404">
      <c r="A2404" s="28" t="n">
        <v>41272</v>
      </c>
      <c r="B2404" s="29">
        <f>VLOOKUP(A2404,'Database Claims'!$A:$C,3,)</f>
        <v/>
      </c>
      <c r="C2404" s="29">
        <f>B2404-B2403</f>
        <v/>
      </c>
      <c r="D2404" s="29">
        <f>VLOOKUP(A2404,'Database Claims'!$A:$C,2,)</f>
        <v/>
      </c>
      <c r="E2404" s="29">
        <f>D2404-D2403</f>
        <v/>
      </c>
    </row>
    <row r="2405">
      <c r="A2405" s="28" t="n">
        <v>41279</v>
      </c>
      <c r="B2405" s="25">
        <f>VLOOKUP(A2405,'Database Claims'!$A:$C,3,)</f>
        <v/>
      </c>
      <c r="C2405" s="29">
        <f>B2405-B2404</f>
        <v/>
      </c>
      <c r="D2405" s="25">
        <f>VLOOKUP(A2405,'Database Claims'!$A:$C,2,)</f>
        <v/>
      </c>
      <c r="E2405" s="29">
        <f>D2405-D2404</f>
        <v/>
      </c>
    </row>
    <row r="2406">
      <c r="A2406" s="28" t="n">
        <v>41286</v>
      </c>
      <c r="B2406" s="29">
        <f>VLOOKUP(A2406,'Database Claims'!$A:$C,3,)</f>
        <v/>
      </c>
      <c r="C2406" s="29">
        <f>B2406-B2405</f>
        <v/>
      </c>
      <c r="D2406" s="29">
        <f>VLOOKUP(A2406,'Database Claims'!$A:$C,2,)</f>
        <v/>
      </c>
      <c r="E2406" s="29">
        <f>D2406-D2405</f>
        <v/>
      </c>
    </row>
    <row r="2407">
      <c r="A2407" s="28" t="n">
        <v>41293</v>
      </c>
      <c r="B2407" s="25">
        <f>VLOOKUP(A2407,'Database Claims'!$A:$C,3,)</f>
        <v/>
      </c>
      <c r="C2407" s="29">
        <f>B2407-B2406</f>
        <v/>
      </c>
      <c r="D2407" s="25">
        <f>VLOOKUP(A2407,'Database Claims'!$A:$C,2,)</f>
        <v/>
      </c>
      <c r="E2407" s="29">
        <f>D2407-D2406</f>
        <v/>
      </c>
    </row>
    <row r="2408">
      <c r="A2408" s="28" t="n">
        <v>41300</v>
      </c>
      <c r="B2408" s="29">
        <f>VLOOKUP(A2408,'Database Claims'!$A:$C,3,)</f>
        <v/>
      </c>
      <c r="C2408" s="29">
        <f>B2408-B2407</f>
        <v/>
      </c>
      <c r="D2408" s="29">
        <f>VLOOKUP(A2408,'Database Claims'!$A:$C,2,)</f>
        <v/>
      </c>
      <c r="E2408" s="29">
        <f>D2408-D2407</f>
        <v/>
      </c>
    </row>
    <row r="2409">
      <c r="A2409" s="28" t="n">
        <v>41307</v>
      </c>
      <c r="B2409" s="25">
        <f>VLOOKUP(A2409,'Database Claims'!$A:$C,3,)</f>
        <v/>
      </c>
      <c r="C2409" s="29">
        <f>B2409-B2408</f>
        <v/>
      </c>
      <c r="D2409" s="25">
        <f>VLOOKUP(A2409,'Database Claims'!$A:$C,2,)</f>
        <v/>
      </c>
      <c r="E2409" s="29">
        <f>D2409-D2408</f>
        <v/>
      </c>
    </row>
    <row r="2410">
      <c r="A2410" s="28" t="n">
        <v>41314</v>
      </c>
      <c r="B2410" s="29">
        <f>VLOOKUP(A2410,'Database Claims'!$A:$C,3,)</f>
        <v/>
      </c>
      <c r="C2410" s="29">
        <f>B2410-B2409</f>
        <v/>
      </c>
      <c r="D2410" s="29">
        <f>VLOOKUP(A2410,'Database Claims'!$A:$C,2,)</f>
        <v/>
      </c>
      <c r="E2410" s="29">
        <f>D2410-D2409</f>
        <v/>
      </c>
    </row>
    <row r="2411">
      <c r="A2411" s="28" t="n">
        <v>41321</v>
      </c>
      <c r="B2411" s="25">
        <f>VLOOKUP(A2411,'Database Claims'!$A:$C,3,)</f>
        <v/>
      </c>
      <c r="C2411" s="29">
        <f>B2411-B2410</f>
        <v/>
      </c>
      <c r="D2411" s="25">
        <f>VLOOKUP(A2411,'Database Claims'!$A:$C,2,)</f>
        <v/>
      </c>
      <c r="E2411" s="29">
        <f>D2411-D2410</f>
        <v/>
      </c>
    </row>
    <row r="2412">
      <c r="A2412" s="28" t="n">
        <v>41328</v>
      </c>
      <c r="B2412" s="29">
        <f>VLOOKUP(A2412,'Database Claims'!$A:$C,3,)</f>
        <v/>
      </c>
      <c r="C2412" s="29">
        <f>B2412-B2411</f>
        <v/>
      </c>
      <c r="D2412" s="29">
        <f>VLOOKUP(A2412,'Database Claims'!$A:$C,2,)</f>
        <v/>
      </c>
      <c r="E2412" s="29">
        <f>D2412-D2411</f>
        <v/>
      </c>
    </row>
    <row r="2413">
      <c r="A2413" s="28" t="n">
        <v>41335</v>
      </c>
      <c r="B2413" s="25">
        <f>VLOOKUP(A2413,'Database Claims'!$A:$C,3,)</f>
        <v/>
      </c>
      <c r="C2413" s="29">
        <f>B2413-B2412</f>
        <v/>
      </c>
      <c r="D2413" s="25">
        <f>VLOOKUP(A2413,'Database Claims'!$A:$C,2,)</f>
        <v/>
      </c>
      <c r="E2413" s="29">
        <f>D2413-D2412</f>
        <v/>
      </c>
    </row>
    <row r="2414">
      <c r="A2414" s="28" t="n">
        <v>41342</v>
      </c>
      <c r="B2414" s="29">
        <f>VLOOKUP(A2414,'Database Claims'!$A:$C,3,)</f>
        <v/>
      </c>
      <c r="C2414" s="29">
        <f>B2414-B2413</f>
        <v/>
      </c>
      <c r="D2414" s="29">
        <f>VLOOKUP(A2414,'Database Claims'!$A:$C,2,)</f>
        <v/>
      </c>
      <c r="E2414" s="29">
        <f>D2414-D2413</f>
        <v/>
      </c>
    </row>
    <row r="2415">
      <c r="A2415" s="28" t="n">
        <v>41349</v>
      </c>
      <c r="B2415" s="25">
        <f>VLOOKUP(A2415,'Database Claims'!$A:$C,3,)</f>
        <v/>
      </c>
      <c r="C2415" s="29">
        <f>B2415-B2414</f>
        <v/>
      </c>
      <c r="D2415" s="25">
        <f>VLOOKUP(A2415,'Database Claims'!$A:$C,2,)</f>
        <v/>
      </c>
      <c r="E2415" s="29">
        <f>D2415-D2414</f>
        <v/>
      </c>
    </row>
    <row r="2416">
      <c r="A2416" s="28" t="n">
        <v>41356</v>
      </c>
      <c r="B2416" s="29">
        <f>VLOOKUP(A2416,'Database Claims'!$A:$C,3,)</f>
        <v/>
      </c>
      <c r="C2416" s="29">
        <f>B2416-B2415</f>
        <v/>
      </c>
      <c r="D2416" s="29">
        <f>VLOOKUP(A2416,'Database Claims'!$A:$C,2,)</f>
        <v/>
      </c>
      <c r="E2416" s="29">
        <f>D2416-D2415</f>
        <v/>
      </c>
    </row>
    <row r="2417">
      <c r="A2417" s="28" t="n">
        <v>41363</v>
      </c>
      <c r="B2417" s="25">
        <f>VLOOKUP(A2417,'Database Claims'!$A:$C,3,)</f>
        <v/>
      </c>
      <c r="C2417" s="29">
        <f>B2417-B2416</f>
        <v/>
      </c>
      <c r="D2417" s="25">
        <f>VLOOKUP(A2417,'Database Claims'!$A:$C,2,)</f>
        <v/>
      </c>
      <c r="E2417" s="29">
        <f>D2417-D2416</f>
        <v/>
      </c>
    </row>
    <row r="2418">
      <c r="A2418" s="28" t="n">
        <v>41370</v>
      </c>
      <c r="B2418" s="29">
        <f>VLOOKUP(A2418,'Database Claims'!$A:$C,3,)</f>
        <v/>
      </c>
      <c r="C2418" s="29">
        <f>B2418-B2417</f>
        <v/>
      </c>
      <c r="D2418" s="29">
        <f>VLOOKUP(A2418,'Database Claims'!$A:$C,2,)</f>
        <v/>
      </c>
      <c r="E2418" s="29">
        <f>D2418-D2417</f>
        <v/>
      </c>
    </row>
    <row r="2419">
      <c r="A2419" s="28" t="n">
        <v>41377</v>
      </c>
      <c r="B2419" s="25">
        <f>VLOOKUP(A2419,'Database Claims'!$A:$C,3,)</f>
        <v/>
      </c>
      <c r="C2419" s="29">
        <f>B2419-B2418</f>
        <v/>
      </c>
      <c r="D2419" s="25">
        <f>VLOOKUP(A2419,'Database Claims'!$A:$C,2,)</f>
        <v/>
      </c>
      <c r="E2419" s="29">
        <f>D2419-D2418</f>
        <v/>
      </c>
    </row>
    <row r="2420">
      <c r="A2420" s="28" t="n">
        <v>41384</v>
      </c>
      <c r="B2420" s="29">
        <f>VLOOKUP(A2420,'Database Claims'!$A:$C,3,)</f>
        <v/>
      </c>
      <c r="C2420" s="29">
        <f>B2420-B2419</f>
        <v/>
      </c>
      <c r="D2420" s="29">
        <f>VLOOKUP(A2420,'Database Claims'!$A:$C,2,)</f>
        <v/>
      </c>
      <c r="E2420" s="29">
        <f>D2420-D2419</f>
        <v/>
      </c>
    </row>
    <row r="2421">
      <c r="A2421" s="28" t="n">
        <v>41391</v>
      </c>
      <c r="B2421" s="25">
        <f>VLOOKUP(A2421,'Database Claims'!$A:$C,3,)</f>
        <v/>
      </c>
      <c r="C2421" s="29">
        <f>B2421-B2420</f>
        <v/>
      </c>
      <c r="D2421" s="25">
        <f>VLOOKUP(A2421,'Database Claims'!$A:$C,2,)</f>
        <v/>
      </c>
      <c r="E2421" s="29">
        <f>D2421-D2420</f>
        <v/>
      </c>
    </row>
    <row r="2422">
      <c r="A2422" s="28" t="n">
        <v>41398</v>
      </c>
      <c r="B2422" s="29">
        <f>VLOOKUP(A2422,'Database Claims'!$A:$C,3,)</f>
        <v/>
      </c>
      <c r="C2422" s="29">
        <f>B2422-B2421</f>
        <v/>
      </c>
      <c r="D2422" s="29">
        <f>VLOOKUP(A2422,'Database Claims'!$A:$C,2,)</f>
        <v/>
      </c>
      <c r="E2422" s="29">
        <f>D2422-D2421</f>
        <v/>
      </c>
    </row>
    <row r="2423">
      <c r="A2423" s="28" t="n">
        <v>41405</v>
      </c>
      <c r="B2423" s="25">
        <f>VLOOKUP(A2423,'Database Claims'!$A:$C,3,)</f>
        <v/>
      </c>
      <c r="C2423" s="29">
        <f>B2423-B2422</f>
        <v/>
      </c>
      <c r="D2423" s="25">
        <f>VLOOKUP(A2423,'Database Claims'!$A:$C,2,)</f>
        <v/>
      </c>
      <c r="E2423" s="29">
        <f>D2423-D2422</f>
        <v/>
      </c>
    </row>
    <row r="2424">
      <c r="A2424" s="28" t="n">
        <v>41412</v>
      </c>
      <c r="B2424" s="29">
        <f>VLOOKUP(A2424,'Database Claims'!$A:$C,3,)</f>
        <v/>
      </c>
      <c r="C2424" s="29">
        <f>B2424-B2423</f>
        <v/>
      </c>
      <c r="D2424" s="29">
        <f>VLOOKUP(A2424,'Database Claims'!$A:$C,2,)</f>
        <v/>
      </c>
      <c r="E2424" s="29">
        <f>D2424-D2423</f>
        <v/>
      </c>
    </row>
    <row r="2425">
      <c r="A2425" s="28" t="n">
        <v>41419</v>
      </c>
      <c r="B2425" s="25">
        <f>VLOOKUP(A2425,'Database Claims'!$A:$C,3,)</f>
        <v/>
      </c>
      <c r="C2425" s="29">
        <f>B2425-B2424</f>
        <v/>
      </c>
      <c r="D2425" s="25">
        <f>VLOOKUP(A2425,'Database Claims'!$A:$C,2,)</f>
        <v/>
      </c>
      <c r="E2425" s="29">
        <f>D2425-D2424</f>
        <v/>
      </c>
    </row>
    <row r="2426">
      <c r="A2426" s="28" t="n">
        <v>41426</v>
      </c>
      <c r="B2426" s="29">
        <f>VLOOKUP(A2426,'Database Claims'!$A:$C,3,)</f>
        <v/>
      </c>
      <c r="C2426" s="29">
        <f>B2426-B2425</f>
        <v/>
      </c>
      <c r="D2426" s="29">
        <f>VLOOKUP(A2426,'Database Claims'!$A:$C,2,)</f>
        <v/>
      </c>
      <c r="E2426" s="29">
        <f>D2426-D2425</f>
        <v/>
      </c>
    </row>
    <row r="2427">
      <c r="A2427" s="28" t="n">
        <v>41433</v>
      </c>
      <c r="B2427" s="25">
        <f>VLOOKUP(A2427,'Database Claims'!$A:$C,3,)</f>
        <v/>
      </c>
      <c r="C2427" s="29">
        <f>B2427-B2426</f>
        <v/>
      </c>
      <c r="D2427" s="25">
        <f>VLOOKUP(A2427,'Database Claims'!$A:$C,2,)</f>
        <v/>
      </c>
      <c r="E2427" s="29">
        <f>D2427-D2426</f>
        <v/>
      </c>
    </row>
    <row r="2428">
      <c r="A2428" s="28" t="n">
        <v>41440</v>
      </c>
      <c r="B2428" s="29">
        <f>VLOOKUP(A2428,'Database Claims'!$A:$C,3,)</f>
        <v/>
      </c>
      <c r="C2428" s="29">
        <f>B2428-B2427</f>
        <v/>
      </c>
      <c r="D2428" s="29">
        <f>VLOOKUP(A2428,'Database Claims'!$A:$C,2,)</f>
        <v/>
      </c>
      <c r="E2428" s="29">
        <f>D2428-D2427</f>
        <v/>
      </c>
    </row>
    <row r="2429">
      <c r="A2429" s="28" t="n">
        <v>41447</v>
      </c>
      <c r="B2429" s="25">
        <f>VLOOKUP(A2429,'Database Claims'!$A:$C,3,)</f>
        <v/>
      </c>
      <c r="C2429" s="29">
        <f>B2429-B2428</f>
        <v/>
      </c>
      <c r="D2429" s="25">
        <f>VLOOKUP(A2429,'Database Claims'!$A:$C,2,)</f>
        <v/>
      </c>
      <c r="E2429" s="29">
        <f>D2429-D2428</f>
        <v/>
      </c>
    </row>
    <row r="2430">
      <c r="A2430" s="28" t="n">
        <v>41454</v>
      </c>
      <c r="B2430" s="29">
        <f>VLOOKUP(A2430,'Database Claims'!$A:$C,3,)</f>
        <v/>
      </c>
      <c r="C2430" s="29">
        <f>B2430-B2429</f>
        <v/>
      </c>
      <c r="D2430" s="29">
        <f>VLOOKUP(A2430,'Database Claims'!$A:$C,2,)</f>
        <v/>
      </c>
      <c r="E2430" s="29">
        <f>D2430-D2429</f>
        <v/>
      </c>
    </row>
    <row r="2431">
      <c r="A2431" s="28" t="n">
        <v>41461</v>
      </c>
      <c r="B2431" s="25">
        <f>VLOOKUP(A2431,'Database Claims'!$A:$C,3,)</f>
        <v/>
      </c>
      <c r="C2431" s="29">
        <f>B2431-B2430</f>
        <v/>
      </c>
      <c r="D2431" s="25">
        <f>VLOOKUP(A2431,'Database Claims'!$A:$C,2,)</f>
        <v/>
      </c>
      <c r="E2431" s="29">
        <f>D2431-D2430</f>
        <v/>
      </c>
    </row>
    <row r="2432">
      <c r="A2432" s="28" t="n">
        <v>41468</v>
      </c>
      <c r="B2432" s="29">
        <f>VLOOKUP(A2432,'Database Claims'!$A:$C,3,)</f>
        <v/>
      </c>
      <c r="C2432" s="29">
        <f>B2432-B2431</f>
        <v/>
      </c>
      <c r="D2432" s="29">
        <f>VLOOKUP(A2432,'Database Claims'!$A:$C,2,)</f>
        <v/>
      </c>
      <c r="E2432" s="29">
        <f>D2432-D2431</f>
        <v/>
      </c>
    </row>
    <row r="2433">
      <c r="A2433" s="28" t="n">
        <v>41475</v>
      </c>
      <c r="B2433" s="25">
        <f>VLOOKUP(A2433,'Database Claims'!$A:$C,3,)</f>
        <v/>
      </c>
      <c r="C2433" s="29">
        <f>B2433-B2432</f>
        <v/>
      </c>
      <c r="D2433" s="25">
        <f>VLOOKUP(A2433,'Database Claims'!$A:$C,2,)</f>
        <v/>
      </c>
      <c r="E2433" s="29">
        <f>D2433-D2432</f>
        <v/>
      </c>
    </row>
    <row r="2434">
      <c r="A2434" s="28" t="n">
        <v>41482</v>
      </c>
      <c r="B2434" s="29">
        <f>VLOOKUP(A2434,'Database Claims'!$A:$C,3,)</f>
        <v/>
      </c>
      <c r="C2434" s="29">
        <f>B2434-B2433</f>
        <v/>
      </c>
      <c r="D2434" s="29">
        <f>VLOOKUP(A2434,'Database Claims'!$A:$C,2,)</f>
        <v/>
      </c>
      <c r="E2434" s="29">
        <f>D2434-D2433</f>
        <v/>
      </c>
    </row>
    <row r="2435">
      <c r="A2435" s="28" t="n">
        <v>41489</v>
      </c>
      <c r="B2435" s="25">
        <f>VLOOKUP(A2435,'Database Claims'!$A:$C,3,)</f>
        <v/>
      </c>
      <c r="C2435" s="29">
        <f>B2435-B2434</f>
        <v/>
      </c>
      <c r="D2435" s="25">
        <f>VLOOKUP(A2435,'Database Claims'!$A:$C,2,)</f>
        <v/>
      </c>
      <c r="E2435" s="29">
        <f>D2435-D2434</f>
        <v/>
      </c>
    </row>
    <row r="2436">
      <c r="A2436" s="28" t="n">
        <v>41496</v>
      </c>
      <c r="B2436" s="29">
        <f>VLOOKUP(A2436,'Database Claims'!$A:$C,3,)</f>
        <v/>
      </c>
      <c r="C2436" s="29">
        <f>B2436-B2435</f>
        <v/>
      </c>
      <c r="D2436" s="29">
        <f>VLOOKUP(A2436,'Database Claims'!$A:$C,2,)</f>
        <v/>
      </c>
      <c r="E2436" s="29">
        <f>D2436-D2435</f>
        <v/>
      </c>
    </row>
    <row r="2437">
      <c r="A2437" s="28" t="n">
        <v>41503</v>
      </c>
      <c r="B2437" s="25">
        <f>VLOOKUP(A2437,'Database Claims'!$A:$C,3,)</f>
        <v/>
      </c>
      <c r="C2437" s="29">
        <f>B2437-B2436</f>
        <v/>
      </c>
      <c r="D2437" s="25">
        <f>VLOOKUP(A2437,'Database Claims'!$A:$C,2,)</f>
        <v/>
      </c>
      <c r="E2437" s="29">
        <f>D2437-D2436</f>
        <v/>
      </c>
    </row>
    <row r="2438">
      <c r="A2438" s="28" t="n">
        <v>41510</v>
      </c>
      <c r="B2438" s="29">
        <f>VLOOKUP(A2438,'Database Claims'!$A:$C,3,)</f>
        <v/>
      </c>
      <c r="C2438" s="29">
        <f>B2438-B2437</f>
        <v/>
      </c>
      <c r="D2438" s="29">
        <f>VLOOKUP(A2438,'Database Claims'!$A:$C,2,)</f>
        <v/>
      </c>
      <c r="E2438" s="29">
        <f>D2438-D2437</f>
        <v/>
      </c>
    </row>
    <row r="2439">
      <c r="A2439" s="28" t="n">
        <v>41517</v>
      </c>
      <c r="B2439" s="25">
        <f>VLOOKUP(A2439,'Database Claims'!$A:$C,3,)</f>
        <v/>
      </c>
      <c r="C2439" s="29">
        <f>B2439-B2438</f>
        <v/>
      </c>
      <c r="D2439" s="25">
        <f>VLOOKUP(A2439,'Database Claims'!$A:$C,2,)</f>
        <v/>
      </c>
      <c r="E2439" s="29">
        <f>D2439-D2438</f>
        <v/>
      </c>
    </row>
    <row r="2440">
      <c r="A2440" s="28" t="n">
        <v>41524</v>
      </c>
      <c r="B2440" s="29">
        <f>VLOOKUP(A2440,'Database Claims'!$A:$C,3,)</f>
        <v/>
      </c>
      <c r="C2440" s="29">
        <f>B2440-B2439</f>
        <v/>
      </c>
      <c r="D2440" s="29">
        <f>VLOOKUP(A2440,'Database Claims'!$A:$C,2,)</f>
        <v/>
      </c>
      <c r="E2440" s="29">
        <f>D2440-D2439</f>
        <v/>
      </c>
    </row>
    <row r="2441">
      <c r="A2441" s="28" t="n">
        <v>41531</v>
      </c>
      <c r="B2441" s="25">
        <f>VLOOKUP(A2441,'Database Claims'!$A:$C,3,)</f>
        <v/>
      </c>
      <c r="C2441" s="29">
        <f>B2441-B2440</f>
        <v/>
      </c>
      <c r="D2441" s="25">
        <f>VLOOKUP(A2441,'Database Claims'!$A:$C,2,)</f>
        <v/>
      </c>
      <c r="E2441" s="29">
        <f>D2441-D2440</f>
        <v/>
      </c>
    </row>
    <row r="2442">
      <c r="A2442" s="28" t="n">
        <v>41538</v>
      </c>
      <c r="B2442" s="29">
        <f>VLOOKUP(A2442,'Database Claims'!$A:$C,3,)</f>
        <v/>
      </c>
      <c r="C2442" s="29">
        <f>B2442-B2441</f>
        <v/>
      </c>
      <c r="D2442" s="29">
        <f>VLOOKUP(A2442,'Database Claims'!$A:$C,2,)</f>
        <v/>
      </c>
      <c r="E2442" s="29">
        <f>D2442-D2441</f>
        <v/>
      </c>
    </row>
    <row r="2443">
      <c r="A2443" s="28" t="n">
        <v>41545</v>
      </c>
      <c r="B2443" s="25">
        <f>VLOOKUP(A2443,'Database Claims'!$A:$C,3,)</f>
        <v/>
      </c>
      <c r="C2443" s="29">
        <f>B2443-B2442</f>
        <v/>
      </c>
      <c r="D2443" s="25">
        <f>VLOOKUP(A2443,'Database Claims'!$A:$C,2,)</f>
        <v/>
      </c>
      <c r="E2443" s="29">
        <f>D2443-D2442</f>
        <v/>
      </c>
    </row>
    <row r="2444">
      <c r="A2444" s="28" t="n">
        <v>41552</v>
      </c>
      <c r="B2444" s="29">
        <f>VLOOKUP(A2444,'Database Claims'!$A:$C,3,)</f>
        <v/>
      </c>
      <c r="C2444" s="29">
        <f>B2444-B2443</f>
        <v/>
      </c>
      <c r="D2444" s="29">
        <f>VLOOKUP(A2444,'Database Claims'!$A:$C,2,)</f>
        <v/>
      </c>
      <c r="E2444" s="29">
        <f>D2444-D2443</f>
        <v/>
      </c>
    </row>
    <row r="2445">
      <c r="A2445" s="28" t="n">
        <v>41559</v>
      </c>
      <c r="B2445" s="25">
        <f>VLOOKUP(A2445,'Database Claims'!$A:$C,3,)</f>
        <v/>
      </c>
      <c r="C2445" s="29">
        <f>B2445-B2444</f>
        <v/>
      </c>
      <c r="D2445" s="25">
        <f>VLOOKUP(A2445,'Database Claims'!$A:$C,2,)</f>
        <v/>
      </c>
      <c r="E2445" s="29">
        <f>D2445-D2444</f>
        <v/>
      </c>
    </row>
    <row r="2446">
      <c r="A2446" s="28" t="n">
        <v>41566</v>
      </c>
      <c r="B2446" s="29">
        <f>VLOOKUP(A2446,'Database Claims'!$A:$C,3,)</f>
        <v/>
      </c>
      <c r="C2446" s="29">
        <f>B2446-B2445</f>
        <v/>
      </c>
      <c r="D2446" s="29">
        <f>VLOOKUP(A2446,'Database Claims'!$A:$C,2,)</f>
        <v/>
      </c>
      <c r="E2446" s="29">
        <f>D2446-D2445</f>
        <v/>
      </c>
    </row>
    <row r="2447">
      <c r="A2447" s="28" t="n">
        <v>41573</v>
      </c>
      <c r="B2447" s="25">
        <f>VLOOKUP(A2447,'Database Claims'!$A:$C,3,)</f>
        <v/>
      </c>
      <c r="C2447" s="29">
        <f>B2447-B2446</f>
        <v/>
      </c>
      <c r="D2447" s="25">
        <f>VLOOKUP(A2447,'Database Claims'!$A:$C,2,)</f>
        <v/>
      </c>
      <c r="E2447" s="29">
        <f>D2447-D2446</f>
        <v/>
      </c>
    </row>
    <row r="2448">
      <c r="A2448" s="28" t="n">
        <v>41580</v>
      </c>
      <c r="B2448" s="29">
        <f>VLOOKUP(A2448,'Database Claims'!$A:$C,3,)</f>
        <v/>
      </c>
      <c r="C2448" s="29">
        <f>B2448-B2447</f>
        <v/>
      </c>
      <c r="D2448" s="29">
        <f>VLOOKUP(A2448,'Database Claims'!$A:$C,2,)</f>
        <v/>
      </c>
      <c r="E2448" s="29">
        <f>D2448-D2447</f>
        <v/>
      </c>
    </row>
    <row r="2449">
      <c r="A2449" s="28" t="n">
        <v>41587</v>
      </c>
      <c r="B2449" s="25">
        <f>VLOOKUP(A2449,'Database Claims'!$A:$C,3,)</f>
        <v/>
      </c>
      <c r="C2449" s="29">
        <f>B2449-B2448</f>
        <v/>
      </c>
      <c r="D2449" s="25">
        <f>VLOOKUP(A2449,'Database Claims'!$A:$C,2,)</f>
        <v/>
      </c>
      <c r="E2449" s="29">
        <f>D2449-D2448</f>
        <v/>
      </c>
    </row>
    <row r="2450">
      <c r="A2450" s="28" t="n">
        <v>41594</v>
      </c>
      <c r="B2450" s="29">
        <f>VLOOKUP(A2450,'Database Claims'!$A:$C,3,)</f>
        <v/>
      </c>
      <c r="C2450" s="29">
        <f>B2450-B2449</f>
        <v/>
      </c>
      <c r="D2450" s="29">
        <f>VLOOKUP(A2450,'Database Claims'!$A:$C,2,)</f>
        <v/>
      </c>
      <c r="E2450" s="29">
        <f>D2450-D2449</f>
        <v/>
      </c>
    </row>
    <row r="2451">
      <c r="A2451" s="28" t="n">
        <v>41601</v>
      </c>
      <c r="B2451" s="25">
        <f>VLOOKUP(A2451,'Database Claims'!$A:$C,3,)</f>
        <v/>
      </c>
      <c r="C2451" s="29">
        <f>B2451-B2450</f>
        <v/>
      </c>
      <c r="D2451" s="25">
        <f>VLOOKUP(A2451,'Database Claims'!$A:$C,2,)</f>
        <v/>
      </c>
      <c r="E2451" s="29">
        <f>D2451-D2450</f>
        <v/>
      </c>
    </row>
    <row r="2452">
      <c r="A2452" s="28" t="n">
        <v>41608</v>
      </c>
      <c r="B2452" s="29">
        <f>VLOOKUP(A2452,'Database Claims'!$A:$C,3,)</f>
        <v/>
      </c>
      <c r="C2452" s="29">
        <f>B2452-B2451</f>
        <v/>
      </c>
      <c r="D2452" s="29">
        <f>VLOOKUP(A2452,'Database Claims'!$A:$C,2,)</f>
        <v/>
      </c>
      <c r="E2452" s="29">
        <f>D2452-D2451</f>
        <v/>
      </c>
    </row>
    <row r="2453">
      <c r="A2453" s="28" t="n">
        <v>41615</v>
      </c>
      <c r="B2453" s="25">
        <f>VLOOKUP(A2453,'Database Claims'!$A:$C,3,)</f>
        <v/>
      </c>
      <c r="C2453" s="29">
        <f>B2453-B2452</f>
        <v/>
      </c>
      <c r="D2453" s="25">
        <f>VLOOKUP(A2453,'Database Claims'!$A:$C,2,)</f>
        <v/>
      </c>
      <c r="E2453" s="29">
        <f>D2453-D2452</f>
        <v/>
      </c>
    </row>
    <row r="2454">
      <c r="A2454" s="28" t="n">
        <v>41622</v>
      </c>
      <c r="B2454" s="29">
        <f>VLOOKUP(A2454,'Database Claims'!$A:$C,3,)</f>
        <v/>
      </c>
      <c r="C2454" s="29">
        <f>B2454-B2453</f>
        <v/>
      </c>
      <c r="D2454" s="29">
        <f>VLOOKUP(A2454,'Database Claims'!$A:$C,2,)</f>
        <v/>
      </c>
      <c r="E2454" s="29">
        <f>D2454-D2453</f>
        <v/>
      </c>
    </row>
    <row r="2455">
      <c r="A2455" s="28" t="n">
        <v>41629</v>
      </c>
      <c r="B2455" s="25">
        <f>VLOOKUP(A2455,'Database Claims'!$A:$C,3,)</f>
        <v/>
      </c>
      <c r="C2455" s="29">
        <f>B2455-B2454</f>
        <v/>
      </c>
      <c r="D2455" s="25">
        <f>VLOOKUP(A2455,'Database Claims'!$A:$C,2,)</f>
        <v/>
      </c>
      <c r="E2455" s="29">
        <f>D2455-D2454</f>
        <v/>
      </c>
    </row>
    <row r="2456">
      <c r="A2456" s="28" t="n">
        <v>41636</v>
      </c>
      <c r="B2456" s="29">
        <f>VLOOKUP(A2456,'Database Claims'!$A:$C,3,)</f>
        <v/>
      </c>
      <c r="C2456" s="29">
        <f>B2456-B2455</f>
        <v/>
      </c>
      <c r="D2456" s="29">
        <f>VLOOKUP(A2456,'Database Claims'!$A:$C,2,)</f>
        <v/>
      </c>
      <c r="E2456" s="29">
        <f>D2456-D2455</f>
        <v/>
      </c>
    </row>
    <row r="2457">
      <c r="A2457" s="28" t="n">
        <v>41643</v>
      </c>
      <c r="B2457" s="25">
        <f>VLOOKUP(A2457,'Database Claims'!$A:$C,3,)</f>
        <v/>
      </c>
      <c r="C2457" s="29">
        <f>B2457-B2456</f>
        <v/>
      </c>
      <c r="D2457" s="25">
        <f>VLOOKUP(A2457,'Database Claims'!$A:$C,2,)</f>
        <v/>
      </c>
      <c r="E2457" s="29">
        <f>D2457-D2456</f>
        <v/>
      </c>
    </row>
    <row r="2458">
      <c r="A2458" s="28" t="n">
        <v>41650</v>
      </c>
      <c r="B2458" s="29">
        <f>VLOOKUP(A2458,'Database Claims'!$A:$C,3,)</f>
        <v/>
      </c>
      <c r="C2458" s="29">
        <f>B2458-B2457</f>
        <v/>
      </c>
      <c r="D2458" s="29">
        <f>VLOOKUP(A2458,'Database Claims'!$A:$C,2,)</f>
        <v/>
      </c>
      <c r="E2458" s="29">
        <f>D2458-D2457</f>
        <v/>
      </c>
    </row>
    <row r="2459">
      <c r="A2459" s="28" t="n">
        <v>41657</v>
      </c>
      <c r="B2459" s="25">
        <f>VLOOKUP(A2459,'Database Claims'!$A:$C,3,)</f>
        <v/>
      </c>
      <c r="C2459" s="29">
        <f>B2459-B2458</f>
        <v/>
      </c>
      <c r="D2459" s="25">
        <f>VLOOKUP(A2459,'Database Claims'!$A:$C,2,)</f>
        <v/>
      </c>
      <c r="E2459" s="29">
        <f>D2459-D2458</f>
        <v/>
      </c>
    </row>
    <row r="2460">
      <c r="A2460" s="28" t="n">
        <v>41664</v>
      </c>
      <c r="B2460" s="29">
        <f>VLOOKUP(A2460,'Database Claims'!$A:$C,3,)</f>
        <v/>
      </c>
      <c r="C2460" s="29">
        <f>B2460-B2459</f>
        <v/>
      </c>
      <c r="D2460" s="29">
        <f>VLOOKUP(A2460,'Database Claims'!$A:$C,2,)</f>
        <v/>
      </c>
      <c r="E2460" s="29">
        <f>D2460-D2459</f>
        <v/>
      </c>
    </row>
    <row r="2461">
      <c r="A2461" s="28" t="n">
        <v>41671</v>
      </c>
      <c r="B2461" s="25">
        <f>VLOOKUP(A2461,'Database Claims'!$A:$C,3,)</f>
        <v/>
      </c>
      <c r="C2461" s="29">
        <f>B2461-B2460</f>
        <v/>
      </c>
      <c r="D2461" s="25">
        <f>VLOOKUP(A2461,'Database Claims'!$A:$C,2,)</f>
        <v/>
      </c>
      <c r="E2461" s="29">
        <f>D2461-D2460</f>
        <v/>
      </c>
    </row>
    <row r="2462">
      <c r="A2462" s="28" t="n">
        <v>41678</v>
      </c>
      <c r="B2462" s="29">
        <f>VLOOKUP(A2462,'Database Claims'!$A:$C,3,)</f>
        <v/>
      </c>
      <c r="C2462" s="29">
        <f>B2462-B2461</f>
        <v/>
      </c>
      <c r="D2462" s="29">
        <f>VLOOKUP(A2462,'Database Claims'!$A:$C,2,)</f>
        <v/>
      </c>
      <c r="E2462" s="29">
        <f>D2462-D2461</f>
        <v/>
      </c>
    </row>
    <row r="2463">
      <c r="A2463" s="28" t="n">
        <v>41685</v>
      </c>
      <c r="B2463" s="25">
        <f>VLOOKUP(A2463,'Database Claims'!$A:$C,3,)</f>
        <v/>
      </c>
      <c r="C2463" s="29">
        <f>B2463-B2462</f>
        <v/>
      </c>
      <c r="D2463" s="25">
        <f>VLOOKUP(A2463,'Database Claims'!$A:$C,2,)</f>
        <v/>
      </c>
      <c r="E2463" s="29">
        <f>D2463-D2462</f>
        <v/>
      </c>
    </row>
    <row r="2464">
      <c r="A2464" s="28" t="n">
        <v>41692</v>
      </c>
      <c r="B2464" s="29">
        <f>VLOOKUP(A2464,'Database Claims'!$A:$C,3,)</f>
        <v/>
      </c>
      <c r="C2464" s="29">
        <f>B2464-B2463</f>
        <v/>
      </c>
      <c r="D2464" s="29">
        <f>VLOOKUP(A2464,'Database Claims'!$A:$C,2,)</f>
        <v/>
      </c>
      <c r="E2464" s="29">
        <f>D2464-D2463</f>
        <v/>
      </c>
    </row>
    <row r="2465">
      <c r="A2465" s="28" t="n">
        <v>41699</v>
      </c>
      <c r="B2465" s="25">
        <f>VLOOKUP(A2465,'Database Claims'!$A:$C,3,)</f>
        <v/>
      </c>
      <c r="C2465" s="29">
        <f>B2465-B2464</f>
        <v/>
      </c>
      <c r="D2465" s="25">
        <f>VLOOKUP(A2465,'Database Claims'!$A:$C,2,)</f>
        <v/>
      </c>
      <c r="E2465" s="29">
        <f>D2465-D2464</f>
        <v/>
      </c>
    </row>
    <row r="2466">
      <c r="A2466" s="28" t="n">
        <v>41706</v>
      </c>
      <c r="B2466" s="29">
        <f>VLOOKUP(A2466,'Database Claims'!$A:$C,3,)</f>
        <v/>
      </c>
      <c r="C2466" s="29">
        <f>B2466-B2465</f>
        <v/>
      </c>
      <c r="D2466" s="29">
        <f>VLOOKUP(A2466,'Database Claims'!$A:$C,2,)</f>
        <v/>
      </c>
      <c r="E2466" s="29">
        <f>D2466-D2465</f>
        <v/>
      </c>
    </row>
    <row r="2467">
      <c r="A2467" s="28" t="n">
        <v>41713</v>
      </c>
      <c r="B2467" s="25">
        <f>VLOOKUP(A2467,'Database Claims'!$A:$C,3,)</f>
        <v/>
      </c>
      <c r="C2467" s="29">
        <f>B2467-B2466</f>
        <v/>
      </c>
      <c r="D2467" s="25">
        <f>VLOOKUP(A2467,'Database Claims'!$A:$C,2,)</f>
        <v/>
      </c>
      <c r="E2467" s="29">
        <f>D2467-D2466</f>
        <v/>
      </c>
    </row>
    <row r="2468">
      <c r="A2468" s="28" t="n">
        <v>41720</v>
      </c>
      <c r="B2468" s="29">
        <f>VLOOKUP(A2468,'Database Claims'!$A:$C,3,)</f>
        <v/>
      </c>
      <c r="C2468" s="29">
        <f>B2468-B2467</f>
        <v/>
      </c>
      <c r="D2468" s="29">
        <f>VLOOKUP(A2468,'Database Claims'!$A:$C,2,)</f>
        <v/>
      </c>
      <c r="E2468" s="29">
        <f>D2468-D2467</f>
        <v/>
      </c>
    </row>
    <row r="2469">
      <c r="A2469" s="28" t="n">
        <v>41727</v>
      </c>
      <c r="B2469" s="25">
        <f>VLOOKUP(A2469,'Database Claims'!$A:$C,3,)</f>
        <v/>
      </c>
      <c r="C2469" s="29">
        <f>B2469-B2468</f>
        <v/>
      </c>
      <c r="D2469" s="25">
        <f>VLOOKUP(A2469,'Database Claims'!$A:$C,2,)</f>
        <v/>
      </c>
      <c r="E2469" s="29">
        <f>D2469-D2468</f>
        <v/>
      </c>
    </row>
    <row r="2470">
      <c r="A2470" s="28" t="n">
        <v>41734</v>
      </c>
      <c r="B2470" s="29">
        <f>VLOOKUP(A2470,'Database Claims'!$A:$C,3,)</f>
        <v/>
      </c>
      <c r="C2470" s="29">
        <f>B2470-B2469</f>
        <v/>
      </c>
      <c r="D2470" s="29">
        <f>VLOOKUP(A2470,'Database Claims'!$A:$C,2,)</f>
        <v/>
      </c>
      <c r="E2470" s="29">
        <f>D2470-D2469</f>
        <v/>
      </c>
    </row>
    <row r="2471">
      <c r="A2471" s="28" t="n">
        <v>41741</v>
      </c>
      <c r="B2471" s="25">
        <f>VLOOKUP(A2471,'Database Claims'!$A:$C,3,)</f>
        <v/>
      </c>
      <c r="C2471" s="29">
        <f>B2471-B2470</f>
        <v/>
      </c>
      <c r="D2471" s="25">
        <f>VLOOKUP(A2471,'Database Claims'!$A:$C,2,)</f>
        <v/>
      </c>
      <c r="E2471" s="29">
        <f>D2471-D2470</f>
        <v/>
      </c>
    </row>
    <row r="2472">
      <c r="A2472" s="28" t="n">
        <v>41748</v>
      </c>
      <c r="B2472" s="29">
        <f>VLOOKUP(A2472,'Database Claims'!$A:$C,3,)</f>
        <v/>
      </c>
      <c r="C2472" s="29">
        <f>B2472-B2471</f>
        <v/>
      </c>
      <c r="D2472" s="29">
        <f>VLOOKUP(A2472,'Database Claims'!$A:$C,2,)</f>
        <v/>
      </c>
      <c r="E2472" s="29">
        <f>D2472-D2471</f>
        <v/>
      </c>
    </row>
    <row r="2473">
      <c r="A2473" s="28" t="n">
        <v>41755</v>
      </c>
      <c r="B2473" s="25">
        <f>VLOOKUP(A2473,'Database Claims'!$A:$C,3,)</f>
        <v/>
      </c>
      <c r="C2473" s="29">
        <f>B2473-B2472</f>
        <v/>
      </c>
      <c r="D2473" s="25">
        <f>VLOOKUP(A2473,'Database Claims'!$A:$C,2,)</f>
        <v/>
      </c>
      <c r="E2473" s="29">
        <f>D2473-D2472</f>
        <v/>
      </c>
    </row>
    <row r="2474">
      <c r="A2474" s="28" t="n">
        <v>41762</v>
      </c>
      <c r="B2474" s="29">
        <f>VLOOKUP(A2474,'Database Claims'!$A:$C,3,)</f>
        <v/>
      </c>
      <c r="C2474" s="29">
        <f>B2474-B2473</f>
        <v/>
      </c>
      <c r="D2474" s="29">
        <f>VLOOKUP(A2474,'Database Claims'!$A:$C,2,)</f>
        <v/>
      </c>
      <c r="E2474" s="29">
        <f>D2474-D2473</f>
        <v/>
      </c>
    </row>
    <row r="2475">
      <c r="A2475" s="28" t="n">
        <v>41769</v>
      </c>
      <c r="B2475" s="25">
        <f>VLOOKUP(A2475,'Database Claims'!$A:$C,3,)</f>
        <v/>
      </c>
      <c r="C2475" s="29">
        <f>B2475-B2474</f>
        <v/>
      </c>
      <c r="D2475" s="25">
        <f>VLOOKUP(A2475,'Database Claims'!$A:$C,2,)</f>
        <v/>
      </c>
      <c r="E2475" s="29">
        <f>D2475-D2474</f>
        <v/>
      </c>
    </row>
    <row r="2476">
      <c r="A2476" s="28" t="n">
        <v>41776</v>
      </c>
      <c r="B2476" s="29">
        <f>VLOOKUP(A2476,'Database Claims'!$A:$C,3,)</f>
        <v/>
      </c>
      <c r="C2476" s="29">
        <f>B2476-B2475</f>
        <v/>
      </c>
      <c r="D2476" s="29">
        <f>VLOOKUP(A2476,'Database Claims'!$A:$C,2,)</f>
        <v/>
      </c>
      <c r="E2476" s="29">
        <f>D2476-D2475</f>
        <v/>
      </c>
    </row>
    <row r="2477">
      <c r="A2477" s="28" t="n">
        <v>41783</v>
      </c>
      <c r="B2477" s="25">
        <f>VLOOKUP(A2477,'Database Claims'!$A:$C,3,)</f>
        <v/>
      </c>
      <c r="C2477" s="29">
        <f>B2477-B2476</f>
        <v/>
      </c>
      <c r="D2477" s="25">
        <f>VLOOKUP(A2477,'Database Claims'!$A:$C,2,)</f>
        <v/>
      </c>
      <c r="E2477" s="29">
        <f>D2477-D2476</f>
        <v/>
      </c>
    </row>
    <row r="2478">
      <c r="A2478" s="28" t="n">
        <v>41790</v>
      </c>
      <c r="B2478" s="29">
        <f>VLOOKUP(A2478,'Database Claims'!$A:$C,3,)</f>
        <v/>
      </c>
      <c r="C2478" s="29">
        <f>B2478-B2477</f>
        <v/>
      </c>
      <c r="D2478" s="29">
        <f>VLOOKUP(A2478,'Database Claims'!$A:$C,2,)</f>
        <v/>
      </c>
      <c r="E2478" s="29">
        <f>D2478-D2477</f>
        <v/>
      </c>
    </row>
    <row r="2479">
      <c r="A2479" s="28" t="n">
        <v>41797</v>
      </c>
      <c r="B2479" s="25">
        <f>VLOOKUP(A2479,'Database Claims'!$A:$C,3,)</f>
        <v/>
      </c>
      <c r="C2479" s="29">
        <f>B2479-B2478</f>
        <v/>
      </c>
      <c r="D2479" s="25">
        <f>VLOOKUP(A2479,'Database Claims'!$A:$C,2,)</f>
        <v/>
      </c>
      <c r="E2479" s="29">
        <f>D2479-D2478</f>
        <v/>
      </c>
    </row>
    <row r="2480">
      <c r="A2480" s="28" t="n">
        <v>41804</v>
      </c>
      <c r="B2480" s="29">
        <f>VLOOKUP(A2480,'Database Claims'!$A:$C,3,)</f>
        <v/>
      </c>
      <c r="C2480" s="29">
        <f>B2480-B2479</f>
        <v/>
      </c>
      <c r="D2480" s="29">
        <f>VLOOKUP(A2480,'Database Claims'!$A:$C,2,)</f>
        <v/>
      </c>
      <c r="E2480" s="29">
        <f>D2480-D2479</f>
        <v/>
      </c>
    </row>
    <row r="2481">
      <c r="A2481" s="28" t="n">
        <v>41811</v>
      </c>
      <c r="B2481" s="25">
        <f>VLOOKUP(A2481,'Database Claims'!$A:$C,3,)</f>
        <v/>
      </c>
      <c r="C2481" s="29">
        <f>B2481-B2480</f>
        <v/>
      </c>
      <c r="D2481" s="25">
        <f>VLOOKUP(A2481,'Database Claims'!$A:$C,2,)</f>
        <v/>
      </c>
      <c r="E2481" s="29">
        <f>D2481-D2480</f>
        <v/>
      </c>
    </row>
    <row r="2482">
      <c r="A2482" s="28" t="n">
        <v>41818</v>
      </c>
      <c r="B2482" s="29">
        <f>VLOOKUP(A2482,'Database Claims'!$A:$C,3,)</f>
        <v/>
      </c>
      <c r="C2482" s="29">
        <f>B2482-B2481</f>
        <v/>
      </c>
      <c r="D2482" s="29">
        <f>VLOOKUP(A2482,'Database Claims'!$A:$C,2,)</f>
        <v/>
      </c>
      <c r="E2482" s="29">
        <f>D2482-D2481</f>
        <v/>
      </c>
    </row>
    <row r="2483">
      <c r="A2483" s="28" t="n">
        <v>41825</v>
      </c>
      <c r="B2483" s="25">
        <f>VLOOKUP(A2483,'Database Claims'!$A:$C,3,)</f>
        <v/>
      </c>
      <c r="C2483" s="29">
        <f>B2483-B2482</f>
        <v/>
      </c>
      <c r="D2483" s="25">
        <f>VLOOKUP(A2483,'Database Claims'!$A:$C,2,)</f>
        <v/>
      </c>
      <c r="E2483" s="29">
        <f>D2483-D2482</f>
        <v/>
      </c>
    </row>
    <row r="2484">
      <c r="A2484" s="28" t="n">
        <v>41832</v>
      </c>
      <c r="B2484" s="29">
        <f>VLOOKUP(A2484,'Database Claims'!$A:$C,3,)</f>
        <v/>
      </c>
      <c r="C2484" s="29">
        <f>B2484-B2483</f>
        <v/>
      </c>
      <c r="D2484" s="29">
        <f>VLOOKUP(A2484,'Database Claims'!$A:$C,2,)</f>
        <v/>
      </c>
      <c r="E2484" s="29">
        <f>D2484-D2483</f>
        <v/>
      </c>
    </row>
    <row r="2485">
      <c r="A2485" s="28" t="n">
        <v>41839</v>
      </c>
      <c r="B2485" s="25">
        <f>VLOOKUP(A2485,'Database Claims'!$A:$C,3,)</f>
        <v/>
      </c>
      <c r="C2485" s="29">
        <f>B2485-B2484</f>
        <v/>
      </c>
      <c r="D2485" s="25">
        <f>VLOOKUP(A2485,'Database Claims'!$A:$C,2,)</f>
        <v/>
      </c>
      <c r="E2485" s="29">
        <f>D2485-D2484</f>
        <v/>
      </c>
    </row>
    <row r="2486">
      <c r="A2486" s="28" t="n">
        <v>41846</v>
      </c>
      <c r="B2486" s="29">
        <f>VLOOKUP(A2486,'Database Claims'!$A:$C,3,)</f>
        <v/>
      </c>
      <c r="C2486" s="29">
        <f>B2486-B2485</f>
        <v/>
      </c>
      <c r="D2486" s="29">
        <f>VLOOKUP(A2486,'Database Claims'!$A:$C,2,)</f>
        <v/>
      </c>
      <c r="E2486" s="29">
        <f>D2486-D2485</f>
        <v/>
      </c>
    </row>
    <row r="2487">
      <c r="A2487" s="28" t="n">
        <v>41853</v>
      </c>
      <c r="B2487" s="25">
        <f>VLOOKUP(A2487,'Database Claims'!$A:$C,3,)</f>
        <v/>
      </c>
      <c r="C2487" s="29">
        <f>B2487-B2486</f>
        <v/>
      </c>
      <c r="D2487" s="25">
        <f>VLOOKUP(A2487,'Database Claims'!$A:$C,2,)</f>
        <v/>
      </c>
      <c r="E2487" s="29">
        <f>D2487-D2486</f>
        <v/>
      </c>
    </row>
    <row r="2488">
      <c r="A2488" s="28" t="n">
        <v>41860</v>
      </c>
      <c r="B2488" s="29">
        <f>VLOOKUP(A2488,'Database Claims'!$A:$C,3,)</f>
        <v/>
      </c>
      <c r="C2488" s="29">
        <f>B2488-B2487</f>
        <v/>
      </c>
      <c r="D2488" s="29">
        <f>VLOOKUP(A2488,'Database Claims'!$A:$C,2,)</f>
        <v/>
      </c>
      <c r="E2488" s="29">
        <f>D2488-D2487</f>
        <v/>
      </c>
    </row>
    <row r="2489">
      <c r="A2489" s="28" t="n">
        <v>41867</v>
      </c>
      <c r="B2489" s="25">
        <f>VLOOKUP(A2489,'Database Claims'!$A:$C,3,)</f>
        <v/>
      </c>
      <c r="C2489" s="29">
        <f>B2489-B2488</f>
        <v/>
      </c>
      <c r="D2489" s="25">
        <f>VLOOKUP(A2489,'Database Claims'!$A:$C,2,)</f>
        <v/>
      </c>
      <c r="E2489" s="29">
        <f>D2489-D2488</f>
        <v/>
      </c>
    </row>
    <row r="2490">
      <c r="A2490" s="28" t="n">
        <v>41874</v>
      </c>
      <c r="B2490" s="29">
        <f>VLOOKUP(A2490,'Database Claims'!$A:$C,3,)</f>
        <v/>
      </c>
      <c r="C2490" s="29">
        <f>B2490-B2489</f>
        <v/>
      </c>
      <c r="D2490" s="29">
        <f>VLOOKUP(A2490,'Database Claims'!$A:$C,2,)</f>
        <v/>
      </c>
      <c r="E2490" s="29">
        <f>D2490-D2489</f>
        <v/>
      </c>
    </row>
    <row r="2491">
      <c r="A2491" s="28" t="n">
        <v>41881</v>
      </c>
      <c r="B2491" s="25">
        <f>VLOOKUP(A2491,'Database Claims'!$A:$C,3,)</f>
        <v/>
      </c>
      <c r="C2491" s="29">
        <f>B2491-B2490</f>
        <v/>
      </c>
      <c r="D2491" s="25">
        <f>VLOOKUP(A2491,'Database Claims'!$A:$C,2,)</f>
        <v/>
      </c>
      <c r="E2491" s="29">
        <f>D2491-D2490</f>
        <v/>
      </c>
    </row>
    <row r="2492">
      <c r="A2492" s="28" t="n">
        <v>41888</v>
      </c>
      <c r="B2492" s="29">
        <f>VLOOKUP(A2492,'Database Claims'!$A:$C,3,)</f>
        <v/>
      </c>
      <c r="C2492" s="29">
        <f>B2492-B2491</f>
        <v/>
      </c>
      <c r="D2492" s="29">
        <f>VLOOKUP(A2492,'Database Claims'!$A:$C,2,)</f>
        <v/>
      </c>
      <c r="E2492" s="29">
        <f>D2492-D2491</f>
        <v/>
      </c>
    </row>
    <row r="2493">
      <c r="A2493" s="28" t="n">
        <v>41895</v>
      </c>
      <c r="B2493" s="25">
        <f>VLOOKUP(A2493,'Database Claims'!$A:$C,3,)</f>
        <v/>
      </c>
      <c r="C2493" s="29">
        <f>B2493-B2492</f>
        <v/>
      </c>
      <c r="D2493" s="25">
        <f>VLOOKUP(A2493,'Database Claims'!$A:$C,2,)</f>
        <v/>
      </c>
      <c r="E2493" s="29">
        <f>D2493-D2492</f>
        <v/>
      </c>
    </row>
    <row r="2494">
      <c r="A2494" s="28" t="n">
        <v>41902</v>
      </c>
      <c r="B2494" s="29">
        <f>VLOOKUP(A2494,'Database Claims'!$A:$C,3,)</f>
        <v/>
      </c>
      <c r="C2494" s="29">
        <f>B2494-B2493</f>
        <v/>
      </c>
      <c r="D2494" s="29">
        <f>VLOOKUP(A2494,'Database Claims'!$A:$C,2,)</f>
        <v/>
      </c>
      <c r="E2494" s="29">
        <f>D2494-D2493</f>
        <v/>
      </c>
    </row>
    <row r="2495">
      <c r="A2495" s="28" t="n">
        <v>41909</v>
      </c>
      <c r="B2495" s="25">
        <f>VLOOKUP(A2495,'Database Claims'!$A:$C,3,)</f>
        <v/>
      </c>
      <c r="C2495" s="29">
        <f>B2495-B2494</f>
        <v/>
      </c>
      <c r="D2495" s="25">
        <f>VLOOKUP(A2495,'Database Claims'!$A:$C,2,)</f>
        <v/>
      </c>
      <c r="E2495" s="29">
        <f>D2495-D2494</f>
        <v/>
      </c>
    </row>
    <row r="2496">
      <c r="A2496" s="28" t="n">
        <v>41916</v>
      </c>
      <c r="B2496" s="29">
        <f>VLOOKUP(A2496,'Database Claims'!$A:$C,3,)</f>
        <v/>
      </c>
      <c r="C2496" s="29">
        <f>B2496-B2495</f>
        <v/>
      </c>
      <c r="D2496" s="29">
        <f>VLOOKUP(A2496,'Database Claims'!$A:$C,2,)</f>
        <v/>
      </c>
      <c r="E2496" s="29">
        <f>D2496-D2495</f>
        <v/>
      </c>
    </row>
    <row r="2497">
      <c r="A2497" s="28" t="n">
        <v>41923</v>
      </c>
      <c r="B2497" s="25">
        <f>VLOOKUP(A2497,'Database Claims'!$A:$C,3,)</f>
        <v/>
      </c>
      <c r="C2497" s="29">
        <f>B2497-B2496</f>
        <v/>
      </c>
      <c r="D2497" s="25">
        <f>VLOOKUP(A2497,'Database Claims'!$A:$C,2,)</f>
        <v/>
      </c>
      <c r="E2497" s="29">
        <f>D2497-D2496</f>
        <v/>
      </c>
    </row>
    <row r="2498">
      <c r="A2498" s="28" t="n">
        <v>41930</v>
      </c>
      <c r="B2498" s="29">
        <f>VLOOKUP(A2498,'Database Claims'!$A:$C,3,)</f>
        <v/>
      </c>
      <c r="C2498" s="29">
        <f>B2498-B2497</f>
        <v/>
      </c>
      <c r="D2498" s="29">
        <f>VLOOKUP(A2498,'Database Claims'!$A:$C,2,)</f>
        <v/>
      </c>
      <c r="E2498" s="29">
        <f>D2498-D2497</f>
        <v/>
      </c>
    </row>
    <row r="2499">
      <c r="A2499" s="28" t="n">
        <v>41937</v>
      </c>
      <c r="B2499" s="25">
        <f>VLOOKUP(A2499,'Database Claims'!$A:$C,3,)</f>
        <v/>
      </c>
      <c r="C2499" s="29">
        <f>B2499-B2498</f>
        <v/>
      </c>
      <c r="D2499" s="25">
        <f>VLOOKUP(A2499,'Database Claims'!$A:$C,2,)</f>
        <v/>
      </c>
      <c r="E2499" s="29">
        <f>D2499-D2498</f>
        <v/>
      </c>
    </row>
    <row r="2500">
      <c r="A2500" s="28" t="n">
        <v>41944</v>
      </c>
      <c r="B2500" s="29">
        <f>VLOOKUP(A2500,'Database Claims'!$A:$C,3,)</f>
        <v/>
      </c>
      <c r="C2500" s="29">
        <f>B2500-B2499</f>
        <v/>
      </c>
      <c r="D2500" s="29">
        <f>VLOOKUP(A2500,'Database Claims'!$A:$C,2,)</f>
        <v/>
      </c>
      <c r="E2500" s="29">
        <f>D2500-D2499</f>
        <v/>
      </c>
    </row>
    <row r="2501">
      <c r="A2501" s="28" t="n">
        <v>41951</v>
      </c>
      <c r="B2501" s="25">
        <f>VLOOKUP(A2501,'Database Claims'!$A:$C,3,)</f>
        <v/>
      </c>
      <c r="C2501" s="29">
        <f>B2501-B2500</f>
        <v/>
      </c>
      <c r="D2501" s="25">
        <f>VLOOKUP(A2501,'Database Claims'!$A:$C,2,)</f>
        <v/>
      </c>
      <c r="E2501" s="29">
        <f>D2501-D2500</f>
        <v/>
      </c>
    </row>
    <row r="2502">
      <c r="A2502" s="28" t="n">
        <v>41958</v>
      </c>
      <c r="B2502" s="29">
        <f>VLOOKUP(A2502,'Database Claims'!$A:$C,3,)</f>
        <v/>
      </c>
      <c r="C2502" s="29">
        <f>B2502-B2501</f>
        <v/>
      </c>
      <c r="D2502" s="29">
        <f>VLOOKUP(A2502,'Database Claims'!$A:$C,2,)</f>
        <v/>
      </c>
      <c r="E2502" s="29">
        <f>D2502-D2501</f>
        <v/>
      </c>
    </row>
    <row r="2503">
      <c r="A2503" s="28" t="n">
        <v>41965</v>
      </c>
      <c r="B2503" s="25">
        <f>VLOOKUP(A2503,'Database Claims'!$A:$C,3,)</f>
        <v/>
      </c>
      <c r="C2503" s="29">
        <f>B2503-B2502</f>
        <v/>
      </c>
      <c r="D2503" s="25">
        <f>VLOOKUP(A2503,'Database Claims'!$A:$C,2,)</f>
        <v/>
      </c>
      <c r="E2503" s="29">
        <f>D2503-D2502</f>
        <v/>
      </c>
    </row>
    <row r="2504">
      <c r="A2504" s="28" t="n">
        <v>41972</v>
      </c>
      <c r="B2504" s="29">
        <f>VLOOKUP(A2504,'Database Claims'!$A:$C,3,)</f>
        <v/>
      </c>
      <c r="C2504" s="29">
        <f>B2504-B2503</f>
        <v/>
      </c>
      <c r="D2504" s="29">
        <f>VLOOKUP(A2504,'Database Claims'!$A:$C,2,)</f>
        <v/>
      </c>
      <c r="E2504" s="29">
        <f>D2504-D2503</f>
        <v/>
      </c>
    </row>
    <row r="2505">
      <c r="A2505" s="28" t="n">
        <v>41979</v>
      </c>
      <c r="B2505" s="25">
        <f>VLOOKUP(A2505,'Database Claims'!$A:$C,3,)</f>
        <v/>
      </c>
      <c r="C2505" s="29">
        <f>B2505-B2504</f>
        <v/>
      </c>
      <c r="D2505" s="25">
        <f>VLOOKUP(A2505,'Database Claims'!$A:$C,2,)</f>
        <v/>
      </c>
      <c r="E2505" s="29">
        <f>D2505-D2504</f>
        <v/>
      </c>
    </row>
    <row r="2506">
      <c r="A2506" s="28" t="n">
        <v>41986</v>
      </c>
      <c r="B2506" s="29">
        <f>VLOOKUP(A2506,'Database Claims'!$A:$C,3,)</f>
        <v/>
      </c>
      <c r="C2506" s="29">
        <f>B2506-B2505</f>
        <v/>
      </c>
      <c r="D2506" s="29">
        <f>VLOOKUP(A2506,'Database Claims'!$A:$C,2,)</f>
        <v/>
      </c>
      <c r="E2506" s="29">
        <f>D2506-D2505</f>
        <v/>
      </c>
    </row>
    <row r="2507">
      <c r="A2507" s="28" t="n">
        <v>41993</v>
      </c>
      <c r="B2507" s="25">
        <f>VLOOKUP(A2507,'Database Claims'!$A:$C,3,)</f>
        <v/>
      </c>
      <c r="C2507" s="29">
        <f>B2507-B2506</f>
        <v/>
      </c>
      <c r="D2507" s="25">
        <f>VLOOKUP(A2507,'Database Claims'!$A:$C,2,)</f>
        <v/>
      </c>
      <c r="E2507" s="29">
        <f>D2507-D2506</f>
        <v/>
      </c>
    </row>
    <row r="2508">
      <c r="A2508" s="28" t="n">
        <v>42000</v>
      </c>
      <c r="B2508" s="29">
        <f>VLOOKUP(A2508,'Database Claims'!$A:$C,3,)</f>
        <v/>
      </c>
      <c r="C2508" s="29">
        <f>B2508-B2507</f>
        <v/>
      </c>
      <c r="D2508" s="29">
        <f>VLOOKUP(A2508,'Database Claims'!$A:$C,2,)</f>
        <v/>
      </c>
      <c r="E2508" s="29">
        <f>D2508-D2507</f>
        <v/>
      </c>
    </row>
    <row r="2509">
      <c r="A2509" s="28" t="n">
        <v>42007</v>
      </c>
      <c r="B2509" s="25">
        <f>VLOOKUP(A2509,'Database Claims'!$A:$C,3,)</f>
        <v/>
      </c>
      <c r="C2509" s="29">
        <f>B2509-B2508</f>
        <v/>
      </c>
      <c r="D2509" s="25">
        <f>VLOOKUP(A2509,'Database Claims'!$A:$C,2,)</f>
        <v/>
      </c>
      <c r="E2509" s="29">
        <f>D2509-D2508</f>
        <v/>
      </c>
    </row>
    <row r="2510">
      <c r="A2510" s="28" t="n">
        <v>42014</v>
      </c>
      <c r="B2510" s="29">
        <f>VLOOKUP(A2510,'Database Claims'!$A:$C,3,)</f>
        <v/>
      </c>
      <c r="C2510" s="29">
        <f>B2510-B2509</f>
        <v/>
      </c>
      <c r="D2510" s="29">
        <f>VLOOKUP(A2510,'Database Claims'!$A:$C,2,)</f>
        <v/>
      </c>
      <c r="E2510" s="29">
        <f>D2510-D2509</f>
        <v/>
      </c>
    </row>
    <row r="2511">
      <c r="A2511" s="28" t="n">
        <v>42021</v>
      </c>
      <c r="B2511" s="25">
        <f>VLOOKUP(A2511,'Database Claims'!$A:$C,3,)</f>
        <v/>
      </c>
      <c r="C2511" s="29">
        <f>B2511-B2510</f>
        <v/>
      </c>
      <c r="D2511" s="25">
        <f>VLOOKUP(A2511,'Database Claims'!$A:$C,2,)</f>
        <v/>
      </c>
      <c r="E2511" s="29">
        <f>D2511-D2510</f>
        <v/>
      </c>
    </row>
    <row r="2512">
      <c r="A2512" s="28" t="n">
        <v>42028</v>
      </c>
      <c r="B2512" s="29">
        <f>VLOOKUP(A2512,'Database Claims'!$A:$C,3,)</f>
        <v/>
      </c>
      <c r="C2512" s="29">
        <f>B2512-B2511</f>
        <v/>
      </c>
      <c r="D2512" s="29">
        <f>VLOOKUP(A2512,'Database Claims'!$A:$C,2,)</f>
        <v/>
      </c>
      <c r="E2512" s="29">
        <f>D2512-D2511</f>
        <v/>
      </c>
    </row>
    <row r="2513">
      <c r="A2513" s="28" t="n">
        <v>42035</v>
      </c>
      <c r="B2513" s="25">
        <f>VLOOKUP(A2513,'Database Claims'!$A:$C,3,)</f>
        <v/>
      </c>
      <c r="C2513" s="29">
        <f>B2513-B2512</f>
        <v/>
      </c>
      <c r="D2513" s="25">
        <f>VLOOKUP(A2513,'Database Claims'!$A:$C,2,)</f>
        <v/>
      </c>
      <c r="E2513" s="29">
        <f>D2513-D2512</f>
        <v/>
      </c>
    </row>
    <row r="2514">
      <c r="A2514" s="28" t="n">
        <v>42042</v>
      </c>
      <c r="B2514" s="29">
        <f>VLOOKUP(A2514,'Database Claims'!$A:$C,3,)</f>
        <v/>
      </c>
      <c r="C2514" s="29">
        <f>B2514-B2513</f>
        <v/>
      </c>
      <c r="D2514" s="29">
        <f>VLOOKUP(A2514,'Database Claims'!$A:$C,2,)</f>
        <v/>
      </c>
      <c r="E2514" s="29">
        <f>D2514-D2513</f>
        <v/>
      </c>
    </row>
    <row r="2515">
      <c r="A2515" s="28" t="n">
        <v>42049</v>
      </c>
      <c r="B2515" s="25">
        <f>VLOOKUP(A2515,'Database Claims'!$A:$C,3,)</f>
        <v/>
      </c>
      <c r="C2515" s="29">
        <f>B2515-B2514</f>
        <v/>
      </c>
      <c r="D2515" s="25">
        <f>VLOOKUP(A2515,'Database Claims'!$A:$C,2,)</f>
        <v/>
      </c>
      <c r="E2515" s="29">
        <f>D2515-D2514</f>
        <v/>
      </c>
    </row>
    <row r="2516">
      <c r="A2516" s="28" t="n">
        <v>42056</v>
      </c>
      <c r="B2516" s="29">
        <f>VLOOKUP(A2516,'Database Claims'!$A:$C,3,)</f>
        <v/>
      </c>
      <c r="C2516" s="29">
        <f>B2516-B2515</f>
        <v/>
      </c>
      <c r="D2516" s="29">
        <f>VLOOKUP(A2516,'Database Claims'!$A:$C,2,)</f>
        <v/>
      </c>
      <c r="E2516" s="29">
        <f>D2516-D2515</f>
        <v/>
      </c>
    </row>
    <row r="2517">
      <c r="A2517" s="28" t="n">
        <v>42063</v>
      </c>
      <c r="B2517" s="25">
        <f>VLOOKUP(A2517,'Database Claims'!$A:$C,3,)</f>
        <v/>
      </c>
      <c r="C2517" s="29">
        <f>B2517-B2516</f>
        <v/>
      </c>
      <c r="D2517" s="25">
        <f>VLOOKUP(A2517,'Database Claims'!$A:$C,2,)</f>
        <v/>
      </c>
      <c r="E2517" s="29">
        <f>D2517-D2516</f>
        <v/>
      </c>
    </row>
    <row r="2518">
      <c r="A2518" s="28" t="n">
        <v>42070</v>
      </c>
      <c r="B2518" s="29">
        <f>VLOOKUP(A2518,'Database Claims'!$A:$C,3,)</f>
        <v/>
      </c>
      <c r="C2518" s="29">
        <f>B2518-B2517</f>
        <v/>
      </c>
      <c r="D2518" s="29">
        <f>VLOOKUP(A2518,'Database Claims'!$A:$C,2,)</f>
        <v/>
      </c>
      <c r="E2518" s="29">
        <f>D2518-D2517</f>
        <v/>
      </c>
    </row>
    <row r="2519">
      <c r="A2519" s="28" t="n">
        <v>42077</v>
      </c>
      <c r="B2519" s="25">
        <f>VLOOKUP(A2519,'Database Claims'!$A:$C,3,)</f>
        <v/>
      </c>
      <c r="C2519" s="29">
        <f>B2519-B2518</f>
        <v/>
      </c>
      <c r="D2519" s="25">
        <f>VLOOKUP(A2519,'Database Claims'!$A:$C,2,)</f>
        <v/>
      </c>
      <c r="E2519" s="29">
        <f>D2519-D2518</f>
        <v/>
      </c>
    </row>
    <row r="2520">
      <c r="A2520" s="28" t="n">
        <v>42084</v>
      </c>
      <c r="B2520" s="29">
        <f>VLOOKUP(A2520,'Database Claims'!$A:$C,3,)</f>
        <v/>
      </c>
      <c r="C2520" s="29">
        <f>B2520-B2519</f>
        <v/>
      </c>
      <c r="D2520" s="29">
        <f>VLOOKUP(A2520,'Database Claims'!$A:$C,2,)</f>
        <v/>
      </c>
      <c r="E2520" s="29">
        <f>D2520-D2519</f>
        <v/>
      </c>
    </row>
    <row r="2521">
      <c r="A2521" s="28" t="n">
        <v>42091</v>
      </c>
      <c r="B2521" s="25">
        <f>VLOOKUP(A2521,'Database Claims'!$A:$C,3,)</f>
        <v/>
      </c>
      <c r="C2521" s="29">
        <f>B2521-B2520</f>
        <v/>
      </c>
      <c r="D2521" s="25">
        <f>VLOOKUP(A2521,'Database Claims'!$A:$C,2,)</f>
        <v/>
      </c>
      <c r="E2521" s="29">
        <f>D2521-D2520</f>
        <v/>
      </c>
    </row>
    <row r="2522">
      <c r="A2522" s="28" t="n">
        <v>42098</v>
      </c>
      <c r="B2522" s="29">
        <f>VLOOKUP(A2522,'Database Claims'!$A:$C,3,)</f>
        <v/>
      </c>
      <c r="C2522" s="29">
        <f>B2522-B2521</f>
        <v/>
      </c>
      <c r="D2522" s="29">
        <f>VLOOKUP(A2522,'Database Claims'!$A:$C,2,)</f>
        <v/>
      </c>
      <c r="E2522" s="29">
        <f>D2522-D2521</f>
        <v/>
      </c>
    </row>
    <row r="2523">
      <c r="A2523" s="28" t="n">
        <v>42105</v>
      </c>
      <c r="B2523" s="25">
        <f>VLOOKUP(A2523,'Database Claims'!$A:$C,3,)</f>
        <v/>
      </c>
      <c r="C2523" s="29">
        <f>B2523-B2522</f>
        <v/>
      </c>
      <c r="D2523" s="25">
        <f>VLOOKUP(A2523,'Database Claims'!$A:$C,2,)</f>
        <v/>
      </c>
      <c r="E2523" s="29">
        <f>D2523-D2522</f>
        <v/>
      </c>
    </row>
    <row r="2524">
      <c r="A2524" s="28" t="n">
        <v>42112</v>
      </c>
      <c r="B2524" s="29">
        <f>VLOOKUP(A2524,'Database Claims'!$A:$C,3,)</f>
        <v/>
      </c>
      <c r="C2524" s="29">
        <f>B2524-B2523</f>
        <v/>
      </c>
      <c r="D2524" s="29">
        <f>VLOOKUP(A2524,'Database Claims'!$A:$C,2,)</f>
        <v/>
      </c>
      <c r="E2524" s="29">
        <f>D2524-D2523</f>
        <v/>
      </c>
    </row>
    <row r="2525">
      <c r="A2525" s="28" t="n">
        <v>42119</v>
      </c>
      <c r="B2525" s="25">
        <f>VLOOKUP(A2525,'Database Claims'!$A:$C,3,)</f>
        <v/>
      </c>
      <c r="C2525" s="29">
        <f>B2525-B2524</f>
        <v/>
      </c>
      <c r="D2525" s="25">
        <f>VLOOKUP(A2525,'Database Claims'!$A:$C,2,)</f>
        <v/>
      </c>
      <c r="E2525" s="29">
        <f>D2525-D2524</f>
        <v/>
      </c>
    </row>
    <row r="2526">
      <c r="A2526" s="28" t="n">
        <v>42126</v>
      </c>
      <c r="B2526" s="29">
        <f>VLOOKUP(A2526,'Database Claims'!$A:$C,3,)</f>
        <v/>
      </c>
      <c r="C2526" s="29">
        <f>B2526-B2525</f>
        <v/>
      </c>
      <c r="D2526" s="29">
        <f>VLOOKUP(A2526,'Database Claims'!$A:$C,2,)</f>
        <v/>
      </c>
      <c r="E2526" s="29">
        <f>D2526-D2525</f>
        <v/>
      </c>
    </row>
    <row r="2527">
      <c r="A2527" s="28" t="n">
        <v>42133</v>
      </c>
      <c r="B2527" s="25">
        <f>VLOOKUP(A2527,'Database Claims'!$A:$C,3,)</f>
        <v/>
      </c>
      <c r="C2527" s="29">
        <f>B2527-B2526</f>
        <v/>
      </c>
      <c r="D2527" s="25">
        <f>VLOOKUP(A2527,'Database Claims'!$A:$C,2,)</f>
        <v/>
      </c>
      <c r="E2527" s="29">
        <f>D2527-D2526</f>
        <v/>
      </c>
    </row>
    <row r="2528">
      <c r="A2528" s="28" t="n">
        <v>42140</v>
      </c>
      <c r="B2528" s="29">
        <f>VLOOKUP(A2528,'Database Claims'!$A:$C,3,)</f>
        <v/>
      </c>
      <c r="C2528" s="29">
        <f>B2528-B2527</f>
        <v/>
      </c>
      <c r="D2528" s="29">
        <f>VLOOKUP(A2528,'Database Claims'!$A:$C,2,)</f>
        <v/>
      </c>
      <c r="E2528" s="29">
        <f>D2528-D2527</f>
        <v/>
      </c>
    </row>
    <row r="2529">
      <c r="A2529" s="28" t="n">
        <v>42147</v>
      </c>
      <c r="B2529" s="25">
        <f>VLOOKUP(A2529,'Database Claims'!$A:$C,3,)</f>
        <v/>
      </c>
      <c r="C2529" s="29">
        <f>B2529-B2528</f>
        <v/>
      </c>
      <c r="D2529" s="25">
        <f>VLOOKUP(A2529,'Database Claims'!$A:$C,2,)</f>
        <v/>
      </c>
      <c r="E2529" s="29">
        <f>D2529-D2528</f>
        <v/>
      </c>
    </row>
    <row r="2530">
      <c r="A2530" s="28" t="n">
        <v>42154</v>
      </c>
      <c r="B2530" s="29">
        <f>VLOOKUP(A2530,'Database Claims'!$A:$C,3,)</f>
        <v/>
      </c>
      <c r="C2530" s="29">
        <f>B2530-B2529</f>
        <v/>
      </c>
      <c r="D2530" s="29">
        <f>VLOOKUP(A2530,'Database Claims'!$A:$C,2,)</f>
        <v/>
      </c>
      <c r="E2530" s="29">
        <f>D2530-D2529</f>
        <v/>
      </c>
    </row>
    <row r="2531">
      <c r="A2531" s="28" t="n">
        <v>42161</v>
      </c>
      <c r="B2531" s="25">
        <f>VLOOKUP(A2531,'Database Claims'!$A:$C,3,)</f>
        <v/>
      </c>
      <c r="C2531" s="29">
        <f>B2531-B2530</f>
        <v/>
      </c>
      <c r="D2531" s="25">
        <f>VLOOKUP(A2531,'Database Claims'!$A:$C,2,)</f>
        <v/>
      </c>
      <c r="E2531" s="29">
        <f>D2531-D2530</f>
        <v/>
      </c>
    </row>
    <row r="2532">
      <c r="A2532" s="28" t="n">
        <v>42168</v>
      </c>
      <c r="B2532" s="29">
        <f>VLOOKUP(A2532,'Database Claims'!$A:$C,3,)</f>
        <v/>
      </c>
      <c r="C2532" s="29">
        <f>B2532-B2531</f>
        <v/>
      </c>
      <c r="D2532" s="29">
        <f>VLOOKUP(A2532,'Database Claims'!$A:$C,2,)</f>
        <v/>
      </c>
      <c r="E2532" s="29">
        <f>D2532-D2531</f>
        <v/>
      </c>
    </row>
    <row r="2533">
      <c r="A2533" s="28" t="n">
        <v>42175</v>
      </c>
      <c r="B2533" s="25">
        <f>VLOOKUP(A2533,'Database Claims'!$A:$C,3,)</f>
        <v/>
      </c>
      <c r="C2533" s="29">
        <f>B2533-B2532</f>
        <v/>
      </c>
      <c r="D2533" s="25">
        <f>VLOOKUP(A2533,'Database Claims'!$A:$C,2,)</f>
        <v/>
      </c>
      <c r="E2533" s="29">
        <f>D2533-D2532</f>
        <v/>
      </c>
    </row>
    <row r="2534">
      <c r="A2534" s="28" t="n">
        <v>42182</v>
      </c>
      <c r="B2534" s="29">
        <f>VLOOKUP(A2534,'Database Claims'!$A:$C,3,)</f>
        <v/>
      </c>
      <c r="C2534" s="29">
        <f>B2534-B2533</f>
        <v/>
      </c>
      <c r="D2534" s="29">
        <f>VLOOKUP(A2534,'Database Claims'!$A:$C,2,)</f>
        <v/>
      </c>
      <c r="E2534" s="29">
        <f>D2534-D2533</f>
        <v/>
      </c>
    </row>
    <row r="2535">
      <c r="A2535" s="28" t="n">
        <v>42189</v>
      </c>
      <c r="B2535" s="25">
        <f>VLOOKUP(A2535,'Database Claims'!$A:$C,3,)</f>
        <v/>
      </c>
      <c r="C2535" s="29">
        <f>B2535-B2534</f>
        <v/>
      </c>
      <c r="D2535" s="25">
        <f>VLOOKUP(A2535,'Database Claims'!$A:$C,2,)</f>
        <v/>
      </c>
      <c r="E2535" s="29">
        <f>D2535-D2534</f>
        <v/>
      </c>
    </row>
    <row r="2536">
      <c r="A2536" s="28" t="n">
        <v>42196</v>
      </c>
      <c r="B2536" s="29">
        <f>VLOOKUP(A2536,'Database Claims'!$A:$C,3,)</f>
        <v/>
      </c>
      <c r="C2536" s="29">
        <f>B2536-B2535</f>
        <v/>
      </c>
      <c r="D2536" s="29">
        <f>VLOOKUP(A2536,'Database Claims'!$A:$C,2,)</f>
        <v/>
      </c>
      <c r="E2536" s="29">
        <f>D2536-D2535</f>
        <v/>
      </c>
    </row>
    <row r="2537">
      <c r="A2537" s="28" t="n">
        <v>42203</v>
      </c>
      <c r="B2537" s="25">
        <f>VLOOKUP(A2537,'Database Claims'!$A:$C,3,)</f>
        <v/>
      </c>
      <c r="C2537" s="29">
        <f>B2537-B2536</f>
        <v/>
      </c>
      <c r="D2537" s="25">
        <f>VLOOKUP(A2537,'Database Claims'!$A:$C,2,)</f>
        <v/>
      </c>
      <c r="E2537" s="29">
        <f>D2537-D2536</f>
        <v/>
      </c>
    </row>
    <row r="2538">
      <c r="A2538" s="28" t="n">
        <v>42210</v>
      </c>
      <c r="B2538" s="29">
        <f>VLOOKUP(A2538,'Database Claims'!$A:$C,3,)</f>
        <v/>
      </c>
      <c r="C2538" s="29">
        <f>B2538-B2537</f>
        <v/>
      </c>
      <c r="D2538" s="29">
        <f>VLOOKUP(A2538,'Database Claims'!$A:$C,2,)</f>
        <v/>
      </c>
      <c r="E2538" s="29">
        <f>D2538-D2537</f>
        <v/>
      </c>
    </row>
    <row r="2539">
      <c r="A2539" s="28" t="n">
        <v>42217</v>
      </c>
      <c r="B2539" s="25">
        <f>VLOOKUP(A2539,'Database Claims'!$A:$C,3,)</f>
        <v/>
      </c>
      <c r="C2539" s="29">
        <f>B2539-B2538</f>
        <v/>
      </c>
      <c r="D2539" s="25">
        <f>VLOOKUP(A2539,'Database Claims'!$A:$C,2,)</f>
        <v/>
      </c>
      <c r="E2539" s="29">
        <f>D2539-D2538</f>
        <v/>
      </c>
    </row>
    <row r="2540">
      <c r="A2540" s="28" t="n">
        <v>42224</v>
      </c>
      <c r="B2540" s="29">
        <f>VLOOKUP(A2540,'Database Claims'!$A:$C,3,)</f>
        <v/>
      </c>
      <c r="C2540" s="29">
        <f>B2540-B2539</f>
        <v/>
      </c>
      <c r="D2540" s="29">
        <f>VLOOKUP(A2540,'Database Claims'!$A:$C,2,)</f>
        <v/>
      </c>
      <c r="E2540" s="29">
        <f>D2540-D2539</f>
        <v/>
      </c>
    </row>
    <row r="2541">
      <c r="A2541" s="28" t="n">
        <v>42231</v>
      </c>
      <c r="B2541" s="25">
        <f>VLOOKUP(A2541,'Database Claims'!$A:$C,3,)</f>
        <v/>
      </c>
      <c r="C2541" s="29">
        <f>B2541-B2540</f>
        <v/>
      </c>
      <c r="D2541" s="25">
        <f>VLOOKUP(A2541,'Database Claims'!$A:$C,2,)</f>
        <v/>
      </c>
      <c r="E2541" s="29">
        <f>D2541-D2540</f>
        <v/>
      </c>
    </row>
    <row r="2542">
      <c r="A2542" s="28" t="n">
        <v>42238</v>
      </c>
      <c r="B2542" s="29">
        <f>VLOOKUP(A2542,'Database Claims'!$A:$C,3,)</f>
        <v/>
      </c>
      <c r="C2542" s="29">
        <f>B2542-B2541</f>
        <v/>
      </c>
      <c r="D2542" s="29">
        <f>VLOOKUP(A2542,'Database Claims'!$A:$C,2,)</f>
        <v/>
      </c>
      <c r="E2542" s="29">
        <f>D2542-D2541</f>
        <v/>
      </c>
    </row>
    <row r="2543">
      <c r="A2543" s="28" t="n">
        <v>42245</v>
      </c>
      <c r="B2543" s="25">
        <f>VLOOKUP(A2543,'Database Claims'!$A:$C,3,)</f>
        <v/>
      </c>
      <c r="C2543" s="29">
        <f>B2543-B2542</f>
        <v/>
      </c>
      <c r="D2543" s="25">
        <f>VLOOKUP(A2543,'Database Claims'!$A:$C,2,)</f>
        <v/>
      </c>
      <c r="E2543" s="29">
        <f>D2543-D2542</f>
        <v/>
      </c>
    </row>
    <row r="2544">
      <c r="A2544" s="28" t="n">
        <v>42252</v>
      </c>
      <c r="B2544" s="29">
        <f>VLOOKUP(A2544,'Database Claims'!$A:$C,3,)</f>
        <v/>
      </c>
      <c r="C2544" s="29">
        <f>B2544-B2543</f>
        <v/>
      </c>
      <c r="D2544" s="29">
        <f>VLOOKUP(A2544,'Database Claims'!$A:$C,2,)</f>
        <v/>
      </c>
      <c r="E2544" s="29">
        <f>D2544-D2543</f>
        <v/>
      </c>
    </row>
    <row r="2545">
      <c r="A2545" s="28" t="n">
        <v>42259</v>
      </c>
      <c r="B2545" s="25">
        <f>VLOOKUP(A2545,'Database Claims'!$A:$C,3,)</f>
        <v/>
      </c>
      <c r="C2545" s="29">
        <f>B2545-B2544</f>
        <v/>
      </c>
      <c r="D2545" s="25">
        <f>VLOOKUP(A2545,'Database Claims'!$A:$C,2,)</f>
        <v/>
      </c>
      <c r="E2545" s="29">
        <f>D2545-D2544</f>
        <v/>
      </c>
    </row>
    <row r="2546">
      <c r="A2546" s="28" t="n">
        <v>42266</v>
      </c>
      <c r="B2546" s="29">
        <f>VLOOKUP(A2546,'Database Claims'!$A:$C,3,)</f>
        <v/>
      </c>
      <c r="C2546" s="29">
        <f>B2546-B2545</f>
        <v/>
      </c>
      <c r="D2546" s="29">
        <f>VLOOKUP(A2546,'Database Claims'!$A:$C,2,)</f>
        <v/>
      </c>
      <c r="E2546" s="29">
        <f>D2546-D2545</f>
        <v/>
      </c>
    </row>
    <row r="2547">
      <c r="A2547" s="28" t="n">
        <v>42273</v>
      </c>
      <c r="B2547" s="25">
        <f>VLOOKUP(A2547,'Database Claims'!$A:$C,3,)</f>
        <v/>
      </c>
      <c r="C2547" s="29">
        <f>B2547-B2546</f>
        <v/>
      </c>
      <c r="D2547" s="25">
        <f>VLOOKUP(A2547,'Database Claims'!$A:$C,2,)</f>
        <v/>
      </c>
      <c r="E2547" s="29">
        <f>D2547-D2546</f>
        <v/>
      </c>
    </row>
    <row r="2548">
      <c r="A2548" s="28" t="n">
        <v>42280</v>
      </c>
      <c r="B2548" s="29">
        <f>VLOOKUP(A2548,'Database Claims'!$A:$C,3,)</f>
        <v/>
      </c>
      <c r="C2548" s="29">
        <f>B2548-B2547</f>
        <v/>
      </c>
      <c r="D2548" s="29">
        <f>VLOOKUP(A2548,'Database Claims'!$A:$C,2,)</f>
        <v/>
      </c>
      <c r="E2548" s="29">
        <f>D2548-D2547</f>
        <v/>
      </c>
    </row>
    <row r="2549">
      <c r="A2549" s="28" t="n">
        <v>42287</v>
      </c>
      <c r="B2549" s="25">
        <f>VLOOKUP(A2549,'Database Claims'!$A:$C,3,)</f>
        <v/>
      </c>
      <c r="C2549" s="29">
        <f>B2549-B2548</f>
        <v/>
      </c>
      <c r="D2549" s="25">
        <f>VLOOKUP(A2549,'Database Claims'!$A:$C,2,)</f>
        <v/>
      </c>
      <c r="E2549" s="29">
        <f>D2549-D2548</f>
        <v/>
      </c>
    </row>
    <row r="2550">
      <c r="A2550" s="28" t="n">
        <v>42294</v>
      </c>
      <c r="B2550" s="29">
        <f>VLOOKUP(A2550,'Database Claims'!$A:$C,3,)</f>
        <v/>
      </c>
      <c r="C2550" s="29">
        <f>B2550-B2549</f>
        <v/>
      </c>
      <c r="D2550" s="29">
        <f>VLOOKUP(A2550,'Database Claims'!$A:$C,2,)</f>
        <v/>
      </c>
      <c r="E2550" s="29">
        <f>D2550-D2549</f>
        <v/>
      </c>
    </row>
    <row r="2551">
      <c r="A2551" s="28" t="n">
        <v>42301</v>
      </c>
      <c r="B2551" s="25">
        <f>VLOOKUP(A2551,'Database Claims'!$A:$C,3,)</f>
        <v/>
      </c>
      <c r="C2551" s="29">
        <f>B2551-B2550</f>
        <v/>
      </c>
      <c r="D2551" s="25">
        <f>VLOOKUP(A2551,'Database Claims'!$A:$C,2,)</f>
        <v/>
      </c>
      <c r="E2551" s="29">
        <f>D2551-D2550</f>
        <v/>
      </c>
    </row>
    <row r="2552">
      <c r="A2552" s="28" t="n">
        <v>42308</v>
      </c>
      <c r="B2552" s="29">
        <f>VLOOKUP(A2552,'Database Claims'!$A:$C,3,)</f>
        <v/>
      </c>
      <c r="C2552" s="29">
        <f>B2552-B2551</f>
        <v/>
      </c>
      <c r="D2552" s="29">
        <f>VLOOKUP(A2552,'Database Claims'!$A:$C,2,)</f>
        <v/>
      </c>
      <c r="E2552" s="29">
        <f>D2552-D2551</f>
        <v/>
      </c>
    </row>
    <row r="2553">
      <c r="A2553" s="28" t="n">
        <v>42315</v>
      </c>
      <c r="B2553" s="25">
        <f>VLOOKUP(A2553,'Database Claims'!$A:$C,3,)</f>
        <v/>
      </c>
      <c r="C2553" s="29">
        <f>B2553-B2552</f>
        <v/>
      </c>
      <c r="D2553" s="25">
        <f>VLOOKUP(A2553,'Database Claims'!$A:$C,2,)</f>
        <v/>
      </c>
      <c r="E2553" s="29">
        <f>D2553-D2552</f>
        <v/>
      </c>
    </row>
    <row r="2554">
      <c r="A2554" s="28" t="n">
        <v>42322</v>
      </c>
      <c r="B2554" s="29">
        <f>VLOOKUP(A2554,'Database Claims'!$A:$C,3,)</f>
        <v/>
      </c>
      <c r="C2554" s="29">
        <f>B2554-B2553</f>
        <v/>
      </c>
      <c r="D2554" s="29">
        <f>VLOOKUP(A2554,'Database Claims'!$A:$C,2,)</f>
        <v/>
      </c>
      <c r="E2554" s="29">
        <f>D2554-D2553</f>
        <v/>
      </c>
    </row>
    <row r="2555">
      <c r="A2555" s="28" t="n">
        <v>42329</v>
      </c>
      <c r="B2555" s="25">
        <f>VLOOKUP(A2555,'Database Claims'!$A:$C,3,)</f>
        <v/>
      </c>
      <c r="C2555" s="29">
        <f>B2555-B2554</f>
        <v/>
      </c>
      <c r="D2555" s="25">
        <f>VLOOKUP(A2555,'Database Claims'!$A:$C,2,)</f>
        <v/>
      </c>
      <c r="E2555" s="29">
        <f>D2555-D2554</f>
        <v/>
      </c>
    </row>
    <row r="2556">
      <c r="A2556" s="28" t="n">
        <v>42336</v>
      </c>
      <c r="B2556" s="29">
        <f>VLOOKUP(A2556,'Database Claims'!$A:$C,3,)</f>
        <v/>
      </c>
      <c r="C2556" s="29">
        <f>B2556-B2555</f>
        <v/>
      </c>
      <c r="D2556" s="29">
        <f>VLOOKUP(A2556,'Database Claims'!$A:$C,2,)</f>
        <v/>
      </c>
      <c r="E2556" s="29">
        <f>D2556-D2555</f>
        <v/>
      </c>
    </row>
    <row r="2557">
      <c r="A2557" s="28" t="n">
        <v>42343</v>
      </c>
      <c r="B2557" s="25">
        <f>VLOOKUP(A2557,'Database Claims'!$A:$C,3,)</f>
        <v/>
      </c>
      <c r="C2557" s="29">
        <f>B2557-B2556</f>
        <v/>
      </c>
      <c r="D2557" s="25">
        <f>VLOOKUP(A2557,'Database Claims'!$A:$C,2,)</f>
        <v/>
      </c>
      <c r="E2557" s="29">
        <f>D2557-D2556</f>
        <v/>
      </c>
    </row>
    <row r="2558">
      <c r="A2558" s="28" t="n">
        <v>42350</v>
      </c>
      <c r="B2558" s="29">
        <f>VLOOKUP(A2558,'Database Claims'!$A:$C,3,)</f>
        <v/>
      </c>
      <c r="C2558" s="29">
        <f>B2558-B2557</f>
        <v/>
      </c>
      <c r="D2558" s="29">
        <f>VLOOKUP(A2558,'Database Claims'!$A:$C,2,)</f>
        <v/>
      </c>
      <c r="E2558" s="29">
        <f>D2558-D2557</f>
        <v/>
      </c>
    </row>
    <row r="2559">
      <c r="A2559" s="28" t="n">
        <v>42357</v>
      </c>
      <c r="B2559" s="25">
        <f>VLOOKUP(A2559,'Database Claims'!$A:$C,3,)</f>
        <v/>
      </c>
      <c r="C2559" s="29">
        <f>B2559-B2558</f>
        <v/>
      </c>
      <c r="D2559" s="25">
        <f>VLOOKUP(A2559,'Database Claims'!$A:$C,2,)</f>
        <v/>
      </c>
      <c r="E2559" s="29">
        <f>D2559-D2558</f>
        <v/>
      </c>
    </row>
    <row r="2560">
      <c r="A2560" s="28" t="n">
        <v>42364</v>
      </c>
      <c r="B2560" s="29">
        <f>VLOOKUP(A2560,'Database Claims'!$A:$C,3,)</f>
        <v/>
      </c>
      <c r="C2560" s="29">
        <f>B2560-B2559</f>
        <v/>
      </c>
      <c r="D2560" s="29">
        <f>VLOOKUP(A2560,'Database Claims'!$A:$C,2,)</f>
        <v/>
      </c>
      <c r="E2560" s="29">
        <f>D2560-D2559</f>
        <v/>
      </c>
    </row>
    <row r="2561">
      <c r="A2561" s="28" t="n">
        <v>42371</v>
      </c>
      <c r="B2561" s="25">
        <f>VLOOKUP(A2561,'Database Claims'!$A:$C,3,)</f>
        <v/>
      </c>
      <c r="C2561" s="29">
        <f>B2561-B2560</f>
        <v/>
      </c>
      <c r="D2561" s="25">
        <f>VLOOKUP(A2561,'Database Claims'!$A:$C,2,)</f>
        <v/>
      </c>
      <c r="E2561" s="29">
        <f>D2561-D2560</f>
        <v/>
      </c>
    </row>
    <row r="2562">
      <c r="A2562" s="28" t="n">
        <v>42378</v>
      </c>
      <c r="B2562" s="29">
        <f>VLOOKUP(A2562,'Database Claims'!$A:$C,3,)</f>
        <v/>
      </c>
      <c r="C2562" s="29">
        <f>B2562-B2561</f>
        <v/>
      </c>
      <c r="D2562" s="29">
        <f>VLOOKUP(A2562,'Database Claims'!$A:$C,2,)</f>
        <v/>
      </c>
      <c r="E2562" s="29">
        <f>D2562-D2561</f>
        <v/>
      </c>
    </row>
    <row r="2563">
      <c r="A2563" s="28" t="n">
        <v>42385</v>
      </c>
      <c r="B2563" s="25">
        <f>VLOOKUP(A2563,'Database Claims'!$A:$C,3,)</f>
        <v/>
      </c>
      <c r="C2563" s="29">
        <f>B2563-B2562</f>
        <v/>
      </c>
      <c r="D2563" s="25">
        <f>VLOOKUP(A2563,'Database Claims'!$A:$C,2,)</f>
        <v/>
      </c>
      <c r="E2563" s="29">
        <f>D2563-D2562</f>
        <v/>
      </c>
    </row>
    <row r="2564">
      <c r="A2564" s="28" t="n">
        <v>42392</v>
      </c>
      <c r="B2564" s="29">
        <f>VLOOKUP(A2564,'Database Claims'!$A:$C,3,)</f>
        <v/>
      </c>
      <c r="C2564" s="29">
        <f>B2564-B2563</f>
        <v/>
      </c>
      <c r="D2564" s="29">
        <f>VLOOKUP(A2564,'Database Claims'!$A:$C,2,)</f>
        <v/>
      </c>
      <c r="E2564" s="29">
        <f>D2564-D2563</f>
        <v/>
      </c>
    </row>
    <row r="2565">
      <c r="A2565" s="28" t="n">
        <v>42399</v>
      </c>
      <c r="B2565" s="25">
        <f>VLOOKUP(A2565,'Database Claims'!$A:$C,3,)</f>
        <v/>
      </c>
      <c r="C2565" s="29">
        <f>B2565-B2564</f>
        <v/>
      </c>
      <c r="D2565" s="25">
        <f>VLOOKUP(A2565,'Database Claims'!$A:$C,2,)</f>
        <v/>
      </c>
      <c r="E2565" s="29">
        <f>D2565-D2564</f>
        <v/>
      </c>
    </row>
    <row r="2566">
      <c r="A2566" s="28" t="n">
        <v>42406</v>
      </c>
      <c r="B2566" s="29">
        <f>VLOOKUP(A2566,'Database Claims'!$A:$C,3,)</f>
        <v/>
      </c>
      <c r="C2566" s="29">
        <f>B2566-B2565</f>
        <v/>
      </c>
      <c r="D2566" s="29">
        <f>VLOOKUP(A2566,'Database Claims'!$A:$C,2,)</f>
        <v/>
      </c>
      <c r="E2566" s="29">
        <f>D2566-D2565</f>
        <v/>
      </c>
    </row>
    <row r="2567">
      <c r="A2567" s="28" t="n">
        <v>42413</v>
      </c>
      <c r="B2567" s="25">
        <f>VLOOKUP(A2567,'Database Claims'!$A:$C,3,)</f>
        <v/>
      </c>
      <c r="C2567" s="29">
        <f>B2567-B2566</f>
        <v/>
      </c>
      <c r="D2567" s="25">
        <f>VLOOKUP(A2567,'Database Claims'!$A:$C,2,)</f>
        <v/>
      </c>
      <c r="E2567" s="29">
        <f>D2567-D2566</f>
        <v/>
      </c>
    </row>
    <row r="2568">
      <c r="A2568" s="28" t="n">
        <v>42420</v>
      </c>
      <c r="B2568" s="29">
        <f>VLOOKUP(A2568,'Database Claims'!$A:$C,3,)</f>
        <v/>
      </c>
      <c r="C2568" s="29">
        <f>B2568-B2567</f>
        <v/>
      </c>
      <c r="D2568" s="29">
        <f>VLOOKUP(A2568,'Database Claims'!$A:$C,2,)</f>
        <v/>
      </c>
      <c r="E2568" s="29">
        <f>D2568-D2567</f>
        <v/>
      </c>
    </row>
    <row r="2569">
      <c r="A2569" s="28" t="n">
        <v>42427</v>
      </c>
      <c r="B2569" s="25">
        <f>VLOOKUP(A2569,'Database Claims'!$A:$C,3,)</f>
        <v/>
      </c>
      <c r="C2569" s="29">
        <f>B2569-B2568</f>
        <v/>
      </c>
      <c r="D2569" s="25">
        <f>VLOOKUP(A2569,'Database Claims'!$A:$C,2,)</f>
        <v/>
      </c>
      <c r="E2569" s="29">
        <f>D2569-D2568</f>
        <v/>
      </c>
    </row>
    <row r="2570">
      <c r="A2570" s="28" t="n">
        <v>42434</v>
      </c>
      <c r="B2570" s="29">
        <f>VLOOKUP(A2570,'Database Claims'!$A:$C,3,)</f>
        <v/>
      </c>
      <c r="C2570" s="29">
        <f>B2570-B2569</f>
        <v/>
      </c>
      <c r="D2570" s="29">
        <f>VLOOKUP(A2570,'Database Claims'!$A:$C,2,)</f>
        <v/>
      </c>
      <c r="E2570" s="29">
        <f>D2570-D2569</f>
        <v/>
      </c>
    </row>
    <row r="2571">
      <c r="A2571" s="28" t="n">
        <v>42441</v>
      </c>
      <c r="B2571" s="25">
        <f>VLOOKUP(A2571,'Database Claims'!$A:$C,3,)</f>
        <v/>
      </c>
      <c r="C2571" s="29">
        <f>B2571-B2570</f>
        <v/>
      </c>
      <c r="D2571" s="25">
        <f>VLOOKUP(A2571,'Database Claims'!$A:$C,2,)</f>
        <v/>
      </c>
      <c r="E2571" s="29">
        <f>D2571-D2570</f>
        <v/>
      </c>
    </row>
    <row r="2572">
      <c r="A2572" s="28" t="n">
        <v>42448</v>
      </c>
      <c r="B2572" s="29">
        <f>VLOOKUP(A2572,'Database Claims'!$A:$C,3,)</f>
        <v/>
      </c>
      <c r="C2572" s="29">
        <f>B2572-B2571</f>
        <v/>
      </c>
      <c r="D2572" s="29">
        <f>VLOOKUP(A2572,'Database Claims'!$A:$C,2,)</f>
        <v/>
      </c>
      <c r="E2572" s="29">
        <f>D2572-D2571</f>
        <v/>
      </c>
    </row>
    <row r="2573">
      <c r="A2573" s="28" t="n">
        <v>42455</v>
      </c>
      <c r="B2573" s="25">
        <f>VLOOKUP(A2573,'Database Claims'!$A:$C,3,)</f>
        <v/>
      </c>
      <c r="C2573" s="29">
        <f>B2573-B2572</f>
        <v/>
      </c>
      <c r="D2573" s="25">
        <f>VLOOKUP(A2573,'Database Claims'!$A:$C,2,)</f>
        <v/>
      </c>
      <c r="E2573" s="29">
        <f>D2573-D2572</f>
        <v/>
      </c>
    </row>
    <row r="2574">
      <c r="A2574" s="28" t="n">
        <v>42462</v>
      </c>
      <c r="B2574" s="29">
        <f>VLOOKUP(A2574,'Database Claims'!$A:$C,3,)</f>
        <v/>
      </c>
      <c r="C2574" s="29">
        <f>B2574-B2573</f>
        <v/>
      </c>
      <c r="D2574" s="29">
        <f>VLOOKUP(A2574,'Database Claims'!$A:$C,2,)</f>
        <v/>
      </c>
      <c r="E2574" s="29">
        <f>D2574-D2573</f>
        <v/>
      </c>
    </row>
    <row r="2575">
      <c r="A2575" s="28" t="n">
        <v>42469</v>
      </c>
      <c r="B2575" s="25">
        <f>VLOOKUP(A2575,'Database Claims'!$A:$C,3,)</f>
        <v/>
      </c>
      <c r="C2575" s="29">
        <f>B2575-B2574</f>
        <v/>
      </c>
      <c r="D2575" s="25">
        <f>VLOOKUP(A2575,'Database Claims'!$A:$C,2,)</f>
        <v/>
      </c>
      <c r="E2575" s="29">
        <f>D2575-D2574</f>
        <v/>
      </c>
    </row>
    <row r="2576">
      <c r="A2576" s="28" t="n">
        <v>42476</v>
      </c>
      <c r="B2576" s="29">
        <f>VLOOKUP(A2576,'Database Claims'!$A:$C,3,)</f>
        <v/>
      </c>
      <c r="C2576" s="29">
        <f>B2576-B2575</f>
        <v/>
      </c>
      <c r="D2576" s="29">
        <f>VLOOKUP(A2576,'Database Claims'!$A:$C,2,)</f>
        <v/>
      </c>
      <c r="E2576" s="29">
        <f>D2576-D2575</f>
        <v/>
      </c>
    </row>
    <row r="2577">
      <c r="A2577" s="28" t="n">
        <v>42483</v>
      </c>
      <c r="B2577" s="25">
        <f>VLOOKUP(A2577,'Database Claims'!$A:$C,3,)</f>
        <v/>
      </c>
      <c r="C2577" s="29">
        <f>B2577-B2576</f>
        <v/>
      </c>
      <c r="D2577" s="25">
        <f>VLOOKUP(A2577,'Database Claims'!$A:$C,2,)</f>
        <v/>
      </c>
      <c r="E2577" s="29">
        <f>D2577-D2576</f>
        <v/>
      </c>
    </row>
    <row r="2578">
      <c r="A2578" s="28" t="n">
        <v>42490</v>
      </c>
      <c r="B2578" s="29">
        <f>VLOOKUP(A2578,'Database Claims'!$A:$C,3,)</f>
        <v/>
      </c>
      <c r="C2578" s="29">
        <f>B2578-B2577</f>
        <v/>
      </c>
      <c r="D2578" s="29">
        <f>VLOOKUP(A2578,'Database Claims'!$A:$C,2,)</f>
        <v/>
      </c>
      <c r="E2578" s="29">
        <f>D2578-D2577</f>
        <v/>
      </c>
    </row>
    <row r="2579">
      <c r="A2579" s="28" t="n">
        <v>42497</v>
      </c>
      <c r="B2579" s="25">
        <f>VLOOKUP(A2579,'Database Claims'!$A:$C,3,)</f>
        <v/>
      </c>
      <c r="C2579" s="29">
        <f>B2579-B2578</f>
        <v/>
      </c>
      <c r="D2579" s="25">
        <f>VLOOKUP(A2579,'Database Claims'!$A:$C,2,)</f>
        <v/>
      </c>
      <c r="E2579" s="29">
        <f>D2579-D2578</f>
        <v/>
      </c>
    </row>
    <row r="2580">
      <c r="A2580" s="28" t="n">
        <v>42504</v>
      </c>
      <c r="B2580" s="29">
        <f>VLOOKUP(A2580,'Database Claims'!$A:$C,3,)</f>
        <v/>
      </c>
      <c r="C2580" s="29">
        <f>B2580-B2579</f>
        <v/>
      </c>
      <c r="D2580" s="29">
        <f>VLOOKUP(A2580,'Database Claims'!$A:$C,2,)</f>
        <v/>
      </c>
      <c r="E2580" s="29">
        <f>D2580-D2579</f>
        <v/>
      </c>
    </row>
    <row r="2581">
      <c r="A2581" s="28" t="n">
        <v>42511</v>
      </c>
      <c r="B2581" s="25">
        <f>VLOOKUP(A2581,'Database Claims'!$A:$C,3,)</f>
        <v/>
      </c>
      <c r="C2581" s="29">
        <f>B2581-B2580</f>
        <v/>
      </c>
      <c r="D2581" s="25">
        <f>VLOOKUP(A2581,'Database Claims'!$A:$C,2,)</f>
        <v/>
      </c>
      <c r="E2581" s="29">
        <f>D2581-D2580</f>
        <v/>
      </c>
    </row>
    <row r="2582">
      <c r="A2582" s="28" t="n">
        <v>42518</v>
      </c>
      <c r="B2582" s="29">
        <f>VLOOKUP(A2582,'Database Claims'!$A:$C,3,)</f>
        <v/>
      </c>
      <c r="C2582" s="29">
        <f>B2582-B2581</f>
        <v/>
      </c>
      <c r="D2582" s="29">
        <f>VLOOKUP(A2582,'Database Claims'!$A:$C,2,)</f>
        <v/>
      </c>
      <c r="E2582" s="29">
        <f>D2582-D2581</f>
        <v/>
      </c>
    </row>
    <row r="2583">
      <c r="A2583" s="28" t="n">
        <v>42525</v>
      </c>
      <c r="B2583" s="25">
        <f>VLOOKUP(A2583,'Database Claims'!$A:$C,3,)</f>
        <v/>
      </c>
      <c r="C2583" s="29">
        <f>B2583-B2582</f>
        <v/>
      </c>
      <c r="D2583" s="25">
        <f>VLOOKUP(A2583,'Database Claims'!$A:$C,2,)</f>
        <v/>
      </c>
      <c r="E2583" s="29">
        <f>D2583-D2582</f>
        <v/>
      </c>
    </row>
    <row r="2584">
      <c r="A2584" s="28" t="n">
        <v>42532</v>
      </c>
      <c r="B2584" s="29">
        <f>VLOOKUP(A2584,'Database Claims'!$A:$C,3,)</f>
        <v/>
      </c>
      <c r="C2584" s="29">
        <f>B2584-B2583</f>
        <v/>
      </c>
      <c r="D2584" s="29">
        <f>VLOOKUP(A2584,'Database Claims'!$A:$C,2,)</f>
        <v/>
      </c>
      <c r="E2584" s="29">
        <f>D2584-D2583</f>
        <v/>
      </c>
    </row>
    <row r="2585">
      <c r="A2585" s="28" t="n">
        <v>42539</v>
      </c>
      <c r="B2585" s="25">
        <f>VLOOKUP(A2585,'Database Claims'!$A:$C,3,)</f>
        <v/>
      </c>
      <c r="C2585" s="29">
        <f>B2585-B2584</f>
        <v/>
      </c>
      <c r="D2585" s="25">
        <f>VLOOKUP(A2585,'Database Claims'!$A:$C,2,)</f>
        <v/>
      </c>
      <c r="E2585" s="29">
        <f>D2585-D2584</f>
        <v/>
      </c>
    </row>
    <row r="2586">
      <c r="A2586" s="28" t="n">
        <v>42546</v>
      </c>
      <c r="B2586" s="29">
        <f>VLOOKUP(A2586,'Database Claims'!$A:$C,3,)</f>
        <v/>
      </c>
      <c r="C2586" s="29">
        <f>B2586-B2585</f>
        <v/>
      </c>
      <c r="D2586" s="29">
        <f>VLOOKUP(A2586,'Database Claims'!$A:$C,2,)</f>
        <v/>
      </c>
      <c r="E2586" s="29">
        <f>D2586-D2585</f>
        <v/>
      </c>
    </row>
    <row r="2587">
      <c r="A2587" s="28" t="n">
        <v>42553</v>
      </c>
      <c r="B2587" s="25">
        <f>VLOOKUP(A2587,'Database Claims'!$A:$C,3,)</f>
        <v/>
      </c>
      <c r="C2587" s="29">
        <f>B2587-B2586</f>
        <v/>
      </c>
      <c r="D2587" s="25">
        <f>VLOOKUP(A2587,'Database Claims'!$A:$C,2,)</f>
        <v/>
      </c>
      <c r="E2587" s="29">
        <f>D2587-D2586</f>
        <v/>
      </c>
    </row>
    <row r="2588">
      <c r="A2588" s="28" t="n">
        <v>42560</v>
      </c>
      <c r="B2588" s="29">
        <f>VLOOKUP(A2588,'Database Claims'!$A:$C,3,)</f>
        <v/>
      </c>
      <c r="C2588" s="29">
        <f>B2588-B2587</f>
        <v/>
      </c>
      <c r="D2588" s="29">
        <f>VLOOKUP(A2588,'Database Claims'!$A:$C,2,)</f>
        <v/>
      </c>
      <c r="E2588" s="29">
        <f>D2588-D2587</f>
        <v/>
      </c>
    </row>
    <row r="2589">
      <c r="A2589" s="28" t="n">
        <v>42567</v>
      </c>
      <c r="B2589" s="25">
        <f>VLOOKUP(A2589,'Database Claims'!$A:$C,3,)</f>
        <v/>
      </c>
      <c r="C2589" s="29">
        <f>B2589-B2588</f>
        <v/>
      </c>
      <c r="D2589" s="25">
        <f>VLOOKUP(A2589,'Database Claims'!$A:$C,2,)</f>
        <v/>
      </c>
      <c r="E2589" s="29">
        <f>D2589-D2588</f>
        <v/>
      </c>
    </row>
    <row r="2590">
      <c r="A2590" s="28" t="n">
        <v>42574</v>
      </c>
      <c r="B2590" s="29">
        <f>VLOOKUP(A2590,'Database Claims'!$A:$C,3,)</f>
        <v/>
      </c>
      <c r="C2590" s="29">
        <f>B2590-B2589</f>
        <v/>
      </c>
      <c r="D2590" s="29">
        <f>VLOOKUP(A2590,'Database Claims'!$A:$C,2,)</f>
        <v/>
      </c>
      <c r="E2590" s="29">
        <f>D2590-D2589</f>
        <v/>
      </c>
    </row>
    <row r="2591">
      <c r="A2591" s="28" t="n">
        <v>42581</v>
      </c>
      <c r="B2591" s="25">
        <f>VLOOKUP(A2591,'Database Claims'!$A:$C,3,)</f>
        <v/>
      </c>
      <c r="C2591" s="29">
        <f>B2591-B2590</f>
        <v/>
      </c>
      <c r="D2591" s="25">
        <f>VLOOKUP(A2591,'Database Claims'!$A:$C,2,)</f>
        <v/>
      </c>
      <c r="E2591" s="29">
        <f>D2591-D2590</f>
        <v/>
      </c>
    </row>
    <row r="2592">
      <c r="A2592" s="28" t="n">
        <v>42588</v>
      </c>
      <c r="B2592" s="29">
        <f>VLOOKUP(A2592,'Database Claims'!$A:$C,3,)</f>
        <v/>
      </c>
      <c r="C2592" s="29">
        <f>B2592-B2591</f>
        <v/>
      </c>
      <c r="D2592" s="29">
        <f>VLOOKUP(A2592,'Database Claims'!$A:$C,2,)</f>
        <v/>
      </c>
      <c r="E2592" s="29">
        <f>D2592-D2591</f>
        <v/>
      </c>
    </row>
    <row r="2593">
      <c r="A2593" s="28" t="n">
        <v>42595</v>
      </c>
      <c r="B2593" s="25">
        <f>VLOOKUP(A2593,'Database Claims'!$A:$C,3,)</f>
        <v/>
      </c>
      <c r="C2593" s="29">
        <f>B2593-B2592</f>
        <v/>
      </c>
      <c r="D2593" s="25">
        <f>VLOOKUP(A2593,'Database Claims'!$A:$C,2,)</f>
        <v/>
      </c>
      <c r="E2593" s="29">
        <f>D2593-D2592</f>
        <v/>
      </c>
    </row>
    <row r="2594">
      <c r="A2594" s="28" t="n">
        <v>42602</v>
      </c>
      <c r="B2594" s="29">
        <f>VLOOKUP(A2594,'Database Claims'!$A:$C,3,)</f>
        <v/>
      </c>
      <c r="C2594" s="29">
        <f>B2594-B2593</f>
        <v/>
      </c>
      <c r="D2594" s="29">
        <f>VLOOKUP(A2594,'Database Claims'!$A:$C,2,)</f>
        <v/>
      </c>
      <c r="E2594" s="29">
        <f>D2594-D2593</f>
        <v/>
      </c>
    </row>
    <row r="2595">
      <c r="A2595" s="28" t="n">
        <v>42609</v>
      </c>
      <c r="B2595" s="25">
        <f>VLOOKUP(A2595,'Database Claims'!$A:$C,3,)</f>
        <v/>
      </c>
      <c r="C2595" s="29">
        <f>B2595-B2594</f>
        <v/>
      </c>
      <c r="D2595" s="25">
        <f>VLOOKUP(A2595,'Database Claims'!$A:$C,2,)</f>
        <v/>
      </c>
      <c r="E2595" s="29">
        <f>D2595-D2594</f>
        <v/>
      </c>
    </row>
    <row r="2596">
      <c r="A2596" s="28" t="n">
        <v>42616</v>
      </c>
      <c r="B2596" s="29">
        <f>VLOOKUP(A2596,'Database Claims'!$A:$C,3,)</f>
        <v/>
      </c>
      <c r="C2596" s="29">
        <f>B2596-B2595</f>
        <v/>
      </c>
      <c r="D2596" s="29">
        <f>VLOOKUP(A2596,'Database Claims'!$A:$C,2,)</f>
        <v/>
      </c>
      <c r="E2596" s="29">
        <f>D2596-D2595</f>
        <v/>
      </c>
    </row>
    <row r="2597">
      <c r="A2597" s="28" t="n">
        <v>42623</v>
      </c>
      <c r="B2597" s="25">
        <f>VLOOKUP(A2597,'Database Claims'!$A:$C,3,)</f>
        <v/>
      </c>
      <c r="C2597" s="29">
        <f>B2597-B2596</f>
        <v/>
      </c>
      <c r="D2597" s="25">
        <f>VLOOKUP(A2597,'Database Claims'!$A:$C,2,)</f>
        <v/>
      </c>
      <c r="E2597" s="29">
        <f>D2597-D2596</f>
        <v/>
      </c>
    </row>
    <row r="2598">
      <c r="A2598" s="28" t="n">
        <v>42630</v>
      </c>
      <c r="B2598" s="29">
        <f>VLOOKUP(A2598,'Database Claims'!$A:$C,3,)</f>
        <v/>
      </c>
      <c r="C2598" s="29">
        <f>B2598-B2597</f>
        <v/>
      </c>
      <c r="D2598" s="29">
        <f>VLOOKUP(A2598,'Database Claims'!$A:$C,2,)</f>
        <v/>
      </c>
      <c r="E2598" s="29">
        <f>D2598-D2597</f>
        <v/>
      </c>
    </row>
    <row r="2599">
      <c r="A2599" s="28" t="n">
        <v>42637</v>
      </c>
      <c r="B2599" s="25">
        <f>VLOOKUP(A2599,'Database Claims'!$A:$C,3,)</f>
        <v/>
      </c>
      <c r="C2599" s="29">
        <f>B2599-B2598</f>
        <v/>
      </c>
      <c r="D2599" s="25">
        <f>VLOOKUP(A2599,'Database Claims'!$A:$C,2,)</f>
        <v/>
      </c>
      <c r="E2599" s="29">
        <f>D2599-D2598</f>
        <v/>
      </c>
    </row>
    <row r="2600">
      <c r="A2600" s="28" t="n">
        <v>42644</v>
      </c>
      <c r="B2600" s="29">
        <f>VLOOKUP(A2600,'Database Claims'!$A:$C,3,)</f>
        <v/>
      </c>
      <c r="C2600" s="29">
        <f>B2600-B2599</f>
        <v/>
      </c>
      <c r="D2600" s="29">
        <f>VLOOKUP(A2600,'Database Claims'!$A:$C,2,)</f>
        <v/>
      </c>
      <c r="E2600" s="29">
        <f>D2600-D2599</f>
        <v/>
      </c>
    </row>
    <row r="2601">
      <c r="A2601" s="28" t="n">
        <v>42651</v>
      </c>
      <c r="B2601" s="25">
        <f>VLOOKUP(A2601,'Database Claims'!$A:$C,3,)</f>
        <v/>
      </c>
      <c r="C2601" s="29">
        <f>B2601-B2600</f>
        <v/>
      </c>
      <c r="D2601" s="25">
        <f>VLOOKUP(A2601,'Database Claims'!$A:$C,2,)</f>
        <v/>
      </c>
      <c r="E2601" s="29">
        <f>D2601-D2600</f>
        <v/>
      </c>
    </row>
    <row r="2602">
      <c r="A2602" s="28" t="n">
        <v>42658</v>
      </c>
      <c r="B2602" s="29">
        <f>VLOOKUP(A2602,'Database Claims'!$A:$C,3,)</f>
        <v/>
      </c>
      <c r="C2602" s="29">
        <f>B2602-B2601</f>
        <v/>
      </c>
      <c r="D2602" s="29">
        <f>VLOOKUP(A2602,'Database Claims'!$A:$C,2,)</f>
        <v/>
      </c>
      <c r="E2602" s="29">
        <f>D2602-D2601</f>
        <v/>
      </c>
    </row>
    <row r="2603">
      <c r="A2603" s="28" t="n">
        <v>42665</v>
      </c>
      <c r="B2603" s="25">
        <f>VLOOKUP(A2603,'Database Claims'!$A:$C,3,)</f>
        <v/>
      </c>
      <c r="C2603" s="29">
        <f>B2603-B2602</f>
        <v/>
      </c>
      <c r="D2603" s="25">
        <f>VLOOKUP(A2603,'Database Claims'!$A:$C,2,)</f>
        <v/>
      </c>
      <c r="E2603" s="29">
        <f>D2603-D2602</f>
        <v/>
      </c>
    </row>
    <row r="2604">
      <c r="A2604" s="28" t="n">
        <v>42672</v>
      </c>
      <c r="B2604" s="29">
        <f>VLOOKUP(A2604,'Database Claims'!$A:$C,3,)</f>
        <v/>
      </c>
      <c r="C2604" s="29">
        <f>B2604-B2603</f>
        <v/>
      </c>
      <c r="D2604" s="29">
        <f>VLOOKUP(A2604,'Database Claims'!$A:$C,2,)</f>
        <v/>
      </c>
      <c r="E2604" s="29">
        <f>D2604-D2603</f>
        <v/>
      </c>
    </row>
    <row r="2605">
      <c r="A2605" s="28" t="n">
        <v>42679</v>
      </c>
      <c r="B2605" s="25">
        <f>VLOOKUP(A2605,'Database Claims'!$A:$C,3,)</f>
        <v/>
      </c>
      <c r="C2605" s="29">
        <f>B2605-B2604</f>
        <v/>
      </c>
      <c r="D2605" s="25">
        <f>VLOOKUP(A2605,'Database Claims'!$A:$C,2,)</f>
        <v/>
      </c>
      <c r="E2605" s="29">
        <f>D2605-D2604</f>
        <v/>
      </c>
    </row>
    <row r="2606">
      <c r="A2606" s="28" t="n">
        <v>42686</v>
      </c>
      <c r="B2606" s="29">
        <f>VLOOKUP(A2606,'Database Claims'!$A:$C,3,)</f>
        <v/>
      </c>
      <c r="C2606" s="29">
        <f>B2606-B2605</f>
        <v/>
      </c>
      <c r="D2606" s="29">
        <f>VLOOKUP(A2606,'Database Claims'!$A:$C,2,)</f>
        <v/>
      </c>
      <c r="E2606" s="29">
        <f>D2606-D2605</f>
        <v/>
      </c>
    </row>
    <row r="2607">
      <c r="A2607" s="28" t="n">
        <v>42693</v>
      </c>
      <c r="B2607" s="25">
        <f>VLOOKUP(A2607,'Database Claims'!$A:$C,3,)</f>
        <v/>
      </c>
      <c r="C2607" s="29">
        <f>B2607-B2606</f>
        <v/>
      </c>
      <c r="D2607" s="25">
        <f>VLOOKUP(A2607,'Database Claims'!$A:$C,2,)</f>
        <v/>
      </c>
      <c r="E2607" s="29">
        <f>D2607-D2606</f>
        <v/>
      </c>
    </row>
    <row r="2608">
      <c r="A2608" s="28" t="n">
        <v>42700</v>
      </c>
      <c r="B2608" s="29">
        <f>VLOOKUP(A2608,'Database Claims'!$A:$C,3,)</f>
        <v/>
      </c>
      <c r="C2608" s="29">
        <f>B2608-B2607</f>
        <v/>
      </c>
      <c r="D2608" s="29">
        <f>VLOOKUP(A2608,'Database Claims'!$A:$C,2,)</f>
        <v/>
      </c>
      <c r="E2608" s="29">
        <f>D2608-D2607</f>
        <v/>
      </c>
    </row>
    <row r="2609">
      <c r="A2609" s="28" t="n">
        <v>42707</v>
      </c>
      <c r="B2609" s="25">
        <f>VLOOKUP(A2609,'Database Claims'!$A:$C,3,)</f>
        <v/>
      </c>
      <c r="C2609" s="29">
        <f>B2609-B2608</f>
        <v/>
      </c>
      <c r="D2609" s="25">
        <f>VLOOKUP(A2609,'Database Claims'!$A:$C,2,)</f>
        <v/>
      </c>
      <c r="E2609" s="29">
        <f>D2609-D2608</f>
        <v/>
      </c>
    </row>
    <row r="2610">
      <c r="A2610" s="28" t="n">
        <v>42714</v>
      </c>
      <c r="B2610" s="29">
        <f>VLOOKUP(A2610,'Database Claims'!$A:$C,3,)</f>
        <v/>
      </c>
      <c r="C2610" s="29">
        <f>B2610-B2609</f>
        <v/>
      </c>
      <c r="D2610" s="29">
        <f>VLOOKUP(A2610,'Database Claims'!$A:$C,2,)</f>
        <v/>
      </c>
      <c r="E2610" s="29">
        <f>D2610-D2609</f>
        <v/>
      </c>
    </row>
    <row r="2611">
      <c r="A2611" s="28" t="n">
        <v>42721</v>
      </c>
      <c r="B2611" s="25">
        <f>VLOOKUP(A2611,'Database Claims'!$A:$C,3,)</f>
        <v/>
      </c>
      <c r="C2611" s="29">
        <f>B2611-B2610</f>
        <v/>
      </c>
      <c r="D2611" s="25">
        <f>VLOOKUP(A2611,'Database Claims'!$A:$C,2,)</f>
        <v/>
      </c>
      <c r="E2611" s="29">
        <f>D2611-D2610</f>
        <v/>
      </c>
    </row>
    <row r="2612">
      <c r="A2612" s="28" t="n">
        <v>42728</v>
      </c>
      <c r="B2612" s="29">
        <f>VLOOKUP(A2612,'Database Claims'!$A:$C,3,)</f>
        <v/>
      </c>
      <c r="C2612" s="29">
        <f>B2612-B2611</f>
        <v/>
      </c>
      <c r="D2612" s="29">
        <f>VLOOKUP(A2612,'Database Claims'!$A:$C,2,)</f>
        <v/>
      </c>
      <c r="E2612" s="29">
        <f>D2612-D2611</f>
        <v/>
      </c>
    </row>
    <row r="2613">
      <c r="A2613" s="28" t="n">
        <v>42735</v>
      </c>
      <c r="B2613" s="25">
        <f>VLOOKUP(A2613,'Database Claims'!$A:$C,3,)</f>
        <v/>
      </c>
      <c r="C2613" s="29">
        <f>B2613-B2612</f>
        <v/>
      </c>
      <c r="D2613" s="25">
        <f>VLOOKUP(A2613,'Database Claims'!$A:$C,2,)</f>
        <v/>
      </c>
      <c r="E2613" s="29">
        <f>D2613-D2612</f>
        <v/>
      </c>
    </row>
    <row r="2614">
      <c r="A2614" s="28" t="n">
        <v>42742</v>
      </c>
      <c r="B2614" s="29">
        <f>VLOOKUP(A2614,'Database Claims'!$A:$C,3,)</f>
        <v/>
      </c>
      <c r="C2614" s="29">
        <f>B2614-B2613</f>
        <v/>
      </c>
      <c r="D2614" s="29">
        <f>VLOOKUP(A2614,'Database Claims'!$A:$C,2,)</f>
        <v/>
      </c>
      <c r="E2614" s="29">
        <f>D2614-D2613</f>
        <v/>
      </c>
    </row>
    <row r="2615">
      <c r="A2615" s="28" t="n">
        <v>42749</v>
      </c>
      <c r="B2615" s="25">
        <f>VLOOKUP(A2615,'Database Claims'!$A:$C,3,)</f>
        <v/>
      </c>
      <c r="C2615" s="29">
        <f>B2615-B2614</f>
        <v/>
      </c>
      <c r="D2615" s="25">
        <f>VLOOKUP(A2615,'Database Claims'!$A:$C,2,)</f>
        <v/>
      </c>
      <c r="E2615" s="29">
        <f>D2615-D2614</f>
        <v/>
      </c>
    </row>
    <row r="2616">
      <c r="A2616" s="28" t="n">
        <v>42756</v>
      </c>
      <c r="B2616" s="29">
        <f>VLOOKUP(A2616,'Database Claims'!$A:$C,3,)</f>
        <v/>
      </c>
      <c r="C2616" s="29">
        <f>B2616-B2615</f>
        <v/>
      </c>
      <c r="D2616" s="29">
        <f>VLOOKUP(A2616,'Database Claims'!$A:$C,2,)</f>
        <v/>
      </c>
      <c r="E2616" s="29">
        <f>D2616-D2615</f>
        <v/>
      </c>
    </row>
    <row r="2617">
      <c r="A2617" s="28" t="n">
        <v>42763</v>
      </c>
      <c r="B2617" s="25">
        <f>VLOOKUP(A2617,'Database Claims'!$A:$C,3,)</f>
        <v/>
      </c>
      <c r="C2617" s="29">
        <f>B2617-B2616</f>
        <v/>
      </c>
      <c r="D2617" s="25">
        <f>VLOOKUP(A2617,'Database Claims'!$A:$C,2,)</f>
        <v/>
      </c>
      <c r="E2617" s="29">
        <f>D2617-D2616</f>
        <v/>
      </c>
    </row>
    <row r="2618">
      <c r="A2618" s="28" t="n">
        <v>42770</v>
      </c>
      <c r="B2618" s="29">
        <f>VLOOKUP(A2618,'Database Claims'!$A:$C,3,)</f>
        <v/>
      </c>
      <c r="C2618" s="29">
        <f>B2618-B2617</f>
        <v/>
      </c>
      <c r="D2618" s="29">
        <f>VLOOKUP(A2618,'Database Claims'!$A:$C,2,)</f>
        <v/>
      </c>
      <c r="E2618" s="29">
        <f>D2618-D2617</f>
        <v/>
      </c>
    </row>
    <row r="2619">
      <c r="A2619" s="28" t="n">
        <v>42777</v>
      </c>
      <c r="B2619" s="25">
        <f>VLOOKUP(A2619,'Database Claims'!$A:$C,3,)</f>
        <v/>
      </c>
      <c r="C2619" s="29">
        <f>B2619-B2618</f>
        <v/>
      </c>
      <c r="D2619" s="25">
        <f>VLOOKUP(A2619,'Database Claims'!$A:$C,2,)</f>
        <v/>
      </c>
      <c r="E2619" s="29">
        <f>D2619-D2618</f>
        <v/>
      </c>
    </row>
    <row r="2620">
      <c r="A2620" s="28" t="n">
        <v>42784</v>
      </c>
      <c r="B2620" s="29">
        <f>VLOOKUP(A2620,'Database Claims'!$A:$C,3,)</f>
        <v/>
      </c>
      <c r="C2620" s="29">
        <f>B2620-B2619</f>
        <v/>
      </c>
      <c r="D2620" s="29">
        <f>VLOOKUP(A2620,'Database Claims'!$A:$C,2,)</f>
        <v/>
      </c>
      <c r="E2620" s="29">
        <f>D2620-D2619</f>
        <v/>
      </c>
    </row>
    <row r="2621">
      <c r="A2621" s="28" t="n">
        <v>42791</v>
      </c>
      <c r="B2621" s="25">
        <f>VLOOKUP(A2621,'Database Claims'!$A:$C,3,)</f>
        <v/>
      </c>
      <c r="C2621" s="29">
        <f>B2621-B2620</f>
        <v/>
      </c>
      <c r="D2621" s="25">
        <f>VLOOKUP(A2621,'Database Claims'!$A:$C,2,)</f>
        <v/>
      </c>
      <c r="E2621" s="29">
        <f>D2621-D2620</f>
        <v/>
      </c>
    </row>
    <row r="2622">
      <c r="A2622" s="28" t="n">
        <v>42798</v>
      </c>
      <c r="B2622" s="29">
        <f>VLOOKUP(A2622,'Database Claims'!$A:$C,3,)</f>
        <v/>
      </c>
      <c r="C2622" s="29">
        <f>B2622-B2621</f>
        <v/>
      </c>
      <c r="D2622" s="29">
        <f>VLOOKUP(A2622,'Database Claims'!$A:$C,2,)</f>
        <v/>
      </c>
      <c r="E2622" s="29">
        <f>D2622-D2621</f>
        <v/>
      </c>
    </row>
    <row r="2623">
      <c r="A2623" s="28" t="n">
        <v>42805</v>
      </c>
      <c r="B2623" s="25">
        <f>VLOOKUP(A2623,'Database Claims'!$A:$C,3,)</f>
        <v/>
      </c>
      <c r="C2623" s="29">
        <f>B2623-B2622</f>
        <v/>
      </c>
      <c r="D2623" s="25">
        <f>VLOOKUP(A2623,'Database Claims'!$A:$C,2,)</f>
        <v/>
      </c>
      <c r="E2623" s="29">
        <f>D2623-D2622</f>
        <v/>
      </c>
    </row>
    <row r="2624">
      <c r="A2624" s="28" t="n">
        <v>42812</v>
      </c>
      <c r="B2624" s="29">
        <f>VLOOKUP(A2624,'Database Claims'!$A:$C,3,)</f>
        <v/>
      </c>
      <c r="C2624" s="29">
        <f>B2624-B2623</f>
        <v/>
      </c>
      <c r="D2624" s="29">
        <f>VLOOKUP(A2624,'Database Claims'!$A:$C,2,)</f>
        <v/>
      </c>
      <c r="E2624" s="29">
        <f>D2624-D2623</f>
        <v/>
      </c>
    </row>
    <row r="2625">
      <c r="A2625" s="28" t="n">
        <v>42819</v>
      </c>
      <c r="B2625" s="25">
        <f>VLOOKUP(A2625,'Database Claims'!$A:$C,3,)</f>
        <v/>
      </c>
      <c r="C2625" s="29">
        <f>B2625-B2624</f>
        <v/>
      </c>
      <c r="D2625" s="25">
        <f>VLOOKUP(A2625,'Database Claims'!$A:$C,2,)</f>
        <v/>
      </c>
      <c r="E2625" s="29">
        <f>D2625-D2624</f>
        <v/>
      </c>
    </row>
    <row r="2626">
      <c r="A2626" s="28" t="n">
        <v>42826</v>
      </c>
      <c r="B2626" s="29">
        <f>VLOOKUP(A2626,'Database Claims'!$A:$C,3,)</f>
        <v/>
      </c>
      <c r="C2626" s="29">
        <f>B2626-B2625</f>
        <v/>
      </c>
      <c r="D2626" s="29">
        <f>VLOOKUP(A2626,'Database Claims'!$A:$C,2,)</f>
        <v/>
      </c>
      <c r="E2626" s="29">
        <f>D2626-D2625</f>
        <v/>
      </c>
    </row>
    <row r="2627">
      <c r="A2627" s="28" t="n">
        <v>42833</v>
      </c>
      <c r="B2627" s="25">
        <f>VLOOKUP(A2627,'Database Claims'!$A:$C,3,)</f>
        <v/>
      </c>
      <c r="C2627" s="29">
        <f>B2627-B2626</f>
        <v/>
      </c>
      <c r="D2627" s="25">
        <f>VLOOKUP(A2627,'Database Claims'!$A:$C,2,)</f>
        <v/>
      </c>
      <c r="E2627" s="29">
        <f>D2627-D2626</f>
        <v/>
      </c>
    </row>
    <row r="2628">
      <c r="A2628" s="28" t="n">
        <v>42840</v>
      </c>
      <c r="B2628" s="29">
        <f>VLOOKUP(A2628,'Database Claims'!$A:$C,3,)</f>
        <v/>
      </c>
      <c r="C2628" s="29">
        <f>B2628-B2627</f>
        <v/>
      </c>
      <c r="D2628" s="29">
        <f>VLOOKUP(A2628,'Database Claims'!$A:$C,2,)</f>
        <v/>
      </c>
      <c r="E2628" s="29">
        <f>D2628-D2627</f>
        <v/>
      </c>
    </row>
    <row r="2629">
      <c r="A2629" s="28" t="n">
        <v>42847</v>
      </c>
      <c r="B2629" s="25">
        <f>VLOOKUP(A2629,'Database Claims'!$A:$C,3,)</f>
        <v/>
      </c>
      <c r="C2629" s="29">
        <f>B2629-B2628</f>
        <v/>
      </c>
      <c r="D2629" s="25">
        <f>VLOOKUP(A2629,'Database Claims'!$A:$C,2,)</f>
        <v/>
      </c>
      <c r="E2629" s="29">
        <f>D2629-D2628</f>
        <v/>
      </c>
    </row>
    <row r="2630">
      <c r="A2630" s="28" t="n">
        <v>42854</v>
      </c>
      <c r="B2630" s="29">
        <f>VLOOKUP(A2630,'Database Claims'!$A:$C,3,)</f>
        <v/>
      </c>
      <c r="C2630" s="29">
        <f>B2630-B2629</f>
        <v/>
      </c>
      <c r="D2630" s="29">
        <f>VLOOKUP(A2630,'Database Claims'!$A:$C,2,)</f>
        <v/>
      </c>
      <c r="E2630" s="29">
        <f>D2630-D2629</f>
        <v/>
      </c>
    </row>
    <row r="2631">
      <c r="A2631" s="28" t="n">
        <v>42861</v>
      </c>
      <c r="B2631" s="25">
        <f>VLOOKUP(A2631,'Database Claims'!$A:$C,3,)</f>
        <v/>
      </c>
      <c r="C2631" s="29">
        <f>B2631-B2630</f>
        <v/>
      </c>
      <c r="D2631" s="25">
        <f>VLOOKUP(A2631,'Database Claims'!$A:$C,2,)</f>
        <v/>
      </c>
      <c r="E2631" s="29">
        <f>D2631-D2630</f>
        <v/>
      </c>
    </row>
    <row r="2632">
      <c r="A2632" s="28" t="n">
        <v>42868</v>
      </c>
      <c r="B2632" s="29">
        <f>VLOOKUP(A2632,'Database Claims'!$A:$C,3,)</f>
        <v/>
      </c>
      <c r="C2632" s="29">
        <f>B2632-B2631</f>
        <v/>
      </c>
      <c r="D2632" s="29">
        <f>VLOOKUP(A2632,'Database Claims'!$A:$C,2,)</f>
        <v/>
      </c>
      <c r="E2632" s="29">
        <f>D2632-D2631</f>
        <v/>
      </c>
    </row>
    <row r="2633">
      <c r="A2633" s="28" t="n">
        <v>42875</v>
      </c>
      <c r="B2633" s="25">
        <f>VLOOKUP(A2633,'Database Claims'!$A:$C,3,)</f>
        <v/>
      </c>
      <c r="C2633" s="29">
        <f>B2633-B2632</f>
        <v/>
      </c>
      <c r="D2633" s="25">
        <f>VLOOKUP(A2633,'Database Claims'!$A:$C,2,)</f>
        <v/>
      </c>
      <c r="E2633" s="29">
        <f>D2633-D2632</f>
        <v/>
      </c>
    </row>
    <row r="2634">
      <c r="A2634" s="28" t="n">
        <v>42882</v>
      </c>
      <c r="B2634" s="29">
        <f>VLOOKUP(A2634,'Database Claims'!$A:$C,3,)</f>
        <v/>
      </c>
      <c r="C2634" s="29">
        <f>B2634-B2633</f>
        <v/>
      </c>
      <c r="D2634" s="29">
        <f>VLOOKUP(A2634,'Database Claims'!$A:$C,2,)</f>
        <v/>
      </c>
      <c r="E2634" s="29">
        <f>D2634-D2633</f>
        <v/>
      </c>
    </row>
    <row r="2635">
      <c r="A2635" s="28" t="n">
        <v>42889</v>
      </c>
      <c r="B2635" s="25">
        <f>VLOOKUP(A2635,'Database Claims'!$A:$C,3,)</f>
        <v/>
      </c>
      <c r="C2635" s="29">
        <f>B2635-B2634</f>
        <v/>
      </c>
      <c r="D2635" s="25">
        <f>VLOOKUP(A2635,'Database Claims'!$A:$C,2,)</f>
        <v/>
      </c>
      <c r="E2635" s="29">
        <f>D2635-D2634</f>
        <v/>
      </c>
    </row>
    <row r="2636">
      <c r="A2636" s="28" t="n">
        <v>42896</v>
      </c>
      <c r="B2636" s="29">
        <f>VLOOKUP(A2636,'Database Claims'!$A:$C,3,)</f>
        <v/>
      </c>
      <c r="C2636" s="29">
        <f>B2636-B2635</f>
        <v/>
      </c>
      <c r="D2636" s="29">
        <f>VLOOKUP(A2636,'Database Claims'!$A:$C,2,)</f>
        <v/>
      </c>
      <c r="E2636" s="29">
        <f>D2636-D2635</f>
        <v/>
      </c>
    </row>
    <row r="2637">
      <c r="A2637" s="28" t="n">
        <v>42903</v>
      </c>
      <c r="B2637" s="25">
        <f>VLOOKUP(A2637,'Database Claims'!$A:$C,3,)</f>
        <v/>
      </c>
      <c r="C2637" s="29">
        <f>B2637-B2636</f>
        <v/>
      </c>
      <c r="D2637" s="25">
        <f>VLOOKUP(A2637,'Database Claims'!$A:$C,2,)</f>
        <v/>
      </c>
      <c r="E2637" s="29">
        <f>D2637-D2636</f>
        <v/>
      </c>
    </row>
    <row r="2638">
      <c r="A2638" s="28" t="n">
        <v>42910</v>
      </c>
      <c r="B2638" s="29">
        <f>VLOOKUP(A2638,'Database Claims'!$A:$C,3,)</f>
        <v/>
      </c>
      <c r="C2638" s="29">
        <f>B2638-B2637</f>
        <v/>
      </c>
      <c r="D2638" s="29">
        <f>VLOOKUP(A2638,'Database Claims'!$A:$C,2,)</f>
        <v/>
      </c>
      <c r="E2638" s="29">
        <f>D2638-D2637</f>
        <v/>
      </c>
    </row>
    <row r="2639">
      <c r="A2639" s="28" t="n">
        <v>42917</v>
      </c>
      <c r="B2639" s="25">
        <f>VLOOKUP(A2639,'Database Claims'!$A:$C,3,)</f>
        <v/>
      </c>
      <c r="C2639" s="29">
        <f>B2639-B2638</f>
        <v/>
      </c>
      <c r="D2639" s="25">
        <f>VLOOKUP(A2639,'Database Claims'!$A:$C,2,)</f>
        <v/>
      </c>
      <c r="E2639" s="29">
        <f>D2639-D2638</f>
        <v/>
      </c>
    </row>
    <row r="2640">
      <c r="A2640" s="28" t="n">
        <v>42924</v>
      </c>
      <c r="B2640" s="29">
        <f>VLOOKUP(A2640,'Database Claims'!$A:$C,3,)</f>
        <v/>
      </c>
      <c r="C2640" s="29">
        <f>B2640-B2639</f>
        <v/>
      </c>
      <c r="D2640" s="29">
        <f>VLOOKUP(A2640,'Database Claims'!$A:$C,2,)</f>
        <v/>
      </c>
      <c r="E2640" s="29">
        <f>D2640-D2639</f>
        <v/>
      </c>
    </row>
    <row r="2641">
      <c r="A2641" s="28" t="n">
        <v>42931</v>
      </c>
      <c r="B2641" s="25">
        <f>VLOOKUP(A2641,'Database Claims'!$A:$C,3,)</f>
        <v/>
      </c>
      <c r="C2641" s="29">
        <f>B2641-B2640</f>
        <v/>
      </c>
      <c r="D2641" s="25">
        <f>VLOOKUP(A2641,'Database Claims'!$A:$C,2,)</f>
        <v/>
      </c>
      <c r="E2641" s="29">
        <f>D2641-D2640</f>
        <v/>
      </c>
    </row>
    <row r="2642">
      <c r="A2642" s="28" t="n">
        <v>42938</v>
      </c>
      <c r="B2642" s="29">
        <f>VLOOKUP(A2642,'Database Claims'!$A:$C,3,)</f>
        <v/>
      </c>
      <c r="C2642" s="29">
        <f>B2642-B2641</f>
        <v/>
      </c>
      <c r="D2642" s="29">
        <f>VLOOKUP(A2642,'Database Claims'!$A:$C,2,)</f>
        <v/>
      </c>
      <c r="E2642" s="29">
        <f>D2642-D2641</f>
        <v/>
      </c>
    </row>
    <row r="2643">
      <c r="A2643" s="28" t="n">
        <v>42945</v>
      </c>
      <c r="B2643" s="25">
        <f>VLOOKUP(A2643,'Database Claims'!$A:$C,3,)</f>
        <v/>
      </c>
      <c r="C2643" s="29">
        <f>B2643-B2642</f>
        <v/>
      </c>
      <c r="D2643" s="25">
        <f>VLOOKUP(A2643,'Database Claims'!$A:$C,2,)</f>
        <v/>
      </c>
      <c r="E2643" s="29">
        <f>D2643-D2642</f>
        <v/>
      </c>
    </row>
    <row r="2644">
      <c r="A2644" s="28" t="n">
        <v>42952</v>
      </c>
      <c r="B2644" s="29">
        <f>VLOOKUP(A2644,'Database Claims'!$A:$C,3,)</f>
        <v/>
      </c>
      <c r="C2644" s="29">
        <f>B2644-B2643</f>
        <v/>
      </c>
      <c r="D2644" s="29">
        <f>VLOOKUP(A2644,'Database Claims'!$A:$C,2,)</f>
        <v/>
      </c>
      <c r="E2644" s="29">
        <f>D2644-D2643</f>
        <v/>
      </c>
    </row>
    <row r="2645">
      <c r="A2645" s="28" t="n">
        <v>42959</v>
      </c>
      <c r="B2645" s="25">
        <f>VLOOKUP(A2645,'Database Claims'!$A:$C,3,)</f>
        <v/>
      </c>
      <c r="C2645" s="29">
        <f>B2645-B2644</f>
        <v/>
      </c>
      <c r="D2645" s="25">
        <f>VLOOKUP(A2645,'Database Claims'!$A:$C,2,)</f>
        <v/>
      </c>
      <c r="E2645" s="29">
        <f>D2645-D2644</f>
        <v/>
      </c>
    </row>
    <row r="2646">
      <c r="A2646" s="28" t="n">
        <v>42966</v>
      </c>
      <c r="B2646" s="29">
        <f>VLOOKUP(A2646,'Database Claims'!$A:$C,3,)</f>
        <v/>
      </c>
      <c r="C2646" s="29">
        <f>B2646-B2645</f>
        <v/>
      </c>
      <c r="D2646" s="29">
        <f>VLOOKUP(A2646,'Database Claims'!$A:$C,2,)</f>
        <v/>
      </c>
      <c r="E2646" s="29">
        <f>D2646-D2645</f>
        <v/>
      </c>
    </row>
    <row r="2647">
      <c r="A2647" s="28" t="n">
        <v>42973</v>
      </c>
      <c r="B2647" s="25">
        <f>VLOOKUP(A2647,'Database Claims'!$A:$C,3,)</f>
        <v/>
      </c>
      <c r="C2647" s="29">
        <f>B2647-B2646</f>
        <v/>
      </c>
      <c r="D2647" s="25">
        <f>VLOOKUP(A2647,'Database Claims'!$A:$C,2,)</f>
        <v/>
      </c>
      <c r="E2647" s="29">
        <f>D2647-D2646</f>
        <v/>
      </c>
    </row>
    <row r="2648">
      <c r="A2648" s="28" t="n">
        <v>42980</v>
      </c>
      <c r="B2648" s="29">
        <f>VLOOKUP(A2648,'Database Claims'!$A:$C,3,)</f>
        <v/>
      </c>
      <c r="C2648" s="29">
        <f>B2648-B2647</f>
        <v/>
      </c>
      <c r="D2648" s="29">
        <f>VLOOKUP(A2648,'Database Claims'!$A:$C,2,)</f>
        <v/>
      </c>
      <c r="E2648" s="29">
        <f>D2648-D2647</f>
        <v/>
      </c>
    </row>
    <row r="2649">
      <c r="A2649" s="28" t="n">
        <v>42987</v>
      </c>
      <c r="B2649" s="25">
        <f>VLOOKUP(A2649,'Database Claims'!$A:$C,3,)</f>
        <v/>
      </c>
      <c r="C2649" s="29">
        <f>B2649-B2648</f>
        <v/>
      </c>
      <c r="D2649" s="25">
        <f>VLOOKUP(A2649,'Database Claims'!$A:$C,2,)</f>
        <v/>
      </c>
      <c r="E2649" s="29">
        <f>D2649-D2648</f>
        <v/>
      </c>
    </row>
    <row r="2650">
      <c r="A2650" s="28" t="n">
        <v>42994</v>
      </c>
      <c r="B2650" s="29">
        <f>VLOOKUP(A2650,'Database Claims'!$A:$C,3,)</f>
        <v/>
      </c>
      <c r="C2650" s="29">
        <f>B2650-B2649</f>
        <v/>
      </c>
      <c r="D2650" s="29">
        <f>VLOOKUP(A2650,'Database Claims'!$A:$C,2,)</f>
        <v/>
      </c>
      <c r="E2650" s="29">
        <f>D2650-D2649</f>
        <v/>
      </c>
    </row>
    <row r="2651">
      <c r="A2651" s="28" t="n">
        <v>43001</v>
      </c>
      <c r="B2651" s="25">
        <f>VLOOKUP(A2651,'Database Claims'!$A:$C,3,)</f>
        <v/>
      </c>
      <c r="C2651" s="29">
        <f>B2651-B2650</f>
        <v/>
      </c>
      <c r="D2651" s="25">
        <f>VLOOKUP(A2651,'Database Claims'!$A:$C,2,)</f>
        <v/>
      </c>
      <c r="E2651" s="29">
        <f>D2651-D2650</f>
        <v/>
      </c>
    </row>
    <row r="2652">
      <c r="A2652" s="28" t="n">
        <v>43008</v>
      </c>
      <c r="B2652" s="29">
        <f>VLOOKUP(A2652,'Database Claims'!$A:$C,3,)</f>
        <v/>
      </c>
      <c r="C2652" s="29">
        <f>B2652-B2651</f>
        <v/>
      </c>
      <c r="D2652" s="29">
        <f>VLOOKUP(A2652,'Database Claims'!$A:$C,2,)</f>
        <v/>
      </c>
      <c r="E2652" s="29">
        <f>D2652-D2651</f>
        <v/>
      </c>
    </row>
    <row r="2653">
      <c r="A2653" s="28" t="n">
        <v>43015</v>
      </c>
      <c r="B2653" s="25">
        <f>VLOOKUP(A2653,'Database Claims'!$A:$C,3,)</f>
        <v/>
      </c>
      <c r="C2653" s="29">
        <f>B2653-B2652</f>
        <v/>
      </c>
      <c r="D2653" s="25">
        <f>VLOOKUP(A2653,'Database Claims'!$A:$C,2,)</f>
        <v/>
      </c>
      <c r="E2653" s="29">
        <f>D2653-D2652</f>
        <v/>
      </c>
    </row>
    <row r="2654">
      <c r="A2654" s="28" t="n">
        <v>43022</v>
      </c>
      <c r="B2654" s="29">
        <f>VLOOKUP(A2654,'Database Claims'!$A:$C,3,)</f>
        <v/>
      </c>
      <c r="C2654" s="29">
        <f>B2654-B2653</f>
        <v/>
      </c>
      <c r="D2654" s="29">
        <f>VLOOKUP(A2654,'Database Claims'!$A:$C,2,)</f>
        <v/>
      </c>
      <c r="E2654" s="29">
        <f>D2654-D2653</f>
        <v/>
      </c>
    </row>
    <row r="2655">
      <c r="A2655" s="28" t="n">
        <v>43029</v>
      </c>
      <c r="B2655" s="25">
        <f>VLOOKUP(A2655,'Database Claims'!$A:$C,3,)</f>
        <v/>
      </c>
      <c r="C2655" s="29">
        <f>B2655-B2654</f>
        <v/>
      </c>
      <c r="D2655" s="25">
        <f>VLOOKUP(A2655,'Database Claims'!$A:$C,2,)</f>
        <v/>
      </c>
      <c r="E2655" s="29">
        <f>D2655-D2654</f>
        <v/>
      </c>
    </row>
    <row r="2656">
      <c r="A2656" s="28" t="n">
        <v>43036</v>
      </c>
      <c r="B2656" s="29">
        <f>VLOOKUP(A2656,'Database Claims'!$A:$C,3,)</f>
        <v/>
      </c>
      <c r="C2656" s="29">
        <f>B2656-B2655</f>
        <v/>
      </c>
      <c r="D2656" s="29">
        <f>VLOOKUP(A2656,'Database Claims'!$A:$C,2,)</f>
        <v/>
      </c>
      <c r="E2656" s="29">
        <f>D2656-D2655</f>
        <v/>
      </c>
    </row>
    <row r="2657">
      <c r="A2657" s="28" t="n">
        <v>43043</v>
      </c>
      <c r="B2657" s="25">
        <f>VLOOKUP(A2657,'Database Claims'!$A:$C,3,)</f>
        <v/>
      </c>
      <c r="C2657" s="29">
        <f>B2657-B2656</f>
        <v/>
      </c>
      <c r="D2657" s="25">
        <f>VLOOKUP(A2657,'Database Claims'!$A:$C,2,)</f>
        <v/>
      </c>
      <c r="E2657" s="29">
        <f>D2657-D2656</f>
        <v/>
      </c>
    </row>
    <row r="2658">
      <c r="A2658" s="28" t="n">
        <v>43050</v>
      </c>
      <c r="B2658" s="29">
        <f>VLOOKUP(A2658,'Database Claims'!$A:$C,3,)</f>
        <v/>
      </c>
      <c r="C2658" s="29">
        <f>B2658-B2657</f>
        <v/>
      </c>
      <c r="D2658" s="29">
        <f>VLOOKUP(A2658,'Database Claims'!$A:$C,2,)</f>
        <v/>
      </c>
      <c r="E2658" s="29">
        <f>D2658-D2657</f>
        <v/>
      </c>
    </row>
    <row r="2659">
      <c r="A2659" s="28" t="n">
        <v>43057</v>
      </c>
      <c r="B2659" s="25">
        <f>VLOOKUP(A2659,'Database Claims'!$A:$C,3,)</f>
        <v/>
      </c>
      <c r="C2659" s="29">
        <f>B2659-B2658</f>
        <v/>
      </c>
      <c r="D2659" s="25">
        <f>VLOOKUP(A2659,'Database Claims'!$A:$C,2,)</f>
        <v/>
      </c>
      <c r="E2659" s="29">
        <f>D2659-D2658</f>
        <v/>
      </c>
    </row>
    <row r="2660">
      <c r="A2660" s="28" t="n">
        <v>43064</v>
      </c>
      <c r="B2660" s="29">
        <f>VLOOKUP(A2660,'Database Claims'!$A:$C,3,)</f>
        <v/>
      </c>
      <c r="C2660" s="29">
        <f>B2660-B2659</f>
        <v/>
      </c>
      <c r="D2660" s="29">
        <f>VLOOKUP(A2660,'Database Claims'!$A:$C,2,)</f>
        <v/>
      </c>
      <c r="E2660" s="29">
        <f>D2660-D2659</f>
        <v/>
      </c>
    </row>
    <row r="2661">
      <c r="A2661" s="28" t="n">
        <v>43071</v>
      </c>
      <c r="B2661" s="25">
        <f>VLOOKUP(A2661,'Database Claims'!$A:$C,3,)</f>
        <v/>
      </c>
      <c r="C2661" s="29">
        <f>B2661-B2660</f>
        <v/>
      </c>
      <c r="D2661" s="25">
        <f>VLOOKUP(A2661,'Database Claims'!$A:$C,2,)</f>
        <v/>
      </c>
      <c r="E2661" s="29">
        <f>D2661-D2660</f>
        <v/>
      </c>
    </row>
    <row r="2662">
      <c r="A2662" s="28" t="n">
        <v>43078</v>
      </c>
      <c r="B2662" s="29">
        <f>VLOOKUP(A2662,'Database Claims'!$A:$C,3,)</f>
        <v/>
      </c>
      <c r="C2662" s="29">
        <f>B2662-B2661</f>
        <v/>
      </c>
      <c r="D2662" s="29">
        <f>VLOOKUP(A2662,'Database Claims'!$A:$C,2,)</f>
        <v/>
      </c>
      <c r="E2662" s="29">
        <f>D2662-D2661</f>
        <v/>
      </c>
    </row>
    <row r="2663">
      <c r="A2663" s="28" t="n">
        <v>43085</v>
      </c>
      <c r="B2663" s="25">
        <f>VLOOKUP(A2663,'Database Claims'!$A:$C,3,)</f>
        <v/>
      </c>
      <c r="C2663" s="29">
        <f>B2663-B2662</f>
        <v/>
      </c>
      <c r="D2663" s="25">
        <f>VLOOKUP(A2663,'Database Claims'!$A:$C,2,)</f>
        <v/>
      </c>
      <c r="E2663" s="29">
        <f>D2663-D2662</f>
        <v/>
      </c>
    </row>
    <row r="2664">
      <c r="A2664" s="28" t="n">
        <v>43092</v>
      </c>
      <c r="B2664" s="29">
        <f>VLOOKUP(A2664,'Database Claims'!$A:$C,3,)</f>
        <v/>
      </c>
      <c r="C2664" s="29">
        <f>B2664-B2663</f>
        <v/>
      </c>
      <c r="D2664" s="29">
        <f>VLOOKUP(A2664,'Database Claims'!$A:$C,2,)</f>
        <v/>
      </c>
      <c r="E2664" s="29">
        <f>D2664-D2663</f>
        <v/>
      </c>
    </row>
    <row r="2665">
      <c r="A2665" s="28" t="n">
        <v>43099</v>
      </c>
      <c r="B2665" s="25">
        <f>VLOOKUP(A2665,'Database Claims'!$A:$C,3,)</f>
        <v/>
      </c>
      <c r="C2665" s="29">
        <f>B2665-B2664</f>
        <v/>
      </c>
      <c r="D2665" s="25">
        <f>VLOOKUP(A2665,'Database Claims'!$A:$C,2,)</f>
        <v/>
      </c>
      <c r="E2665" s="29">
        <f>D2665-D2664</f>
        <v/>
      </c>
    </row>
    <row r="2666">
      <c r="A2666" s="28" t="n">
        <v>43106</v>
      </c>
      <c r="B2666" s="29">
        <f>VLOOKUP(A2666,'Database Claims'!$A:$C,3,)</f>
        <v/>
      </c>
      <c r="C2666" s="29">
        <f>B2666-B2665</f>
        <v/>
      </c>
      <c r="D2666" s="29">
        <f>VLOOKUP(A2666,'Database Claims'!$A:$C,2,)</f>
        <v/>
      </c>
      <c r="E2666" s="29">
        <f>D2666-D2665</f>
        <v/>
      </c>
    </row>
    <row r="2667">
      <c r="A2667" s="28" t="n">
        <v>43113</v>
      </c>
      <c r="B2667" s="25">
        <f>VLOOKUP(A2667,'Database Claims'!$A:$C,3,)</f>
        <v/>
      </c>
      <c r="C2667" s="29">
        <f>B2667-B2666</f>
        <v/>
      </c>
      <c r="D2667" s="25">
        <f>VLOOKUP(A2667,'Database Claims'!$A:$C,2,)</f>
        <v/>
      </c>
      <c r="E2667" s="29">
        <f>D2667-D2666</f>
        <v/>
      </c>
    </row>
    <row r="2668">
      <c r="A2668" s="28" t="n">
        <v>43120</v>
      </c>
      <c r="B2668" s="29">
        <f>VLOOKUP(A2668,'Database Claims'!$A:$C,3,)</f>
        <v/>
      </c>
      <c r="C2668" s="29">
        <f>B2668-B2667</f>
        <v/>
      </c>
      <c r="D2668" s="29">
        <f>VLOOKUP(A2668,'Database Claims'!$A:$C,2,)</f>
        <v/>
      </c>
      <c r="E2668" s="29">
        <f>D2668-D2667</f>
        <v/>
      </c>
    </row>
    <row r="2669">
      <c r="A2669" s="28" t="n">
        <v>43127</v>
      </c>
      <c r="B2669" s="25">
        <f>VLOOKUP(A2669,'Database Claims'!$A:$C,3,)</f>
        <v/>
      </c>
      <c r="C2669" s="29">
        <f>B2669-B2668</f>
        <v/>
      </c>
      <c r="D2669" s="25">
        <f>VLOOKUP(A2669,'Database Claims'!$A:$C,2,)</f>
        <v/>
      </c>
      <c r="E2669" s="29">
        <f>D2669-D2668</f>
        <v/>
      </c>
    </row>
    <row r="2670">
      <c r="A2670" s="28" t="n">
        <v>43134</v>
      </c>
      <c r="B2670" s="29">
        <f>VLOOKUP(A2670,'Database Claims'!$A:$C,3,)</f>
        <v/>
      </c>
      <c r="C2670" s="29">
        <f>B2670-B2669</f>
        <v/>
      </c>
      <c r="D2670" s="29">
        <f>VLOOKUP(A2670,'Database Claims'!$A:$C,2,)</f>
        <v/>
      </c>
      <c r="E2670" s="29">
        <f>D2670-D2669</f>
        <v/>
      </c>
    </row>
    <row r="2671">
      <c r="A2671" s="28" t="n">
        <v>43141</v>
      </c>
      <c r="B2671" s="25">
        <f>VLOOKUP(A2671,'Database Claims'!$A:$C,3,)</f>
        <v/>
      </c>
      <c r="C2671" s="29">
        <f>B2671-B2670</f>
        <v/>
      </c>
      <c r="D2671" s="25">
        <f>VLOOKUP(A2671,'Database Claims'!$A:$C,2,)</f>
        <v/>
      </c>
      <c r="E2671" s="29">
        <f>D2671-D2670</f>
        <v/>
      </c>
    </row>
    <row r="2672">
      <c r="A2672" s="28" t="n">
        <v>43148</v>
      </c>
      <c r="B2672" s="29">
        <f>VLOOKUP(A2672,'Database Claims'!$A:$C,3,)</f>
        <v/>
      </c>
      <c r="C2672" s="29">
        <f>B2672-B2671</f>
        <v/>
      </c>
      <c r="D2672" s="29">
        <f>VLOOKUP(A2672,'Database Claims'!$A:$C,2,)</f>
        <v/>
      </c>
      <c r="E2672" s="29">
        <f>D2672-D2671</f>
        <v/>
      </c>
    </row>
    <row r="2673">
      <c r="A2673" s="28" t="n">
        <v>43155</v>
      </c>
      <c r="B2673" s="25">
        <f>VLOOKUP(A2673,'Database Claims'!$A:$C,3,)</f>
        <v/>
      </c>
      <c r="C2673" s="29">
        <f>B2673-B2672</f>
        <v/>
      </c>
      <c r="D2673" s="25">
        <f>VLOOKUP(A2673,'Database Claims'!$A:$C,2,)</f>
        <v/>
      </c>
      <c r="E2673" s="29">
        <f>D2673-D2672</f>
        <v/>
      </c>
    </row>
    <row r="2674">
      <c r="A2674" s="28" t="n">
        <v>43162</v>
      </c>
      <c r="B2674" s="29">
        <f>VLOOKUP(A2674,'Database Claims'!$A:$C,3,)</f>
        <v/>
      </c>
      <c r="C2674" s="29">
        <f>B2674-B2673</f>
        <v/>
      </c>
      <c r="D2674" s="29">
        <f>VLOOKUP(A2674,'Database Claims'!$A:$C,2,)</f>
        <v/>
      </c>
      <c r="E2674" s="29">
        <f>D2674-D2673</f>
        <v/>
      </c>
    </row>
    <row r="2675">
      <c r="A2675" s="28" t="n">
        <v>43169</v>
      </c>
      <c r="B2675" s="25">
        <f>VLOOKUP(A2675,'Database Claims'!$A:$C,3,)</f>
        <v/>
      </c>
      <c r="C2675" s="29">
        <f>B2675-B2674</f>
        <v/>
      </c>
      <c r="D2675" s="25">
        <f>VLOOKUP(A2675,'Database Claims'!$A:$C,2,)</f>
        <v/>
      </c>
      <c r="E2675" s="29">
        <f>D2675-D2674</f>
        <v/>
      </c>
    </row>
    <row r="2676">
      <c r="A2676" s="28" t="n">
        <v>43176</v>
      </c>
      <c r="B2676" s="29">
        <f>VLOOKUP(A2676,'Database Claims'!$A:$C,3,)</f>
        <v/>
      </c>
      <c r="C2676" s="29">
        <f>B2676-B2675</f>
        <v/>
      </c>
      <c r="D2676" s="29">
        <f>VLOOKUP(A2676,'Database Claims'!$A:$C,2,)</f>
        <v/>
      </c>
      <c r="E2676" s="29">
        <f>D2676-D2675</f>
        <v/>
      </c>
    </row>
    <row r="2677">
      <c r="A2677" s="28" t="n">
        <v>43183</v>
      </c>
      <c r="B2677" s="25">
        <f>VLOOKUP(A2677,'Database Claims'!$A:$C,3,)</f>
        <v/>
      </c>
      <c r="C2677" s="29">
        <f>B2677-B2676</f>
        <v/>
      </c>
      <c r="D2677" s="25">
        <f>VLOOKUP(A2677,'Database Claims'!$A:$C,2,)</f>
        <v/>
      </c>
      <c r="E2677" s="29">
        <f>D2677-D2676</f>
        <v/>
      </c>
    </row>
    <row r="2678">
      <c r="A2678" s="28" t="n">
        <v>43190</v>
      </c>
      <c r="B2678" s="29">
        <f>VLOOKUP(A2678,'Database Claims'!$A:$C,3,)</f>
        <v/>
      </c>
      <c r="C2678" s="29">
        <f>B2678-B2677</f>
        <v/>
      </c>
      <c r="D2678" s="29">
        <f>VLOOKUP(A2678,'Database Claims'!$A:$C,2,)</f>
        <v/>
      </c>
      <c r="E2678" s="29">
        <f>D2678-D2677</f>
        <v/>
      </c>
    </row>
    <row r="2679">
      <c r="A2679" s="28" t="n">
        <v>43197</v>
      </c>
      <c r="B2679" s="25">
        <f>VLOOKUP(A2679,'Database Claims'!$A:$C,3,)</f>
        <v/>
      </c>
      <c r="C2679" s="29">
        <f>B2679-B2678</f>
        <v/>
      </c>
      <c r="D2679" s="25">
        <f>VLOOKUP(A2679,'Database Claims'!$A:$C,2,)</f>
        <v/>
      </c>
      <c r="E2679" s="29">
        <f>D2679-D2678</f>
        <v/>
      </c>
    </row>
    <row r="2680">
      <c r="A2680" s="28" t="n">
        <v>43204</v>
      </c>
      <c r="B2680" s="29">
        <f>VLOOKUP(A2680,'Database Claims'!$A:$C,3,)</f>
        <v/>
      </c>
      <c r="C2680" s="29">
        <f>B2680-B2679</f>
        <v/>
      </c>
      <c r="D2680" s="29">
        <f>VLOOKUP(A2680,'Database Claims'!$A:$C,2,)</f>
        <v/>
      </c>
      <c r="E2680" s="29">
        <f>D2680-D2679</f>
        <v/>
      </c>
    </row>
    <row r="2681">
      <c r="A2681" s="28" t="n">
        <v>43211</v>
      </c>
      <c r="B2681" s="25">
        <f>VLOOKUP(A2681,'Database Claims'!$A:$C,3,)</f>
        <v/>
      </c>
      <c r="C2681" s="29">
        <f>B2681-B2680</f>
        <v/>
      </c>
      <c r="D2681" s="25">
        <f>VLOOKUP(A2681,'Database Claims'!$A:$C,2,)</f>
        <v/>
      </c>
      <c r="E2681" s="29">
        <f>D2681-D2680</f>
        <v/>
      </c>
    </row>
    <row r="2682">
      <c r="A2682" s="28" t="n">
        <v>43218</v>
      </c>
      <c r="B2682" s="29">
        <f>VLOOKUP(A2682,'Database Claims'!$A:$C,3,)</f>
        <v/>
      </c>
      <c r="C2682" s="29">
        <f>B2682-B2681</f>
        <v/>
      </c>
      <c r="D2682" s="29">
        <f>VLOOKUP(A2682,'Database Claims'!$A:$C,2,)</f>
        <v/>
      </c>
      <c r="E2682" s="29">
        <f>D2682-D2681</f>
        <v/>
      </c>
    </row>
    <row r="2683">
      <c r="A2683" s="28" t="n">
        <v>43225</v>
      </c>
      <c r="B2683" s="25">
        <f>VLOOKUP(A2683,'Database Claims'!$A:$C,3,)</f>
        <v/>
      </c>
      <c r="C2683" s="29">
        <f>B2683-B2682</f>
        <v/>
      </c>
      <c r="D2683" s="25">
        <f>VLOOKUP(A2683,'Database Claims'!$A:$C,2,)</f>
        <v/>
      </c>
      <c r="E2683" s="29">
        <f>D2683-D2682</f>
        <v/>
      </c>
    </row>
    <row r="2684">
      <c r="A2684" s="28" t="n">
        <v>43232</v>
      </c>
      <c r="B2684" s="29">
        <f>VLOOKUP(A2684,'Database Claims'!$A:$C,3,)</f>
        <v/>
      </c>
      <c r="C2684" s="29">
        <f>B2684-B2683</f>
        <v/>
      </c>
      <c r="D2684" s="29">
        <f>VLOOKUP(A2684,'Database Claims'!$A:$C,2,)</f>
        <v/>
      </c>
      <c r="E2684" s="29">
        <f>D2684-D2683</f>
        <v/>
      </c>
    </row>
    <row r="2685">
      <c r="A2685" s="28" t="n">
        <v>43239</v>
      </c>
      <c r="B2685" s="25">
        <f>VLOOKUP(A2685,'Database Claims'!$A:$C,3,)</f>
        <v/>
      </c>
      <c r="C2685" s="29">
        <f>B2685-B2684</f>
        <v/>
      </c>
      <c r="D2685" s="25">
        <f>VLOOKUP(A2685,'Database Claims'!$A:$C,2,)</f>
        <v/>
      </c>
      <c r="E2685" s="29">
        <f>D2685-D2684</f>
        <v/>
      </c>
    </row>
    <row r="2686">
      <c r="A2686" s="28" t="n">
        <v>43246</v>
      </c>
      <c r="B2686" s="29">
        <f>VLOOKUP(A2686,'Database Claims'!$A:$C,3,)</f>
        <v/>
      </c>
      <c r="C2686" s="29">
        <f>B2686-B2685</f>
        <v/>
      </c>
      <c r="D2686" s="29">
        <f>VLOOKUP(A2686,'Database Claims'!$A:$C,2,)</f>
        <v/>
      </c>
      <c r="E2686" s="29">
        <f>D2686-D2685</f>
        <v/>
      </c>
    </row>
    <row r="2687">
      <c r="A2687" s="28" t="n">
        <v>43253</v>
      </c>
      <c r="B2687" s="25">
        <f>VLOOKUP(A2687,'Database Claims'!$A:$C,3,)</f>
        <v/>
      </c>
      <c r="C2687" s="29">
        <f>B2687-B2686</f>
        <v/>
      </c>
      <c r="D2687" s="25">
        <f>VLOOKUP(A2687,'Database Claims'!$A:$C,2,)</f>
        <v/>
      </c>
      <c r="E2687" s="29">
        <f>D2687-D2686</f>
        <v/>
      </c>
    </row>
    <row r="2688">
      <c r="A2688" s="28" t="n">
        <v>43260</v>
      </c>
      <c r="B2688" s="29">
        <f>VLOOKUP(A2688,'Database Claims'!$A:$C,3,)</f>
        <v/>
      </c>
      <c r="C2688" s="29">
        <f>B2688-B2687</f>
        <v/>
      </c>
      <c r="D2688" s="29">
        <f>VLOOKUP(A2688,'Database Claims'!$A:$C,2,)</f>
        <v/>
      </c>
      <c r="E2688" s="29">
        <f>D2688-D2687</f>
        <v/>
      </c>
    </row>
    <row r="2689">
      <c r="A2689" s="28" t="n">
        <v>43267</v>
      </c>
      <c r="B2689" s="25">
        <f>VLOOKUP(A2689,'Database Claims'!$A:$C,3,)</f>
        <v/>
      </c>
      <c r="C2689" s="29">
        <f>B2689-B2688</f>
        <v/>
      </c>
      <c r="D2689" s="25">
        <f>VLOOKUP(A2689,'Database Claims'!$A:$C,2,)</f>
        <v/>
      </c>
      <c r="E2689" s="29">
        <f>D2689-D2688</f>
        <v/>
      </c>
    </row>
    <row r="2690">
      <c r="A2690" s="28" t="n">
        <v>43274</v>
      </c>
      <c r="B2690" s="29">
        <f>VLOOKUP(A2690,'Database Claims'!$A:$C,3,)</f>
        <v/>
      </c>
      <c r="C2690" s="29">
        <f>B2690-B2689</f>
        <v/>
      </c>
      <c r="D2690" s="29">
        <f>VLOOKUP(A2690,'Database Claims'!$A:$C,2,)</f>
        <v/>
      </c>
      <c r="E2690" s="29">
        <f>D2690-D2689</f>
        <v/>
      </c>
    </row>
    <row r="2691">
      <c r="A2691" s="28" t="n">
        <v>43281</v>
      </c>
      <c r="B2691" s="25">
        <f>VLOOKUP(A2691,'Database Claims'!$A:$C,3,)</f>
        <v/>
      </c>
      <c r="C2691" s="29">
        <f>B2691-B2690</f>
        <v/>
      </c>
      <c r="D2691" s="25">
        <f>VLOOKUP(A2691,'Database Claims'!$A:$C,2,)</f>
        <v/>
      </c>
      <c r="E2691" s="29">
        <f>D2691-D2690</f>
        <v/>
      </c>
    </row>
    <row r="2692">
      <c r="A2692" s="28" t="n">
        <v>43288</v>
      </c>
      <c r="B2692" s="29">
        <f>VLOOKUP(A2692,'Database Claims'!$A:$C,3,)</f>
        <v/>
      </c>
      <c r="C2692" s="29">
        <f>B2692-B2691</f>
        <v/>
      </c>
      <c r="D2692" s="29">
        <f>VLOOKUP(A2692,'Database Claims'!$A:$C,2,)</f>
        <v/>
      </c>
      <c r="E2692" s="29">
        <f>D2692-D2691</f>
        <v/>
      </c>
    </row>
    <row r="2693">
      <c r="A2693" s="28" t="n">
        <v>43295</v>
      </c>
      <c r="B2693" s="25">
        <f>VLOOKUP(A2693,'Database Claims'!$A:$C,3,)</f>
        <v/>
      </c>
      <c r="C2693" s="29">
        <f>B2693-B2692</f>
        <v/>
      </c>
      <c r="D2693" s="25">
        <f>VLOOKUP(A2693,'Database Claims'!$A:$C,2,)</f>
        <v/>
      </c>
      <c r="E2693" s="29">
        <f>D2693-D2692</f>
        <v/>
      </c>
    </row>
    <row r="2694">
      <c r="A2694" s="28" t="n">
        <v>43302</v>
      </c>
      <c r="B2694" s="29">
        <f>VLOOKUP(A2694,'Database Claims'!$A:$C,3,)</f>
        <v/>
      </c>
      <c r="C2694" s="29">
        <f>B2694-B2693</f>
        <v/>
      </c>
      <c r="D2694" s="29">
        <f>VLOOKUP(A2694,'Database Claims'!$A:$C,2,)</f>
        <v/>
      </c>
      <c r="E2694" s="29">
        <f>D2694-D2693</f>
        <v/>
      </c>
    </row>
    <row r="2695">
      <c r="A2695" s="28" t="n">
        <v>43309</v>
      </c>
      <c r="B2695" s="25">
        <f>VLOOKUP(A2695,'Database Claims'!$A:$C,3,)</f>
        <v/>
      </c>
      <c r="C2695" s="29">
        <f>B2695-B2694</f>
        <v/>
      </c>
      <c r="D2695" s="25">
        <f>VLOOKUP(A2695,'Database Claims'!$A:$C,2,)</f>
        <v/>
      </c>
      <c r="E2695" s="29">
        <f>D2695-D2694</f>
        <v/>
      </c>
    </row>
    <row r="2696">
      <c r="A2696" s="28" t="n">
        <v>43316</v>
      </c>
      <c r="B2696" s="29">
        <f>VLOOKUP(A2696,'Database Claims'!$A:$C,3,)</f>
        <v/>
      </c>
      <c r="C2696" s="29">
        <f>B2696-B2695</f>
        <v/>
      </c>
      <c r="D2696" s="29">
        <f>VLOOKUP(A2696,'Database Claims'!$A:$C,2,)</f>
        <v/>
      </c>
      <c r="E2696" s="29">
        <f>D2696-D2695</f>
        <v/>
      </c>
    </row>
    <row r="2697">
      <c r="A2697" s="28" t="n">
        <v>43323</v>
      </c>
      <c r="B2697" s="25">
        <f>VLOOKUP(A2697,'Database Claims'!$A:$C,3,)</f>
        <v/>
      </c>
      <c r="C2697" s="29">
        <f>B2697-B2696</f>
        <v/>
      </c>
      <c r="D2697" s="25">
        <f>VLOOKUP(A2697,'Database Claims'!$A:$C,2,)</f>
        <v/>
      </c>
      <c r="E2697" s="29">
        <f>D2697-D2696</f>
        <v/>
      </c>
    </row>
    <row r="2698">
      <c r="A2698" s="28" t="n">
        <v>43330</v>
      </c>
      <c r="B2698" s="29">
        <f>VLOOKUP(A2698,'Database Claims'!$A:$C,3,)</f>
        <v/>
      </c>
      <c r="C2698" s="29">
        <f>B2698-B2697</f>
        <v/>
      </c>
      <c r="D2698" s="29">
        <f>VLOOKUP(A2698,'Database Claims'!$A:$C,2,)</f>
        <v/>
      </c>
      <c r="E2698" s="29">
        <f>D2698-D2697</f>
        <v/>
      </c>
    </row>
    <row r="2699">
      <c r="A2699" s="28" t="n">
        <v>43337</v>
      </c>
      <c r="B2699" s="25">
        <f>VLOOKUP(A2699,'Database Claims'!$A:$C,3,)</f>
        <v/>
      </c>
      <c r="C2699" s="29">
        <f>B2699-B2698</f>
        <v/>
      </c>
      <c r="D2699" s="25">
        <f>VLOOKUP(A2699,'Database Claims'!$A:$C,2,)</f>
        <v/>
      </c>
      <c r="E2699" s="29">
        <f>D2699-D2698</f>
        <v/>
      </c>
    </row>
    <row r="2700">
      <c r="A2700" s="28" t="n">
        <v>43344</v>
      </c>
      <c r="B2700" s="29">
        <f>VLOOKUP(A2700,'Database Claims'!$A:$C,3,)</f>
        <v/>
      </c>
      <c r="C2700" s="29">
        <f>B2700-B2699</f>
        <v/>
      </c>
      <c r="D2700" s="29">
        <f>VLOOKUP(A2700,'Database Claims'!$A:$C,2,)</f>
        <v/>
      </c>
      <c r="E2700" s="29">
        <f>D2700-D2699</f>
        <v/>
      </c>
    </row>
    <row r="2701">
      <c r="A2701" s="28" t="n">
        <v>43351</v>
      </c>
      <c r="B2701" s="25">
        <f>VLOOKUP(A2701,'Database Claims'!$A:$C,3,)</f>
        <v/>
      </c>
      <c r="C2701" s="29">
        <f>B2701-B2700</f>
        <v/>
      </c>
      <c r="D2701" s="25">
        <f>VLOOKUP(A2701,'Database Claims'!$A:$C,2,)</f>
        <v/>
      </c>
      <c r="E2701" s="29">
        <f>D2701-D2700</f>
        <v/>
      </c>
    </row>
    <row r="2702">
      <c r="A2702" s="28" t="n">
        <v>43358</v>
      </c>
      <c r="B2702" s="29">
        <f>VLOOKUP(A2702,'Database Claims'!$A:$C,3,)</f>
        <v/>
      </c>
      <c r="C2702" s="29">
        <f>B2702-B2701</f>
        <v/>
      </c>
      <c r="D2702" s="29">
        <f>VLOOKUP(A2702,'Database Claims'!$A:$C,2,)</f>
        <v/>
      </c>
      <c r="E2702" s="29">
        <f>D2702-D2701</f>
        <v/>
      </c>
    </row>
    <row r="2703">
      <c r="A2703" s="28" t="n">
        <v>43365</v>
      </c>
      <c r="B2703" s="25">
        <f>VLOOKUP(A2703,'Database Claims'!$A:$C,3,)</f>
        <v/>
      </c>
      <c r="C2703" s="29">
        <f>B2703-B2702</f>
        <v/>
      </c>
      <c r="D2703" s="25">
        <f>VLOOKUP(A2703,'Database Claims'!$A:$C,2,)</f>
        <v/>
      </c>
      <c r="E2703" s="29">
        <f>D2703-D2702</f>
        <v/>
      </c>
    </row>
    <row r="2704">
      <c r="A2704" s="28" t="n">
        <v>43372</v>
      </c>
      <c r="B2704" s="29">
        <f>VLOOKUP(A2704,'Database Claims'!$A:$C,3,)</f>
        <v/>
      </c>
      <c r="C2704" s="29">
        <f>B2704-B2703</f>
        <v/>
      </c>
      <c r="D2704" s="29">
        <f>VLOOKUP(A2704,'Database Claims'!$A:$C,2,)</f>
        <v/>
      </c>
      <c r="E2704" s="29">
        <f>D2704-D2703</f>
        <v/>
      </c>
    </row>
    <row r="2705">
      <c r="A2705" s="28" t="n">
        <v>43379</v>
      </c>
      <c r="B2705" s="25">
        <f>VLOOKUP(A2705,'Database Claims'!$A:$C,3,)</f>
        <v/>
      </c>
      <c r="C2705" s="29">
        <f>B2705-B2704</f>
        <v/>
      </c>
      <c r="D2705" s="25">
        <f>VLOOKUP(A2705,'Database Claims'!$A:$C,2,)</f>
        <v/>
      </c>
      <c r="E2705" s="29">
        <f>D2705-D2704</f>
        <v/>
      </c>
    </row>
    <row r="2706">
      <c r="A2706" s="28" t="n">
        <v>43386</v>
      </c>
      <c r="B2706" s="29">
        <f>VLOOKUP(A2706,'Database Claims'!$A:$C,3,)</f>
        <v/>
      </c>
      <c r="C2706" s="29">
        <f>B2706-B2705</f>
        <v/>
      </c>
      <c r="D2706" s="29">
        <f>VLOOKUP(A2706,'Database Claims'!$A:$C,2,)</f>
        <v/>
      </c>
      <c r="E2706" s="29">
        <f>D2706-D2705</f>
        <v/>
      </c>
    </row>
    <row r="2707">
      <c r="A2707" s="28" t="n">
        <v>43393</v>
      </c>
      <c r="B2707" s="25">
        <f>VLOOKUP(A2707,'Database Claims'!$A:$C,3,)</f>
        <v/>
      </c>
      <c r="C2707" s="29">
        <f>B2707-B2706</f>
        <v/>
      </c>
      <c r="D2707" s="25">
        <f>VLOOKUP(A2707,'Database Claims'!$A:$C,2,)</f>
        <v/>
      </c>
      <c r="E2707" s="29">
        <f>D2707-D2706</f>
        <v/>
      </c>
    </row>
    <row r="2708">
      <c r="A2708" s="28" t="n">
        <v>43400</v>
      </c>
      <c r="B2708" s="29">
        <f>VLOOKUP(A2708,'Database Claims'!$A:$C,3,)</f>
        <v/>
      </c>
      <c r="C2708" s="29">
        <f>B2708-B2707</f>
        <v/>
      </c>
      <c r="D2708" s="29">
        <f>VLOOKUP(A2708,'Database Claims'!$A:$C,2,)</f>
        <v/>
      </c>
      <c r="E2708" s="29">
        <f>D2708-D2707</f>
        <v/>
      </c>
    </row>
    <row r="2709">
      <c r="A2709" s="28" t="n">
        <v>43407</v>
      </c>
      <c r="B2709" s="25">
        <f>VLOOKUP(A2709,'Database Claims'!$A:$C,3,)</f>
        <v/>
      </c>
      <c r="C2709" s="29">
        <f>B2709-B2708</f>
        <v/>
      </c>
      <c r="D2709" s="25">
        <f>VLOOKUP(A2709,'Database Claims'!$A:$C,2,)</f>
        <v/>
      </c>
      <c r="E2709" s="29">
        <f>D2709-D2708</f>
        <v/>
      </c>
    </row>
    <row r="2710">
      <c r="A2710" s="28" t="n">
        <v>43414</v>
      </c>
      <c r="B2710" s="29">
        <f>VLOOKUP(A2710,'Database Claims'!$A:$C,3,)</f>
        <v/>
      </c>
      <c r="C2710" s="29">
        <f>B2710-B2709</f>
        <v/>
      </c>
      <c r="D2710" s="29">
        <f>VLOOKUP(A2710,'Database Claims'!$A:$C,2,)</f>
        <v/>
      </c>
      <c r="E2710" s="29">
        <f>D2710-D2709</f>
        <v/>
      </c>
    </row>
    <row r="2711">
      <c r="A2711" s="28" t="n">
        <v>43421</v>
      </c>
      <c r="B2711" s="25">
        <f>VLOOKUP(A2711,'Database Claims'!$A:$C,3,)</f>
        <v/>
      </c>
      <c r="C2711" s="29">
        <f>B2711-B2710</f>
        <v/>
      </c>
      <c r="D2711" s="25">
        <f>VLOOKUP(A2711,'Database Claims'!$A:$C,2,)</f>
        <v/>
      </c>
      <c r="E2711" s="29">
        <f>D2711-D2710</f>
        <v/>
      </c>
    </row>
    <row r="2712">
      <c r="A2712" s="28" t="n">
        <v>43428</v>
      </c>
      <c r="B2712" s="29">
        <f>VLOOKUP(A2712,'Database Claims'!$A:$C,3,)</f>
        <v/>
      </c>
      <c r="C2712" s="29">
        <f>B2712-B2711</f>
        <v/>
      </c>
      <c r="D2712" s="29">
        <f>VLOOKUP(A2712,'Database Claims'!$A:$C,2,)</f>
        <v/>
      </c>
      <c r="E2712" s="29">
        <f>D2712-D2711</f>
        <v/>
      </c>
    </row>
    <row r="2713">
      <c r="A2713" s="28" t="n">
        <v>43435</v>
      </c>
      <c r="B2713" s="25">
        <f>VLOOKUP(A2713,'Database Claims'!$A:$C,3,)</f>
        <v/>
      </c>
      <c r="C2713" s="29">
        <f>B2713-B2712</f>
        <v/>
      </c>
      <c r="D2713" s="25">
        <f>VLOOKUP(A2713,'Database Claims'!$A:$C,2,)</f>
        <v/>
      </c>
      <c r="E2713" s="29">
        <f>D2713-D2712</f>
        <v/>
      </c>
    </row>
    <row r="2714">
      <c r="A2714" s="28" t="n">
        <v>43442</v>
      </c>
      <c r="B2714" s="29">
        <f>VLOOKUP(A2714,'Database Claims'!$A:$C,3,)</f>
        <v/>
      </c>
      <c r="C2714" s="29">
        <f>B2714-B2713</f>
        <v/>
      </c>
      <c r="D2714" s="29">
        <f>VLOOKUP(A2714,'Database Claims'!$A:$C,2,)</f>
        <v/>
      </c>
      <c r="E2714" s="29">
        <f>D2714-D2713</f>
        <v/>
      </c>
    </row>
    <row r="2715">
      <c r="A2715" s="28" t="n">
        <v>43449</v>
      </c>
      <c r="B2715" s="25">
        <f>VLOOKUP(A2715,'Database Claims'!$A:$C,3,)</f>
        <v/>
      </c>
      <c r="C2715" s="29">
        <f>B2715-B2714</f>
        <v/>
      </c>
      <c r="D2715" s="25">
        <f>VLOOKUP(A2715,'Database Claims'!$A:$C,2,)</f>
        <v/>
      </c>
      <c r="E2715" s="29">
        <f>D2715-D2714</f>
        <v/>
      </c>
    </row>
    <row r="2716">
      <c r="A2716" s="28" t="n">
        <v>43456</v>
      </c>
      <c r="B2716" s="29">
        <f>VLOOKUP(A2716,'Database Claims'!$A:$C,3,)</f>
        <v/>
      </c>
      <c r="C2716" s="29">
        <f>B2716-B2715</f>
        <v/>
      </c>
      <c r="D2716" s="29">
        <f>VLOOKUP(A2716,'Database Claims'!$A:$C,2,)</f>
        <v/>
      </c>
      <c r="E2716" s="29">
        <f>D2716-D2715</f>
        <v/>
      </c>
    </row>
    <row r="2717">
      <c r="A2717" s="28" t="n">
        <v>43463</v>
      </c>
      <c r="B2717" s="25">
        <f>VLOOKUP(A2717,'Database Claims'!$A:$C,3,)</f>
        <v/>
      </c>
      <c r="C2717" s="29">
        <f>B2717-B2716</f>
        <v/>
      </c>
      <c r="D2717" s="25">
        <f>VLOOKUP(A2717,'Database Claims'!$A:$C,2,)</f>
        <v/>
      </c>
      <c r="E2717" s="29">
        <f>D2717-D2716</f>
        <v/>
      </c>
    </row>
    <row r="2718">
      <c r="A2718" s="28" t="n">
        <v>43470</v>
      </c>
      <c r="B2718" s="29">
        <f>VLOOKUP(A2718,'Database Claims'!$A:$C,3,)</f>
        <v/>
      </c>
      <c r="C2718" s="29">
        <f>B2718-B2717</f>
        <v/>
      </c>
      <c r="D2718" s="29">
        <f>VLOOKUP(A2718,'Database Claims'!$A:$C,2,)</f>
        <v/>
      </c>
      <c r="E2718" s="29">
        <f>D2718-D2717</f>
        <v/>
      </c>
    </row>
    <row r="2719">
      <c r="A2719" s="28" t="n">
        <v>43477</v>
      </c>
      <c r="B2719" s="25">
        <f>VLOOKUP(A2719,'Database Claims'!$A:$C,3,)</f>
        <v/>
      </c>
      <c r="C2719" s="29">
        <f>B2719-B2718</f>
        <v/>
      </c>
      <c r="D2719" s="25">
        <f>VLOOKUP(A2719,'Database Claims'!$A:$C,2,)</f>
        <v/>
      </c>
      <c r="E2719" s="29">
        <f>D2719-D2718</f>
        <v/>
      </c>
    </row>
    <row r="2720">
      <c r="A2720" s="28" t="n">
        <v>43484</v>
      </c>
      <c r="B2720" s="29">
        <f>VLOOKUP(A2720,'Database Claims'!$A:$C,3,)</f>
        <v/>
      </c>
      <c r="C2720" s="29">
        <f>B2720-B2719</f>
        <v/>
      </c>
      <c r="D2720" s="29">
        <f>VLOOKUP(A2720,'Database Claims'!$A:$C,2,)</f>
        <v/>
      </c>
      <c r="E2720" s="29">
        <f>D2720-D2719</f>
        <v/>
      </c>
    </row>
    <row r="2721">
      <c r="A2721" s="28" t="n">
        <v>43491</v>
      </c>
      <c r="B2721" s="25">
        <f>VLOOKUP(A2721,'Database Claims'!$A:$C,3,)</f>
        <v/>
      </c>
      <c r="C2721" s="29">
        <f>B2721-B2720</f>
        <v/>
      </c>
      <c r="D2721" s="25">
        <f>VLOOKUP(A2721,'Database Claims'!$A:$C,2,)</f>
        <v/>
      </c>
      <c r="E2721" s="29">
        <f>D2721-D2720</f>
        <v/>
      </c>
    </row>
    <row r="2722">
      <c r="A2722" s="28" t="n">
        <v>43498</v>
      </c>
      <c r="B2722" s="29">
        <f>VLOOKUP(A2722,'Database Claims'!$A:$C,3,)</f>
        <v/>
      </c>
      <c r="C2722" s="29">
        <f>B2722-B2721</f>
        <v/>
      </c>
      <c r="D2722" s="29">
        <f>VLOOKUP(A2722,'Database Claims'!$A:$C,2,)</f>
        <v/>
      </c>
      <c r="E2722" s="29">
        <f>D2722-D2721</f>
        <v/>
      </c>
    </row>
    <row r="2723">
      <c r="A2723" s="28" t="n">
        <v>43505</v>
      </c>
      <c r="B2723" s="25">
        <f>VLOOKUP(A2723,'Database Claims'!$A:$C,3,)</f>
        <v/>
      </c>
      <c r="C2723" s="29">
        <f>B2723-B2722</f>
        <v/>
      </c>
      <c r="D2723" s="25">
        <f>VLOOKUP(A2723,'Database Claims'!$A:$C,2,)</f>
        <v/>
      </c>
      <c r="E2723" s="29">
        <f>D2723-D2722</f>
        <v/>
      </c>
    </row>
    <row r="2724">
      <c r="A2724" s="28" t="n">
        <v>43512</v>
      </c>
      <c r="B2724" s="29">
        <f>VLOOKUP(A2724,'Database Claims'!$A:$C,3,)</f>
        <v/>
      </c>
      <c r="C2724" s="29">
        <f>B2724-B2723</f>
        <v/>
      </c>
      <c r="D2724" s="29">
        <f>VLOOKUP(A2724,'Database Claims'!$A:$C,2,)</f>
        <v/>
      </c>
      <c r="E2724" s="29">
        <f>D2724-D2723</f>
        <v/>
      </c>
    </row>
    <row r="2725">
      <c r="A2725" s="28" t="n">
        <v>43519</v>
      </c>
      <c r="B2725" s="25">
        <f>VLOOKUP(A2725,'Database Claims'!$A:$C,3,)</f>
        <v/>
      </c>
      <c r="C2725" s="29">
        <f>B2725-B2724</f>
        <v/>
      </c>
      <c r="D2725" s="25">
        <f>VLOOKUP(A2725,'Database Claims'!$A:$C,2,)</f>
        <v/>
      </c>
      <c r="E2725" s="29">
        <f>D2725-D2724</f>
        <v/>
      </c>
    </row>
    <row r="2726">
      <c r="A2726" s="28" t="n">
        <v>43526</v>
      </c>
      <c r="B2726" s="29">
        <f>VLOOKUP(A2726,'Database Claims'!$A:$C,3,)</f>
        <v/>
      </c>
      <c r="C2726" s="29">
        <f>B2726-B2725</f>
        <v/>
      </c>
      <c r="D2726" s="29">
        <f>VLOOKUP(A2726,'Database Claims'!$A:$C,2,)</f>
        <v/>
      </c>
      <c r="E2726" s="29">
        <f>D2726-D2725</f>
        <v/>
      </c>
    </row>
    <row r="2727">
      <c r="A2727" s="28" t="n">
        <v>43533</v>
      </c>
      <c r="B2727" s="25">
        <f>VLOOKUP(A2727,'Database Claims'!$A:$C,3,)</f>
        <v/>
      </c>
      <c r="C2727" s="29">
        <f>B2727-B2726</f>
        <v/>
      </c>
      <c r="D2727" s="25">
        <f>VLOOKUP(A2727,'Database Claims'!$A:$C,2,)</f>
        <v/>
      </c>
      <c r="E2727" s="29">
        <f>D2727-D2726</f>
        <v/>
      </c>
    </row>
    <row r="2728">
      <c r="A2728" s="28" t="n">
        <v>43540</v>
      </c>
      <c r="B2728" s="29">
        <f>VLOOKUP(A2728,'Database Claims'!$A:$C,3,)</f>
        <v/>
      </c>
      <c r="C2728" s="29">
        <f>B2728-B2727</f>
        <v/>
      </c>
      <c r="D2728" s="29">
        <f>VLOOKUP(A2728,'Database Claims'!$A:$C,2,)</f>
        <v/>
      </c>
      <c r="E2728" s="29">
        <f>D2728-D2727</f>
        <v/>
      </c>
    </row>
    <row r="2729">
      <c r="A2729" s="28" t="n">
        <v>43547</v>
      </c>
      <c r="B2729" s="25">
        <f>VLOOKUP(A2729,'Database Claims'!$A:$C,3,)</f>
        <v/>
      </c>
      <c r="C2729" s="29">
        <f>B2729-B2728</f>
        <v/>
      </c>
      <c r="D2729" s="25">
        <f>VLOOKUP(A2729,'Database Claims'!$A:$C,2,)</f>
        <v/>
      </c>
      <c r="E2729" s="29">
        <f>D2729-D2728</f>
        <v/>
      </c>
    </row>
    <row r="2730">
      <c r="A2730" s="28" t="n">
        <v>43554</v>
      </c>
      <c r="B2730" s="29">
        <f>VLOOKUP(A2730,'Database Claims'!$A:$C,3,)</f>
        <v/>
      </c>
      <c r="C2730" s="29">
        <f>B2730-B2729</f>
        <v/>
      </c>
      <c r="D2730" s="29">
        <f>VLOOKUP(A2730,'Database Claims'!$A:$C,2,)</f>
        <v/>
      </c>
      <c r="E2730" s="29">
        <f>D2730-D2729</f>
        <v/>
      </c>
    </row>
    <row r="2731">
      <c r="A2731" s="28" t="n">
        <v>43561</v>
      </c>
      <c r="B2731" s="25">
        <f>VLOOKUP(A2731,'Database Claims'!$A:$C,3,)</f>
        <v/>
      </c>
      <c r="C2731" s="29">
        <f>B2731-B2730</f>
        <v/>
      </c>
      <c r="D2731" s="25">
        <f>VLOOKUP(A2731,'Database Claims'!$A:$C,2,)</f>
        <v/>
      </c>
      <c r="E2731" s="29">
        <f>D2731-D2730</f>
        <v/>
      </c>
    </row>
    <row r="2732">
      <c r="A2732" s="28" t="n">
        <v>43568</v>
      </c>
      <c r="B2732" s="29">
        <f>VLOOKUP(A2732,'Database Claims'!$A:$C,3,)</f>
        <v/>
      </c>
      <c r="C2732" s="29">
        <f>B2732-B2731</f>
        <v/>
      </c>
      <c r="D2732" s="29">
        <f>VLOOKUP(A2732,'Database Claims'!$A:$C,2,)</f>
        <v/>
      </c>
      <c r="E2732" s="29">
        <f>D2732-D2731</f>
        <v/>
      </c>
    </row>
    <row r="2733">
      <c r="A2733" s="28" t="n">
        <v>43575</v>
      </c>
      <c r="B2733" s="25">
        <f>VLOOKUP(A2733,'Database Claims'!$A:$C,3,)</f>
        <v/>
      </c>
      <c r="C2733" s="29">
        <f>B2733-B2732</f>
        <v/>
      </c>
      <c r="D2733" s="25">
        <f>VLOOKUP(A2733,'Database Claims'!$A:$C,2,)</f>
        <v/>
      </c>
      <c r="E2733" s="29">
        <f>D2733-D2732</f>
        <v/>
      </c>
    </row>
    <row r="2734">
      <c r="A2734" s="28" t="n">
        <v>43582</v>
      </c>
      <c r="B2734" s="29">
        <f>VLOOKUP(A2734,'Database Claims'!$A:$C,3,)</f>
        <v/>
      </c>
      <c r="C2734" s="29">
        <f>B2734-B2733</f>
        <v/>
      </c>
      <c r="D2734" s="29">
        <f>VLOOKUP(A2734,'Database Claims'!$A:$C,2,)</f>
        <v/>
      </c>
      <c r="E2734" s="29">
        <f>D2734-D2733</f>
        <v/>
      </c>
    </row>
    <row r="2735">
      <c r="A2735" s="28" t="n">
        <v>43589</v>
      </c>
      <c r="B2735" s="25">
        <f>VLOOKUP(A2735,'Database Claims'!$A:$C,3,)</f>
        <v/>
      </c>
      <c r="C2735" s="29">
        <f>B2735-B2734</f>
        <v/>
      </c>
      <c r="D2735" s="25">
        <f>VLOOKUP(A2735,'Database Claims'!$A:$C,2,)</f>
        <v/>
      </c>
      <c r="E2735" s="29">
        <f>D2735-D2734</f>
        <v/>
      </c>
    </row>
    <row r="2736">
      <c r="A2736" s="28" t="n">
        <v>43596</v>
      </c>
      <c r="B2736" s="29">
        <f>VLOOKUP(A2736,'Database Claims'!$A:$C,3,)</f>
        <v/>
      </c>
      <c r="C2736" s="29">
        <f>B2736-B2735</f>
        <v/>
      </c>
      <c r="D2736" s="29">
        <f>VLOOKUP(A2736,'Database Claims'!$A:$C,2,)</f>
        <v/>
      </c>
      <c r="E2736" s="29">
        <f>D2736-D2735</f>
        <v/>
      </c>
    </row>
    <row r="2737">
      <c r="A2737" s="28" t="n">
        <v>43603</v>
      </c>
      <c r="B2737" s="25">
        <f>VLOOKUP(A2737,'Database Claims'!$A:$C,3,)</f>
        <v/>
      </c>
      <c r="C2737" s="29">
        <f>B2737-B2736</f>
        <v/>
      </c>
      <c r="D2737" s="25">
        <f>VLOOKUP(A2737,'Database Claims'!$A:$C,2,)</f>
        <v/>
      </c>
      <c r="E2737" s="29">
        <f>D2737-D2736</f>
        <v/>
      </c>
    </row>
    <row r="2738">
      <c r="A2738" s="28" t="n">
        <v>43610</v>
      </c>
      <c r="B2738" s="29">
        <f>VLOOKUP(A2738,'Database Claims'!$A:$C,3,)</f>
        <v/>
      </c>
      <c r="C2738" s="29">
        <f>B2738-B2737</f>
        <v/>
      </c>
      <c r="D2738" s="29">
        <f>VLOOKUP(A2738,'Database Claims'!$A:$C,2,)</f>
        <v/>
      </c>
      <c r="E2738" s="29">
        <f>D2738-D2737</f>
        <v/>
      </c>
    </row>
    <row r="2739">
      <c r="A2739" s="28" t="n">
        <v>43617</v>
      </c>
      <c r="B2739" s="25">
        <f>VLOOKUP(A2739,'Database Claims'!$A:$C,3,)</f>
        <v/>
      </c>
      <c r="C2739" s="29">
        <f>B2739-B2738</f>
        <v/>
      </c>
      <c r="D2739" s="25">
        <f>VLOOKUP(A2739,'Database Claims'!$A:$C,2,)</f>
        <v/>
      </c>
      <c r="E2739" s="29">
        <f>D2739-D2738</f>
        <v/>
      </c>
    </row>
    <row r="2740">
      <c r="A2740" s="28" t="n">
        <v>43624</v>
      </c>
      <c r="B2740" s="29">
        <f>VLOOKUP(A2740,'Database Claims'!$A:$C,3,)</f>
        <v/>
      </c>
      <c r="C2740" s="29">
        <f>B2740-B2739</f>
        <v/>
      </c>
      <c r="D2740" s="29">
        <f>VLOOKUP(A2740,'Database Claims'!$A:$C,2,)</f>
        <v/>
      </c>
      <c r="E2740" s="29">
        <f>D2740-D2739</f>
        <v/>
      </c>
    </row>
    <row r="2741">
      <c r="A2741" s="28" t="n">
        <v>43631</v>
      </c>
      <c r="B2741" s="25">
        <f>VLOOKUP(A2741,'Database Claims'!$A:$C,3,)</f>
        <v/>
      </c>
      <c r="C2741" s="29">
        <f>B2741-B2740</f>
        <v/>
      </c>
      <c r="D2741" s="25">
        <f>VLOOKUP(A2741,'Database Claims'!$A:$C,2,)</f>
        <v/>
      </c>
      <c r="E2741" s="29">
        <f>D2741-D2740</f>
        <v/>
      </c>
    </row>
    <row r="2742">
      <c r="A2742" s="28" t="n">
        <v>43638</v>
      </c>
      <c r="B2742" s="29">
        <f>VLOOKUP(A2742,'Database Claims'!$A:$C,3,)</f>
        <v/>
      </c>
      <c r="C2742" s="29">
        <f>B2742-B2741</f>
        <v/>
      </c>
      <c r="D2742" s="29">
        <f>VLOOKUP(A2742,'Database Claims'!$A:$C,2,)</f>
        <v/>
      </c>
      <c r="E2742" s="29">
        <f>D2742-D2741</f>
        <v/>
      </c>
    </row>
    <row r="2743">
      <c r="A2743" s="28" t="n">
        <v>43645</v>
      </c>
      <c r="B2743" s="25">
        <f>VLOOKUP(A2743,'Database Claims'!$A:$C,3,)</f>
        <v/>
      </c>
      <c r="C2743" s="29">
        <f>B2743-B2742</f>
        <v/>
      </c>
      <c r="D2743" s="25">
        <f>VLOOKUP(A2743,'Database Claims'!$A:$C,2,)</f>
        <v/>
      </c>
      <c r="E2743" s="29">
        <f>D2743-D2742</f>
        <v/>
      </c>
    </row>
    <row r="2744">
      <c r="A2744" s="28" t="n">
        <v>43652</v>
      </c>
      <c r="B2744" s="29">
        <f>VLOOKUP(A2744,'Database Claims'!$A:$C,3,)</f>
        <v/>
      </c>
      <c r="C2744" s="29">
        <f>B2744-B2743</f>
        <v/>
      </c>
      <c r="D2744" s="29">
        <f>VLOOKUP(A2744,'Database Claims'!$A:$C,2,)</f>
        <v/>
      </c>
      <c r="E2744" s="29">
        <f>D2744-D2743</f>
        <v/>
      </c>
    </row>
    <row r="2745" customFormat="1" s="63">
      <c r="A2745" s="28" t="n">
        <v>43659</v>
      </c>
      <c r="B2745" s="25">
        <f>VLOOKUP(A2745,'Database Claims'!$A:$C,3,)</f>
        <v/>
      </c>
      <c r="C2745" s="29">
        <f>B2745-B2744</f>
        <v/>
      </c>
      <c r="D2745" s="25">
        <f>VLOOKUP(A2745,'Database Claims'!$A:$C,2,)</f>
        <v/>
      </c>
      <c r="E2745" s="29">
        <f>D2745-D2744</f>
        <v/>
      </c>
    </row>
    <row r="2746" customFormat="1" s="63">
      <c r="A2746" s="28" t="n">
        <v>43666</v>
      </c>
      <c r="B2746" s="29">
        <f>VLOOKUP(A2746,'Database Claims'!$A:$C,3,)</f>
        <v/>
      </c>
      <c r="C2746" s="29">
        <f>B2746-B2745</f>
        <v/>
      </c>
      <c r="D2746" s="29">
        <f>VLOOKUP(A2746,'Database Claims'!$A:$C,2,)</f>
        <v/>
      </c>
      <c r="E2746" s="29">
        <f>D2746-D2745</f>
        <v/>
      </c>
    </row>
    <row r="2747" customFormat="1" s="63">
      <c r="A2747" s="28" t="n">
        <v>43673</v>
      </c>
      <c r="B2747" s="25">
        <f>VLOOKUP(A2747,'Database Claims'!$A:$C,3,)</f>
        <v/>
      </c>
      <c r="C2747" s="29">
        <f>B2747-B2746</f>
        <v/>
      </c>
      <c r="D2747" s="25">
        <f>VLOOKUP(A2747,'Database Claims'!$A:$C,2,)</f>
        <v/>
      </c>
      <c r="E2747" s="29">
        <f>D2747-D2746</f>
        <v/>
      </c>
    </row>
    <row r="2748" customFormat="1" s="63">
      <c r="A2748" s="28" t="n">
        <v>43680</v>
      </c>
      <c r="B2748" s="29">
        <f>VLOOKUP(A2748,'Database Claims'!$A:$C,3,)</f>
        <v/>
      </c>
      <c r="C2748" s="29">
        <f>B2748-B2747</f>
        <v/>
      </c>
      <c r="D2748" s="29">
        <f>VLOOKUP(A2748,'Database Claims'!$A:$C,2,)</f>
        <v/>
      </c>
      <c r="E2748" s="29">
        <f>D2748-D2747</f>
        <v/>
      </c>
    </row>
    <row r="2749" customFormat="1" s="63">
      <c r="A2749" s="28" t="n">
        <v>43687</v>
      </c>
      <c r="B2749" s="25">
        <f>VLOOKUP(A2749,'Database Claims'!$A:$C,3,)</f>
        <v/>
      </c>
      <c r="C2749" s="29">
        <f>B2749-B2748</f>
        <v/>
      </c>
      <c r="D2749" s="25">
        <f>VLOOKUP(A2749,'Database Claims'!$A:$C,2,)</f>
        <v/>
      </c>
      <c r="E2749" s="29">
        <f>D2749-D2748</f>
        <v/>
      </c>
    </row>
    <row r="2750" customFormat="1" s="63">
      <c r="A2750" s="28" t="n">
        <v>43694</v>
      </c>
      <c r="B2750" s="29">
        <f>VLOOKUP(A2750,'Database Claims'!$A:$C,3,)</f>
        <v/>
      </c>
      <c r="C2750" s="29">
        <f>B2750-B2749</f>
        <v/>
      </c>
      <c r="D2750" s="29">
        <f>VLOOKUP(A2750,'Database Claims'!$A:$C,2,)</f>
        <v/>
      </c>
      <c r="E2750" s="29">
        <f>D2750-D2749</f>
        <v/>
      </c>
    </row>
    <row r="2751" customFormat="1" s="63">
      <c r="A2751" s="28" t="n">
        <v>43701</v>
      </c>
      <c r="B2751" s="25">
        <f>VLOOKUP(A2751,'Database Claims'!$A:$C,3,)</f>
        <v/>
      </c>
      <c r="C2751" s="29">
        <f>B2751-B2750</f>
        <v/>
      </c>
      <c r="D2751" s="25">
        <f>VLOOKUP(A2751,'Database Claims'!$A:$C,2,)</f>
        <v/>
      </c>
      <c r="E2751" s="29">
        <f>D2751-D2750</f>
        <v/>
      </c>
    </row>
    <row r="2752" customFormat="1" s="63">
      <c r="A2752" s="28" t="n">
        <v>43708</v>
      </c>
      <c r="B2752" s="29">
        <f>VLOOKUP(A2752,'Database Claims'!$A:$C,3,)</f>
        <v/>
      </c>
      <c r="C2752" s="29">
        <f>B2752-B2751</f>
        <v/>
      </c>
      <c r="D2752" s="29">
        <f>VLOOKUP(A2752,'Database Claims'!$A:$C,2,)</f>
        <v/>
      </c>
      <c r="E2752" s="29">
        <f>D2752-D2751</f>
        <v/>
      </c>
    </row>
    <row r="2753" customFormat="1" s="63">
      <c r="A2753" s="28" t="n">
        <v>43715</v>
      </c>
      <c r="B2753" s="25">
        <f>VLOOKUP(A2753,'Database Claims'!$A:$C,3,)</f>
        <v/>
      </c>
      <c r="C2753" s="29">
        <f>B2753-B2752</f>
        <v/>
      </c>
      <c r="D2753" s="25">
        <f>VLOOKUP(A2753,'Database Claims'!$A:$C,2,)</f>
        <v/>
      </c>
      <c r="E2753" s="29">
        <f>D2753-D2752</f>
        <v/>
      </c>
    </row>
    <row r="2754" customFormat="1" s="63">
      <c r="A2754" s="28" t="n">
        <v>43722</v>
      </c>
      <c r="B2754" s="29">
        <f>VLOOKUP(A2754,'Database Claims'!$A:$C,3,)</f>
        <v/>
      </c>
      <c r="C2754" s="29">
        <f>B2754-B2753</f>
        <v/>
      </c>
      <c r="D2754" s="29">
        <f>VLOOKUP(A2754,'Database Claims'!$A:$C,2,)</f>
        <v/>
      </c>
      <c r="E2754" s="29">
        <f>D2754-D2753</f>
        <v/>
      </c>
    </row>
    <row r="2755" customFormat="1" s="63">
      <c r="A2755" s="28" t="n">
        <v>43729</v>
      </c>
      <c r="B2755" s="25">
        <f>VLOOKUP(A2755,'Database Claims'!$A:$C,3,)</f>
        <v/>
      </c>
      <c r="C2755" s="29">
        <f>B2755-B2754</f>
        <v/>
      </c>
      <c r="D2755" s="25">
        <f>VLOOKUP(A2755,'Database Claims'!$A:$C,2,)</f>
        <v/>
      </c>
      <c r="E2755" s="29">
        <f>D2755-D2754</f>
        <v/>
      </c>
    </row>
    <row r="2756" customFormat="1" s="63">
      <c r="A2756" s="28" t="n">
        <v>43736</v>
      </c>
      <c r="B2756" s="29">
        <f>VLOOKUP(A2756,'Database Claims'!$A:$C,3,)</f>
        <v/>
      </c>
      <c r="C2756" s="29">
        <f>B2756-B2755</f>
        <v/>
      </c>
      <c r="D2756" s="29">
        <f>VLOOKUP(A2756,'Database Claims'!$A:$C,2,)</f>
        <v/>
      </c>
      <c r="E2756" s="29">
        <f>D2756-D2755</f>
        <v/>
      </c>
    </row>
    <row r="2757" customFormat="1" s="63">
      <c r="A2757" s="28" t="n">
        <v>43743</v>
      </c>
      <c r="B2757" s="25">
        <f>VLOOKUP(A2757,'Database Claims'!$A:$C,3,)</f>
        <v/>
      </c>
      <c r="C2757" s="29">
        <f>B2757-B2756</f>
        <v/>
      </c>
      <c r="D2757" s="25">
        <f>VLOOKUP(A2757,'Database Claims'!$A:$C,2,)</f>
        <v/>
      </c>
      <c r="E2757" s="29">
        <f>D2757-D2756</f>
        <v/>
      </c>
    </row>
    <row r="2758" customFormat="1" s="63">
      <c r="A2758" s="28" t="n">
        <v>43750</v>
      </c>
      <c r="B2758" s="29">
        <f>VLOOKUP(A2758,'Database Claims'!$A:$C,3,)</f>
        <v/>
      </c>
      <c r="C2758" s="29">
        <f>B2758-B2757</f>
        <v/>
      </c>
      <c r="D2758" s="29">
        <f>VLOOKUP(A2758,'Database Claims'!$A:$C,2,)</f>
        <v/>
      </c>
      <c r="E2758" s="29">
        <f>D2758-D2757</f>
        <v/>
      </c>
    </row>
    <row r="2759" customFormat="1" s="63">
      <c r="A2759" s="28" t="n">
        <v>43757</v>
      </c>
      <c r="B2759" s="25">
        <f>VLOOKUP(A2759,'Database Claims'!$A:$C,3,)</f>
        <v/>
      </c>
      <c r="C2759" s="29">
        <f>B2759-B2758</f>
        <v/>
      </c>
      <c r="D2759" s="25">
        <f>VLOOKUP(A2759,'Database Claims'!$A:$C,2,)</f>
        <v/>
      </c>
      <c r="E2759" s="29">
        <f>D2759-D2758</f>
        <v/>
      </c>
    </row>
    <row r="2760" customFormat="1" s="63">
      <c r="A2760" s="28" t="n">
        <v>43764</v>
      </c>
      <c r="B2760" s="29">
        <f>VLOOKUP(A2760,'Database Claims'!$A:$C,3,)</f>
        <v/>
      </c>
      <c r="C2760" s="29">
        <f>B2760-B2759</f>
        <v/>
      </c>
      <c r="D2760" s="29">
        <f>VLOOKUP(A2760,'Database Claims'!$A:$C,2,)</f>
        <v/>
      </c>
      <c r="E2760" s="29">
        <f>D2760-D2759</f>
        <v/>
      </c>
    </row>
    <row r="2761" customFormat="1" s="63">
      <c r="A2761" s="28" t="n">
        <v>43771</v>
      </c>
      <c r="B2761" s="25">
        <f>VLOOKUP(A2761,'Database Claims'!$A:$C,3,)</f>
        <v/>
      </c>
      <c r="C2761" s="29">
        <f>B2761-B2760</f>
        <v/>
      </c>
      <c r="D2761" s="25">
        <f>VLOOKUP(A2761,'Database Claims'!$A:$C,2,)</f>
        <v/>
      </c>
      <c r="E2761" s="29">
        <f>D2761-D2760</f>
        <v/>
      </c>
    </row>
    <row r="2762" customFormat="1" s="63">
      <c r="A2762" s="28" t="n">
        <v>43778</v>
      </c>
      <c r="B2762" s="29">
        <f>VLOOKUP(A2762,'Database Claims'!$A:$C,3,)</f>
        <v/>
      </c>
      <c r="C2762" s="29">
        <f>B2762-B2761</f>
        <v/>
      </c>
      <c r="D2762" s="29">
        <f>VLOOKUP(A2762,'Database Claims'!$A:$C,2,)</f>
        <v/>
      </c>
      <c r="E2762" s="29">
        <f>D2762-D2761</f>
        <v/>
      </c>
    </row>
    <row r="2763" customFormat="1" s="63">
      <c r="A2763" s="28" t="n">
        <v>43785</v>
      </c>
      <c r="B2763" s="25">
        <f>VLOOKUP(A2763,'Database Claims'!$A:$C,3,)</f>
        <v/>
      </c>
      <c r="C2763" s="29">
        <f>B2763-B2762</f>
        <v/>
      </c>
      <c r="D2763" s="25">
        <f>VLOOKUP(A2763,'Database Claims'!$A:$C,2,)</f>
        <v/>
      </c>
      <c r="E2763" s="29">
        <f>D2763-D2762</f>
        <v/>
      </c>
    </row>
    <row r="2764" customFormat="1" s="63">
      <c r="A2764" s="28" t="n">
        <v>43792</v>
      </c>
      <c r="B2764" s="29">
        <f>VLOOKUP(A2764,'Database Claims'!$A:$C,3,)</f>
        <v/>
      </c>
      <c r="C2764" s="29">
        <f>B2764-B2763</f>
        <v/>
      </c>
      <c r="D2764" s="29">
        <f>VLOOKUP(A2764,'Database Claims'!$A:$C,2,)</f>
        <v/>
      </c>
      <c r="E2764" s="29">
        <f>D2764-D2763</f>
        <v/>
      </c>
    </row>
    <row r="2765" customFormat="1" s="63">
      <c r="A2765" s="28" t="n">
        <v>43799</v>
      </c>
      <c r="B2765" s="25">
        <f>VLOOKUP(A2765,'Database Claims'!$A:$C,3,)</f>
        <v/>
      </c>
      <c r="C2765" s="29">
        <f>B2765-B2764</f>
        <v/>
      </c>
      <c r="D2765" s="25">
        <f>VLOOKUP(A2765,'Database Claims'!$A:$C,2,)</f>
        <v/>
      </c>
      <c r="E2765" s="29">
        <f>D2765-D2764</f>
        <v/>
      </c>
    </row>
    <row r="2766" customFormat="1" s="63">
      <c r="A2766" s="28" t="n">
        <v>43806</v>
      </c>
      <c r="B2766" s="29">
        <f>VLOOKUP(A2766,'Database Claims'!$A:$C,3,)</f>
        <v/>
      </c>
      <c r="C2766" s="29">
        <f>B2766-B2765</f>
        <v/>
      </c>
      <c r="D2766" s="29">
        <f>VLOOKUP(A2766,'Database Claims'!$A:$C,2,)</f>
        <v/>
      </c>
      <c r="E2766" s="29">
        <f>D2766-D2765</f>
        <v/>
      </c>
    </row>
    <row r="2767" customFormat="1" s="63">
      <c r="A2767" s="28" t="n">
        <v>43813</v>
      </c>
      <c r="B2767" s="25">
        <f>VLOOKUP(A2767,'Database Claims'!$A:$C,3,)</f>
        <v/>
      </c>
      <c r="C2767" s="29">
        <f>B2767-B2766</f>
        <v/>
      </c>
      <c r="D2767" s="25">
        <f>VLOOKUP(A2767,'Database Claims'!$A:$C,2,)</f>
        <v/>
      </c>
      <c r="E2767" s="29">
        <f>D2767-D2766</f>
        <v/>
      </c>
    </row>
    <row r="2768" customFormat="1" s="63">
      <c r="A2768" s="28" t="n">
        <v>43820</v>
      </c>
      <c r="B2768" s="29">
        <f>VLOOKUP(A2768,'Database Claims'!$A:$C,3,)</f>
        <v/>
      </c>
      <c r="C2768" s="29">
        <f>B2768-B2767</f>
        <v/>
      </c>
      <c r="D2768" s="29">
        <f>VLOOKUP(A2768,'Database Claims'!$A:$C,2,)</f>
        <v/>
      </c>
      <c r="E2768" s="29">
        <f>D2768-D2767</f>
        <v/>
      </c>
    </row>
    <row r="2769" customFormat="1" s="63">
      <c r="A2769" s="28" t="n">
        <v>43827</v>
      </c>
      <c r="B2769" s="25">
        <f>VLOOKUP(A2769,'Database Claims'!$A:$C,3,)</f>
        <v/>
      </c>
      <c r="C2769" s="29">
        <f>B2769-B2768</f>
        <v/>
      </c>
      <c r="D2769" s="25">
        <f>VLOOKUP(A2769,'Database Claims'!$A:$C,2,)</f>
        <v/>
      </c>
      <c r="E2769" s="29">
        <f>D2769-D2768</f>
        <v/>
      </c>
    </row>
    <row r="2770" customFormat="1" s="63">
      <c r="A2770" s="28" t="n">
        <v>43834</v>
      </c>
      <c r="B2770" s="29">
        <f>VLOOKUP(A2770,'Database Claims'!$A:$C,3,)</f>
        <v/>
      </c>
      <c r="C2770" s="29">
        <f>B2770-B2769</f>
        <v/>
      </c>
      <c r="D2770" s="29">
        <f>VLOOKUP(A2770,'Database Claims'!$A:$C,2,)</f>
        <v/>
      </c>
      <c r="E2770" s="29">
        <f>D2770-D2769</f>
        <v/>
      </c>
    </row>
    <row r="2771" customFormat="1" s="63">
      <c r="A2771" s="28" t="n">
        <v>43841</v>
      </c>
      <c r="B2771" s="25">
        <f>VLOOKUP(A2771,'Database Claims'!$A:$C,3,)</f>
        <v/>
      </c>
      <c r="C2771" s="29">
        <f>B2771-B2770</f>
        <v/>
      </c>
      <c r="D2771" s="25">
        <f>VLOOKUP(A2771,'Database Claims'!$A:$C,2,)</f>
        <v/>
      </c>
      <c r="E2771" s="29">
        <f>D2771-D2770</f>
        <v/>
      </c>
    </row>
    <row r="2772" customFormat="1" s="63">
      <c r="A2772" s="28" t="n">
        <v>43848</v>
      </c>
      <c r="B2772" s="29">
        <f>VLOOKUP(A2772,'Database Claims'!$A:$C,3,)</f>
        <v/>
      </c>
      <c r="C2772" s="29">
        <f>B2772-B2771</f>
        <v/>
      </c>
      <c r="D2772" s="29">
        <f>VLOOKUP(A2772,'Database Claims'!$A:$C,2,)</f>
        <v/>
      </c>
      <c r="E2772" s="29">
        <f>D2772-D2771</f>
        <v/>
      </c>
    </row>
    <row r="2773" customFormat="1" s="63">
      <c r="A2773" s="28" t="n">
        <v>43855</v>
      </c>
      <c r="B2773" s="25">
        <f>VLOOKUP(A2773,'Database Claims'!$A:$C,3,)</f>
        <v/>
      </c>
      <c r="C2773" s="29">
        <f>B2773-B2772</f>
        <v/>
      </c>
      <c r="D2773" s="25">
        <f>VLOOKUP(A2773,'Database Claims'!$A:$C,2,)</f>
        <v/>
      </c>
      <c r="E2773" s="29">
        <f>D2773-D2772</f>
        <v/>
      </c>
    </row>
    <row r="2774" customFormat="1" s="63">
      <c r="A2774" s="28" t="n">
        <v>43862</v>
      </c>
      <c r="B2774" s="29">
        <f>VLOOKUP(A2774,'Database Claims'!$A:$C,3,)</f>
        <v/>
      </c>
      <c r="C2774" s="29">
        <f>B2774-B2773</f>
        <v/>
      </c>
      <c r="D2774" s="29">
        <f>VLOOKUP(A2774,'Database Claims'!$A:$C,2,)</f>
        <v/>
      </c>
      <c r="E2774" s="29">
        <f>D2774-D2773</f>
        <v/>
      </c>
    </row>
    <row r="2775" customFormat="1" s="63">
      <c r="A2775" s="28" t="n">
        <v>43869</v>
      </c>
      <c r="B2775" s="25">
        <f>VLOOKUP(A2775,'Database Claims'!$A:$C,3,)</f>
        <v/>
      </c>
      <c r="C2775" s="29">
        <f>B2775-B2774</f>
        <v/>
      </c>
      <c r="D2775" s="25">
        <f>VLOOKUP(A2775,'Database Claims'!$A:$C,2,)</f>
        <v/>
      </c>
      <c r="E2775" s="29">
        <f>D2775-D2774</f>
        <v/>
      </c>
    </row>
    <row r="2776" customFormat="1" s="63">
      <c r="A2776" s="28" t="n">
        <v>43876</v>
      </c>
      <c r="B2776" s="29">
        <f>VLOOKUP(A2776,'Database Claims'!$A:$C,3,)</f>
        <v/>
      </c>
      <c r="C2776" s="29">
        <f>B2776-B2775</f>
        <v/>
      </c>
      <c r="D2776" s="29">
        <f>VLOOKUP(A2776,'Database Claims'!$A:$C,2,)</f>
        <v/>
      </c>
      <c r="E2776" s="29">
        <f>D2776-D2775</f>
        <v/>
      </c>
    </row>
    <row r="2777" customFormat="1" s="63">
      <c r="A2777" s="28" t="n">
        <v>43883</v>
      </c>
      <c r="B2777" s="25">
        <f>VLOOKUP(A2777,'Database Claims'!$A:$C,3,)</f>
        <v/>
      </c>
      <c r="C2777" s="29">
        <f>B2777-B2776</f>
        <v/>
      </c>
      <c r="D2777" s="25">
        <f>VLOOKUP(A2777,'Database Claims'!$A:$C,2,)</f>
        <v/>
      </c>
      <c r="E2777" s="29">
        <f>D2777-D2776</f>
        <v/>
      </c>
    </row>
    <row r="2778" customFormat="1" s="63">
      <c r="A2778" s="28" t="n">
        <v>43890</v>
      </c>
      <c r="B2778" s="29">
        <f>VLOOKUP(A2778,'Database Claims'!$A:$C,3,)</f>
        <v/>
      </c>
      <c r="C2778" s="29">
        <f>B2778-B2777</f>
        <v/>
      </c>
      <c r="D2778" s="29">
        <f>VLOOKUP(A2778,'Database Claims'!$A:$C,2,)</f>
        <v/>
      </c>
      <c r="E2778" s="29">
        <f>D2778-D2777</f>
        <v/>
      </c>
    </row>
    <row r="2779" customFormat="1" s="63">
      <c r="A2779" s="28" t="n">
        <v>43897</v>
      </c>
      <c r="B2779" s="25">
        <f>VLOOKUP(A2779,'Database Claims'!$A:$C,3,)</f>
        <v/>
      </c>
      <c r="C2779" s="29">
        <f>B2779-B2778</f>
        <v/>
      </c>
      <c r="D2779" s="25">
        <f>VLOOKUP(A2779,'Database Claims'!$A:$C,2,)</f>
        <v/>
      </c>
      <c r="E2779" s="29">
        <f>D2779-D2778</f>
        <v/>
      </c>
    </row>
    <row r="2780" customFormat="1" s="63">
      <c r="A2780" s="28" t="n">
        <v>43904</v>
      </c>
      <c r="B2780" s="29">
        <f>VLOOKUP(A2780,'Database Claims'!$A:$C,3,)</f>
        <v/>
      </c>
      <c r="C2780" s="29">
        <f>B2780-B2779</f>
        <v/>
      </c>
      <c r="D2780" s="29">
        <f>VLOOKUP(A2780,'Database Claims'!$A:$C,2,)</f>
        <v/>
      </c>
      <c r="E2780" s="29">
        <f>D2780-D2779</f>
        <v/>
      </c>
    </row>
    <row r="2781" customFormat="1" s="63">
      <c r="A2781" s="28" t="n">
        <v>43911</v>
      </c>
      <c r="B2781" s="25">
        <f>VLOOKUP(A2781,'Database Claims'!$A:$C,3,)</f>
        <v/>
      </c>
      <c r="C2781" s="29">
        <f>B2781-B2780</f>
        <v/>
      </c>
      <c r="D2781" s="25">
        <f>VLOOKUP(A2781,'Database Claims'!$A:$C,2,)</f>
        <v/>
      </c>
      <c r="E2781" s="29">
        <f>D2781-D2780</f>
        <v/>
      </c>
    </row>
    <row r="2782" customFormat="1" s="63">
      <c r="A2782" s="28" t="n">
        <v>43918</v>
      </c>
      <c r="B2782" s="29">
        <f>VLOOKUP(A2782,'Database Claims'!$A:$C,3,)</f>
        <v/>
      </c>
      <c r="C2782" s="29">
        <f>B2782-B2781</f>
        <v/>
      </c>
      <c r="D2782" s="29">
        <f>VLOOKUP(A2782,'Database Claims'!$A:$C,2,)</f>
        <v/>
      </c>
      <c r="E2782" s="29">
        <f>D2782-D2781</f>
        <v/>
      </c>
    </row>
    <row r="2783" customFormat="1" s="63">
      <c r="A2783" s="28" t="n">
        <v>43925</v>
      </c>
      <c r="B2783" s="25">
        <f>VLOOKUP(A2783,'Database Claims'!$A:$C,3,)</f>
        <v/>
      </c>
      <c r="C2783" s="29">
        <f>B2783-B2782</f>
        <v/>
      </c>
      <c r="D2783" s="25">
        <f>VLOOKUP(A2783,'Database Claims'!$A:$C,2,)</f>
        <v/>
      </c>
      <c r="E2783" s="29">
        <f>D2783-D2782</f>
        <v/>
      </c>
    </row>
    <row r="2784" customFormat="1" s="63">
      <c r="A2784" s="28" t="n">
        <v>43932</v>
      </c>
      <c r="B2784" s="29">
        <f>VLOOKUP(A2784,'Database Claims'!$A:$C,3,)</f>
        <v/>
      </c>
      <c r="C2784" s="29">
        <f>B2784-B2783</f>
        <v/>
      </c>
      <c r="D2784" s="29">
        <f>VLOOKUP(A2784,'Database Claims'!$A:$C,2,)</f>
        <v/>
      </c>
      <c r="E2784" s="29">
        <f>D2784-D2783</f>
        <v/>
      </c>
    </row>
    <row r="2785" customFormat="1" s="63">
      <c r="A2785" s="28" t="n">
        <v>43939</v>
      </c>
      <c r="B2785" s="25">
        <f>VLOOKUP(A2785,'Database Claims'!$A:$C,3,)</f>
        <v/>
      </c>
      <c r="C2785" s="29">
        <f>B2785-B2784</f>
        <v/>
      </c>
      <c r="D2785" s="25">
        <f>VLOOKUP(A2785,'Database Claims'!$A:$C,2,)</f>
        <v/>
      </c>
      <c r="E2785" s="29">
        <f>D2785-D2784</f>
        <v/>
      </c>
    </row>
    <row r="2786" customFormat="1" s="63">
      <c r="A2786" s="28" t="n">
        <v>43946</v>
      </c>
      <c r="B2786" s="29">
        <f>VLOOKUP(A2786,'Database Claims'!$A:$C,3,)</f>
        <v/>
      </c>
      <c r="C2786" s="29">
        <f>B2786-B2785</f>
        <v/>
      </c>
      <c r="D2786" s="29">
        <f>VLOOKUP(A2786,'Database Claims'!$A:$C,2,)</f>
        <v/>
      </c>
      <c r="E2786" s="29">
        <f>D2786-D2785</f>
        <v/>
      </c>
    </row>
    <row r="2787" customFormat="1" s="63">
      <c r="A2787" s="28" t="n">
        <v>43953</v>
      </c>
      <c r="B2787" s="25">
        <f>VLOOKUP(A2787,'Database Claims'!$A:$C,3,)</f>
        <v/>
      </c>
      <c r="C2787" s="29">
        <f>B2787-B2786</f>
        <v/>
      </c>
      <c r="D2787" s="25">
        <f>VLOOKUP(A2787,'Database Claims'!$A:$C,2,)</f>
        <v/>
      </c>
      <c r="E2787" s="29">
        <f>D2787-D2786</f>
        <v/>
      </c>
    </row>
    <row r="2788" customFormat="1" s="63">
      <c r="A2788" s="28" t="n">
        <v>43960</v>
      </c>
      <c r="B2788" s="29">
        <f>VLOOKUP(A2788,'Database Claims'!$A:$C,3,)</f>
        <v/>
      </c>
      <c r="C2788" s="29">
        <f>B2788-B2787</f>
        <v/>
      </c>
      <c r="D2788" s="29">
        <f>VLOOKUP(A2788,'Database Claims'!$A:$C,2,)</f>
        <v/>
      </c>
      <c r="E2788" s="29">
        <f>D2788-D2787</f>
        <v/>
      </c>
    </row>
    <row r="2789" customFormat="1" s="63">
      <c r="A2789" s="28" t="n">
        <v>43967</v>
      </c>
      <c r="B2789" s="25">
        <f>VLOOKUP(A2789,'Database Claims'!$A:$C,3,)</f>
        <v/>
      </c>
      <c r="C2789" s="29">
        <f>B2789-B2788</f>
        <v/>
      </c>
      <c r="D2789" s="25">
        <f>VLOOKUP(A2789,'Database Claims'!$A:$C,2,)</f>
        <v/>
      </c>
      <c r="E2789" s="29">
        <f>D2789-D2788</f>
        <v/>
      </c>
    </row>
    <row r="2790" customFormat="1" s="63">
      <c r="A2790" s="28" t="n">
        <v>43974</v>
      </c>
      <c r="B2790" s="29">
        <f>VLOOKUP(A2790,'Database Claims'!$A:$C,3,)</f>
        <v/>
      </c>
      <c r="C2790" s="29">
        <f>B2790-B2789</f>
        <v/>
      </c>
      <c r="D2790" s="29">
        <f>VLOOKUP(A2790,'Database Claims'!$A:$C,2,)</f>
        <v/>
      </c>
      <c r="E2790" s="29">
        <f>D2790-D2789</f>
        <v/>
      </c>
    </row>
    <row r="2791" customFormat="1" s="63">
      <c r="A2791" s="28" t="n">
        <v>43981</v>
      </c>
      <c r="B2791" s="25">
        <f>VLOOKUP(A2791,'Database Claims'!$A:$C,3,)</f>
        <v/>
      </c>
      <c r="C2791" s="29">
        <f>B2791-B2790</f>
        <v/>
      </c>
      <c r="D2791" s="25">
        <f>VLOOKUP(A2791,'Database Claims'!$A:$C,2,)</f>
        <v/>
      </c>
      <c r="E2791" s="29">
        <f>D2791-D2790</f>
        <v/>
      </c>
    </row>
    <row r="2792" customFormat="1" s="63">
      <c r="A2792" s="28" t="n">
        <v>43988</v>
      </c>
      <c r="B2792" s="29">
        <f>VLOOKUP(A2792,'Database Claims'!$A:$C,3,)</f>
        <v/>
      </c>
      <c r="C2792" s="29">
        <f>B2792-B2791</f>
        <v/>
      </c>
      <c r="D2792" s="29">
        <f>VLOOKUP(A2792,'Database Claims'!$A:$C,2,)</f>
        <v/>
      </c>
      <c r="E2792" s="29">
        <f>D2792-D2791</f>
        <v/>
      </c>
    </row>
    <row r="2793" customFormat="1" s="63">
      <c r="A2793" s="28" t="n">
        <v>43995</v>
      </c>
      <c r="B2793" s="25">
        <f>VLOOKUP(A2793,'Database Claims'!$A:$C,3,)</f>
        <v/>
      </c>
      <c r="C2793" s="29">
        <f>B2793-B2792</f>
        <v/>
      </c>
      <c r="D2793" s="25">
        <f>VLOOKUP(A2793,'Database Claims'!$A:$C,2,)</f>
        <v/>
      </c>
      <c r="E2793" s="29">
        <f>D2793-D2792</f>
        <v/>
      </c>
    </row>
    <row r="2794" customFormat="1" s="63">
      <c r="A2794" s="28" t="n">
        <v>44002</v>
      </c>
      <c r="B2794" s="29">
        <f>VLOOKUP(A2794,'Database Claims'!$A:$C,3,)</f>
        <v/>
      </c>
      <c r="C2794" s="29">
        <f>B2794-B2793</f>
        <v/>
      </c>
      <c r="D2794" s="29">
        <f>VLOOKUP(A2794,'Database Claims'!$A:$C,2,)</f>
        <v/>
      </c>
      <c r="E2794" s="29">
        <f>D2794-D2793</f>
        <v/>
      </c>
    </row>
    <row r="2795" customFormat="1" s="63">
      <c r="A2795" s="28" t="n">
        <v>44009</v>
      </c>
      <c r="B2795" s="25">
        <f>VLOOKUP(A2795,'Database Claims'!$A:$C,3,)</f>
        <v/>
      </c>
      <c r="C2795" s="29">
        <f>B2795-B2794</f>
        <v/>
      </c>
      <c r="D2795" s="25">
        <f>VLOOKUP(A2795,'Database Claims'!$A:$C,2,)</f>
        <v/>
      </c>
      <c r="E2795" s="29">
        <f>D2795-D2794</f>
        <v/>
      </c>
    </row>
    <row r="2796" customFormat="1" s="63">
      <c r="A2796" s="28" t="n">
        <v>44016</v>
      </c>
      <c r="B2796" s="29">
        <f>VLOOKUP(A2796,'Database Claims'!$A:$C,3,)</f>
        <v/>
      </c>
      <c r="C2796" s="29">
        <f>B2796-B2795</f>
        <v/>
      </c>
      <c r="D2796" s="29">
        <f>VLOOKUP(A2796,'Database Claims'!$A:$C,2,)</f>
        <v/>
      </c>
      <c r="E2796" s="29">
        <f>D2796-D2795</f>
        <v/>
      </c>
    </row>
    <row r="2797" customFormat="1" s="63">
      <c r="A2797" s="28" t="n">
        <v>44023</v>
      </c>
      <c r="B2797" s="25">
        <f>VLOOKUP(A2797,'Database Claims'!$A:$C,3,)</f>
        <v/>
      </c>
      <c r="C2797" s="29">
        <f>B2797-B2796</f>
        <v/>
      </c>
      <c r="D2797" s="25">
        <f>VLOOKUP(A2797,'Database Claims'!$A:$C,2,)</f>
        <v/>
      </c>
      <c r="E2797" s="29">
        <f>D2797-D2796</f>
        <v/>
      </c>
    </row>
    <row r="2798" customFormat="1" s="63">
      <c r="A2798" s="28" t="n">
        <v>44030</v>
      </c>
      <c r="B2798" s="29">
        <f>VLOOKUP(A2798,'Database Claims'!$A:$C,3,)</f>
        <v/>
      </c>
      <c r="C2798" s="29">
        <f>B2798-B2797</f>
        <v/>
      </c>
      <c r="D2798" s="29">
        <f>VLOOKUP(A2798,'Database Claims'!$A:$C,2,)</f>
        <v/>
      </c>
      <c r="E2798" s="29">
        <f>D2798-D2797</f>
        <v/>
      </c>
    </row>
    <row r="2799" customFormat="1" s="63">
      <c r="A2799" s="28" t="n">
        <v>44037</v>
      </c>
      <c r="B2799" s="25">
        <f>VLOOKUP(A2799,'Database Claims'!$A:$C,3,)</f>
        <v/>
      </c>
      <c r="C2799" s="29">
        <f>B2799-B2798</f>
        <v/>
      </c>
      <c r="D2799" s="25">
        <f>VLOOKUP(A2799,'Database Claims'!$A:$C,2,)</f>
        <v/>
      </c>
      <c r="E2799" s="29">
        <f>D2799-D2798</f>
        <v/>
      </c>
    </row>
    <row r="2800" customFormat="1" s="63">
      <c r="A2800" s="28" t="n">
        <v>44044</v>
      </c>
      <c r="B2800" s="29">
        <f>VLOOKUP(A2800,'Database Claims'!$A:$C,3,)</f>
        <v/>
      </c>
      <c r="C2800" s="29">
        <f>B2800-B2799</f>
        <v/>
      </c>
      <c r="D2800" s="29">
        <f>VLOOKUP(A2800,'Database Claims'!$A:$C,2,)</f>
        <v/>
      </c>
      <c r="E2800" s="29">
        <f>D2800-D2799</f>
        <v/>
      </c>
    </row>
    <row r="2801" customFormat="1" s="63">
      <c r="A2801" s="28" t="n">
        <v>44051</v>
      </c>
      <c r="B2801" s="25">
        <f>VLOOKUP(A2801,'Database Claims'!$A:$C,3,)</f>
        <v/>
      </c>
      <c r="C2801" s="29">
        <f>B2801-B2800</f>
        <v/>
      </c>
      <c r="D2801" s="25">
        <f>VLOOKUP(A2801,'Database Claims'!$A:$C,2,)</f>
        <v/>
      </c>
      <c r="E2801" s="29">
        <f>D2801-D2800</f>
        <v/>
      </c>
    </row>
    <row r="2802" customFormat="1" s="63">
      <c r="A2802" s="28" t="n">
        <v>44058</v>
      </c>
      <c r="B2802" s="29">
        <f>VLOOKUP(A2802,'Database Claims'!$A:$C,3,)</f>
        <v/>
      </c>
      <c r="C2802" s="29">
        <f>B2802-B2801</f>
        <v/>
      </c>
      <c r="D2802" s="29">
        <f>VLOOKUP(A2802,'Database Claims'!$A:$C,2,)</f>
        <v/>
      </c>
      <c r="E2802" s="29">
        <f>D2802-D2801</f>
        <v/>
      </c>
    </row>
    <row r="2803" customFormat="1" s="63">
      <c r="A2803" s="28" t="n">
        <v>44065</v>
      </c>
      <c r="B2803" s="25">
        <f>VLOOKUP(A2803,'Database Claims'!$A:$C,3,)</f>
        <v/>
      </c>
      <c r="C2803" s="29">
        <f>B2803-B2802</f>
        <v/>
      </c>
      <c r="D2803" s="25">
        <f>VLOOKUP(A2803,'Database Claims'!$A:$C,2,)</f>
        <v/>
      </c>
      <c r="E2803" s="29">
        <f>D2803-D2802</f>
        <v/>
      </c>
    </row>
    <row r="2804" customFormat="1" s="63">
      <c r="A2804" s="28" t="n">
        <v>44072</v>
      </c>
      <c r="B2804" s="29">
        <f>VLOOKUP(A2804,'Database Claims'!$A:$C,3,)</f>
        <v/>
      </c>
      <c r="C2804" s="29">
        <f>B2804-B2803</f>
        <v/>
      </c>
      <c r="D2804" s="29">
        <f>VLOOKUP(A2804,'Database Claims'!$A:$C,2,)</f>
        <v/>
      </c>
      <c r="E2804" s="29">
        <f>D2804-D2803</f>
        <v/>
      </c>
    </row>
    <row r="2805" customFormat="1" s="63">
      <c r="A2805" s="28" t="n">
        <v>44079</v>
      </c>
      <c r="B2805" s="25">
        <f>VLOOKUP(A2805,'Database Claims'!$A:$C,3,)</f>
        <v/>
      </c>
      <c r="C2805" s="29">
        <f>B2805-B2804</f>
        <v/>
      </c>
      <c r="D2805" s="25">
        <f>VLOOKUP(A2805,'Database Claims'!$A:$C,2,)</f>
        <v/>
      </c>
      <c r="E2805" s="29">
        <f>D2805-D2804</f>
        <v/>
      </c>
    </row>
    <row r="2806" customFormat="1" s="63">
      <c r="A2806" s="28" t="n">
        <v>44086</v>
      </c>
      <c r="B2806" s="29">
        <f>VLOOKUP(A2806,'Database Claims'!$A:$C,3,)</f>
        <v/>
      </c>
      <c r="C2806" s="29">
        <f>B2806-B2805</f>
        <v/>
      </c>
      <c r="D2806" s="29">
        <f>VLOOKUP(A2806,'Database Claims'!$A:$C,2,)</f>
        <v/>
      </c>
      <c r="E2806" s="29">
        <f>D2806-D2805</f>
        <v/>
      </c>
    </row>
    <row r="2807" customFormat="1" s="63">
      <c r="A2807" s="28" t="n">
        <v>44093</v>
      </c>
      <c r="B2807" s="25">
        <f>VLOOKUP(A2807,'Database Claims'!$A:$C,3,)</f>
        <v/>
      </c>
      <c r="C2807" s="29">
        <f>B2807-B2806</f>
        <v/>
      </c>
      <c r="D2807" s="25">
        <f>VLOOKUP(A2807,'Database Claims'!$A:$C,2,)</f>
        <v/>
      </c>
      <c r="E2807" s="29">
        <f>D2807-D2806</f>
        <v/>
      </c>
    </row>
    <row r="2808" customFormat="1" s="63">
      <c r="A2808" s="28" t="n">
        <v>44100</v>
      </c>
      <c r="B2808" s="29">
        <f>VLOOKUP(A2808,'Database Claims'!$A:$C,3,)</f>
        <v/>
      </c>
      <c r="C2808" s="29">
        <f>B2808-B2807</f>
        <v/>
      </c>
      <c r="D2808" s="29">
        <f>VLOOKUP(A2808,'Database Claims'!$A:$C,2,)</f>
        <v/>
      </c>
      <c r="E2808" s="29">
        <f>D2808-D2807</f>
        <v/>
      </c>
    </row>
    <row r="2809" customFormat="1" s="63">
      <c r="A2809" s="28" t="n">
        <v>44107</v>
      </c>
      <c r="B2809" s="25">
        <f>VLOOKUP(A2809,'Database Claims'!$A:$C,3,)</f>
        <v/>
      </c>
      <c r="C2809" s="29">
        <f>B2809-B2808</f>
        <v/>
      </c>
      <c r="D2809" s="25">
        <f>VLOOKUP(A2809,'Database Claims'!$A:$C,2,)</f>
        <v/>
      </c>
      <c r="E2809" s="29">
        <f>D2809-D2808</f>
        <v/>
      </c>
    </row>
    <row r="2810" customFormat="1" s="63">
      <c r="A2810" s="28" t="n">
        <v>44114</v>
      </c>
      <c r="B2810" s="29">
        <f>VLOOKUP(A2810,'Database Claims'!$A:$C,3,)</f>
        <v/>
      </c>
      <c r="C2810" s="29">
        <f>B2810-B2809</f>
        <v/>
      </c>
      <c r="D2810" s="29">
        <f>VLOOKUP(A2810,'Database Claims'!$A:$C,2,)</f>
        <v/>
      </c>
      <c r="E2810" s="29">
        <f>D2810-D2809</f>
        <v/>
      </c>
    </row>
    <row r="2811" customFormat="1" s="63">
      <c r="A2811" s="28" t="n">
        <v>44121</v>
      </c>
      <c r="B2811" s="25">
        <f>VLOOKUP(A2811,'Database Claims'!$A:$C,3,)</f>
        <v/>
      </c>
      <c r="C2811" s="29">
        <f>B2811-B2810</f>
        <v/>
      </c>
      <c r="D2811" s="25">
        <f>VLOOKUP(A2811,'Database Claims'!$A:$C,2,)</f>
        <v/>
      </c>
      <c r="E2811" s="29">
        <f>D2811-D2810</f>
        <v/>
      </c>
    </row>
    <row r="2812" customFormat="1" s="63">
      <c r="A2812" s="28" t="n">
        <v>44128</v>
      </c>
      <c r="B2812" s="29">
        <f>VLOOKUP(A2812,'Database Claims'!$A:$C,3,)</f>
        <v/>
      </c>
      <c r="C2812" s="29">
        <f>B2812-B2811</f>
        <v/>
      </c>
      <c r="D2812" s="29">
        <f>VLOOKUP(A2812,'Database Claims'!$A:$C,2,)</f>
        <v/>
      </c>
      <c r="E2812" s="29">
        <f>D2812-D2811</f>
        <v/>
      </c>
    </row>
    <row r="2813" customFormat="1" s="63">
      <c r="A2813" s="28" t="n">
        <v>44135</v>
      </c>
      <c r="B2813" s="25">
        <f>VLOOKUP(A2813,'Database Claims'!$A:$C,3,)</f>
        <v/>
      </c>
      <c r="C2813" s="29">
        <f>B2813-B2812</f>
        <v/>
      </c>
      <c r="D2813" s="25">
        <f>VLOOKUP(A2813,'Database Claims'!$A:$C,2,)</f>
        <v/>
      </c>
      <c r="E2813" s="29">
        <f>D2813-D2812</f>
        <v/>
      </c>
    </row>
    <row r="2814" customFormat="1" s="63">
      <c r="A2814" s="28" t="n">
        <v>44142</v>
      </c>
      <c r="B2814" s="29">
        <f>VLOOKUP(A2814,'Database Claims'!$A:$C,3,)</f>
        <v/>
      </c>
      <c r="C2814" s="29">
        <f>B2814-B2813</f>
        <v/>
      </c>
      <c r="D2814" s="29">
        <f>VLOOKUP(A2814,'Database Claims'!$A:$C,2,)</f>
        <v/>
      </c>
      <c r="E2814" s="29">
        <f>D2814-D2813</f>
        <v/>
      </c>
    </row>
    <row r="2815" customFormat="1" s="63">
      <c r="A2815" s="28" t="n">
        <v>44149</v>
      </c>
      <c r="B2815" s="25">
        <f>VLOOKUP(A2815,'Database Claims'!$A:$C,3,)</f>
        <v/>
      </c>
      <c r="C2815" s="29">
        <f>B2815-B2814</f>
        <v/>
      </c>
      <c r="D2815" s="25">
        <f>VLOOKUP(A2815,'Database Claims'!$A:$C,2,)</f>
        <v/>
      </c>
      <c r="E2815" s="29">
        <f>D2815-D2814</f>
        <v/>
      </c>
    </row>
    <row r="2816" customFormat="1" s="63">
      <c r="A2816" s="28" t="n">
        <v>44156</v>
      </c>
      <c r="B2816" s="29">
        <f>VLOOKUP(A2816,'Database Claims'!$A:$C,3,)</f>
        <v/>
      </c>
      <c r="C2816" s="29">
        <f>B2816-B2815</f>
        <v/>
      </c>
      <c r="D2816" s="29">
        <f>VLOOKUP(A2816,'Database Claims'!$A:$C,2,)</f>
        <v/>
      </c>
      <c r="E2816" s="29">
        <f>D2816-D2815</f>
        <v/>
      </c>
    </row>
    <row r="2817" customFormat="1" s="63">
      <c r="A2817" s="28" t="n">
        <v>44163</v>
      </c>
      <c r="B2817" s="25">
        <f>VLOOKUP(A2817,'Database Claims'!$A:$C,3,)</f>
        <v/>
      </c>
      <c r="C2817" s="29">
        <f>B2817-B2816</f>
        <v/>
      </c>
      <c r="D2817" s="25">
        <f>VLOOKUP(A2817,'Database Claims'!$A:$C,2,)</f>
        <v/>
      </c>
      <c r="E2817" s="29">
        <f>D2817-D2816</f>
        <v/>
      </c>
    </row>
    <row r="2818" customFormat="1" s="63">
      <c r="A2818" s="28" t="n">
        <v>44170</v>
      </c>
      <c r="B2818" s="29">
        <f>VLOOKUP(A2818,'Database Claims'!$A:$C,3,)</f>
        <v/>
      </c>
      <c r="C2818" s="29">
        <f>B2818-B2817</f>
        <v/>
      </c>
      <c r="D2818" s="29">
        <f>VLOOKUP(A2818,'Database Claims'!$A:$C,2,)</f>
        <v/>
      </c>
      <c r="E2818" s="29">
        <f>D2818-D2817</f>
        <v/>
      </c>
    </row>
    <row r="2819" customFormat="1" s="63">
      <c r="A2819" s="28" t="n">
        <v>44177</v>
      </c>
      <c r="B2819" s="25">
        <f>VLOOKUP(A2819,'Database Claims'!$A:$C,3,)</f>
        <v/>
      </c>
      <c r="C2819" s="29">
        <f>B2819-B2818</f>
        <v/>
      </c>
      <c r="D2819" s="25">
        <f>VLOOKUP(A2819,'Database Claims'!$A:$C,2,)</f>
        <v/>
      </c>
      <c r="E2819" s="29">
        <f>D2819-D2818</f>
        <v/>
      </c>
    </row>
    <row r="2820" customFormat="1" s="63">
      <c r="A2820" s="28" t="n">
        <v>44184</v>
      </c>
      <c r="B2820" s="29">
        <f>VLOOKUP(A2820,'Database Claims'!$A:$C,3,)</f>
        <v/>
      </c>
      <c r="C2820" s="29">
        <f>B2820-B2819</f>
        <v/>
      </c>
      <c r="D2820" s="29">
        <f>VLOOKUP(A2820,'Database Claims'!$A:$C,2,)</f>
        <v/>
      </c>
      <c r="E2820" s="29">
        <f>D2820-D2819</f>
        <v/>
      </c>
    </row>
    <row r="2821" customFormat="1" s="63">
      <c r="A2821" s="28" t="n">
        <v>44191</v>
      </c>
      <c r="B2821" s="25">
        <f>VLOOKUP(A2821,'Database Claims'!$A:$C,3,)</f>
        <v/>
      </c>
      <c r="C2821" s="29">
        <f>B2821-B2820</f>
        <v/>
      </c>
      <c r="D2821" s="25">
        <f>VLOOKUP(A2821,'Database Claims'!$A:$C,2,)</f>
        <v/>
      </c>
      <c r="E2821" s="29">
        <f>D2821-D2820</f>
        <v/>
      </c>
    </row>
    <row r="2822" customFormat="1" s="63">
      <c r="A2822" s="28" t="n">
        <v>44198</v>
      </c>
      <c r="B2822" s="29">
        <f>VLOOKUP(A2822,'Database Claims'!$A:$C,3,)</f>
        <v/>
      </c>
      <c r="C2822" s="29">
        <f>B2822-B2821</f>
        <v/>
      </c>
      <c r="D2822" s="29">
        <f>VLOOKUP(A2822,'Database Claims'!$A:$C,2,)</f>
        <v/>
      </c>
      <c r="E2822" s="29">
        <f>D2822-D2821</f>
        <v/>
      </c>
    </row>
    <row r="2823" customFormat="1" s="63">
      <c r="A2823" s="28" t="n">
        <v>44205</v>
      </c>
      <c r="B2823" s="25">
        <f>VLOOKUP(A2823,'Database Claims'!$A:$C,3,)</f>
        <v/>
      </c>
      <c r="C2823" s="29">
        <f>B2823-B2822</f>
        <v/>
      </c>
      <c r="D2823" s="25">
        <f>VLOOKUP(A2823,'Database Claims'!$A:$C,2,)</f>
        <v/>
      </c>
      <c r="E2823" s="29">
        <f>D2823-D2822</f>
        <v/>
      </c>
    </row>
    <row r="2824" customFormat="1" s="63">
      <c r="A2824" s="28" t="n">
        <v>44212</v>
      </c>
      <c r="B2824" s="29">
        <f>VLOOKUP(A2824,'Database Claims'!$A:$C,3,)</f>
        <v/>
      </c>
      <c r="C2824" s="29">
        <f>B2824-B2823</f>
        <v/>
      </c>
      <c r="D2824" s="29">
        <f>VLOOKUP(A2824,'Database Claims'!$A:$C,2,)</f>
        <v/>
      </c>
      <c r="E2824" s="29">
        <f>D2824-D2823</f>
        <v/>
      </c>
    </row>
    <row r="2825" customFormat="1" s="63">
      <c r="A2825" s="28" t="n">
        <v>44219</v>
      </c>
      <c r="B2825" s="25">
        <f>VLOOKUP(A2825,'Database Claims'!$A:$C,3,)</f>
        <v/>
      </c>
      <c r="C2825" s="29">
        <f>B2825-B2824</f>
        <v/>
      </c>
      <c r="D2825" s="25">
        <f>VLOOKUP(A2825,'Database Claims'!$A:$C,2,)</f>
        <v/>
      </c>
      <c r="E2825" s="29">
        <f>D2825-D2824</f>
        <v/>
      </c>
    </row>
    <row r="2826" customFormat="1" s="63">
      <c r="A2826" s="28" t="n">
        <v>44226</v>
      </c>
      <c r="B2826" s="29">
        <f>VLOOKUP(A2826,'Database Claims'!$A:$C,3,)</f>
        <v/>
      </c>
      <c r="C2826" s="29">
        <f>B2826-B2825</f>
        <v/>
      </c>
      <c r="D2826" s="29">
        <f>VLOOKUP(A2826,'Database Claims'!$A:$C,2,)</f>
        <v/>
      </c>
      <c r="E2826" s="29">
        <f>D2826-D2825</f>
        <v/>
      </c>
    </row>
    <row r="2827" customFormat="1" s="63">
      <c r="A2827" s="28" t="n">
        <v>44233</v>
      </c>
      <c r="B2827" s="25">
        <f>VLOOKUP(A2827,'Database Claims'!$A:$C,3,)</f>
        <v/>
      </c>
      <c r="C2827" s="29">
        <f>B2827-B2826</f>
        <v/>
      </c>
      <c r="D2827" s="25">
        <f>VLOOKUP(A2827,'Database Claims'!$A:$C,2,)</f>
        <v/>
      </c>
      <c r="E2827" s="29">
        <f>D2827-D2826</f>
        <v/>
      </c>
    </row>
    <row r="2828" customFormat="1" s="63">
      <c r="A2828" s="28" t="n">
        <v>44240</v>
      </c>
      <c r="B2828" s="29">
        <f>VLOOKUP(A2828,'Database Claims'!$A:$C,3,)</f>
        <v/>
      </c>
      <c r="C2828" s="29">
        <f>B2828-B2827</f>
        <v/>
      </c>
      <c r="D2828" s="29">
        <f>VLOOKUP(A2828,'Database Claims'!$A:$C,2,)</f>
        <v/>
      </c>
      <c r="E2828" s="29">
        <f>D2828-D2827</f>
        <v/>
      </c>
    </row>
    <row r="2829" customFormat="1" s="63">
      <c r="A2829" s="28" t="n">
        <v>44247</v>
      </c>
      <c r="B2829" s="25">
        <f>VLOOKUP(A2829,'Database Claims'!$A:$C,3,)</f>
        <v/>
      </c>
      <c r="C2829" s="29">
        <f>B2829-B2828</f>
        <v/>
      </c>
      <c r="D2829" s="25">
        <f>VLOOKUP(A2829,'Database Claims'!$A:$C,2,)</f>
        <v/>
      </c>
      <c r="E2829" s="29">
        <f>D2829-D2828</f>
        <v/>
      </c>
    </row>
    <row r="2830" customFormat="1" s="63">
      <c r="A2830" s="28" t="n">
        <v>44254</v>
      </c>
      <c r="B2830" s="29">
        <f>VLOOKUP(A2830,'Database Claims'!$A:$C,3,)</f>
        <v/>
      </c>
      <c r="C2830" s="29">
        <f>B2830-B2829</f>
        <v/>
      </c>
      <c r="D2830" s="29">
        <f>VLOOKUP(A2830,'Database Claims'!$A:$C,2,)</f>
        <v/>
      </c>
      <c r="E2830" s="29">
        <f>D2830-D2829</f>
        <v/>
      </c>
    </row>
    <row r="2831" customFormat="1" s="63">
      <c r="A2831" s="28" t="n">
        <v>44261</v>
      </c>
      <c r="B2831" s="25">
        <f>VLOOKUP(A2831,'Database Claims'!$A:$C,3,)</f>
        <v/>
      </c>
      <c r="C2831" s="29">
        <f>B2831-B2830</f>
        <v/>
      </c>
      <c r="D2831" s="25">
        <f>VLOOKUP(A2831,'Database Claims'!$A:$C,2,)</f>
        <v/>
      </c>
      <c r="E2831" s="29">
        <f>D2831-D2830</f>
        <v/>
      </c>
    </row>
    <row r="2832" customFormat="1" s="63">
      <c r="A2832" s="28" t="n">
        <v>44268</v>
      </c>
      <c r="B2832" s="29">
        <f>VLOOKUP(A2832,'Database Claims'!$A:$C,3,)</f>
        <v/>
      </c>
      <c r="C2832" s="29">
        <f>B2832-B2831</f>
        <v/>
      </c>
      <c r="D2832" s="29">
        <f>VLOOKUP(A2832,'Database Claims'!$A:$C,2,)</f>
        <v/>
      </c>
      <c r="E2832" s="29">
        <f>D2832-D2831</f>
        <v/>
      </c>
    </row>
    <row r="2833" customFormat="1" s="63">
      <c r="A2833" s="28" t="n">
        <v>44275</v>
      </c>
      <c r="B2833" s="25">
        <f>VLOOKUP(A2833,'Database Claims'!$A:$C,3,)</f>
        <v/>
      </c>
      <c r="C2833" s="29">
        <f>B2833-B2832</f>
        <v/>
      </c>
      <c r="D2833" s="25">
        <f>VLOOKUP(A2833,'Database Claims'!$A:$C,2,)</f>
        <v/>
      </c>
      <c r="E2833" s="29">
        <f>D2833-D2832</f>
        <v/>
      </c>
    </row>
    <row r="2834" customFormat="1" s="63">
      <c r="A2834" s="28" t="n">
        <v>44282</v>
      </c>
      <c r="B2834" s="29">
        <f>VLOOKUP(A2834,'Database Claims'!$A:$C,3,)</f>
        <v/>
      </c>
      <c r="C2834" s="29">
        <f>B2834-B2833</f>
        <v/>
      </c>
      <c r="D2834" s="29">
        <f>VLOOKUP(A2834,'Database Claims'!$A:$C,2,)</f>
        <v/>
      </c>
      <c r="E2834" s="29">
        <f>D2834-D2833</f>
        <v/>
      </c>
    </row>
    <row r="2835" customFormat="1" s="63">
      <c r="A2835" s="28" t="n">
        <v>44289</v>
      </c>
      <c r="B2835" s="25">
        <f>VLOOKUP(A2835,'Database Claims'!$A:$C,3,)</f>
        <v/>
      </c>
      <c r="C2835" s="29">
        <f>B2835-B2834</f>
        <v/>
      </c>
      <c r="D2835" s="25">
        <f>VLOOKUP(A2835,'Database Claims'!$A:$C,2,)</f>
        <v/>
      </c>
      <c r="E2835" s="29">
        <f>D2835-D2834</f>
        <v/>
      </c>
    </row>
    <row r="2836" customFormat="1" s="63">
      <c r="A2836" s="28" t="n">
        <v>44296</v>
      </c>
      <c r="B2836" s="29">
        <f>VLOOKUP(A2836,'Database Claims'!$A:$C,3,)</f>
        <v/>
      </c>
      <c r="C2836" s="29">
        <f>B2836-B2835</f>
        <v/>
      </c>
      <c r="D2836" s="29">
        <f>VLOOKUP(A2836,'Database Claims'!$A:$C,2,)</f>
        <v/>
      </c>
      <c r="E2836" s="29">
        <f>D2836-D2835</f>
        <v/>
      </c>
    </row>
    <row r="2837" customFormat="1" s="63">
      <c r="A2837" s="28" t="n">
        <v>44303</v>
      </c>
      <c r="B2837" s="25">
        <f>VLOOKUP(A2837,'Database Claims'!$A:$C,3,)</f>
        <v/>
      </c>
      <c r="C2837" s="29">
        <f>B2837-B2836</f>
        <v/>
      </c>
      <c r="D2837" s="25">
        <f>VLOOKUP(A2837,'Database Claims'!$A:$C,2,)</f>
        <v/>
      </c>
      <c r="E2837" s="29">
        <f>D2837-D2836</f>
        <v/>
      </c>
    </row>
    <row r="2838" customFormat="1" s="63">
      <c r="A2838" s="28" t="n">
        <v>44310</v>
      </c>
      <c r="B2838" s="29">
        <f>VLOOKUP(A2838,'Database Claims'!$A:$C,3,)</f>
        <v/>
      </c>
      <c r="C2838" s="29">
        <f>B2838-B2837</f>
        <v/>
      </c>
      <c r="D2838" s="29">
        <f>VLOOKUP(A2838,'Database Claims'!$A:$C,2,)</f>
        <v/>
      </c>
      <c r="E2838" s="29">
        <f>D2838-D2837</f>
        <v/>
      </c>
    </row>
    <row r="2839" customFormat="1" s="63">
      <c r="A2839" s="28" t="n">
        <v>44317</v>
      </c>
      <c r="B2839" s="25">
        <f>VLOOKUP(A2839,'Database Claims'!$A:$C,3,)</f>
        <v/>
      </c>
      <c r="C2839" s="29">
        <f>B2839-B2838</f>
        <v/>
      </c>
      <c r="D2839" s="25">
        <f>VLOOKUP(A2839,'Database Claims'!$A:$C,2,)</f>
        <v/>
      </c>
      <c r="E2839" s="29">
        <f>D2839-D2838</f>
        <v/>
      </c>
    </row>
    <row r="2840" customFormat="1" s="63">
      <c r="A2840" s="28" t="n">
        <v>44324</v>
      </c>
      <c r="B2840" s="29">
        <f>VLOOKUP(A2840,'Database Claims'!$A:$C,3,)</f>
        <v/>
      </c>
      <c r="C2840" s="29">
        <f>B2840-B2839</f>
        <v/>
      </c>
      <c r="D2840" s="29">
        <f>VLOOKUP(A2840,'Database Claims'!$A:$C,2,)</f>
        <v/>
      </c>
      <c r="E2840" s="29">
        <f>D2840-D2839</f>
        <v/>
      </c>
    </row>
    <row r="2841" customFormat="1" s="63">
      <c r="A2841" s="28" t="n">
        <v>44331</v>
      </c>
      <c r="B2841" s="25">
        <f>VLOOKUP(A2841,'Database Claims'!$A:$C,3,)</f>
        <v/>
      </c>
      <c r="C2841" s="29">
        <f>B2841-B2840</f>
        <v/>
      </c>
      <c r="D2841" s="25">
        <f>VLOOKUP(A2841,'Database Claims'!$A:$C,2,)</f>
        <v/>
      </c>
      <c r="E2841" s="29">
        <f>D2841-D2840</f>
        <v/>
      </c>
    </row>
    <row r="2842" customFormat="1" s="63">
      <c r="A2842" s="28" t="n">
        <v>44338</v>
      </c>
      <c r="B2842" s="29">
        <f>VLOOKUP(A2842,'Database Claims'!$A:$C,3,)</f>
        <v/>
      </c>
      <c r="C2842" s="29">
        <f>B2842-B2841</f>
        <v/>
      </c>
      <c r="D2842" s="29">
        <f>VLOOKUP(A2842,'Database Claims'!$A:$C,2,)</f>
        <v/>
      </c>
      <c r="E2842" s="29">
        <f>D2842-D2841</f>
        <v/>
      </c>
    </row>
    <row r="2843" customFormat="1" s="63">
      <c r="A2843" s="28" t="n">
        <v>44345</v>
      </c>
      <c r="B2843" s="25">
        <f>VLOOKUP(A2843,'Database Claims'!$A:$C,3,)</f>
        <v/>
      </c>
      <c r="C2843" s="29">
        <f>B2843-B2842</f>
        <v/>
      </c>
      <c r="D2843" s="25">
        <f>VLOOKUP(A2843,'Database Claims'!$A:$C,2,)</f>
        <v/>
      </c>
      <c r="E2843" s="29">
        <f>D2843-D2842</f>
        <v/>
      </c>
    </row>
    <row r="2844" customFormat="1" s="63">
      <c r="A2844" s="28" t="n">
        <v>44352</v>
      </c>
      <c r="B2844" s="29">
        <f>VLOOKUP(A2844,'Database Claims'!$A:$C,3,)</f>
        <v/>
      </c>
      <c r="C2844" s="29">
        <f>B2844-B2843</f>
        <v/>
      </c>
      <c r="D2844" s="29">
        <f>VLOOKUP(A2844,'Database Claims'!$A:$C,2,)</f>
        <v/>
      </c>
      <c r="E2844" s="29">
        <f>D2844-D2843</f>
        <v/>
      </c>
    </row>
    <row r="2845" customFormat="1" s="63">
      <c r="A2845" s="28" t="n">
        <v>44359</v>
      </c>
      <c r="B2845" s="25">
        <f>VLOOKUP(A2845,'Database Claims'!$A:$C,3,)</f>
        <v/>
      </c>
      <c r="C2845" s="29">
        <f>B2845-B2844</f>
        <v/>
      </c>
      <c r="D2845" s="25">
        <f>VLOOKUP(A2845,'Database Claims'!$A:$C,2,)</f>
        <v/>
      </c>
      <c r="E2845" s="29">
        <f>D2845-D2844</f>
        <v/>
      </c>
    </row>
    <row r="2846" customFormat="1" s="63">
      <c r="A2846" s="28" t="n">
        <v>44366</v>
      </c>
      <c r="B2846" s="29">
        <f>VLOOKUP(A2846,'Database Claims'!$A:$C,3,)</f>
        <v/>
      </c>
      <c r="C2846" s="29">
        <f>B2846-B2845</f>
        <v/>
      </c>
      <c r="D2846" s="29">
        <f>VLOOKUP(A2846,'Database Claims'!$A:$C,2,)</f>
        <v/>
      </c>
      <c r="E2846" s="29">
        <f>D2846-D2845</f>
        <v/>
      </c>
    </row>
    <row r="2847" customFormat="1" s="63">
      <c r="A2847" s="28" t="n">
        <v>44373</v>
      </c>
      <c r="B2847" s="25">
        <f>VLOOKUP(A2847,'Database Claims'!$A:$C,3,)</f>
        <v/>
      </c>
      <c r="C2847" s="29">
        <f>B2847-B2846</f>
        <v/>
      </c>
      <c r="D2847" s="25">
        <f>VLOOKUP(A2847,'Database Claims'!$A:$C,2,)</f>
        <v/>
      </c>
      <c r="E2847" s="29">
        <f>D2847-D2846</f>
        <v/>
      </c>
    </row>
    <row r="2848" customFormat="1" s="63">
      <c r="A2848" s="28" t="n">
        <v>44380</v>
      </c>
      <c r="B2848" s="29">
        <f>VLOOKUP(A2848,'Database Claims'!$A:$C,3,)</f>
        <v/>
      </c>
      <c r="C2848" s="29">
        <f>B2848-B2847</f>
        <v/>
      </c>
      <c r="D2848" s="29">
        <f>VLOOKUP(A2848,'Database Claims'!$A:$C,2,)</f>
        <v/>
      </c>
      <c r="E2848" s="29">
        <f>D2848-D2847</f>
        <v/>
      </c>
    </row>
    <row r="2849" customFormat="1" s="63">
      <c r="A2849" s="28" t="n">
        <v>44387</v>
      </c>
      <c r="B2849" s="25">
        <f>VLOOKUP(A2849,'Database Claims'!$A:$C,3,)</f>
        <v/>
      </c>
      <c r="C2849" s="29">
        <f>B2849-B2848</f>
        <v/>
      </c>
      <c r="D2849" s="25">
        <f>VLOOKUP(A2849,'Database Claims'!$A:$C,2,)</f>
        <v/>
      </c>
      <c r="E2849" s="29">
        <f>D2849-D2848</f>
        <v/>
      </c>
    </row>
    <row r="2850" customFormat="1" s="63">
      <c r="A2850" s="28" t="n">
        <v>44394</v>
      </c>
      <c r="B2850" s="29">
        <f>VLOOKUP(A2850,'Database Claims'!$A:$C,3,)</f>
        <v/>
      </c>
      <c r="C2850" s="29">
        <f>B2850-B2849</f>
        <v/>
      </c>
      <c r="D2850" s="29">
        <f>VLOOKUP(A2850,'Database Claims'!$A:$C,2,)</f>
        <v/>
      </c>
      <c r="E2850" s="29">
        <f>D2850-D2849</f>
        <v/>
      </c>
    </row>
    <row r="2851" customFormat="1" s="63">
      <c r="A2851" s="28" t="n">
        <v>44401</v>
      </c>
      <c r="B2851" s="25">
        <f>VLOOKUP(A2851,'Database Claims'!$A:$C,3,)</f>
        <v/>
      </c>
      <c r="C2851" s="29">
        <f>B2851-B2850</f>
        <v/>
      </c>
      <c r="D2851" s="25">
        <f>VLOOKUP(A2851,'Database Claims'!$A:$C,2,)</f>
        <v/>
      </c>
      <c r="E2851" s="29">
        <f>D2851-D2850</f>
        <v/>
      </c>
    </row>
    <row r="2852" customFormat="1" s="63">
      <c r="A2852" s="28" t="n">
        <v>44408</v>
      </c>
      <c r="B2852" s="29">
        <f>VLOOKUP(A2852,'Database Claims'!$A:$C,3,)</f>
        <v/>
      </c>
      <c r="C2852" s="29">
        <f>B2852-B2851</f>
        <v/>
      </c>
      <c r="D2852" s="29">
        <f>VLOOKUP(A2852,'Database Claims'!$A:$C,2,)</f>
        <v/>
      </c>
      <c r="E2852" s="29">
        <f>D2852-D2851</f>
        <v/>
      </c>
    </row>
    <row r="2853" customFormat="1" s="63">
      <c r="A2853" s="28" t="n">
        <v>44415</v>
      </c>
      <c r="B2853" s="25">
        <f>VLOOKUP(A2853,'Database Claims'!$A:$C,3,)</f>
        <v/>
      </c>
      <c r="C2853" s="29">
        <f>B2853-B2852</f>
        <v/>
      </c>
      <c r="D2853" s="25">
        <f>VLOOKUP(A2853,'Database Claims'!$A:$C,2,)</f>
        <v/>
      </c>
      <c r="E2853" s="29">
        <f>D2853-D2852</f>
        <v/>
      </c>
    </row>
    <row r="2854" customFormat="1" s="63">
      <c r="A2854" s="28" t="n">
        <v>44422</v>
      </c>
      <c r="B2854" s="29">
        <f>VLOOKUP(A2854,'Database Claims'!$A:$C,3,)</f>
        <v/>
      </c>
      <c r="C2854" s="29">
        <f>B2854-B2853</f>
        <v/>
      </c>
      <c r="D2854" s="29">
        <f>VLOOKUP(A2854,'Database Claims'!$A:$C,2,)</f>
        <v/>
      </c>
      <c r="E2854" s="29">
        <f>D2854-D2853</f>
        <v/>
      </c>
    </row>
    <row r="2855" customFormat="1" s="63">
      <c r="A2855" s="28" t="n">
        <v>44429</v>
      </c>
      <c r="B2855" s="25">
        <f>VLOOKUP(A2855,'Database Claims'!$A:$C,3,)</f>
        <v/>
      </c>
      <c r="C2855" s="29">
        <f>B2855-B2854</f>
        <v/>
      </c>
      <c r="D2855" s="25">
        <f>VLOOKUP(A2855,'Database Claims'!$A:$C,2,)</f>
        <v/>
      </c>
      <c r="E2855" s="29">
        <f>D2855-D2854</f>
        <v/>
      </c>
    </row>
    <row r="2856" customFormat="1" s="63">
      <c r="A2856" s="28" t="n">
        <v>44436</v>
      </c>
      <c r="B2856" s="29">
        <f>VLOOKUP(A2856,'Database Claims'!$A:$C,3,)</f>
        <v/>
      </c>
      <c r="C2856" s="29">
        <f>B2856-B2855</f>
        <v/>
      </c>
      <c r="D2856" s="29">
        <f>VLOOKUP(A2856,'Database Claims'!$A:$C,2,)</f>
        <v/>
      </c>
      <c r="E2856" s="29">
        <f>D2856-D2855</f>
        <v/>
      </c>
    </row>
    <row r="2857" customFormat="1" s="63">
      <c r="A2857" s="28" t="n">
        <v>44443</v>
      </c>
      <c r="B2857" s="25">
        <f>VLOOKUP(A2857,'Database Claims'!$A:$C,3,)</f>
        <v/>
      </c>
      <c r="C2857" s="29">
        <f>B2857-B2856</f>
        <v/>
      </c>
      <c r="D2857" s="25">
        <f>VLOOKUP(A2857,'Database Claims'!$A:$C,2,)</f>
        <v/>
      </c>
      <c r="E2857" s="29">
        <f>D2857-D2856</f>
        <v/>
      </c>
    </row>
    <row r="2858" customFormat="1" s="63">
      <c r="A2858" s="28" t="n">
        <v>44450</v>
      </c>
      <c r="B2858" s="29">
        <f>VLOOKUP(A2858,'Database Claims'!$A:$C,3,)</f>
        <v/>
      </c>
      <c r="C2858" s="29">
        <f>B2858-B2857</f>
        <v/>
      </c>
      <c r="D2858" s="29">
        <f>VLOOKUP(A2858,'Database Claims'!$A:$C,2,)</f>
        <v/>
      </c>
      <c r="E2858" s="29">
        <f>D2858-D2857</f>
        <v/>
      </c>
    </row>
    <row r="2859" customFormat="1" s="63">
      <c r="A2859" s="28" t="n">
        <v>44457</v>
      </c>
      <c r="B2859" s="29">
        <f>VLOOKUP(A2859,'Database Claims'!$A:$C,3,)</f>
        <v/>
      </c>
      <c r="C2859" s="29">
        <f>B2859-B2858</f>
        <v/>
      </c>
      <c r="D2859" s="29">
        <f>VLOOKUP(A2859,'Database Claims'!$A:$C,2,)</f>
        <v/>
      </c>
      <c r="E2859" s="29">
        <f>D2859-D2858</f>
        <v/>
      </c>
    </row>
    <row r="2860" customFormat="1" s="63">
      <c r="A2860" s="28" t="n">
        <v>44464</v>
      </c>
      <c r="B2860" s="29">
        <f>VLOOKUP(A2860,'Database Claims'!$A:$C,3,)</f>
        <v/>
      </c>
      <c r="C2860" s="29">
        <f>B2860-B2859</f>
        <v/>
      </c>
      <c r="D2860" s="29">
        <f>VLOOKUP(A2860,'Database Claims'!$A:$C,2,)</f>
        <v/>
      </c>
      <c r="E2860" s="29">
        <f>D2860-D2859</f>
        <v/>
      </c>
    </row>
    <row r="2861" customFormat="1" s="63">
      <c r="A2861" s="28" t="n">
        <v>44471</v>
      </c>
      <c r="B2861" s="25">
        <f>VLOOKUP(A2861,'Database Claims'!$A:$C,3,)</f>
        <v/>
      </c>
      <c r="C2861" s="29">
        <f>B2861-B2860</f>
        <v/>
      </c>
      <c r="D2861" s="25">
        <f>VLOOKUP(A2861,'Database Claims'!$A:$C,2,)</f>
        <v/>
      </c>
      <c r="E2861" s="29">
        <f>D2861-D2860</f>
        <v/>
      </c>
    </row>
    <row r="2862" customFormat="1" s="63">
      <c r="A2862" s="28" t="n">
        <v>44478</v>
      </c>
      <c r="B2862" s="29">
        <f>VLOOKUP(A2862,'Database Claims'!$A:$C,3,)</f>
        <v/>
      </c>
      <c r="C2862" s="29">
        <f>B2862-B2861</f>
        <v/>
      </c>
      <c r="D2862" s="29">
        <f>VLOOKUP(A2862,'Database Claims'!$A:$C,2,)</f>
        <v/>
      </c>
      <c r="E2862" s="29">
        <f>D2862-D2861</f>
        <v/>
      </c>
    </row>
    <row r="2863" customFormat="1" s="63">
      <c r="A2863" s="28" t="n">
        <v>44485</v>
      </c>
      <c r="B2863" s="25">
        <f>VLOOKUP(A2863,'Database Claims'!$A:$C,3,)</f>
        <v/>
      </c>
      <c r="C2863" s="29">
        <f>B2863-B2862</f>
        <v/>
      </c>
      <c r="D2863" s="25">
        <f>VLOOKUP(A2863,'Database Claims'!$A:$C,2,)</f>
        <v/>
      </c>
      <c r="E2863" s="29">
        <f>D2863-D2862</f>
        <v/>
      </c>
    </row>
    <row r="2864" customFormat="1" s="63">
      <c r="A2864" s="28" t="n">
        <v>44492</v>
      </c>
      <c r="B2864" s="29">
        <f>VLOOKUP(A2864,'Database Claims'!$A:$C,3,)</f>
        <v/>
      </c>
      <c r="C2864" s="29">
        <f>B2864-B2863</f>
        <v/>
      </c>
      <c r="D2864" s="29">
        <f>VLOOKUP(A2864,'Database Claims'!$A:$C,2,)</f>
        <v/>
      </c>
      <c r="E2864" s="29">
        <f>D2864-D2863</f>
        <v/>
      </c>
    </row>
    <row r="2865" customFormat="1" s="63">
      <c r="A2865" s="28" t="n">
        <v>44499</v>
      </c>
      <c r="B2865" s="25">
        <f>VLOOKUP(A2865,'Database Claims'!$A:$C,3,)</f>
        <v/>
      </c>
      <c r="C2865" s="29">
        <f>B2865-B2864</f>
        <v/>
      </c>
      <c r="D2865" s="25">
        <f>VLOOKUP(A2865,'Database Claims'!$A:$C,2,)</f>
        <v/>
      </c>
      <c r="E2865" s="29">
        <f>D2865-D2864</f>
        <v/>
      </c>
    </row>
    <row r="2866" customFormat="1" s="63">
      <c r="A2866" s="28" t="n">
        <v>44506</v>
      </c>
      <c r="B2866" s="29">
        <f>VLOOKUP(A2866,'Database Claims'!$A:$C,3,)</f>
        <v/>
      </c>
      <c r="C2866" s="29">
        <f>B2866-B2865</f>
        <v/>
      </c>
      <c r="D2866" s="29">
        <f>VLOOKUP(A2866,'Database Claims'!$A:$C,2,)</f>
        <v/>
      </c>
      <c r="E2866" s="29">
        <f>D2866-D2865</f>
        <v/>
      </c>
    </row>
    <row r="2867" customFormat="1" s="63">
      <c r="A2867" s="28" t="n">
        <v>44513</v>
      </c>
      <c r="B2867" s="25">
        <f>VLOOKUP(A2867,'Database Claims'!$A:$C,3,)</f>
        <v/>
      </c>
      <c r="C2867" s="29">
        <f>B2867-B2866</f>
        <v/>
      </c>
      <c r="D2867" s="25">
        <f>VLOOKUP(A2867,'Database Claims'!$A:$C,2,)</f>
        <v/>
      </c>
      <c r="E2867" s="29">
        <f>D2867-D2866</f>
        <v/>
      </c>
    </row>
    <row r="2868" customFormat="1" s="63">
      <c r="A2868" s="28" t="n">
        <v>44520</v>
      </c>
      <c r="B2868" s="29">
        <f>VLOOKUP(A2868,'Database Claims'!$A:$C,3,)</f>
        <v/>
      </c>
      <c r="C2868" s="29">
        <f>B2868-B2867</f>
        <v/>
      </c>
      <c r="D2868" s="29">
        <f>VLOOKUP(A2868,'Database Claims'!$A:$C,2,)</f>
        <v/>
      </c>
      <c r="E2868" s="29">
        <f>D2868-D2867</f>
        <v/>
      </c>
    </row>
    <row r="2869" customFormat="1" s="63">
      <c r="A2869" s="28" t="n">
        <v>44527</v>
      </c>
      <c r="B2869" s="29">
        <f>VLOOKUP(A2869,'Database Claims'!$A:$C,3,)</f>
        <v/>
      </c>
      <c r="C2869" s="29">
        <f>B2869-B2868</f>
        <v/>
      </c>
      <c r="D2869" s="29">
        <f>VLOOKUP(A2869,'Database Claims'!$A:$C,2,)</f>
        <v/>
      </c>
      <c r="E2869" s="29">
        <f>D2869-D2868</f>
        <v/>
      </c>
    </row>
    <row r="2870" customFormat="1" s="63">
      <c r="A2870" s="28" t="n">
        <v>44534</v>
      </c>
      <c r="B2870" s="25">
        <f>VLOOKUP(A2870,'Database Claims'!$A:$C,3,)</f>
        <v/>
      </c>
      <c r="C2870" s="29">
        <f>B2870-B2869</f>
        <v/>
      </c>
      <c r="D2870" s="25">
        <f>VLOOKUP(A2870,'Database Claims'!$A:$C,2,)</f>
        <v/>
      </c>
      <c r="E2870" s="29">
        <f>D2870-D2869</f>
        <v/>
      </c>
    </row>
    <row r="2871" customFormat="1" s="63">
      <c r="A2871" s="28" t="n">
        <v>44541</v>
      </c>
      <c r="B2871" s="29">
        <f>VLOOKUP(A2871,'Database Claims'!$A:$C,3,)</f>
        <v/>
      </c>
      <c r="C2871" s="29">
        <f>B2871-B2870</f>
        <v/>
      </c>
      <c r="D2871" s="29">
        <f>VLOOKUP(A2871,'Database Claims'!$A:$C,2,)</f>
        <v/>
      </c>
      <c r="E2871" s="29">
        <f>D2871-D2870</f>
        <v/>
      </c>
    </row>
    <row r="2872" customFormat="1" s="63">
      <c r="A2872" s="28" t="n">
        <v>44548</v>
      </c>
      <c r="B2872" s="29">
        <f>VLOOKUP(A2872,'Database Claims'!$A:$C,3,)</f>
        <v/>
      </c>
      <c r="C2872" s="29">
        <f>B2872-B2871</f>
        <v/>
      </c>
      <c r="D2872" s="29">
        <f>VLOOKUP(A2872,'Database Claims'!$A:$C,2,)</f>
        <v/>
      </c>
      <c r="E2872" s="29">
        <f>D2872-D2871</f>
        <v/>
      </c>
    </row>
    <row r="2873" customFormat="1" s="63">
      <c r="A2873" s="28" t="n">
        <v>44555</v>
      </c>
      <c r="B2873" s="29">
        <f>VLOOKUP(A2873,'Database Claims'!$A:$C,3,)</f>
        <v/>
      </c>
      <c r="C2873" s="29">
        <f>B2873-B2872</f>
        <v/>
      </c>
      <c r="D2873" s="29">
        <f>VLOOKUP(A2873,'Database Claims'!$A:$C,2,)</f>
        <v/>
      </c>
      <c r="E2873" s="29">
        <f>D2873-D2872</f>
        <v/>
      </c>
    </row>
    <row r="2874" customFormat="1" s="63">
      <c r="A2874" s="28" t="n">
        <v>44562</v>
      </c>
      <c r="B2874" s="29">
        <f>VLOOKUP(A2874,'Database Claims'!$A:$C,3,)</f>
        <v/>
      </c>
      <c r="C2874" s="29">
        <f>B2874-B2873</f>
        <v/>
      </c>
      <c r="D2874" s="29">
        <f>VLOOKUP(A2874,'Database Claims'!$A:$C,2,)</f>
        <v/>
      </c>
      <c r="E2874" s="29">
        <f>D2874-D2873</f>
        <v/>
      </c>
    </row>
    <row r="2875" customFormat="1" s="63">
      <c r="A2875" s="28" t="n">
        <v>44569</v>
      </c>
      <c r="B2875" s="29">
        <f>VLOOKUP(A2875,'Database Claims'!$A:$C,3,)</f>
        <v/>
      </c>
      <c r="C2875" s="29">
        <f>B2875-B2874</f>
        <v/>
      </c>
      <c r="D2875" s="29">
        <f>VLOOKUP(A2875,'Database Claims'!$A:$C,2,)</f>
        <v/>
      </c>
      <c r="E2875" s="29">
        <f>D2875-D2874</f>
        <v/>
      </c>
    </row>
    <row r="2876" customFormat="1" s="63">
      <c r="A2876" s="28" t="n">
        <v>44576</v>
      </c>
      <c r="B2876" s="29">
        <f>VLOOKUP(A2876,'Database Claims'!$A:$C,3,)</f>
        <v/>
      </c>
      <c r="C2876" s="29">
        <f>B2876-B2875</f>
        <v/>
      </c>
      <c r="D2876" s="29">
        <f>VLOOKUP(A2876,'Database Claims'!$A:$C,2,)</f>
        <v/>
      </c>
      <c r="E2876" s="29">
        <f>D2876-D2875</f>
        <v/>
      </c>
    </row>
    <row r="2877" customFormat="1" s="63">
      <c r="A2877" s="28" t="n">
        <v>44583</v>
      </c>
      <c r="B2877" s="29">
        <f>VLOOKUP(A2877,'Database Claims'!$A:$C,3,)</f>
        <v/>
      </c>
      <c r="C2877" s="29">
        <f>B2877-B2876</f>
        <v/>
      </c>
      <c r="D2877" s="29">
        <f>VLOOKUP(A2877,'Database Claims'!$A:$C,2,)</f>
        <v/>
      </c>
      <c r="E2877" s="29">
        <f>D2877-D2876</f>
        <v/>
      </c>
    </row>
    <row r="2878" customFormat="1" s="63">
      <c r="A2878" s="28" t="n">
        <v>44590</v>
      </c>
      <c r="B2878" s="29">
        <f>VLOOKUP(A2878,'Database Claims'!$A:$C,3,)</f>
        <v/>
      </c>
      <c r="C2878" s="29">
        <f>B2878-B2877</f>
        <v/>
      </c>
      <c r="D2878" s="29">
        <f>VLOOKUP(A2878,'Database Claims'!$A:$C,2,)</f>
        <v/>
      </c>
      <c r="E2878" s="29">
        <f>D2878-D2877</f>
        <v/>
      </c>
    </row>
    <row r="2879" customFormat="1" s="63">
      <c r="A2879" s="28" t="n">
        <v>44597</v>
      </c>
      <c r="B2879" s="25">
        <f>VLOOKUP(A2879,'Database Claims'!$A:$C,3,)</f>
        <v/>
      </c>
      <c r="C2879" s="29">
        <f>B2879-B2878</f>
        <v/>
      </c>
      <c r="D2879" s="25">
        <f>VLOOKUP(A2879,'Database Claims'!$A:$C,2,)</f>
        <v/>
      </c>
      <c r="E2879" s="29">
        <f>D2879-D2878</f>
        <v/>
      </c>
    </row>
    <row r="2880" customFormat="1" s="63">
      <c r="A2880" s="28" t="n">
        <v>44604</v>
      </c>
      <c r="B2880" s="29">
        <f>VLOOKUP(A2880,'Database Claims'!$A:$C,3,)</f>
        <v/>
      </c>
      <c r="C2880" s="29">
        <f>B2880-B2879</f>
        <v/>
      </c>
      <c r="D2880" s="29">
        <f>VLOOKUP(A2880,'Database Claims'!$A:$C,2,)</f>
        <v/>
      </c>
      <c r="E2880" s="29">
        <f>D2880-D2879</f>
        <v/>
      </c>
    </row>
    <row r="2881" customFormat="1" s="63">
      <c r="A2881" s="28" t="n">
        <v>44611</v>
      </c>
      <c r="B2881" s="29">
        <f>VLOOKUP(A2881,'Database Claims'!$A:$C,3,)</f>
        <v/>
      </c>
      <c r="C2881" s="29">
        <f>B2881-B2880</f>
        <v/>
      </c>
      <c r="D2881" s="29">
        <f>VLOOKUP(A2881,'Database Claims'!$A:$C,2,)</f>
        <v/>
      </c>
      <c r="E2881" s="29">
        <f>D2881-D2880</f>
        <v/>
      </c>
    </row>
    <row r="2882" customFormat="1" s="63">
      <c r="A2882" s="28" t="n">
        <v>44618</v>
      </c>
      <c r="B2882" s="29">
        <f>VLOOKUP(A2882,'Database Claims'!$A:$C,3,)</f>
        <v/>
      </c>
      <c r="C2882" s="29">
        <f>B2882-B2881</f>
        <v/>
      </c>
      <c r="D2882" s="29">
        <f>VLOOKUP(A2882,'Database Claims'!$A:$C,2,)</f>
        <v/>
      </c>
      <c r="E2882" s="29">
        <f>D2882-D2881</f>
        <v/>
      </c>
    </row>
    <row r="2883" customFormat="1" s="63">
      <c r="A2883" s="28" t="n">
        <v>44625</v>
      </c>
      <c r="B2883" s="29">
        <f>VLOOKUP(A2883,'Database Claims'!$A:$C,3,)</f>
        <v/>
      </c>
      <c r="C2883" s="29">
        <f>B2883-B2882</f>
        <v/>
      </c>
      <c r="D2883" s="29">
        <f>VLOOKUP(A2883,'Database Claims'!$A:$C,2,)</f>
        <v/>
      </c>
      <c r="E2883" s="29">
        <f>D2883-D2882</f>
        <v/>
      </c>
    </row>
    <row r="2884" customFormat="1" s="63">
      <c r="A2884" s="28" t="n">
        <v>44632</v>
      </c>
      <c r="B2884" s="29">
        <f>VLOOKUP(A2884,'Database Claims'!$A:$C,3,)</f>
        <v/>
      </c>
      <c r="C2884" s="29">
        <f>B2884-B2883</f>
        <v/>
      </c>
      <c r="D2884" s="29">
        <f>VLOOKUP(A2884,'Database Claims'!$A:$C,2,)</f>
        <v/>
      </c>
      <c r="E2884" s="29">
        <f>D2884-D2883</f>
        <v/>
      </c>
    </row>
    <row r="2885" customFormat="1" s="63">
      <c r="A2885" s="28" t="n">
        <v>44639</v>
      </c>
      <c r="B2885" s="29">
        <f>VLOOKUP(A2885,'Database Claims'!$A:$C,3,)</f>
        <v/>
      </c>
      <c r="C2885" s="29">
        <f>B2885-B2884</f>
        <v/>
      </c>
      <c r="D2885" s="29">
        <f>VLOOKUP(A2885,'Database Claims'!$A:$C,2,)</f>
        <v/>
      </c>
      <c r="E2885" s="29">
        <f>D2885-D2884</f>
        <v/>
      </c>
    </row>
    <row r="2886" customFormat="1" s="63">
      <c r="A2886" s="28" t="n">
        <v>44646</v>
      </c>
      <c r="B2886" s="29">
        <f>VLOOKUP(A2886,'Database Claims'!$A:$C,3,)</f>
        <v/>
      </c>
      <c r="C2886" s="29">
        <f>B2886-B2885</f>
        <v/>
      </c>
      <c r="D2886" s="29">
        <f>VLOOKUP(A2886,'Database Claims'!$A:$C,2,)</f>
        <v/>
      </c>
      <c r="E2886" s="29">
        <f>D2886-D2885</f>
        <v/>
      </c>
    </row>
    <row r="2887" customFormat="1" s="63">
      <c r="A2887" s="28" t="n">
        <v>44653</v>
      </c>
      <c r="B2887" s="29">
        <f>VLOOKUP(A2887,'Database Claims'!$A:$C,3,)</f>
        <v/>
      </c>
      <c r="C2887" s="29">
        <f>B2887-B2886</f>
        <v/>
      </c>
      <c r="D2887" s="29">
        <f>VLOOKUP(A2887,'Database Claims'!$A:$C,2,)</f>
        <v/>
      </c>
      <c r="E2887" s="29">
        <f>D2887-D2886</f>
        <v/>
      </c>
    </row>
    <row r="2888" customFormat="1" s="63">
      <c r="A2888" s="28" t="n">
        <v>44660</v>
      </c>
      <c r="B2888" s="29">
        <f>VLOOKUP(A2888,'Database Claims'!$A:$C,3,)</f>
        <v/>
      </c>
      <c r="C2888" s="29">
        <f>B2888-B2887</f>
        <v/>
      </c>
      <c r="D2888" s="29">
        <f>VLOOKUP(A2888,'Database Claims'!$A:$C,2,)</f>
        <v/>
      </c>
      <c r="E2888" s="29">
        <f>D2888-D2887</f>
        <v/>
      </c>
    </row>
    <row r="2889" customFormat="1" s="63">
      <c r="A2889" s="28" t="n">
        <v>44667</v>
      </c>
      <c r="B2889" s="29">
        <f>VLOOKUP(A2889,'Database Claims'!$A:$C,3,)</f>
        <v/>
      </c>
      <c r="C2889" s="29">
        <f>B2889-B2888</f>
        <v/>
      </c>
      <c r="D2889" s="29">
        <f>VLOOKUP(A2889,'Database Claims'!$A:$C,2,)</f>
        <v/>
      </c>
      <c r="E2889" s="29">
        <f>D2889-D2888</f>
        <v/>
      </c>
    </row>
    <row r="2890" customFormat="1" s="63">
      <c r="A2890" s="28" t="n">
        <v>44674</v>
      </c>
      <c r="B2890" s="29">
        <f>VLOOKUP(A2890,'Database Claims'!$A:$C,3,)</f>
        <v/>
      </c>
      <c r="C2890" s="29">
        <f>B2890-B2889</f>
        <v/>
      </c>
      <c r="D2890" s="29">
        <f>VLOOKUP(A2890,'Database Claims'!$A:$C,2,)</f>
        <v/>
      </c>
      <c r="E2890" s="29">
        <f>D2890-D2889</f>
        <v/>
      </c>
    </row>
    <row r="2891" customFormat="1" s="63">
      <c r="A2891" s="28" t="n">
        <v>44681</v>
      </c>
      <c r="B2891" s="29">
        <f>VLOOKUP(A2891,'Database Claims'!$A:$C,3,)</f>
        <v/>
      </c>
      <c r="C2891" s="29">
        <f>B2891-B2890</f>
        <v/>
      </c>
      <c r="D2891" s="29">
        <f>VLOOKUP(A2891,'Database Claims'!$A:$C,2,)</f>
        <v/>
      </c>
      <c r="E2891" s="29">
        <f>D2891-D2890</f>
        <v/>
      </c>
    </row>
    <row r="2892" customFormat="1" s="63">
      <c r="A2892" s="28" t="n">
        <v>44688</v>
      </c>
      <c r="B2892" s="25">
        <f>VLOOKUP(A2892,'Database Claims'!$A:$C,3,)</f>
        <v/>
      </c>
      <c r="C2892" s="29">
        <f>B2892-B2891</f>
        <v/>
      </c>
      <c r="D2892" s="25">
        <f>VLOOKUP(A2892,'Database Claims'!$A:$C,2,)</f>
        <v/>
      </c>
      <c r="E2892" s="29">
        <f>D2892-D2891</f>
        <v/>
      </c>
    </row>
    <row r="2893" customFormat="1" s="63">
      <c r="A2893" s="28" t="n">
        <v>44695</v>
      </c>
      <c r="B2893" s="29">
        <f>VLOOKUP(A2893,'Database Claims'!$A:$C,3,)</f>
        <v/>
      </c>
      <c r="C2893" s="29">
        <f>B2893-B2892</f>
        <v/>
      </c>
      <c r="D2893" s="29">
        <f>VLOOKUP(A2893,'Database Claims'!$A:$C,2,)</f>
        <v/>
      </c>
      <c r="E2893" s="29">
        <f>D2893-D2892</f>
        <v/>
      </c>
    </row>
    <row r="2894" customFormat="1" s="63">
      <c r="A2894" s="28" t="n">
        <v>44702</v>
      </c>
      <c r="B2894" s="29">
        <f>VLOOKUP(A2894,'Database Claims'!$A:$C,3,)</f>
        <v/>
      </c>
      <c r="C2894" s="29">
        <f>B2894-B2893</f>
        <v/>
      </c>
      <c r="D2894" s="29">
        <f>VLOOKUP(A2894,'Database Claims'!$A:$C,2,)</f>
        <v/>
      </c>
      <c r="E2894" s="29">
        <f>D2894-D2893</f>
        <v/>
      </c>
    </row>
    <row r="2895" customFormat="1" s="63">
      <c r="A2895" s="28" t="n">
        <v>44709</v>
      </c>
      <c r="B2895" s="25">
        <f>VLOOKUP(A2895,'Database Claims'!$A:$C,3,)</f>
        <v/>
      </c>
      <c r="C2895" s="29">
        <f>B2895-B2894</f>
        <v/>
      </c>
      <c r="D2895" s="25">
        <f>VLOOKUP(A2895,'Database Claims'!$A:$C,2,)</f>
        <v/>
      </c>
      <c r="E2895" s="29">
        <f>D2895-D2894</f>
        <v/>
      </c>
    </row>
    <row r="2896" customFormat="1" s="63">
      <c r="A2896" s="28" t="n">
        <v>44716</v>
      </c>
      <c r="B2896" s="29">
        <f>VLOOKUP(A2896,'Database Claims'!$A:$C,3,)</f>
        <v/>
      </c>
      <c r="C2896" s="29">
        <f>B2896-B2895</f>
        <v/>
      </c>
      <c r="D2896" s="29">
        <f>VLOOKUP(A2896,'Database Claims'!$A:$C,2,)</f>
        <v/>
      </c>
      <c r="E2896" s="29">
        <f>D2896-D2895</f>
        <v/>
      </c>
    </row>
    <row r="2897" customFormat="1" s="63">
      <c r="A2897" s="28" t="n">
        <v>44723</v>
      </c>
      <c r="B2897" s="29">
        <f>VLOOKUP(A2897,'Database Claims'!$A:$C,3,)</f>
        <v/>
      </c>
      <c r="C2897" s="29">
        <f>B2897-B2896</f>
        <v/>
      </c>
      <c r="D2897" s="29">
        <f>VLOOKUP(A2897,'Database Claims'!$A:$C,2,)</f>
        <v/>
      </c>
      <c r="E2897" s="29">
        <f>D2897-D2896</f>
        <v/>
      </c>
    </row>
    <row r="2898" customFormat="1" s="63">
      <c r="A2898" s="28" t="n">
        <v>44730</v>
      </c>
      <c r="B2898" s="29">
        <f>VLOOKUP(A2898,'Database Claims'!$A:$C,3,)</f>
        <v/>
      </c>
      <c r="C2898" s="29">
        <f>B2898-B2897</f>
        <v/>
      </c>
      <c r="D2898" s="29">
        <f>VLOOKUP(A2898,'Database Claims'!$A:$C,2,)</f>
        <v/>
      </c>
      <c r="E2898" s="29">
        <f>D2898-D2897</f>
        <v/>
      </c>
    </row>
    <row r="2899" customFormat="1" s="63">
      <c r="A2899" s="28" t="n">
        <v>44737</v>
      </c>
      <c r="B2899" s="29">
        <f>VLOOKUP(A2899,'Database Claims'!$A:$C,3,)</f>
        <v/>
      </c>
      <c r="C2899" s="29">
        <f>B2899-B2898</f>
        <v/>
      </c>
      <c r="D2899" s="29">
        <f>VLOOKUP(A2899,'Database Claims'!$A:$C,2,)</f>
        <v/>
      </c>
      <c r="E2899" s="29">
        <f>D2899-D2898</f>
        <v/>
      </c>
    </row>
    <row r="2900" customFormat="1" s="63">
      <c r="A2900" s="28" t="n">
        <v>44744</v>
      </c>
      <c r="B2900" s="25">
        <f>VLOOKUP(A2900,'Database Claims'!$A:$C,3,)</f>
        <v/>
      </c>
      <c r="C2900" s="29">
        <f>B2900-B2899</f>
        <v/>
      </c>
      <c r="D2900" s="25">
        <f>VLOOKUP(A2900,'Database Claims'!$A:$C,2,)</f>
        <v/>
      </c>
      <c r="E2900" s="29">
        <f>D2900-D2899</f>
        <v/>
      </c>
    </row>
    <row r="2901" customFormat="1" s="63">
      <c r="A2901" s="28" t="n">
        <v>44751</v>
      </c>
      <c r="B2901" s="29">
        <f>VLOOKUP(A2901,'Database Claims'!$A:$C,3,)</f>
        <v/>
      </c>
      <c r="C2901" s="29">
        <f>B2901-B2900</f>
        <v/>
      </c>
      <c r="D2901" s="29">
        <f>VLOOKUP(A2901,'Database Claims'!$A:$C,2,)</f>
        <v/>
      </c>
      <c r="E2901" s="29">
        <f>D2901-D2900</f>
        <v/>
      </c>
    </row>
    <row r="2902" customFormat="1" s="63">
      <c r="A2902" s="28" t="n">
        <v>44758</v>
      </c>
      <c r="B2902" s="29">
        <f>VLOOKUP(A2902,'Database Claims'!$A:$C,3,)</f>
        <v/>
      </c>
      <c r="C2902" s="29">
        <f>B2902-B2901</f>
        <v/>
      </c>
      <c r="D2902" s="29">
        <f>VLOOKUP(A2902,'Database Claims'!$A:$C,2,)</f>
        <v/>
      </c>
      <c r="E2902" s="29">
        <f>D2902-D2901</f>
        <v/>
      </c>
    </row>
    <row r="2903" customFormat="1" s="63">
      <c r="A2903" s="28" t="n">
        <v>44765</v>
      </c>
      <c r="B2903" s="29">
        <f>VLOOKUP(A2903,'Database Claims'!$A:$C,3,)</f>
        <v/>
      </c>
      <c r="C2903" s="29">
        <f>B2903-B2902</f>
        <v/>
      </c>
      <c r="D2903" s="29">
        <f>VLOOKUP(A2903,'Database Claims'!$A:$C,2,)</f>
        <v/>
      </c>
      <c r="E2903" s="29">
        <f>D2903-D2902</f>
        <v/>
      </c>
    </row>
    <row r="2904" customFormat="1" s="63">
      <c r="A2904" s="28" t="n">
        <v>44772</v>
      </c>
      <c r="B2904" s="29">
        <f>VLOOKUP(A2904,'Database Claims'!$A:$C,3,)</f>
        <v/>
      </c>
      <c r="C2904" s="29">
        <f>B2904-B2903</f>
        <v/>
      </c>
      <c r="D2904" s="29">
        <f>VLOOKUP(A2904,'Database Claims'!$A:$C,2,)</f>
        <v/>
      </c>
      <c r="E2904" s="29">
        <f>D2904-D2903</f>
        <v/>
      </c>
    </row>
    <row r="2905" customFormat="1" s="63">
      <c r="A2905" s="28" t="n">
        <v>44779</v>
      </c>
      <c r="B2905" s="29">
        <f>VLOOKUP(A2905,'Database Claims'!$A:$C,3,)</f>
        <v/>
      </c>
      <c r="C2905" s="29">
        <f>B2905-B2904</f>
        <v/>
      </c>
      <c r="D2905" s="29">
        <f>VLOOKUP(A2905,'Database Claims'!$A:$C,2,)</f>
        <v/>
      </c>
      <c r="E2905" s="29">
        <f>D2905-D2904</f>
        <v/>
      </c>
    </row>
    <row r="2906" customFormat="1" s="63">
      <c r="A2906" s="28" t="n">
        <v>44786</v>
      </c>
      <c r="B2906" s="29">
        <f>VLOOKUP(A2906,'Database Claims'!$A:$C,3,)</f>
        <v/>
      </c>
      <c r="C2906" s="29">
        <f>B2906-B2905</f>
        <v/>
      </c>
      <c r="D2906" s="29">
        <f>VLOOKUP(A2906,'Database Claims'!$A:$C,2,)</f>
        <v/>
      </c>
      <c r="E2906" s="29">
        <f>D2906-D2905</f>
        <v/>
      </c>
    </row>
    <row r="2907" customFormat="1" s="63">
      <c r="A2907" s="28" t="n">
        <v>44793</v>
      </c>
      <c r="B2907" s="29">
        <f>VLOOKUP(A2907,'Database Claims'!$A:$C,3,)</f>
        <v/>
      </c>
      <c r="C2907" s="29">
        <f>B2907-B2906</f>
        <v/>
      </c>
      <c r="D2907" s="29">
        <f>VLOOKUP(A2907,'Database Claims'!$A:$C,2,)</f>
        <v/>
      </c>
      <c r="E2907" s="29">
        <f>D2907-D2906</f>
        <v/>
      </c>
    </row>
    <row r="2908" customFormat="1" s="63">
      <c r="A2908" s="28" t="n">
        <v>44800</v>
      </c>
      <c r="B2908" s="29">
        <f>VLOOKUP(A2908,'Database Claims'!$A:$C,3,)</f>
        <v/>
      </c>
      <c r="C2908" s="29">
        <f>B2908-B2907</f>
        <v/>
      </c>
      <c r="D2908" s="29">
        <f>VLOOKUP(A2908,'Database Claims'!$A:$C,2,)</f>
        <v/>
      </c>
      <c r="E2908" s="29">
        <f>D2908-D2907</f>
        <v/>
      </c>
    </row>
    <row r="2909" customFormat="1" s="63">
      <c r="A2909" s="28" t="n">
        <v>44807</v>
      </c>
      <c r="B2909" s="29">
        <f>VLOOKUP(A2909,'Database Claims'!$A:$C,3,)</f>
        <v/>
      </c>
      <c r="C2909" s="29">
        <f>B2909-B2908</f>
        <v/>
      </c>
      <c r="D2909" s="29">
        <f>VLOOKUP(A2909,'Database Claims'!$A:$C,2,)</f>
        <v/>
      </c>
      <c r="E2909" s="29">
        <f>D2909-D2908</f>
        <v/>
      </c>
    </row>
    <row r="2910" customFormat="1" s="63">
      <c r="A2910" s="28" t="n">
        <v>44814</v>
      </c>
      <c r="B2910" s="29">
        <f>VLOOKUP(A2910,'Database Claims'!$A:$C,3,)</f>
        <v/>
      </c>
      <c r="C2910" s="29">
        <f>B2910-B2909</f>
        <v/>
      </c>
      <c r="D2910" s="29">
        <f>VLOOKUP(A2910,'Database Claims'!$A:$C,2,)</f>
        <v/>
      </c>
      <c r="E2910" s="29">
        <f>D2910-D2909</f>
        <v/>
      </c>
    </row>
    <row r="2911" customFormat="1" s="63">
      <c r="A2911" s="28" t="n">
        <v>44821</v>
      </c>
      <c r="B2911" s="29">
        <f>VLOOKUP(A2911,'Database Claims'!$A:$C,3,)</f>
        <v/>
      </c>
      <c r="C2911" s="29">
        <f>B2911-B2910</f>
        <v/>
      </c>
      <c r="D2911" s="29">
        <f>VLOOKUP(A2911,'Database Claims'!$A:$C,2,)</f>
        <v/>
      </c>
      <c r="E2911" s="29">
        <f>D2911-D2910</f>
        <v/>
      </c>
    </row>
    <row r="2912" customFormat="1" s="63">
      <c r="A2912" s="28" t="n">
        <v>44828</v>
      </c>
      <c r="B2912" s="29">
        <f>VLOOKUP(A2912,'Database Claims'!$A:$C,3,)</f>
        <v/>
      </c>
      <c r="C2912" s="29">
        <f>B2912-B2911</f>
        <v/>
      </c>
      <c r="D2912" s="29">
        <f>VLOOKUP(A2912,'Database Claims'!$A:$C,2,)</f>
        <v/>
      </c>
      <c r="E2912" s="29">
        <f>D2912-D2911</f>
        <v/>
      </c>
    </row>
    <row r="2913" customFormat="1" s="63">
      <c r="A2913" s="28" t="n">
        <v>44835</v>
      </c>
      <c r="B2913" s="29">
        <f>VLOOKUP(A2913,'Database Claims'!$A:$C,3,)</f>
        <v/>
      </c>
      <c r="C2913" s="29">
        <f>B2913-B2912</f>
        <v/>
      </c>
      <c r="D2913" s="29">
        <f>VLOOKUP(A2913,'Database Claims'!$A:$C,2,)</f>
        <v/>
      </c>
      <c r="E2913" s="29">
        <f>D2913-D2912</f>
        <v/>
      </c>
    </row>
    <row r="2914" customFormat="1" s="63">
      <c r="A2914" s="28" t="n">
        <v>44842</v>
      </c>
      <c r="B2914" s="29">
        <f>VLOOKUP(A2914,'Database Claims'!$A:$C,3,)</f>
        <v/>
      </c>
      <c r="C2914" s="29">
        <f>B2914-B2913</f>
        <v/>
      </c>
      <c r="D2914" s="29">
        <f>VLOOKUP(A2914,'Database Claims'!$A:$C,2,)</f>
        <v/>
      </c>
      <c r="E2914" s="29">
        <f>D2914-D2913</f>
        <v/>
      </c>
    </row>
    <row r="2915" customFormat="1" s="63">
      <c r="A2915" s="28" t="n">
        <v>44849</v>
      </c>
      <c r="B2915" s="29">
        <f>VLOOKUP(A2915,'Database Claims'!$A:$C,3,)</f>
        <v/>
      </c>
      <c r="C2915" s="29">
        <f>B2915-B2914</f>
        <v/>
      </c>
      <c r="D2915" s="29">
        <f>VLOOKUP(A2915,'Database Claims'!$A:$C,2,)</f>
        <v/>
      </c>
      <c r="E2915" s="29">
        <f>D2915-D2914</f>
        <v/>
      </c>
    </row>
    <row r="2916" customFormat="1" s="63">
      <c r="A2916" s="28" t="n">
        <v>44856</v>
      </c>
      <c r="B2916" s="29">
        <f>VLOOKUP(A2916,'Database Claims'!$A:$C,3,)</f>
        <v/>
      </c>
      <c r="C2916" s="29">
        <f>B2916-B2915</f>
        <v/>
      </c>
      <c r="D2916" s="29">
        <f>VLOOKUP(A2916,'Database Claims'!$A:$C,2,)</f>
        <v/>
      </c>
      <c r="E2916" s="29">
        <f>D2916-D2915</f>
        <v/>
      </c>
    </row>
    <row r="2917" customFormat="1" s="63">
      <c r="A2917" s="28" t="n">
        <v>44863</v>
      </c>
      <c r="B2917" s="29">
        <f>VLOOKUP(A2917,'Database Claims'!$A:$C,3,)</f>
        <v/>
      </c>
      <c r="C2917" s="29">
        <f>B2917-B2916</f>
        <v/>
      </c>
      <c r="D2917" s="29">
        <f>VLOOKUP(A2917,'Database Claims'!$A:$C,2,)</f>
        <v/>
      </c>
      <c r="E2917" s="29">
        <f>D2917-D2916</f>
        <v/>
      </c>
    </row>
    <row r="2918" customFormat="1" s="63">
      <c r="A2918" s="28" t="n">
        <v>44870</v>
      </c>
      <c r="B2918" s="29">
        <f>VLOOKUP(A2918,'Database Claims'!$A:$C,3,)</f>
        <v/>
      </c>
      <c r="C2918" s="29">
        <f>B2918-B2917</f>
        <v/>
      </c>
      <c r="D2918" s="29">
        <f>VLOOKUP(A2918,'Database Claims'!$A:$C,2,)</f>
        <v/>
      </c>
      <c r="E2918" s="29">
        <f>D2918-D2917</f>
        <v/>
      </c>
    </row>
    <row r="2919" customFormat="1" s="63">
      <c r="A2919" s="28" t="n">
        <v>44877</v>
      </c>
      <c r="B2919" s="29">
        <f>VLOOKUP(A2919,'Database Claims'!$A:$C,3,)</f>
        <v/>
      </c>
      <c r="C2919" s="29">
        <f>B2919-B2918</f>
        <v/>
      </c>
      <c r="D2919" s="29">
        <f>VLOOKUP(A2919,'Database Claims'!$A:$C,2,)</f>
        <v/>
      </c>
      <c r="E2919" s="29">
        <f>D2919-D2918</f>
        <v/>
      </c>
    </row>
    <row r="2920" customFormat="1" s="63">
      <c r="A2920" s="28" t="n">
        <v>44884</v>
      </c>
      <c r="B2920" s="29">
        <f>VLOOKUP(A2920,'Database Claims'!$A:$C,3,)</f>
        <v/>
      </c>
      <c r="C2920" s="29">
        <f>B2920-B2919</f>
        <v/>
      </c>
      <c r="D2920" s="29">
        <f>VLOOKUP(A2920,'Database Claims'!$A:$C,2,)</f>
        <v/>
      </c>
      <c r="E2920" s="29">
        <f>D2920-D2919</f>
        <v/>
      </c>
    </row>
    <row r="2921" customFormat="1" s="63"/>
    <row r="2922" customFormat="1" s="63"/>
    <row r="2923" customFormat="1" s="63"/>
    <row r="2924" customFormat="1" s="63"/>
    <row r="2925" customFormat="1" s="63"/>
    <row r="2926" customFormat="1" s="63"/>
    <row r="2927" customFormat="1" s="63"/>
    <row r="2928" customFormat="1" s="63"/>
    <row r="2929" customFormat="1" s="63"/>
    <row r="2930" customFormat="1" s="63"/>
    <row r="2931" customFormat="1" s="63"/>
    <row r="2932" customFormat="1" s="63"/>
    <row r="2933" customFormat="1" s="63"/>
    <row r="2934" customFormat="1" s="63"/>
    <row r="2935" customFormat="1" s="63"/>
    <row r="2936" customFormat="1" s="63"/>
    <row r="2937" customFormat="1" s="63"/>
    <row r="2938" customFormat="1" s="63"/>
    <row r="2939" customFormat="1" s="63"/>
    <row r="2940" customFormat="1" s="63"/>
    <row r="2941" customFormat="1" s="63"/>
    <row r="2942" customFormat="1" s="63"/>
    <row r="2943" customFormat="1" s="63"/>
    <row r="2944" customFormat="1" s="63"/>
    <row r="2945" customFormat="1" s="63"/>
    <row r="2946" customFormat="1" s="63"/>
    <row r="2947" customFormat="1" s="63"/>
    <row r="2948" customFormat="1" s="63"/>
    <row r="2949" customFormat="1" s="63"/>
    <row r="2950" customFormat="1" s="63"/>
    <row r="2951" customFormat="1" s="63"/>
    <row r="2952" customFormat="1" s="63"/>
    <row r="2953" customFormat="1" s="63"/>
    <row r="2954" customFormat="1" s="63"/>
    <row r="2955" customFormat="1" s="63"/>
    <row r="2956" customFormat="1" s="63"/>
    <row r="2957" customFormat="1" s="63"/>
    <row r="2958" customFormat="1" s="63"/>
    <row r="2959" customFormat="1" s="63"/>
    <row r="2960" customFormat="1" s="63"/>
    <row r="2961" customFormat="1" s="63"/>
    <row r="2962" customFormat="1" s="63"/>
    <row r="2963" customFormat="1" s="63"/>
    <row r="2964" customFormat="1" s="63"/>
    <row r="2965" customFormat="1" s="63"/>
    <row r="2966" customFormat="1" s="63"/>
    <row r="2967" customFormat="1" s="63"/>
    <row r="2968" customFormat="1" s="63"/>
    <row r="2969" customFormat="1" s="63"/>
    <row r="2970" customFormat="1" s="63"/>
    <row r="2971" customFormat="1" s="63"/>
    <row r="2972" customFormat="1" s="63"/>
    <row r="2973" customFormat="1" s="63"/>
    <row r="2974" customFormat="1" s="63"/>
    <row r="2975" customFormat="1" s="63"/>
    <row r="2976" customFormat="1" s="63"/>
    <row r="2977" customFormat="1" s="63"/>
    <row r="2978" customFormat="1" s="63"/>
    <row r="2979" customFormat="1" s="63"/>
    <row r="2980" customFormat="1" s="63"/>
    <row r="2981" customFormat="1" s="63"/>
    <row r="2982" customFormat="1" s="63"/>
    <row r="2983" customFormat="1" s="63"/>
    <row r="2984" customFormat="1" s="63"/>
    <row r="2985" customFormat="1" s="63"/>
    <row r="2986" customFormat="1" s="63"/>
    <row r="2987" customFormat="1" s="63"/>
    <row r="2988" customFormat="1" s="63"/>
    <row r="2989" customFormat="1" s="63"/>
    <row r="2990" customFormat="1" s="63"/>
    <row r="2991" customFormat="1" s="63"/>
    <row r="2992" customFormat="1" s="63"/>
    <row r="2993" customFormat="1" s="63"/>
    <row r="2994" customFormat="1" s="63"/>
    <row r="2995" customFormat="1" s="63"/>
    <row r="2996" customFormat="1" s="63"/>
    <row r="2997" customFormat="1" s="63"/>
    <row r="2998" customFormat="1" s="63"/>
    <row r="2999" customFormat="1" s="63"/>
    <row r="3000" customFormat="1" s="63"/>
    <row r="3001" customFormat="1" s="63"/>
    <row r="3002" customFormat="1" s="63"/>
    <row r="3003" customFormat="1" s="63"/>
    <row r="3004" customFormat="1" s="63"/>
    <row r="3005" customFormat="1" s="63"/>
    <row r="3006" customFormat="1" s="63"/>
    <row r="3007" customFormat="1" s="63"/>
    <row r="3008" customFormat="1" s="63"/>
    <row r="3009" customFormat="1" s="63"/>
    <row r="3010" customFormat="1" s="63"/>
    <row r="3011" customFormat="1" s="63"/>
    <row r="3012" customFormat="1" s="63"/>
    <row r="3013" customFormat="1" s="63"/>
    <row r="3014" customFormat="1" s="63"/>
    <row r="3015" customFormat="1" s="63"/>
    <row r="3016" customFormat="1" s="63"/>
    <row r="3017" customFormat="1" s="63"/>
    <row r="3018" customFormat="1" s="63"/>
    <row r="3019" customFormat="1" s="63"/>
    <row r="3020" customFormat="1" s="63"/>
    <row r="3021" customFormat="1" s="63"/>
    <row r="3022" customFormat="1" s="63"/>
    <row r="3023" customFormat="1" s="63"/>
    <row r="3024" customFormat="1" s="63"/>
    <row r="3025" customFormat="1" s="63"/>
    <row r="3026" customFormat="1" s="63"/>
    <row r="3027" customFormat="1" s="63"/>
    <row r="3028" customFormat="1" s="63"/>
    <row r="3029" customFormat="1" s="63"/>
    <row r="3030" customFormat="1" s="63"/>
    <row r="3031" customFormat="1" s="63"/>
    <row r="3032" customFormat="1" s="63"/>
    <row r="3033" customFormat="1" s="63"/>
    <row r="3034" customFormat="1" s="63"/>
    <row r="3035" customFormat="1" s="63"/>
    <row r="3036" customFormat="1" s="63"/>
    <row r="3037" customFormat="1" s="63"/>
    <row r="3038" customFormat="1" s="63"/>
    <row r="3039" customFormat="1" s="63"/>
    <row r="3040" customFormat="1" s="63"/>
    <row r="3041" customFormat="1" s="63"/>
    <row r="3042" customFormat="1" s="63"/>
    <row r="3043" customFormat="1" s="63"/>
    <row r="3044" customFormat="1" s="63"/>
    <row r="3045" customFormat="1" s="63"/>
    <row r="3046" customFormat="1" s="63"/>
    <row r="3047" customFormat="1" s="63"/>
    <row r="3048" customFormat="1" s="63"/>
    <row r="3049" customFormat="1" s="63"/>
    <row r="3050" customFormat="1" s="63"/>
    <row r="3051" customFormat="1" s="63"/>
    <row r="3052" customFormat="1" s="63"/>
    <row r="3053" customFormat="1" s="63"/>
    <row r="3054" customFormat="1" s="63"/>
    <row r="3055" customFormat="1" s="63"/>
    <row r="3056" customFormat="1" s="63"/>
    <row r="3057" customFormat="1" s="63"/>
    <row r="3058" customFormat="1" s="63"/>
    <row r="3059" customFormat="1" s="63"/>
    <row r="3060" customFormat="1" s="63"/>
    <row r="3061" customFormat="1" s="63"/>
    <row r="3062" customFormat="1" s="63"/>
  </sheetData>
  <conditionalFormatting sqref="B1726:B292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3">
    <tabColor rgb="FF00B050"/>
    <outlinePr summaryBelow="1" summaryRight="1"/>
    <pageSetUpPr/>
  </sheetPr>
  <dimension ref="A1:A1"/>
  <sheetViews>
    <sheetView topLeftCell="A69" zoomScale="110" zoomScaleNormal="110" workbookViewId="0">
      <selection activeCell="AD50" sqref="AD50"/>
    </sheetView>
  </sheetViews>
  <sheetFormatPr baseColWidth="8" defaultColWidth="9.1796875" defaultRowHeight="14.5"/>
  <cols>
    <col width="9.1796875" customWidth="1" style="63" min="1" max="32"/>
    <col width="9.1796875" customWidth="1" style="63" min="33" max="16384"/>
  </cols>
  <sheetData/>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6">
    <tabColor rgb="FF00B050"/>
    <outlinePr summaryBelow="1" summaryRight="1"/>
    <pageSetUpPr/>
  </sheetPr>
  <dimension ref="A1:I551"/>
  <sheetViews>
    <sheetView zoomScale="80" zoomScaleNormal="80" workbookViewId="0">
      <pane ySplit="5" topLeftCell="A241" activePane="bottomLeft" state="frozen"/>
      <selection activeCell="L243" sqref="L243"/>
      <selection pane="bottomLeft" activeCell="Q262" sqref="Q262"/>
    </sheetView>
  </sheetViews>
  <sheetFormatPr baseColWidth="8" defaultColWidth="8.81640625" defaultRowHeight="14.5"/>
  <cols>
    <col width="10.6328125" bestFit="1" customWidth="1" style="3" min="1" max="1"/>
    <col width="11.36328125" customWidth="1" style="3" min="2" max="2"/>
    <col width="9.1796875" customWidth="1" style="3" min="3" max="3"/>
    <col width="9.1796875" customWidth="1" style="63" min="4" max="162"/>
  </cols>
  <sheetData>
    <row r="1" customFormat="1" s="63">
      <c r="A1" s="32" t="inlineStr">
        <is>
          <t>http://www.adpemploymentreport.com/</t>
        </is>
      </c>
      <c r="B1" s="15" t="n"/>
      <c r="C1" s="15" t="n"/>
      <c r="I1" s="17" t="n"/>
    </row>
    <row r="2" customFormat="1" s="63">
      <c r="A2" s="1" t="inlineStr">
        <is>
          <t>https://tradingeconomics.com/united-states/adp-employment-change</t>
        </is>
      </c>
      <c r="B2" s="15" t="n"/>
      <c r="C2" s="15" t="n"/>
    </row>
    <row r="3" customFormat="1" s="63">
      <c r="A3" s="1" t="inlineStr">
        <is>
          <t>https://uk.investing.com/economic-calendar/adp-nonfarm-employment-change-1</t>
        </is>
      </c>
      <c r="B3" s="15" t="n"/>
      <c r="C3" s="15" t="n"/>
    </row>
    <row r="4" customFormat="1" s="63">
      <c r="A4" s="15" t="n"/>
      <c r="B4" s="15" t="n"/>
      <c r="C4" s="15" t="n"/>
    </row>
    <row r="5">
      <c r="A5" s="31" t="inlineStr">
        <is>
          <t>Date</t>
        </is>
      </c>
      <c r="B5" s="31" t="inlineStr">
        <is>
          <t xml:space="preserve">ADP </t>
        </is>
      </c>
      <c r="C5" s="31" t="inlineStr">
        <is>
          <t>NFP</t>
        </is>
      </c>
    </row>
    <row r="6">
      <c r="A6" s="56" t="n">
        <v>37043</v>
      </c>
      <c r="B6" s="57">
        <f>VLOOKUP(A6,'Database ADP'!A:B,2)</f>
        <v/>
      </c>
      <c r="C6" s="57">
        <f>VLOOKUP(A6,NFP!A:C,3)</f>
        <v/>
      </c>
    </row>
    <row r="7">
      <c r="A7" s="56" t="n">
        <v>37073</v>
      </c>
      <c r="B7" s="57">
        <f>VLOOKUP(A7,'Database ADP'!A:B,2)</f>
        <v/>
      </c>
      <c r="C7" s="57">
        <f>VLOOKUP(A7,NFP!A:C,3)</f>
        <v/>
      </c>
    </row>
    <row r="8">
      <c r="A8" s="56" t="n">
        <v>37104</v>
      </c>
      <c r="B8" s="57">
        <f>VLOOKUP(A8,'Database ADP'!A:B,2)</f>
        <v/>
      </c>
      <c r="C8" s="57">
        <f>VLOOKUP(A8,NFP!A:C,3)</f>
        <v/>
      </c>
    </row>
    <row r="9">
      <c r="A9" s="56" t="n">
        <v>37135</v>
      </c>
      <c r="B9" s="57">
        <f>VLOOKUP(A9,'Database ADP'!A:B,2)</f>
        <v/>
      </c>
      <c r="C9" s="57">
        <f>VLOOKUP(A9,NFP!A:C,3)</f>
        <v/>
      </c>
    </row>
    <row r="10">
      <c r="A10" s="56" t="n">
        <v>37165</v>
      </c>
      <c r="B10" s="57">
        <f>VLOOKUP(A10,'Database ADP'!A:B,2)</f>
        <v/>
      </c>
      <c r="C10" s="57">
        <f>VLOOKUP(A10,NFP!A:C,3)</f>
        <v/>
      </c>
    </row>
    <row r="11">
      <c r="A11" s="56" t="n">
        <v>37196</v>
      </c>
      <c r="B11" s="57">
        <f>VLOOKUP(A11,'Database ADP'!A:B,2)</f>
        <v/>
      </c>
      <c r="C11" s="57">
        <f>VLOOKUP(A11,NFP!A:C,3)</f>
        <v/>
      </c>
    </row>
    <row r="12">
      <c r="A12" s="56" t="n">
        <v>37226</v>
      </c>
      <c r="B12" s="57">
        <f>VLOOKUP(A12,'Database ADP'!A:B,2)</f>
        <v/>
      </c>
      <c r="C12" s="57">
        <f>VLOOKUP(A12,NFP!A:C,3)</f>
        <v/>
      </c>
    </row>
    <row r="13">
      <c r="A13" s="56" t="n">
        <v>37257</v>
      </c>
      <c r="B13" s="57">
        <f>VLOOKUP(A13,'Database ADP'!A:B,2)</f>
        <v/>
      </c>
      <c r="C13" s="57">
        <f>VLOOKUP(A13,NFP!A:C,3)</f>
        <v/>
      </c>
    </row>
    <row r="14">
      <c r="A14" s="56" t="n">
        <v>37288</v>
      </c>
      <c r="B14" s="57">
        <f>VLOOKUP(A14,'Database ADP'!A:B,2)</f>
        <v/>
      </c>
      <c r="C14" s="57">
        <f>VLOOKUP(A14,NFP!A:C,3)</f>
        <v/>
      </c>
    </row>
    <row r="15">
      <c r="A15" s="56" t="n">
        <v>37316</v>
      </c>
      <c r="B15" s="57">
        <f>VLOOKUP(A15,'Database ADP'!A:B,2)</f>
        <v/>
      </c>
      <c r="C15" s="57">
        <f>VLOOKUP(A15,NFP!A:C,3)</f>
        <v/>
      </c>
    </row>
    <row r="16">
      <c r="A16" s="56" t="n">
        <v>37347</v>
      </c>
      <c r="B16" s="57">
        <f>VLOOKUP(A16,'Database ADP'!A:B,2)</f>
        <v/>
      </c>
      <c r="C16" s="57">
        <f>VLOOKUP(A16,NFP!A:C,3)</f>
        <v/>
      </c>
    </row>
    <row r="17">
      <c r="A17" s="56" t="n">
        <v>37377</v>
      </c>
      <c r="B17" s="57">
        <f>VLOOKUP(A17,'Database ADP'!A:B,2)</f>
        <v/>
      </c>
      <c r="C17" s="57">
        <f>VLOOKUP(A17,NFP!A:C,3)</f>
        <v/>
      </c>
    </row>
    <row r="18">
      <c r="A18" s="56" t="n">
        <v>37408</v>
      </c>
      <c r="B18" s="57">
        <f>VLOOKUP(A18,'Database ADP'!A:B,2)</f>
        <v/>
      </c>
      <c r="C18" s="57">
        <f>VLOOKUP(A18,NFP!A:C,3)</f>
        <v/>
      </c>
    </row>
    <row r="19">
      <c r="A19" s="56" t="n">
        <v>37438</v>
      </c>
      <c r="B19" s="57">
        <f>VLOOKUP(A19,'Database ADP'!A:B,2)</f>
        <v/>
      </c>
      <c r="C19" s="57">
        <f>VLOOKUP(A19,NFP!A:C,3)</f>
        <v/>
      </c>
    </row>
    <row r="20">
      <c r="A20" s="56" t="n">
        <v>37469</v>
      </c>
      <c r="B20" s="57">
        <f>VLOOKUP(A20,'Database ADP'!A:B,2)</f>
        <v/>
      </c>
      <c r="C20" s="57">
        <f>VLOOKUP(A20,NFP!A:C,3)</f>
        <v/>
      </c>
    </row>
    <row r="21">
      <c r="A21" s="56" t="n">
        <v>37500</v>
      </c>
      <c r="B21" s="57">
        <f>VLOOKUP(A21,'Database ADP'!A:B,2)</f>
        <v/>
      </c>
      <c r="C21" s="57">
        <f>VLOOKUP(A21,NFP!A:C,3)</f>
        <v/>
      </c>
    </row>
    <row r="22">
      <c r="A22" s="56" t="n">
        <v>37530</v>
      </c>
      <c r="B22" s="57">
        <f>VLOOKUP(A22,'Database ADP'!A:B,2)</f>
        <v/>
      </c>
      <c r="C22" s="57">
        <f>VLOOKUP(A22,NFP!A:C,3)</f>
        <v/>
      </c>
    </row>
    <row r="23">
      <c r="A23" s="56" t="n">
        <v>37561</v>
      </c>
      <c r="B23" s="57">
        <f>VLOOKUP(A23,'Database ADP'!A:B,2)</f>
        <v/>
      </c>
      <c r="C23" s="57">
        <f>VLOOKUP(A23,NFP!A:C,3)</f>
        <v/>
      </c>
    </row>
    <row r="24">
      <c r="A24" s="56" t="n">
        <v>37591</v>
      </c>
      <c r="B24" s="57">
        <f>VLOOKUP(A24,'Database ADP'!A:B,2)</f>
        <v/>
      </c>
      <c r="C24" s="57">
        <f>VLOOKUP(A24,NFP!A:C,3)</f>
        <v/>
      </c>
    </row>
    <row r="25">
      <c r="A25" s="56" t="n">
        <v>37622</v>
      </c>
      <c r="B25" s="57">
        <f>VLOOKUP(A25,'Database ADP'!A:B,2)</f>
        <v/>
      </c>
      <c r="C25" s="57">
        <f>VLOOKUP(A25,NFP!A:C,3)</f>
        <v/>
      </c>
    </row>
    <row r="26">
      <c r="A26" s="56" t="n">
        <v>37653</v>
      </c>
      <c r="B26" s="57">
        <f>VLOOKUP(A26,'Database ADP'!A:B,2)</f>
        <v/>
      </c>
      <c r="C26" s="57">
        <f>VLOOKUP(A26,NFP!A:C,3)</f>
        <v/>
      </c>
    </row>
    <row r="27">
      <c r="A27" s="56" t="n">
        <v>37681</v>
      </c>
      <c r="B27" s="57">
        <f>VLOOKUP(A27,'Database ADP'!A:B,2)</f>
        <v/>
      </c>
      <c r="C27" s="57">
        <f>VLOOKUP(A27,NFP!A:C,3)</f>
        <v/>
      </c>
    </row>
    <row r="28">
      <c r="A28" s="56" t="n">
        <v>37712</v>
      </c>
      <c r="B28" s="57">
        <f>VLOOKUP(A28,'Database ADP'!A:B,2)</f>
        <v/>
      </c>
      <c r="C28" s="57">
        <f>VLOOKUP(A28,NFP!A:C,3)</f>
        <v/>
      </c>
    </row>
    <row r="29">
      <c r="A29" s="56" t="n">
        <v>37742</v>
      </c>
      <c r="B29" s="57">
        <f>VLOOKUP(A29,'Database ADP'!A:B,2)</f>
        <v/>
      </c>
      <c r="C29" s="57">
        <f>VLOOKUP(A29,NFP!A:C,3)</f>
        <v/>
      </c>
    </row>
    <row r="30">
      <c r="A30" s="56" t="n">
        <v>37773</v>
      </c>
      <c r="B30" s="57">
        <f>VLOOKUP(A30,'Database ADP'!A:B,2)</f>
        <v/>
      </c>
      <c r="C30" s="57">
        <f>VLOOKUP(A30,NFP!A:C,3)</f>
        <v/>
      </c>
    </row>
    <row r="31">
      <c r="A31" s="56" t="n">
        <v>37803</v>
      </c>
      <c r="B31" s="57">
        <f>VLOOKUP(A31,'Database ADP'!A:B,2)</f>
        <v/>
      </c>
      <c r="C31" s="57">
        <f>VLOOKUP(A31,NFP!A:C,3)</f>
        <v/>
      </c>
    </row>
    <row r="32">
      <c r="A32" s="56" t="n">
        <v>37834</v>
      </c>
      <c r="B32" s="57">
        <f>VLOOKUP(A32,'Database ADP'!A:B,2)</f>
        <v/>
      </c>
      <c r="C32" s="57">
        <f>VLOOKUP(A32,NFP!A:C,3)</f>
        <v/>
      </c>
    </row>
    <row r="33">
      <c r="A33" s="56" t="n">
        <v>37865</v>
      </c>
      <c r="B33" s="57">
        <f>VLOOKUP(A33,'Database ADP'!A:B,2)</f>
        <v/>
      </c>
      <c r="C33" s="57">
        <f>VLOOKUP(A33,NFP!A:C,3)</f>
        <v/>
      </c>
    </row>
    <row r="34">
      <c r="A34" s="56" t="n">
        <v>37895</v>
      </c>
      <c r="B34" s="57">
        <f>VLOOKUP(A34,'Database ADP'!A:B,2)</f>
        <v/>
      </c>
      <c r="C34" s="57">
        <f>VLOOKUP(A34,NFP!A:C,3)</f>
        <v/>
      </c>
    </row>
    <row r="35">
      <c r="A35" s="56" t="n">
        <v>37926</v>
      </c>
      <c r="B35" s="57">
        <f>VLOOKUP(A35,'Database ADP'!A:B,2)</f>
        <v/>
      </c>
      <c r="C35" s="57">
        <f>VLOOKUP(A35,NFP!A:C,3)</f>
        <v/>
      </c>
    </row>
    <row r="36">
      <c r="A36" s="56" t="n">
        <v>37956</v>
      </c>
      <c r="B36" s="57">
        <f>VLOOKUP(A36,'Database ADP'!A:B,2)</f>
        <v/>
      </c>
      <c r="C36" s="57">
        <f>VLOOKUP(A36,NFP!A:C,3)</f>
        <v/>
      </c>
    </row>
    <row r="37">
      <c r="A37" s="56" t="n">
        <v>37987</v>
      </c>
      <c r="B37" s="57">
        <f>VLOOKUP(A37,'Database ADP'!A:B,2)</f>
        <v/>
      </c>
      <c r="C37" s="57">
        <f>VLOOKUP(A37,NFP!A:C,3)</f>
        <v/>
      </c>
    </row>
    <row r="38">
      <c r="A38" s="56" t="n">
        <v>38018</v>
      </c>
      <c r="B38" s="57">
        <f>VLOOKUP(A38,'Database ADP'!A:B,2)</f>
        <v/>
      </c>
      <c r="C38" s="57">
        <f>VLOOKUP(A38,NFP!A:C,3)</f>
        <v/>
      </c>
    </row>
    <row r="39">
      <c r="A39" s="56" t="n">
        <v>38047</v>
      </c>
      <c r="B39" s="57">
        <f>VLOOKUP(A39,'Database ADP'!A:B,2)</f>
        <v/>
      </c>
      <c r="C39" s="57">
        <f>VLOOKUP(A39,NFP!A:C,3)</f>
        <v/>
      </c>
    </row>
    <row r="40">
      <c r="A40" s="56" t="n">
        <v>38078</v>
      </c>
      <c r="B40" s="57">
        <f>VLOOKUP(A40,'Database ADP'!A:B,2)</f>
        <v/>
      </c>
      <c r="C40" s="57">
        <f>VLOOKUP(A40,NFP!A:C,3)</f>
        <v/>
      </c>
    </row>
    <row r="41">
      <c r="A41" s="56" t="n">
        <v>38108</v>
      </c>
      <c r="B41" s="57">
        <f>VLOOKUP(A41,'Database ADP'!A:B,2)</f>
        <v/>
      </c>
      <c r="C41" s="57">
        <f>VLOOKUP(A41,NFP!A:C,3)</f>
        <v/>
      </c>
    </row>
    <row r="42">
      <c r="A42" s="56" t="n">
        <v>38139</v>
      </c>
      <c r="B42" s="57">
        <f>VLOOKUP(A42,'Database ADP'!A:B,2)</f>
        <v/>
      </c>
      <c r="C42" s="57">
        <f>VLOOKUP(A42,NFP!A:C,3)</f>
        <v/>
      </c>
    </row>
    <row r="43">
      <c r="A43" s="56" t="n">
        <v>38169</v>
      </c>
      <c r="B43" s="57">
        <f>VLOOKUP(A43,'Database ADP'!A:B,2)</f>
        <v/>
      </c>
      <c r="C43" s="57">
        <f>VLOOKUP(A43,NFP!A:C,3)</f>
        <v/>
      </c>
    </row>
    <row r="44">
      <c r="A44" s="56" t="n">
        <v>38200</v>
      </c>
      <c r="B44" s="57">
        <f>VLOOKUP(A44,'Database ADP'!A:B,2)</f>
        <v/>
      </c>
      <c r="C44" s="57">
        <f>VLOOKUP(A44,NFP!A:C,3)</f>
        <v/>
      </c>
    </row>
    <row r="45">
      <c r="A45" s="56" t="n">
        <v>38231</v>
      </c>
      <c r="B45" s="57">
        <f>VLOOKUP(A45,'Database ADP'!A:B,2)</f>
        <v/>
      </c>
      <c r="C45" s="57">
        <f>VLOOKUP(A45,NFP!A:C,3)</f>
        <v/>
      </c>
    </row>
    <row r="46">
      <c r="A46" s="56" t="n">
        <v>38261</v>
      </c>
      <c r="B46" s="57">
        <f>VLOOKUP(A46,'Database ADP'!A:B,2)</f>
        <v/>
      </c>
      <c r="C46" s="57">
        <f>VLOOKUP(A46,NFP!A:C,3)</f>
        <v/>
      </c>
    </row>
    <row r="47">
      <c r="A47" s="56" t="n">
        <v>38292</v>
      </c>
      <c r="B47" s="57">
        <f>VLOOKUP(A47,'Database ADP'!A:B,2)</f>
        <v/>
      </c>
      <c r="C47" s="57">
        <f>VLOOKUP(A47,NFP!A:C,3)</f>
        <v/>
      </c>
    </row>
    <row r="48">
      <c r="A48" s="56" t="n">
        <v>38322</v>
      </c>
      <c r="B48" s="57">
        <f>VLOOKUP(A48,'Database ADP'!A:B,2)</f>
        <v/>
      </c>
      <c r="C48" s="57">
        <f>VLOOKUP(A48,NFP!A:C,3)</f>
        <v/>
      </c>
    </row>
    <row r="49">
      <c r="A49" s="56" t="n">
        <v>38353</v>
      </c>
      <c r="B49" s="57">
        <f>VLOOKUP(A49,'Database ADP'!A:B,2)</f>
        <v/>
      </c>
      <c r="C49" s="57">
        <f>VLOOKUP(A49,NFP!A:C,3)</f>
        <v/>
      </c>
    </row>
    <row r="50">
      <c r="A50" s="56" t="n">
        <v>38384</v>
      </c>
      <c r="B50" s="57">
        <f>VLOOKUP(A50,'Database ADP'!A:B,2)</f>
        <v/>
      </c>
      <c r="C50" s="57">
        <f>VLOOKUP(A50,NFP!A:C,3)</f>
        <v/>
      </c>
    </row>
    <row r="51">
      <c r="A51" s="56" t="n">
        <v>38412</v>
      </c>
      <c r="B51" s="57">
        <f>VLOOKUP(A51,'Database ADP'!A:B,2)</f>
        <v/>
      </c>
      <c r="C51" s="57">
        <f>VLOOKUP(A51,NFP!A:C,3)</f>
        <v/>
      </c>
    </row>
    <row r="52">
      <c r="A52" s="56" t="n">
        <v>38443</v>
      </c>
      <c r="B52" s="57">
        <f>VLOOKUP(A52,'Database ADP'!A:B,2)</f>
        <v/>
      </c>
      <c r="C52" s="57">
        <f>VLOOKUP(A52,NFP!A:C,3)</f>
        <v/>
      </c>
    </row>
    <row r="53">
      <c r="A53" s="56" t="n">
        <v>38473</v>
      </c>
      <c r="B53" s="57">
        <f>VLOOKUP(A53,'Database ADP'!A:B,2)</f>
        <v/>
      </c>
      <c r="C53" s="57">
        <f>VLOOKUP(A53,NFP!A:C,3)</f>
        <v/>
      </c>
    </row>
    <row r="54">
      <c r="A54" s="56" t="n">
        <v>38504</v>
      </c>
      <c r="B54" s="57">
        <f>VLOOKUP(A54,'Database ADP'!A:B,2)</f>
        <v/>
      </c>
      <c r="C54" s="57">
        <f>VLOOKUP(A54,NFP!A:C,3)</f>
        <v/>
      </c>
    </row>
    <row r="55">
      <c r="A55" s="56" t="n">
        <v>38534</v>
      </c>
      <c r="B55" s="57">
        <f>VLOOKUP(A55,'Database ADP'!A:B,2)</f>
        <v/>
      </c>
      <c r="C55" s="57">
        <f>VLOOKUP(A55,NFP!A:C,3)</f>
        <v/>
      </c>
    </row>
    <row r="56">
      <c r="A56" s="56" t="n">
        <v>38565</v>
      </c>
      <c r="B56" s="57">
        <f>VLOOKUP(A56,'Database ADP'!A:B,2)</f>
        <v/>
      </c>
      <c r="C56" s="57">
        <f>VLOOKUP(A56,NFP!A:C,3)</f>
        <v/>
      </c>
    </row>
    <row r="57">
      <c r="A57" s="56" t="n">
        <v>38596</v>
      </c>
      <c r="B57" s="57">
        <f>VLOOKUP(A57,'Database ADP'!A:B,2)</f>
        <v/>
      </c>
      <c r="C57" s="57">
        <f>VLOOKUP(A57,NFP!A:C,3)</f>
        <v/>
      </c>
    </row>
    <row r="58">
      <c r="A58" s="56" t="n">
        <v>38626</v>
      </c>
      <c r="B58" s="57">
        <f>VLOOKUP(A58,'Database ADP'!A:B,2)</f>
        <v/>
      </c>
      <c r="C58" s="57">
        <f>VLOOKUP(A58,NFP!A:C,3)</f>
        <v/>
      </c>
    </row>
    <row r="59">
      <c r="A59" s="56" t="n">
        <v>38657</v>
      </c>
      <c r="B59" s="57">
        <f>VLOOKUP(A59,'Database ADP'!A:B,2)</f>
        <v/>
      </c>
      <c r="C59" s="57">
        <f>VLOOKUP(A59,NFP!A:C,3)</f>
        <v/>
      </c>
    </row>
    <row r="60">
      <c r="A60" s="56" t="n">
        <v>38687</v>
      </c>
      <c r="B60" s="57">
        <f>VLOOKUP(A60,'Database ADP'!A:B,2)</f>
        <v/>
      </c>
      <c r="C60" s="57">
        <f>VLOOKUP(A60,NFP!A:C,3)</f>
        <v/>
      </c>
    </row>
    <row r="61">
      <c r="A61" s="56" t="n">
        <v>38718</v>
      </c>
      <c r="B61" s="57">
        <f>VLOOKUP(A61,'Database ADP'!A:B,2)</f>
        <v/>
      </c>
      <c r="C61" s="57">
        <f>VLOOKUP(A61,NFP!A:C,3)</f>
        <v/>
      </c>
    </row>
    <row r="62">
      <c r="A62" s="56" t="n">
        <v>38749</v>
      </c>
      <c r="B62" s="57">
        <f>VLOOKUP(A62,'Database ADP'!A:B,2)</f>
        <v/>
      </c>
      <c r="C62" s="57">
        <f>VLOOKUP(A62,NFP!A:C,3)</f>
        <v/>
      </c>
    </row>
    <row r="63">
      <c r="A63" s="56" t="n">
        <v>38777</v>
      </c>
      <c r="B63" s="57">
        <f>VLOOKUP(A63,'Database ADP'!A:B,2)</f>
        <v/>
      </c>
      <c r="C63" s="57">
        <f>VLOOKUP(A63,NFP!A:C,3)</f>
        <v/>
      </c>
    </row>
    <row r="64">
      <c r="A64" s="56" t="n">
        <v>38808</v>
      </c>
      <c r="B64" s="57">
        <f>VLOOKUP(A64,'Database ADP'!A:B,2)</f>
        <v/>
      </c>
      <c r="C64" s="57">
        <f>VLOOKUP(A64,NFP!A:C,3)</f>
        <v/>
      </c>
    </row>
    <row r="65">
      <c r="A65" s="56" t="n">
        <v>38838</v>
      </c>
      <c r="B65" s="57">
        <f>VLOOKUP(A65,'Database ADP'!A:B,2)</f>
        <v/>
      </c>
      <c r="C65" s="57">
        <f>VLOOKUP(A65,NFP!A:C,3)</f>
        <v/>
      </c>
    </row>
    <row r="66">
      <c r="A66" s="56" t="n">
        <v>38869</v>
      </c>
      <c r="B66" s="57">
        <f>VLOOKUP(A66,'Database ADP'!A:B,2)</f>
        <v/>
      </c>
      <c r="C66" s="57">
        <f>VLOOKUP(A66,NFP!A:C,3)</f>
        <v/>
      </c>
    </row>
    <row r="67">
      <c r="A67" s="56" t="n">
        <v>38899</v>
      </c>
      <c r="B67" s="57">
        <f>VLOOKUP(A67,'Database ADP'!A:B,2)</f>
        <v/>
      </c>
      <c r="C67" s="57">
        <f>VLOOKUP(A67,NFP!A:C,3)</f>
        <v/>
      </c>
    </row>
    <row r="68">
      <c r="A68" s="56" t="n">
        <v>38930</v>
      </c>
      <c r="B68" s="57">
        <f>VLOOKUP(A68,'Database ADP'!A:B,2)</f>
        <v/>
      </c>
      <c r="C68" s="57">
        <f>VLOOKUP(A68,NFP!A:C,3)</f>
        <v/>
      </c>
    </row>
    <row r="69">
      <c r="A69" s="56" t="n">
        <v>38961</v>
      </c>
      <c r="B69" s="57">
        <f>VLOOKUP(A69,'Database ADP'!A:B,2)</f>
        <v/>
      </c>
      <c r="C69" s="57">
        <f>VLOOKUP(A69,NFP!A:C,3)</f>
        <v/>
      </c>
    </row>
    <row r="70">
      <c r="A70" s="56" t="n">
        <v>38991</v>
      </c>
      <c r="B70" s="57">
        <f>VLOOKUP(A70,'Database ADP'!A:B,2)</f>
        <v/>
      </c>
      <c r="C70" s="57">
        <f>VLOOKUP(A70,NFP!A:C,3)</f>
        <v/>
      </c>
    </row>
    <row r="71">
      <c r="A71" s="56" t="n">
        <v>39022</v>
      </c>
      <c r="B71" s="57">
        <f>VLOOKUP(A71,'Database ADP'!A:B,2)</f>
        <v/>
      </c>
      <c r="C71" s="57">
        <f>VLOOKUP(A71,NFP!A:C,3)</f>
        <v/>
      </c>
    </row>
    <row r="72">
      <c r="A72" s="56" t="n">
        <v>39052</v>
      </c>
      <c r="B72" s="57">
        <f>VLOOKUP(A72,'Database ADP'!A:B,2)</f>
        <v/>
      </c>
      <c r="C72" s="57">
        <f>VLOOKUP(A72,NFP!A:C,3)</f>
        <v/>
      </c>
    </row>
    <row r="73">
      <c r="A73" s="56" t="n">
        <v>39083</v>
      </c>
      <c r="B73" s="57">
        <f>VLOOKUP(A73,'Database ADP'!A:B,2)</f>
        <v/>
      </c>
      <c r="C73" s="57">
        <f>VLOOKUP(A73,NFP!A:C,3)</f>
        <v/>
      </c>
    </row>
    <row r="74">
      <c r="A74" s="56" t="n">
        <v>39114</v>
      </c>
      <c r="B74" s="57">
        <f>VLOOKUP(A74,'Database ADP'!A:B,2)</f>
        <v/>
      </c>
      <c r="C74" s="57">
        <f>VLOOKUP(A74,NFP!A:C,3)</f>
        <v/>
      </c>
    </row>
    <row r="75">
      <c r="A75" s="56" t="n">
        <v>39142</v>
      </c>
      <c r="B75" s="57">
        <f>VLOOKUP(A75,'Database ADP'!A:B,2)</f>
        <v/>
      </c>
      <c r="C75" s="57">
        <f>VLOOKUP(A75,NFP!A:C,3)</f>
        <v/>
      </c>
    </row>
    <row r="76">
      <c r="A76" s="56" t="n">
        <v>39173</v>
      </c>
      <c r="B76" s="57">
        <f>VLOOKUP(A76,'Database ADP'!A:B,2)</f>
        <v/>
      </c>
      <c r="C76" s="57">
        <f>VLOOKUP(A76,NFP!A:C,3)</f>
        <v/>
      </c>
    </row>
    <row r="77">
      <c r="A77" s="56" t="n">
        <v>39203</v>
      </c>
      <c r="B77" s="57">
        <f>VLOOKUP(A77,'Database ADP'!A:B,2)</f>
        <v/>
      </c>
      <c r="C77" s="57">
        <f>VLOOKUP(A77,NFP!A:C,3)</f>
        <v/>
      </c>
    </row>
    <row r="78">
      <c r="A78" s="56" t="n">
        <v>39234</v>
      </c>
      <c r="B78" s="57">
        <f>VLOOKUP(A78,'Database ADP'!A:B,2)</f>
        <v/>
      </c>
      <c r="C78" s="57">
        <f>VLOOKUP(A78,NFP!A:C,3)</f>
        <v/>
      </c>
    </row>
    <row r="79">
      <c r="A79" s="56" t="n">
        <v>39264</v>
      </c>
      <c r="B79" s="57">
        <f>VLOOKUP(A79,'Database ADP'!A:B,2)</f>
        <v/>
      </c>
      <c r="C79" s="57">
        <f>VLOOKUP(A79,NFP!A:C,3)</f>
        <v/>
      </c>
    </row>
    <row r="80">
      <c r="A80" s="56" t="n">
        <v>39295</v>
      </c>
      <c r="B80" s="57">
        <f>VLOOKUP(A80,'Database ADP'!A:B,2)</f>
        <v/>
      </c>
      <c r="C80" s="57">
        <f>VLOOKUP(A80,NFP!A:C,3)</f>
        <v/>
      </c>
    </row>
    <row r="81">
      <c r="A81" s="56" t="n">
        <v>39326</v>
      </c>
      <c r="B81" s="57">
        <f>VLOOKUP(A81,'Database ADP'!A:B,2)</f>
        <v/>
      </c>
      <c r="C81" s="57">
        <f>VLOOKUP(A81,NFP!A:C,3)</f>
        <v/>
      </c>
    </row>
    <row r="82">
      <c r="A82" s="56" t="n">
        <v>39356</v>
      </c>
      <c r="B82" s="57">
        <f>VLOOKUP(A82,'Database ADP'!A:B,2)</f>
        <v/>
      </c>
      <c r="C82" s="57">
        <f>VLOOKUP(A82,NFP!A:C,3)</f>
        <v/>
      </c>
    </row>
    <row r="83">
      <c r="A83" s="56" t="n">
        <v>39387</v>
      </c>
      <c r="B83" s="57">
        <f>VLOOKUP(A83,'Database ADP'!A:B,2)</f>
        <v/>
      </c>
      <c r="C83" s="57">
        <f>VLOOKUP(A83,NFP!A:C,3)</f>
        <v/>
      </c>
    </row>
    <row r="84">
      <c r="A84" s="56" t="n">
        <v>39417</v>
      </c>
      <c r="B84" s="57">
        <f>VLOOKUP(A84,'Database ADP'!A:B,2)</f>
        <v/>
      </c>
      <c r="C84" s="57">
        <f>VLOOKUP(A84,NFP!A:C,3)</f>
        <v/>
      </c>
    </row>
    <row r="85">
      <c r="A85" s="56" t="n">
        <v>39448</v>
      </c>
      <c r="B85" s="57">
        <f>VLOOKUP(A85,'Database ADP'!A:B,2)</f>
        <v/>
      </c>
      <c r="C85" s="57">
        <f>VLOOKUP(A85,NFP!A:C,3)</f>
        <v/>
      </c>
    </row>
    <row r="86">
      <c r="A86" s="56" t="n">
        <v>39479</v>
      </c>
      <c r="B86" s="57">
        <f>VLOOKUP(A86,'Database ADP'!A:B,2)</f>
        <v/>
      </c>
      <c r="C86" s="57">
        <f>VLOOKUP(A86,NFP!A:C,3)</f>
        <v/>
      </c>
    </row>
    <row r="87">
      <c r="A87" s="56" t="n">
        <v>39508</v>
      </c>
      <c r="B87" s="57">
        <f>VLOOKUP(A87,'Database ADP'!A:B,2)</f>
        <v/>
      </c>
      <c r="C87" s="57">
        <f>VLOOKUP(A87,NFP!A:C,3)</f>
        <v/>
      </c>
    </row>
    <row r="88">
      <c r="A88" s="56" t="n">
        <v>39539</v>
      </c>
      <c r="B88" s="57">
        <f>VLOOKUP(A88,'Database ADP'!A:B,2)</f>
        <v/>
      </c>
      <c r="C88" s="57">
        <f>VLOOKUP(A88,NFP!A:C,3)</f>
        <v/>
      </c>
    </row>
    <row r="89">
      <c r="A89" s="56" t="n">
        <v>39569</v>
      </c>
      <c r="B89" s="57">
        <f>VLOOKUP(A89,'Database ADP'!A:B,2)</f>
        <v/>
      </c>
      <c r="C89" s="57">
        <f>VLOOKUP(A89,NFP!A:C,3)</f>
        <v/>
      </c>
    </row>
    <row r="90">
      <c r="A90" s="56" t="n">
        <v>39600</v>
      </c>
      <c r="B90" s="57">
        <f>VLOOKUP(A90,'Database ADP'!A:B,2)</f>
        <v/>
      </c>
      <c r="C90" s="57">
        <f>VLOOKUP(A90,NFP!A:C,3)</f>
        <v/>
      </c>
    </row>
    <row r="91">
      <c r="A91" s="56" t="n">
        <v>39630</v>
      </c>
      <c r="B91" s="57">
        <f>VLOOKUP(A91,'Database ADP'!A:B,2)</f>
        <v/>
      </c>
      <c r="C91" s="57">
        <f>VLOOKUP(A91,NFP!A:C,3)</f>
        <v/>
      </c>
    </row>
    <row r="92">
      <c r="A92" s="56" t="n">
        <v>39661</v>
      </c>
      <c r="B92" s="57">
        <f>VLOOKUP(A92,'Database ADP'!A:B,2)</f>
        <v/>
      </c>
      <c r="C92" s="57">
        <f>VLOOKUP(A92,NFP!A:C,3)</f>
        <v/>
      </c>
    </row>
    <row r="93">
      <c r="A93" s="56" t="n">
        <v>39692</v>
      </c>
      <c r="B93" s="57">
        <f>VLOOKUP(A93,'Database ADP'!A:B,2)</f>
        <v/>
      </c>
      <c r="C93" s="57">
        <f>VLOOKUP(A93,NFP!A:C,3)</f>
        <v/>
      </c>
    </row>
    <row r="94">
      <c r="A94" s="56" t="n">
        <v>39722</v>
      </c>
      <c r="B94" s="57">
        <f>VLOOKUP(A94,'Database ADP'!A:B,2)</f>
        <v/>
      </c>
      <c r="C94" s="57">
        <f>VLOOKUP(A94,NFP!A:C,3)</f>
        <v/>
      </c>
    </row>
    <row r="95">
      <c r="A95" s="56" t="n">
        <v>39753</v>
      </c>
      <c r="B95" s="57">
        <f>VLOOKUP(A95,'Database ADP'!A:B,2)</f>
        <v/>
      </c>
      <c r="C95" s="57">
        <f>VLOOKUP(A95,NFP!A:C,3)</f>
        <v/>
      </c>
    </row>
    <row r="96">
      <c r="A96" s="56" t="n">
        <v>39783</v>
      </c>
      <c r="B96" s="57">
        <f>VLOOKUP(A96,'Database ADP'!A:B,2)</f>
        <v/>
      </c>
      <c r="C96" s="57">
        <f>VLOOKUP(A96,NFP!A:C,3)</f>
        <v/>
      </c>
    </row>
    <row r="97">
      <c r="A97" s="56" t="n">
        <v>39814</v>
      </c>
      <c r="B97" s="57">
        <f>VLOOKUP(A97,'Database ADP'!A:B,2)</f>
        <v/>
      </c>
      <c r="C97" s="57">
        <f>VLOOKUP(A97,NFP!A:C,3)</f>
        <v/>
      </c>
    </row>
    <row r="98">
      <c r="A98" s="56" t="n">
        <v>39845</v>
      </c>
      <c r="B98" s="57">
        <f>VLOOKUP(A98,'Database ADP'!A:B,2)</f>
        <v/>
      </c>
      <c r="C98" s="57">
        <f>VLOOKUP(A98,NFP!A:C,3)</f>
        <v/>
      </c>
    </row>
    <row r="99">
      <c r="A99" s="56" t="n">
        <v>39873</v>
      </c>
      <c r="B99" s="57">
        <f>VLOOKUP(A99,'Database ADP'!A:B,2)</f>
        <v/>
      </c>
      <c r="C99" s="57">
        <f>VLOOKUP(A99,NFP!A:C,3)</f>
        <v/>
      </c>
    </row>
    <row r="100">
      <c r="A100" s="56" t="n">
        <v>39904</v>
      </c>
      <c r="B100" s="57">
        <f>VLOOKUP(A100,'Database ADP'!A:B,2)</f>
        <v/>
      </c>
      <c r="C100" s="57">
        <f>VLOOKUP(A100,NFP!A:C,3)</f>
        <v/>
      </c>
    </row>
    <row r="101">
      <c r="A101" s="56" t="n">
        <v>39934</v>
      </c>
      <c r="B101" s="57">
        <f>VLOOKUP(A101,'Database ADP'!A:B,2)</f>
        <v/>
      </c>
      <c r="C101" s="57">
        <f>VLOOKUP(A101,NFP!A:C,3)</f>
        <v/>
      </c>
    </row>
    <row r="102">
      <c r="A102" s="56" t="n">
        <v>39965</v>
      </c>
      <c r="B102" s="57">
        <f>VLOOKUP(A102,'Database ADP'!A:B,2)</f>
        <v/>
      </c>
      <c r="C102" s="57">
        <f>VLOOKUP(A102,NFP!A:C,3)</f>
        <v/>
      </c>
    </row>
    <row r="103">
      <c r="A103" s="56" t="n">
        <v>39995</v>
      </c>
      <c r="B103" s="57">
        <f>VLOOKUP(A103,'Database ADP'!A:B,2)</f>
        <v/>
      </c>
      <c r="C103" s="57">
        <f>VLOOKUP(A103,NFP!A:C,3)</f>
        <v/>
      </c>
    </row>
    <row r="104">
      <c r="A104" s="56" t="n">
        <v>40026</v>
      </c>
      <c r="B104" s="57">
        <f>VLOOKUP(A104,'Database ADP'!A:B,2)</f>
        <v/>
      </c>
      <c r="C104" s="57">
        <f>VLOOKUP(A104,NFP!A:C,3)</f>
        <v/>
      </c>
    </row>
    <row r="105">
      <c r="A105" s="56" t="n">
        <v>40057</v>
      </c>
      <c r="B105" s="57">
        <f>VLOOKUP(A105,'Database ADP'!A:B,2)</f>
        <v/>
      </c>
      <c r="C105" s="57">
        <f>VLOOKUP(A105,NFP!A:C,3)</f>
        <v/>
      </c>
    </row>
    <row r="106">
      <c r="A106" s="56" t="n">
        <v>40087</v>
      </c>
      <c r="B106" s="57">
        <f>VLOOKUP(A106,'Database ADP'!A:B,2)</f>
        <v/>
      </c>
      <c r="C106" s="57">
        <f>VLOOKUP(A106,NFP!A:C,3)</f>
        <v/>
      </c>
    </row>
    <row r="107">
      <c r="A107" s="56" t="n">
        <v>40118</v>
      </c>
      <c r="B107" s="57">
        <f>VLOOKUP(A107,'Database ADP'!A:B,2)</f>
        <v/>
      </c>
      <c r="C107" s="57">
        <f>VLOOKUP(A107,NFP!A:C,3)</f>
        <v/>
      </c>
    </row>
    <row r="108">
      <c r="A108" s="56" t="n">
        <v>40148</v>
      </c>
      <c r="B108" s="57">
        <f>VLOOKUP(A108,'Database ADP'!A:B,2)</f>
        <v/>
      </c>
      <c r="C108" s="57">
        <f>VLOOKUP(A108,NFP!A:C,3)</f>
        <v/>
      </c>
    </row>
    <row r="109">
      <c r="A109" s="56" t="n">
        <v>40179</v>
      </c>
      <c r="B109" s="57">
        <f>VLOOKUP(A109,'Database ADP'!A:B,2)</f>
        <v/>
      </c>
      <c r="C109" s="57">
        <f>VLOOKUP(A109,NFP!A:C,3)</f>
        <v/>
      </c>
    </row>
    <row r="110">
      <c r="A110" s="56" t="n">
        <v>40210</v>
      </c>
      <c r="B110" s="57">
        <f>VLOOKUP(A110,'Database ADP'!A:B,2)</f>
        <v/>
      </c>
      <c r="C110" s="57">
        <f>VLOOKUP(A110,NFP!A:C,3)</f>
        <v/>
      </c>
    </row>
    <row r="111">
      <c r="A111" s="56" t="n">
        <v>40238</v>
      </c>
      <c r="B111" s="57">
        <f>VLOOKUP(A111,'Database ADP'!A:B,2)</f>
        <v/>
      </c>
      <c r="C111" s="57">
        <f>VLOOKUP(A111,NFP!A:C,3)</f>
        <v/>
      </c>
    </row>
    <row r="112">
      <c r="A112" s="56" t="n">
        <v>40269</v>
      </c>
      <c r="B112" s="57">
        <f>VLOOKUP(A112,'Database ADP'!A:B,2)</f>
        <v/>
      </c>
      <c r="C112" s="57">
        <f>VLOOKUP(A112,NFP!A:C,3)</f>
        <v/>
      </c>
    </row>
    <row r="113">
      <c r="A113" s="56" t="n">
        <v>40299</v>
      </c>
      <c r="B113" s="57">
        <f>VLOOKUP(A113,'Database ADP'!A:B,2)</f>
        <v/>
      </c>
      <c r="C113" s="57">
        <f>VLOOKUP(A113,NFP!A:C,3)</f>
        <v/>
      </c>
    </row>
    <row r="114">
      <c r="A114" s="56" t="n">
        <v>40330</v>
      </c>
      <c r="B114" s="57">
        <f>VLOOKUP(A114,'Database ADP'!A:B,2)</f>
        <v/>
      </c>
      <c r="C114" s="57">
        <f>VLOOKUP(A114,NFP!A:C,3)</f>
        <v/>
      </c>
    </row>
    <row r="115">
      <c r="A115" s="56" t="n">
        <v>40360</v>
      </c>
      <c r="B115" s="57">
        <f>VLOOKUP(A115,'Database ADP'!A:B,2)</f>
        <v/>
      </c>
      <c r="C115" s="57">
        <f>VLOOKUP(A115,NFP!A:C,3)</f>
        <v/>
      </c>
    </row>
    <row r="116">
      <c r="A116" s="56" t="n">
        <v>40391</v>
      </c>
      <c r="B116" s="57">
        <f>VLOOKUP(A116,'Database ADP'!A:B,2)</f>
        <v/>
      </c>
      <c r="C116" s="57">
        <f>VLOOKUP(A116,NFP!A:C,3)</f>
        <v/>
      </c>
    </row>
    <row r="117">
      <c r="A117" s="56" t="n">
        <v>40422</v>
      </c>
      <c r="B117" s="57">
        <f>VLOOKUP(A117,'Database ADP'!A:B,2)</f>
        <v/>
      </c>
      <c r="C117" s="57">
        <f>VLOOKUP(A117,NFP!A:C,3)</f>
        <v/>
      </c>
    </row>
    <row r="118">
      <c r="A118" s="56" t="n">
        <v>40452</v>
      </c>
      <c r="B118" s="57">
        <f>VLOOKUP(A118,'Database ADP'!A:B,2)</f>
        <v/>
      </c>
      <c r="C118" s="57">
        <f>VLOOKUP(A118,NFP!A:C,3)</f>
        <v/>
      </c>
    </row>
    <row r="119">
      <c r="A119" s="56" t="n">
        <v>40483</v>
      </c>
      <c r="B119" s="57">
        <f>VLOOKUP(A119,'Database ADP'!A:B,2)</f>
        <v/>
      </c>
      <c r="C119" s="57">
        <f>VLOOKUP(A119,NFP!A:C,3)</f>
        <v/>
      </c>
    </row>
    <row r="120">
      <c r="A120" s="56" t="n">
        <v>40513</v>
      </c>
      <c r="B120" s="57">
        <f>VLOOKUP(A120,'Database ADP'!A:B,2)</f>
        <v/>
      </c>
      <c r="C120" s="57">
        <f>VLOOKUP(A120,NFP!A:C,3)</f>
        <v/>
      </c>
    </row>
    <row r="121">
      <c r="A121" s="56" t="n">
        <v>40544</v>
      </c>
      <c r="B121" s="57">
        <f>VLOOKUP(A121,'Database ADP'!A:B,2)</f>
        <v/>
      </c>
      <c r="C121" s="57">
        <f>VLOOKUP(A121,NFP!A:C,3)</f>
        <v/>
      </c>
    </row>
    <row r="122">
      <c r="A122" s="56" t="n">
        <v>40575</v>
      </c>
      <c r="B122" s="57">
        <f>VLOOKUP(A122,'Database ADP'!A:B,2)</f>
        <v/>
      </c>
      <c r="C122" s="57">
        <f>VLOOKUP(A122,NFP!A:C,3)</f>
        <v/>
      </c>
    </row>
    <row r="123">
      <c r="A123" s="56" t="n">
        <v>40603</v>
      </c>
      <c r="B123" s="57">
        <f>VLOOKUP(A123,'Database ADP'!A:B,2)</f>
        <v/>
      </c>
      <c r="C123" s="57">
        <f>VLOOKUP(A123,NFP!A:C,3)</f>
        <v/>
      </c>
    </row>
    <row r="124">
      <c r="A124" s="56" t="n">
        <v>40634</v>
      </c>
      <c r="B124" s="57">
        <f>VLOOKUP(A124,'Database ADP'!A:B,2)</f>
        <v/>
      </c>
      <c r="C124" s="57">
        <f>VLOOKUP(A124,NFP!A:C,3)</f>
        <v/>
      </c>
    </row>
    <row r="125">
      <c r="A125" s="56" t="n">
        <v>40664</v>
      </c>
      <c r="B125" s="57">
        <f>VLOOKUP(A125,'Database ADP'!A:B,2)</f>
        <v/>
      </c>
      <c r="C125" s="57">
        <f>VLOOKUP(A125,NFP!A:C,3)</f>
        <v/>
      </c>
    </row>
    <row r="126">
      <c r="A126" s="56" t="n">
        <v>40695</v>
      </c>
      <c r="B126" s="57">
        <f>VLOOKUP(A126,'Database ADP'!A:B,2)</f>
        <v/>
      </c>
      <c r="C126" s="57">
        <f>VLOOKUP(A126,NFP!A:C,3)</f>
        <v/>
      </c>
    </row>
    <row r="127">
      <c r="A127" s="56" t="n">
        <v>40725</v>
      </c>
      <c r="B127" s="57">
        <f>VLOOKUP(A127,'Database ADP'!A:B,2)</f>
        <v/>
      </c>
      <c r="C127" s="57">
        <f>VLOOKUP(A127,NFP!A:C,3)</f>
        <v/>
      </c>
    </row>
    <row r="128">
      <c r="A128" s="56" t="n">
        <v>40756</v>
      </c>
      <c r="B128" s="57">
        <f>VLOOKUP(A128,'Database ADP'!A:B,2)</f>
        <v/>
      </c>
      <c r="C128" s="57">
        <f>VLOOKUP(A128,NFP!A:C,3)</f>
        <v/>
      </c>
    </row>
    <row r="129">
      <c r="A129" s="56" t="n">
        <v>40787</v>
      </c>
      <c r="B129" s="57">
        <f>VLOOKUP(A129,'Database ADP'!A:B,2)</f>
        <v/>
      </c>
      <c r="C129" s="57">
        <f>VLOOKUP(A129,NFP!A:C,3)</f>
        <v/>
      </c>
    </row>
    <row r="130">
      <c r="A130" s="56" t="n">
        <v>40817</v>
      </c>
      <c r="B130" s="57">
        <f>VLOOKUP(A130,'Database ADP'!A:B,2)</f>
        <v/>
      </c>
      <c r="C130" s="57">
        <f>VLOOKUP(A130,NFP!A:C,3)</f>
        <v/>
      </c>
    </row>
    <row r="131">
      <c r="A131" s="56" t="n">
        <v>40848</v>
      </c>
      <c r="B131" s="57">
        <f>VLOOKUP(A131,'Database ADP'!A:B,2)</f>
        <v/>
      </c>
      <c r="C131" s="57">
        <f>VLOOKUP(A131,NFP!A:C,3)</f>
        <v/>
      </c>
    </row>
    <row r="132">
      <c r="A132" s="56" t="n">
        <v>40878</v>
      </c>
      <c r="B132" s="57">
        <f>VLOOKUP(A132,'Database ADP'!A:B,2)</f>
        <v/>
      </c>
      <c r="C132" s="57">
        <f>VLOOKUP(A132,NFP!A:C,3)</f>
        <v/>
      </c>
    </row>
    <row r="133">
      <c r="A133" s="56" t="n">
        <v>40909</v>
      </c>
      <c r="B133" s="57">
        <f>VLOOKUP(A133,'Database ADP'!A:B,2)</f>
        <v/>
      </c>
      <c r="C133" s="57">
        <f>VLOOKUP(A133,NFP!A:C,3)</f>
        <v/>
      </c>
    </row>
    <row r="134">
      <c r="A134" s="56" t="n">
        <v>40940</v>
      </c>
      <c r="B134" s="57">
        <f>VLOOKUP(A134,'Database ADP'!A:B,2)</f>
        <v/>
      </c>
      <c r="C134" s="57">
        <f>VLOOKUP(A134,NFP!A:C,3)</f>
        <v/>
      </c>
    </row>
    <row r="135">
      <c r="A135" s="56" t="n">
        <v>40969</v>
      </c>
      <c r="B135" s="57">
        <f>VLOOKUP(A135,'Database ADP'!A:B,2)</f>
        <v/>
      </c>
      <c r="C135" s="57">
        <f>VLOOKUP(A135,NFP!A:C,3)</f>
        <v/>
      </c>
    </row>
    <row r="136">
      <c r="A136" s="56" t="n">
        <v>41000</v>
      </c>
      <c r="B136" s="57">
        <f>VLOOKUP(A136,'Database ADP'!A:B,2)</f>
        <v/>
      </c>
      <c r="C136" s="57">
        <f>VLOOKUP(A136,NFP!A:C,3)</f>
        <v/>
      </c>
    </row>
    <row r="137">
      <c r="A137" s="56" t="n">
        <v>41030</v>
      </c>
      <c r="B137" s="57">
        <f>VLOOKUP(A137,'Database ADP'!A:B,2)</f>
        <v/>
      </c>
      <c r="C137" s="57">
        <f>VLOOKUP(A137,NFP!A:C,3)</f>
        <v/>
      </c>
    </row>
    <row r="138">
      <c r="A138" s="56" t="n">
        <v>41061</v>
      </c>
      <c r="B138" s="57">
        <f>VLOOKUP(A138,'Database ADP'!A:B,2)</f>
        <v/>
      </c>
      <c r="C138" s="57">
        <f>VLOOKUP(A138,NFP!A:C,3)</f>
        <v/>
      </c>
    </row>
    <row r="139">
      <c r="A139" s="56" t="n">
        <v>41091</v>
      </c>
      <c r="B139" s="57">
        <f>VLOOKUP(A139,'Database ADP'!A:B,2)</f>
        <v/>
      </c>
      <c r="C139" s="57">
        <f>VLOOKUP(A139,NFP!A:C,3)</f>
        <v/>
      </c>
    </row>
    <row r="140">
      <c r="A140" s="56" t="n">
        <v>41122</v>
      </c>
      <c r="B140" s="57">
        <f>VLOOKUP(A140,'Database ADP'!A:B,2)</f>
        <v/>
      </c>
      <c r="C140" s="57">
        <f>VLOOKUP(A140,NFP!A:C,3)</f>
        <v/>
      </c>
    </row>
    <row r="141">
      <c r="A141" s="56" t="n">
        <v>41153</v>
      </c>
      <c r="B141" s="57">
        <f>VLOOKUP(A141,'Database ADP'!A:B,2)</f>
        <v/>
      </c>
      <c r="C141" s="57">
        <f>VLOOKUP(A141,NFP!A:C,3)</f>
        <v/>
      </c>
    </row>
    <row r="142">
      <c r="A142" s="56" t="n">
        <v>41183</v>
      </c>
      <c r="B142" s="57">
        <f>VLOOKUP(A142,'Database ADP'!A:B,2)</f>
        <v/>
      </c>
      <c r="C142" s="57">
        <f>VLOOKUP(A142,NFP!A:C,3)</f>
        <v/>
      </c>
    </row>
    <row r="143">
      <c r="A143" s="56" t="n">
        <v>41214</v>
      </c>
      <c r="B143" s="57">
        <f>VLOOKUP(A143,'Database ADP'!A:B,2)</f>
        <v/>
      </c>
      <c r="C143" s="57">
        <f>VLOOKUP(A143,NFP!A:C,3)</f>
        <v/>
      </c>
    </row>
    <row r="144">
      <c r="A144" s="56" t="n">
        <v>41244</v>
      </c>
      <c r="B144" s="57">
        <f>VLOOKUP(A144,'Database ADP'!A:B,2)</f>
        <v/>
      </c>
      <c r="C144" s="57">
        <f>VLOOKUP(A144,NFP!A:C,3)</f>
        <v/>
      </c>
    </row>
    <row r="145">
      <c r="A145" s="56" t="n">
        <v>41275</v>
      </c>
      <c r="B145" s="57">
        <f>VLOOKUP(A145,'Database ADP'!A:B,2)</f>
        <v/>
      </c>
      <c r="C145" s="57">
        <f>VLOOKUP(A145,NFP!A:C,3)</f>
        <v/>
      </c>
    </row>
    <row r="146">
      <c r="A146" s="56" t="n">
        <v>41306</v>
      </c>
      <c r="B146" s="57">
        <f>VLOOKUP(A146,'Database ADP'!A:B,2)</f>
        <v/>
      </c>
      <c r="C146" s="57">
        <f>VLOOKUP(A146,NFP!A:C,3)</f>
        <v/>
      </c>
    </row>
    <row r="147">
      <c r="A147" s="56" t="n">
        <v>41334</v>
      </c>
      <c r="B147" s="57">
        <f>VLOOKUP(A147,'Database ADP'!A:B,2)</f>
        <v/>
      </c>
      <c r="C147" s="57">
        <f>VLOOKUP(A147,NFP!A:C,3)</f>
        <v/>
      </c>
    </row>
    <row r="148">
      <c r="A148" s="56" t="n">
        <v>41365</v>
      </c>
      <c r="B148" s="57">
        <f>VLOOKUP(A148,'Database ADP'!A:B,2)</f>
        <v/>
      </c>
      <c r="C148" s="57">
        <f>VLOOKUP(A148,NFP!A:C,3)</f>
        <v/>
      </c>
    </row>
    <row r="149">
      <c r="A149" s="56" t="n">
        <v>41395</v>
      </c>
      <c r="B149" s="57">
        <f>VLOOKUP(A149,'Database ADP'!A:B,2)</f>
        <v/>
      </c>
      <c r="C149" s="57">
        <f>VLOOKUP(A149,NFP!A:C,3)</f>
        <v/>
      </c>
    </row>
    <row r="150">
      <c r="A150" s="56" t="n">
        <v>41426</v>
      </c>
      <c r="B150" s="57">
        <f>VLOOKUP(A150,'Database ADP'!A:B,2)</f>
        <v/>
      </c>
      <c r="C150" s="57">
        <f>VLOOKUP(A150,NFP!A:C,3)</f>
        <v/>
      </c>
    </row>
    <row r="151">
      <c r="A151" s="56" t="n">
        <v>41456</v>
      </c>
      <c r="B151" s="57">
        <f>VLOOKUP(A151,'Database ADP'!A:B,2)</f>
        <v/>
      </c>
      <c r="C151" s="57">
        <f>VLOOKUP(A151,NFP!A:C,3)</f>
        <v/>
      </c>
    </row>
    <row r="152">
      <c r="A152" s="56" t="n">
        <v>41487</v>
      </c>
      <c r="B152" s="57">
        <f>VLOOKUP(A152,'Database ADP'!A:B,2)</f>
        <v/>
      </c>
      <c r="C152" s="57">
        <f>VLOOKUP(A152,NFP!A:C,3)</f>
        <v/>
      </c>
    </row>
    <row r="153">
      <c r="A153" s="56" t="n">
        <v>41518</v>
      </c>
      <c r="B153" s="57">
        <f>VLOOKUP(A153,'Database ADP'!A:B,2)</f>
        <v/>
      </c>
      <c r="C153" s="57">
        <f>VLOOKUP(A153,NFP!A:C,3)</f>
        <v/>
      </c>
    </row>
    <row r="154">
      <c r="A154" s="56" t="n">
        <v>41548</v>
      </c>
      <c r="B154" s="57">
        <f>VLOOKUP(A154,'Database ADP'!A:B,2)</f>
        <v/>
      </c>
      <c r="C154" s="57">
        <f>VLOOKUP(A154,NFP!A:C,3)</f>
        <v/>
      </c>
    </row>
    <row r="155">
      <c r="A155" s="56" t="n">
        <v>41579</v>
      </c>
      <c r="B155" s="57">
        <f>VLOOKUP(A155,'Database ADP'!A:B,2)</f>
        <v/>
      </c>
      <c r="C155" s="57">
        <f>VLOOKUP(A155,NFP!A:C,3)</f>
        <v/>
      </c>
    </row>
    <row r="156">
      <c r="A156" s="56" t="n">
        <v>41609</v>
      </c>
      <c r="B156" s="57">
        <f>VLOOKUP(A156,'Database ADP'!A:B,2)</f>
        <v/>
      </c>
      <c r="C156" s="57">
        <f>VLOOKUP(A156,NFP!A:C,3)</f>
        <v/>
      </c>
    </row>
    <row r="157">
      <c r="A157" s="56" t="n">
        <v>41640</v>
      </c>
      <c r="B157" s="57">
        <f>VLOOKUP(A157,'Database ADP'!A:B,2)</f>
        <v/>
      </c>
      <c r="C157" s="57">
        <f>VLOOKUP(A157,NFP!A:C,3)</f>
        <v/>
      </c>
    </row>
    <row r="158">
      <c r="A158" s="56" t="n">
        <v>41671</v>
      </c>
      <c r="B158" s="57">
        <f>VLOOKUP(A158,'Database ADP'!A:B,2)</f>
        <v/>
      </c>
      <c r="C158" s="57">
        <f>VLOOKUP(A158,NFP!A:C,3)</f>
        <v/>
      </c>
    </row>
    <row r="159">
      <c r="A159" s="56" t="n">
        <v>41699</v>
      </c>
      <c r="B159" s="57">
        <f>VLOOKUP(A159,'Database ADP'!A:B,2)</f>
        <v/>
      </c>
      <c r="C159" s="57">
        <f>VLOOKUP(A159,NFP!A:C,3)</f>
        <v/>
      </c>
    </row>
    <row r="160">
      <c r="A160" s="56" t="n">
        <v>41730</v>
      </c>
      <c r="B160" s="57">
        <f>VLOOKUP(A160,'Database ADP'!A:B,2)</f>
        <v/>
      </c>
      <c r="C160" s="57">
        <f>VLOOKUP(A160,NFP!A:C,3)</f>
        <v/>
      </c>
    </row>
    <row r="161">
      <c r="A161" s="56" t="n">
        <v>41760</v>
      </c>
      <c r="B161" s="57">
        <f>VLOOKUP(A161,'Database ADP'!A:B,2)</f>
        <v/>
      </c>
      <c r="C161" s="57">
        <f>VLOOKUP(A161,NFP!A:C,3)</f>
        <v/>
      </c>
    </row>
    <row r="162">
      <c r="A162" s="56" t="n">
        <v>41791</v>
      </c>
      <c r="B162" s="57">
        <f>VLOOKUP(A162,'Database ADP'!A:B,2)</f>
        <v/>
      </c>
      <c r="C162" s="57">
        <f>VLOOKUP(A162,NFP!A:C,3)</f>
        <v/>
      </c>
    </row>
    <row r="163">
      <c r="A163" s="56" t="n">
        <v>41821</v>
      </c>
      <c r="B163" s="57">
        <f>VLOOKUP(A163,'Database ADP'!A:B,2)</f>
        <v/>
      </c>
      <c r="C163" s="57">
        <f>VLOOKUP(A163,NFP!A:C,3)</f>
        <v/>
      </c>
    </row>
    <row r="164">
      <c r="A164" s="56" t="n">
        <v>41852</v>
      </c>
      <c r="B164" s="57">
        <f>VLOOKUP(A164,'Database ADP'!A:B,2)</f>
        <v/>
      </c>
      <c r="C164" s="57">
        <f>VLOOKUP(A164,NFP!A:C,3)</f>
        <v/>
      </c>
    </row>
    <row r="165">
      <c r="A165" s="56" t="n">
        <v>41883</v>
      </c>
      <c r="B165" s="57">
        <f>VLOOKUP(A165,'Database ADP'!A:B,2)</f>
        <v/>
      </c>
      <c r="C165" s="57">
        <f>VLOOKUP(A165,NFP!A:C,3)</f>
        <v/>
      </c>
    </row>
    <row r="166">
      <c r="A166" s="56" t="n">
        <v>41913</v>
      </c>
      <c r="B166" s="57">
        <f>VLOOKUP(A166,'Database ADP'!A:B,2)</f>
        <v/>
      </c>
      <c r="C166" s="57">
        <f>VLOOKUP(A166,NFP!A:C,3)</f>
        <v/>
      </c>
    </row>
    <row r="167">
      <c r="A167" s="56" t="n">
        <v>41944</v>
      </c>
      <c r="B167" s="57">
        <f>VLOOKUP(A167,'Database ADP'!A:B,2)</f>
        <v/>
      </c>
      <c r="C167" s="57">
        <f>VLOOKUP(A167,NFP!A:C,3)</f>
        <v/>
      </c>
    </row>
    <row r="168">
      <c r="A168" s="56" t="n">
        <v>41974</v>
      </c>
      <c r="B168" s="57">
        <f>VLOOKUP(A168,'Database ADP'!A:B,2)</f>
        <v/>
      </c>
      <c r="C168" s="57">
        <f>VLOOKUP(A168,NFP!A:C,3)</f>
        <v/>
      </c>
    </row>
    <row r="169">
      <c r="A169" s="56" t="n">
        <v>42005</v>
      </c>
      <c r="B169" s="57">
        <f>VLOOKUP(A169,'Database ADP'!A:B,2)</f>
        <v/>
      </c>
      <c r="C169" s="57">
        <f>VLOOKUP(A169,NFP!A:C,3)</f>
        <v/>
      </c>
    </row>
    <row r="170">
      <c r="A170" s="56" t="n">
        <v>42036</v>
      </c>
      <c r="B170" s="57">
        <f>VLOOKUP(A170,'Database ADP'!A:B,2)</f>
        <v/>
      </c>
      <c r="C170" s="57">
        <f>VLOOKUP(A170,NFP!A:C,3)</f>
        <v/>
      </c>
    </row>
    <row r="171">
      <c r="A171" s="56" t="n">
        <v>42064</v>
      </c>
      <c r="B171" s="57">
        <f>VLOOKUP(A171,'Database ADP'!A:B,2)</f>
        <v/>
      </c>
      <c r="C171" s="57">
        <f>VLOOKUP(A171,NFP!A:C,3)</f>
        <v/>
      </c>
    </row>
    <row r="172">
      <c r="A172" s="56" t="n">
        <v>42095</v>
      </c>
      <c r="B172" s="57">
        <f>VLOOKUP(A172,'Database ADP'!A:B,2)</f>
        <v/>
      </c>
      <c r="C172" s="57">
        <f>VLOOKUP(A172,NFP!A:C,3)</f>
        <v/>
      </c>
    </row>
    <row r="173">
      <c r="A173" s="56" t="n">
        <v>42125</v>
      </c>
      <c r="B173" s="57">
        <f>VLOOKUP(A173,'Database ADP'!A:B,2)</f>
        <v/>
      </c>
      <c r="C173" s="57">
        <f>VLOOKUP(A173,NFP!A:C,3)</f>
        <v/>
      </c>
    </row>
    <row r="174">
      <c r="A174" s="56" t="n">
        <v>42156</v>
      </c>
      <c r="B174" s="57">
        <f>VLOOKUP(A174,'Database ADP'!A:B,2)</f>
        <v/>
      </c>
      <c r="C174" s="57">
        <f>VLOOKUP(A174,NFP!A:C,3)</f>
        <v/>
      </c>
    </row>
    <row r="175">
      <c r="A175" s="56" t="n">
        <v>42186</v>
      </c>
      <c r="B175" s="57">
        <f>VLOOKUP(A175,'Database ADP'!A:B,2)</f>
        <v/>
      </c>
      <c r="C175" s="57">
        <f>VLOOKUP(A175,NFP!A:C,3)</f>
        <v/>
      </c>
    </row>
    <row r="176">
      <c r="A176" s="56" t="n">
        <v>42217</v>
      </c>
      <c r="B176" s="57">
        <f>VLOOKUP(A176,'Database ADP'!A:B,2)</f>
        <v/>
      </c>
      <c r="C176" s="57">
        <f>VLOOKUP(A176,NFP!A:C,3)</f>
        <v/>
      </c>
    </row>
    <row r="177">
      <c r="A177" s="56" t="n">
        <v>42248</v>
      </c>
      <c r="B177" s="57">
        <f>VLOOKUP(A177,'Database ADP'!A:B,2)</f>
        <v/>
      </c>
      <c r="C177" s="57">
        <f>VLOOKUP(A177,NFP!A:C,3)</f>
        <v/>
      </c>
    </row>
    <row r="178">
      <c r="A178" s="56" t="n">
        <v>42278</v>
      </c>
      <c r="B178" s="57">
        <f>VLOOKUP(A178,'Database ADP'!A:B,2)</f>
        <v/>
      </c>
      <c r="C178" s="57">
        <f>VLOOKUP(A178,NFP!A:C,3)</f>
        <v/>
      </c>
    </row>
    <row r="179">
      <c r="A179" s="56" t="n">
        <v>42309</v>
      </c>
      <c r="B179" s="57">
        <f>VLOOKUP(A179,'Database ADP'!A:B,2)</f>
        <v/>
      </c>
      <c r="C179" s="57">
        <f>VLOOKUP(A179,NFP!A:C,3)</f>
        <v/>
      </c>
    </row>
    <row r="180">
      <c r="A180" s="56" t="n">
        <v>42339</v>
      </c>
      <c r="B180" s="57">
        <f>VLOOKUP(A180,'Database ADP'!A:B,2)</f>
        <v/>
      </c>
      <c r="C180" s="57">
        <f>VLOOKUP(A180,NFP!A:C,3)</f>
        <v/>
      </c>
    </row>
    <row r="181">
      <c r="A181" s="56" t="n">
        <v>42370</v>
      </c>
      <c r="B181" s="57">
        <f>VLOOKUP(A181,'Database ADP'!A:B,2)</f>
        <v/>
      </c>
      <c r="C181" s="57">
        <f>VLOOKUP(A181,NFP!A:C,3)</f>
        <v/>
      </c>
    </row>
    <row r="182">
      <c r="A182" s="56" t="n">
        <v>42401</v>
      </c>
      <c r="B182" s="57">
        <f>VLOOKUP(A182,'Database ADP'!A:B,2)</f>
        <v/>
      </c>
      <c r="C182" s="57">
        <f>VLOOKUP(A182,NFP!A:C,3)</f>
        <v/>
      </c>
    </row>
    <row r="183">
      <c r="A183" s="56" t="n">
        <v>42430</v>
      </c>
      <c r="B183" s="57">
        <f>VLOOKUP(A183,'Database ADP'!A:B,2)</f>
        <v/>
      </c>
      <c r="C183" s="57">
        <f>VLOOKUP(A183,NFP!A:C,3)</f>
        <v/>
      </c>
    </row>
    <row r="184">
      <c r="A184" s="56" t="n">
        <v>42461</v>
      </c>
      <c r="B184" s="57">
        <f>VLOOKUP(A184,'Database ADP'!A:B,2)</f>
        <v/>
      </c>
      <c r="C184" s="57">
        <f>VLOOKUP(A184,NFP!A:C,3)</f>
        <v/>
      </c>
    </row>
    <row r="185">
      <c r="A185" s="56" t="n">
        <v>42491</v>
      </c>
      <c r="B185" s="57">
        <f>VLOOKUP(A185,'Database ADP'!A:B,2)</f>
        <v/>
      </c>
      <c r="C185" s="57">
        <f>VLOOKUP(A185,NFP!A:C,3)</f>
        <v/>
      </c>
    </row>
    <row r="186">
      <c r="A186" s="56" t="n">
        <v>42522</v>
      </c>
      <c r="B186" s="57">
        <f>VLOOKUP(A186,'Database ADP'!A:B,2)</f>
        <v/>
      </c>
      <c r="C186" s="57">
        <f>VLOOKUP(A186,NFP!A:C,3)</f>
        <v/>
      </c>
    </row>
    <row r="187">
      <c r="A187" s="56" t="n">
        <v>42552</v>
      </c>
      <c r="B187" s="57">
        <f>VLOOKUP(A187,'Database ADP'!A:B,2)</f>
        <v/>
      </c>
      <c r="C187" s="57">
        <f>VLOOKUP(A187,NFP!A:C,3)</f>
        <v/>
      </c>
    </row>
    <row r="188">
      <c r="A188" s="56" t="n">
        <v>42583</v>
      </c>
      <c r="B188" s="57">
        <f>VLOOKUP(A188,'Database ADP'!A:B,2)</f>
        <v/>
      </c>
      <c r="C188" s="57">
        <f>VLOOKUP(A188,NFP!A:C,3)</f>
        <v/>
      </c>
    </row>
    <row r="189">
      <c r="A189" s="56" t="n">
        <v>42614</v>
      </c>
      <c r="B189" s="57">
        <f>VLOOKUP(A189,'Database ADP'!A:B,2)</f>
        <v/>
      </c>
      <c r="C189" s="57">
        <f>VLOOKUP(A189,NFP!A:C,3)</f>
        <v/>
      </c>
    </row>
    <row r="190">
      <c r="A190" s="56" t="n">
        <v>42644</v>
      </c>
      <c r="B190" s="57">
        <f>VLOOKUP(A190,'Database ADP'!A:B,2)</f>
        <v/>
      </c>
      <c r="C190" s="57">
        <f>VLOOKUP(A190,NFP!A:C,3)</f>
        <v/>
      </c>
    </row>
    <row r="191">
      <c r="A191" s="56" t="n">
        <v>42675</v>
      </c>
      <c r="B191" s="57">
        <f>VLOOKUP(A191,'Database ADP'!A:B,2)</f>
        <v/>
      </c>
      <c r="C191" s="57">
        <f>VLOOKUP(A191,NFP!A:C,3)</f>
        <v/>
      </c>
    </row>
    <row r="192">
      <c r="A192" s="56" t="n">
        <v>42705</v>
      </c>
      <c r="B192" s="57">
        <f>VLOOKUP(A192,'Database ADP'!A:B,2)</f>
        <v/>
      </c>
      <c r="C192" s="57">
        <f>VLOOKUP(A192,NFP!A:C,3)</f>
        <v/>
      </c>
    </row>
    <row r="193">
      <c r="A193" s="56" t="n">
        <v>42736</v>
      </c>
      <c r="B193" s="57">
        <f>VLOOKUP(A193,'Database ADP'!A:B,2)</f>
        <v/>
      </c>
      <c r="C193" s="57">
        <f>VLOOKUP(A193,NFP!A:C,3)</f>
        <v/>
      </c>
    </row>
    <row r="194">
      <c r="A194" s="56" t="n">
        <v>42767</v>
      </c>
      <c r="B194" s="57">
        <f>VLOOKUP(A194,'Database ADP'!A:B,2)</f>
        <v/>
      </c>
      <c r="C194" s="57">
        <f>VLOOKUP(A194,NFP!A:C,3)</f>
        <v/>
      </c>
    </row>
    <row r="195">
      <c r="A195" s="56" t="n">
        <v>42795</v>
      </c>
      <c r="B195" s="57">
        <f>VLOOKUP(A195,'Database ADP'!A:B,2)</f>
        <v/>
      </c>
      <c r="C195" s="57">
        <f>VLOOKUP(A195,NFP!A:C,3)</f>
        <v/>
      </c>
    </row>
    <row r="196">
      <c r="A196" s="56" t="n">
        <v>42826</v>
      </c>
      <c r="B196" s="57">
        <f>VLOOKUP(A196,'Database ADP'!A:B,2)</f>
        <v/>
      </c>
      <c r="C196" s="57">
        <f>VLOOKUP(A196,NFP!A:C,3)</f>
        <v/>
      </c>
    </row>
    <row r="197">
      <c r="A197" s="56" t="n">
        <v>42856</v>
      </c>
      <c r="B197" s="57">
        <f>VLOOKUP(A197,'Database ADP'!A:B,2)</f>
        <v/>
      </c>
      <c r="C197" s="57">
        <f>VLOOKUP(A197,NFP!A:C,3)</f>
        <v/>
      </c>
    </row>
    <row r="198">
      <c r="A198" s="56" t="n">
        <v>42887</v>
      </c>
      <c r="B198" s="57">
        <f>VLOOKUP(A198,'Database ADP'!A:B,2)</f>
        <v/>
      </c>
      <c r="C198" s="57">
        <f>VLOOKUP(A198,NFP!A:C,3)</f>
        <v/>
      </c>
    </row>
    <row r="199">
      <c r="A199" s="56" t="n">
        <v>42917</v>
      </c>
      <c r="B199" s="57">
        <f>VLOOKUP(A199,'Database ADP'!A:B,2)</f>
        <v/>
      </c>
      <c r="C199" s="57">
        <f>VLOOKUP(A199,NFP!A:C,3)</f>
        <v/>
      </c>
    </row>
    <row r="200">
      <c r="A200" s="56" t="n">
        <v>42948</v>
      </c>
      <c r="B200" s="57">
        <f>VLOOKUP(A200,'Database ADP'!A:B,2)</f>
        <v/>
      </c>
      <c r="C200" s="57">
        <f>VLOOKUP(A200,NFP!A:C,3)</f>
        <v/>
      </c>
    </row>
    <row r="201">
      <c r="A201" s="56" t="n">
        <v>42979</v>
      </c>
      <c r="B201" s="57">
        <f>VLOOKUP(A201,'Database ADP'!A:B,2)</f>
        <v/>
      </c>
      <c r="C201" s="57">
        <f>VLOOKUP(A201,NFP!A:C,3)</f>
        <v/>
      </c>
    </row>
    <row r="202">
      <c r="A202" s="56" t="n">
        <v>43009</v>
      </c>
      <c r="B202" s="57">
        <f>VLOOKUP(A202,'Database ADP'!A:B,2)</f>
        <v/>
      </c>
      <c r="C202" s="57">
        <f>VLOOKUP(A202,NFP!A:C,3)</f>
        <v/>
      </c>
    </row>
    <row r="203">
      <c r="A203" s="56" t="n">
        <v>43040</v>
      </c>
      <c r="B203" s="57">
        <f>VLOOKUP(A203,'Database ADP'!A:B,2)</f>
        <v/>
      </c>
      <c r="C203" s="57">
        <f>VLOOKUP(A203,NFP!A:C,3)</f>
        <v/>
      </c>
    </row>
    <row r="204">
      <c r="A204" s="56" t="n">
        <v>43070</v>
      </c>
      <c r="B204" s="57">
        <f>VLOOKUP(A204,'Database ADP'!A:B,2)</f>
        <v/>
      </c>
      <c r="C204" s="57">
        <f>VLOOKUP(A204,NFP!A:C,3)</f>
        <v/>
      </c>
    </row>
    <row r="205">
      <c r="A205" s="56" t="n">
        <v>43101</v>
      </c>
      <c r="B205" s="57">
        <f>VLOOKUP(A205,'Database ADP'!A:B,2)</f>
        <v/>
      </c>
      <c r="C205" s="57">
        <f>VLOOKUP(A205,NFP!A:C,3)</f>
        <v/>
      </c>
    </row>
    <row r="206">
      <c r="A206" s="56" t="n">
        <v>43132</v>
      </c>
      <c r="B206" s="57">
        <f>VLOOKUP(A206,'Database ADP'!A:B,2)</f>
        <v/>
      </c>
      <c r="C206" s="57">
        <f>VLOOKUP(A206,NFP!A:C,3)</f>
        <v/>
      </c>
    </row>
    <row r="207">
      <c r="A207" s="56" t="n">
        <v>43160</v>
      </c>
      <c r="B207" s="57">
        <f>VLOOKUP(A207,'Database ADP'!A:B,2)</f>
        <v/>
      </c>
      <c r="C207" s="57">
        <f>VLOOKUP(A207,NFP!A:C,3)</f>
        <v/>
      </c>
    </row>
    <row r="208">
      <c r="A208" s="56" t="n">
        <v>43191</v>
      </c>
      <c r="B208" s="57">
        <f>VLOOKUP(A208,'Database ADP'!A:B,2)</f>
        <v/>
      </c>
      <c r="C208" s="57">
        <f>VLOOKUP(A208,NFP!A:C,3)</f>
        <v/>
      </c>
    </row>
    <row r="209">
      <c r="A209" s="56" t="n">
        <v>43221</v>
      </c>
      <c r="B209" s="57">
        <f>VLOOKUP(A209,'Database ADP'!A:B,2)</f>
        <v/>
      </c>
      <c r="C209" s="57">
        <f>VLOOKUP(A209,NFP!A:C,3)</f>
        <v/>
      </c>
    </row>
    <row r="210">
      <c r="A210" s="56" t="n">
        <v>43252</v>
      </c>
      <c r="B210" s="57">
        <f>VLOOKUP(A210,'Database ADP'!A:B,2)</f>
        <v/>
      </c>
      <c r="C210" s="57">
        <f>VLOOKUP(A210,NFP!A:C,3)</f>
        <v/>
      </c>
    </row>
    <row r="211">
      <c r="A211" s="56" t="n">
        <v>43282</v>
      </c>
      <c r="B211" s="57">
        <f>VLOOKUP(A211,'Database ADP'!A:B,2)</f>
        <v/>
      </c>
      <c r="C211" s="57">
        <f>VLOOKUP(A211,NFP!A:C,3)</f>
        <v/>
      </c>
    </row>
    <row r="212">
      <c r="A212" s="56" t="n">
        <v>43313</v>
      </c>
      <c r="B212" s="57">
        <f>VLOOKUP(A212,'Database ADP'!A:B,2)</f>
        <v/>
      </c>
      <c r="C212" s="57">
        <f>VLOOKUP(A212,NFP!A:C,3)</f>
        <v/>
      </c>
    </row>
    <row r="213">
      <c r="A213" s="56" t="n">
        <v>43344</v>
      </c>
      <c r="B213" s="57">
        <f>VLOOKUP(A213,'Database ADP'!A:B,2)</f>
        <v/>
      </c>
      <c r="C213" s="57">
        <f>VLOOKUP(A213,NFP!A:C,3)</f>
        <v/>
      </c>
    </row>
    <row r="214">
      <c r="A214" s="56" t="n">
        <v>43374</v>
      </c>
      <c r="B214" s="57">
        <f>VLOOKUP(A214,'Database ADP'!A:B,2)</f>
        <v/>
      </c>
      <c r="C214" s="57">
        <f>VLOOKUP(A214,NFP!A:C,3)</f>
        <v/>
      </c>
    </row>
    <row r="215">
      <c r="A215" s="56" t="n">
        <v>43405</v>
      </c>
      <c r="B215" s="57">
        <f>VLOOKUP(A215,'Database ADP'!A:B,2)</f>
        <v/>
      </c>
      <c r="C215" s="57">
        <f>VLOOKUP(A215,NFP!A:C,3)</f>
        <v/>
      </c>
    </row>
    <row r="216">
      <c r="A216" s="56" t="n">
        <v>43435</v>
      </c>
      <c r="B216" s="57">
        <f>VLOOKUP(A216,'Database ADP'!A:B,2)</f>
        <v/>
      </c>
      <c r="C216" s="57">
        <f>VLOOKUP(A216,NFP!A:C,3)</f>
        <v/>
      </c>
    </row>
    <row r="217">
      <c r="A217" s="56" t="n">
        <v>43466</v>
      </c>
      <c r="B217" s="57">
        <f>VLOOKUP(A217,'Database ADP'!A:B,2)</f>
        <v/>
      </c>
      <c r="C217" s="57">
        <f>VLOOKUP(A217,NFP!A:C,3)</f>
        <v/>
      </c>
    </row>
    <row r="218">
      <c r="A218" s="56" t="n">
        <v>43497</v>
      </c>
      <c r="B218" s="57">
        <f>VLOOKUP(A218,'Database ADP'!A:B,2)</f>
        <v/>
      </c>
      <c r="C218" s="57">
        <f>VLOOKUP(A218,NFP!A:C,3)</f>
        <v/>
      </c>
    </row>
    <row r="219">
      <c r="A219" s="56" t="n">
        <v>43525</v>
      </c>
      <c r="B219" s="57">
        <f>VLOOKUP(A219,'Database ADP'!A:B,2)</f>
        <v/>
      </c>
      <c r="C219" s="57">
        <f>VLOOKUP(A219,NFP!A:C,3)</f>
        <v/>
      </c>
    </row>
    <row r="220">
      <c r="A220" s="56" t="n">
        <v>43556</v>
      </c>
      <c r="B220" s="57">
        <f>VLOOKUP(A220,'Database ADP'!A:B,2)</f>
        <v/>
      </c>
      <c r="C220" s="57">
        <f>VLOOKUP(A220,NFP!A:C,3)</f>
        <v/>
      </c>
    </row>
    <row r="221">
      <c r="A221" s="56" t="n">
        <v>43586</v>
      </c>
      <c r="B221" s="57">
        <f>VLOOKUP(A221,'Database ADP'!A:B,2)</f>
        <v/>
      </c>
      <c r="C221" s="57">
        <f>VLOOKUP(A221,NFP!A:C,3)</f>
        <v/>
      </c>
    </row>
    <row r="222" customFormat="1" s="63">
      <c r="A222" s="56" t="n">
        <v>43617</v>
      </c>
      <c r="B222" s="57">
        <f>VLOOKUP(A222,'Database ADP'!A:B,2)</f>
        <v/>
      </c>
      <c r="C222" s="57">
        <f>VLOOKUP(A222,NFP!A:C,3)</f>
        <v/>
      </c>
    </row>
    <row r="223" customFormat="1" s="63">
      <c r="A223" s="56" t="n">
        <v>43647</v>
      </c>
      <c r="B223" s="57">
        <f>VLOOKUP(A223,'Database ADP'!A:B,2)</f>
        <v/>
      </c>
      <c r="C223" s="57">
        <f>VLOOKUP(A223,NFP!A:C,3)</f>
        <v/>
      </c>
    </row>
    <row r="224" customFormat="1" s="63">
      <c r="A224" s="56" t="n">
        <v>43678</v>
      </c>
      <c r="B224" s="57">
        <f>VLOOKUP(A224,'Database ADP'!A:B,2)</f>
        <v/>
      </c>
      <c r="C224" s="57">
        <f>VLOOKUP(A224,NFP!A:C,3)</f>
        <v/>
      </c>
    </row>
    <row r="225" customFormat="1" s="63">
      <c r="A225" s="56" t="n">
        <v>43709</v>
      </c>
      <c r="B225" s="57">
        <f>VLOOKUP(A225,'Database ADP'!A:B,2)</f>
        <v/>
      </c>
      <c r="C225" s="57">
        <f>VLOOKUP(A225,NFP!A:C,3)</f>
        <v/>
      </c>
    </row>
    <row r="226" customFormat="1" s="63">
      <c r="A226" s="56" t="n">
        <v>43739</v>
      </c>
      <c r="B226" s="57">
        <f>VLOOKUP(A226,'Database ADP'!A:B,2)</f>
        <v/>
      </c>
      <c r="C226" s="57">
        <f>VLOOKUP(A226,NFP!A:C,3)</f>
        <v/>
      </c>
    </row>
    <row r="227" customFormat="1" s="63">
      <c r="A227" s="56" t="n">
        <v>43770</v>
      </c>
      <c r="B227" s="57">
        <f>VLOOKUP(A227,'Database ADP'!A:B,2)</f>
        <v/>
      </c>
      <c r="C227" s="57">
        <f>VLOOKUP(A227,NFP!A:C,3)</f>
        <v/>
      </c>
    </row>
    <row r="228" customFormat="1" s="63">
      <c r="A228" s="56" t="n">
        <v>43800</v>
      </c>
      <c r="B228" s="57">
        <f>VLOOKUP(A228,'Database ADP'!A:B,2)</f>
        <v/>
      </c>
      <c r="C228" s="57">
        <f>VLOOKUP(A228,NFP!A:C,3)</f>
        <v/>
      </c>
    </row>
    <row r="229" customFormat="1" s="63">
      <c r="A229" s="56" t="n">
        <v>43831</v>
      </c>
      <c r="B229" s="57">
        <f>VLOOKUP(A229,'Database ADP'!A:B,2)</f>
        <v/>
      </c>
      <c r="C229" s="57">
        <f>VLOOKUP(A229,NFP!A:C,3)</f>
        <v/>
      </c>
    </row>
    <row r="230" customFormat="1" s="63">
      <c r="A230" s="56" t="n">
        <v>43862</v>
      </c>
      <c r="B230" s="57">
        <f>VLOOKUP(A230,'Database ADP'!A:B,2)</f>
        <v/>
      </c>
      <c r="C230" s="57">
        <f>VLOOKUP(A230,NFP!A:C,3)</f>
        <v/>
      </c>
    </row>
    <row r="231" customFormat="1" s="63">
      <c r="A231" s="56" t="n">
        <v>43891</v>
      </c>
      <c r="B231" s="57">
        <f>VLOOKUP(A231,'Database ADP'!A:B,2)</f>
        <v/>
      </c>
      <c r="C231" s="57">
        <f>VLOOKUP(A231,NFP!A:C,3)</f>
        <v/>
      </c>
    </row>
    <row r="232" customFormat="1" s="63">
      <c r="A232" s="56" t="n">
        <v>43922</v>
      </c>
      <c r="B232" s="57">
        <f>VLOOKUP(A232,'Database ADP'!A:B,2)</f>
        <v/>
      </c>
      <c r="C232" s="57">
        <f>VLOOKUP(A232,NFP!A:C,3)</f>
        <v/>
      </c>
    </row>
    <row r="233" customFormat="1" s="63">
      <c r="A233" s="56" t="n">
        <v>43952</v>
      </c>
      <c r="B233" s="57">
        <f>VLOOKUP(A233,'Database ADP'!A:B,2)</f>
        <v/>
      </c>
      <c r="C233" s="57">
        <f>VLOOKUP(A233,NFP!A:C,3)</f>
        <v/>
      </c>
    </row>
    <row r="234" customFormat="1" s="63">
      <c r="A234" s="56" t="n">
        <v>43983</v>
      </c>
      <c r="B234" s="57">
        <f>VLOOKUP(A234,'Database ADP'!A:B,2)</f>
        <v/>
      </c>
      <c r="C234" s="57">
        <f>VLOOKUP(A234,NFP!A:C,3)</f>
        <v/>
      </c>
    </row>
    <row r="235" customFormat="1" s="63">
      <c r="A235" s="56" t="n">
        <v>44013</v>
      </c>
      <c r="B235" s="57">
        <f>VLOOKUP(A235,'Database ADP'!A:B,2)</f>
        <v/>
      </c>
      <c r="C235" s="57">
        <f>VLOOKUP(A235,NFP!A:C,3)</f>
        <v/>
      </c>
    </row>
    <row r="236" customFormat="1" s="63">
      <c r="A236" s="56" t="n">
        <v>44044</v>
      </c>
      <c r="B236" s="57">
        <f>VLOOKUP(A236,'Database ADP'!A:B,2)</f>
        <v/>
      </c>
      <c r="C236" s="57">
        <f>VLOOKUP(A236,NFP!A:C,3)</f>
        <v/>
      </c>
    </row>
    <row r="237" customFormat="1" s="63">
      <c r="A237" s="56" t="n">
        <v>44075</v>
      </c>
      <c r="B237" s="57">
        <f>VLOOKUP(A237,'Database ADP'!A:B,2)</f>
        <v/>
      </c>
      <c r="C237" s="57">
        <f>VLOOKUP(A237,NFP!A:C,3)</f>
        <v/>
      </c>
    </row>
    <row r="238" customFormat="1" s="63">
      <c r="A238" s="56" t="n">
        <v>44105</v>
      </c>
      <c r="B238" s="57">
        <f>VLOOKUP(A238,'Database ADP'!A:B,2)</f>
        <v/>
      </c>
      <c r="C238" s="57">
        <f>VLOOKUP(A238,NFP!A:C,3)</f>
        <v/>
      </c>
    </row>
    <row r="239" customFormat="1" s="63">
      <c r="A239" s="56" t="n">
        <v>44136</v>
      </c>
      <c r="B239" s="57">
        <f>VLOOKUP(A239,'Database ADP'!A:B,2)</f>
        <v/>
      </c>
      <c r="C239" s="57">
        <f>VLOOKUP(A239,NFP!A:C,3)</f>
        <v/>
      </c>
    </row>
    <row r="240" customFormat="1" s="63">
      <c r="A240" s="56" t="n">
        <v>44166</v>
      </c>
      <c r="B240" s="57">
        <f>VLOOKUP(A240,'Database ADP'!A:B,2)</f>
        <v/>
      </c>
      <c r="C240" s="57">
        <f>VLOOKUP(A240,NFP!A:C,3)</f>
        <v/>
      </c>
    </row>
    <row r="241" customFormat="1" s="63">
      <c r="A241" s="56" t="n">
        <v>44197</v>
      </c>
      <c r="B241" s="57">
        <f>VLOOKUP(A241,'Database ADP'!A:B,2)</f>
        <v/>
      </c>
      <c r="C241" s="57">
        <f>VLOOKUP(A241,NFP!A:C,3)</f>
        <v/>
      </c>
    </row>
    <row r="242" customFormat="1" s="63">
      <c r="A242" s="56" t="n">
        <v>44228</v>
      </c>
      <c r="B242" s="57">
        <f>VLOOKUP(A242,'Database ADP'!A:B,2)</f>
        <v/>
      </c>
      <c r="C242" s="57">
        <f>VLOOKUP(A242,NFP!A:C,3)</f>
        <v/>
      </c>
    </row>
    <row r="243" customFormat="1" s="63">
      <c r="A243" s="56" t="n">
        <v>44256</v>
      </c>
      <c r="B243" s="57">
        <f>VLOOKUP(A243,'Database ADP'!A:B,2)</f>
        <v/>
      </c>
      <c r="C243" s="57">
        <f>VLOOKUP(A243,NFP!A:C,3)</f>
        <v/>
      </c>
    </row>
    <row r="244" customFormat="1" s="63">
      <c r="A244" s="56" t="n">
        <v>44287</v>
      </c>
      <c r="B244" s="57">
        <f>VLOOKUP(A244,'Database ADP'!A:B,2)</f>
        <v/>
      </c>
      <c r="C244" s="57">
        <f>VLOOKUP(A244,NFP!A:C,3)</f>
        <v/>
      </c>
    </row>
    <row r="245" customFormat="1" s="63">
      <c r="A245" s="56" t="n">
        <v>44317</v>
      </c>
      <c r="B245" s="57">
        <f>VLOOKUP(A245,'Database ADP'!A:B,2)</f>
        <v/>
      </c>
      <c r="C245" s="57">
        <f>VLOOKUP(A245,NFP!A:C,3)</f>
        <v/>
      </c>
    </row>
    <row r="246" customFormat="1" s="63">
      <c r="A246" s="56" t="n">
        <v>44348</v>
      </c>
      <c r="B246" s="57">
        <f>VLOOKUP(A246,'Database ADP'!A:B,2)</f>
        <v/>
      </c>
      <c r="C246" s="57">
        <f>VLOOKUP(A246,NFP!A:C,3)</f>
        <v/>
      </c>
    </row>
    <row r="247" customFormat="1" s="63">
      <c r="A247" s="56" t="n">
        <v>44378</v>
      </c>
      <c r="B247" s="57">
        <f>VLOOKUP(A247,'Database ADP'!A:B,2)</f>
        <v/>
      </c>
      <c r="C247" s="57">
        <f>VLOOKUP(A247,NFP!A:C,3)</f>
        <v/>
      </c>
    </row>
    <row r="248" customFormat="1" s="63">
      <c r="A248" s="56" t="n">
        <v>44409</v>
      </c>
      <c r="B248" s="57">
        <f>VLOOKUP(A248,'Database ADP'!A:B,2)</f>
        <v/>
      </c>
      <c r="C248" s="57">
        <f>VLOOKUP(A248,NFP!A:C,3)</f>
        <v/>
      </c>
    </row>
    <row r="249" customFormat="1" s="63">
      <c r="A249" s="56" t="n">
        <v>44440</v>
      </c>
      <c r="B249" s="57">
        <f>VLOOKUP(A249,'Database ADP'!A:B,2)</f>
        <v/>
      </c>
      <c r="C249" s="57">
        <f>VLOOKUP(A249,NFP!A:C,3)</f>
        <v/>
      </c>
    </row>
    <row r="250" customFormat="1" s="63">
      <c r="A250" s="56" t="n">
        <v>44470</v>
      </c>
      <c r="B250" s="57">
        <f>VLOOKUP(A250,'Database ADP'!A:B,2)</f>
        <v/>
      </c>
      <c r="C250" s="57">
        <f>VLOOKUP(A250,NFP!A:C,3)</f>
        <v/>
      </c>
    </row>
    <row r="251" customFormat="1" s="63">
      <c r="A251" s="56" t="n">
        <v>44501</v>
      </c>
      <c r="B251" s="57">
        <f>VLOOKUP(A251,'Database ADP'!A:B,2)</f>
        <v/>
      </c>
      <c r="C251" s="57">
        <f>VLOOKUP(A251,NFP!A:C,3)</f>
        <v/>
      </c>
    </row>
    <row r="252" customFormat="1" s="63">
      <c r="A252" s="56" t="n">
        <v>44531</v>
      </c>
      <c r="B252" s="57">
        <f>VLOOKUP(A252,'Database ADP'!A:B,2)</f>
        <v/>
      </c>
      <c r="C252" s="57">
        <f>VLOOKUP(A252,NFP!A:C,3)</f>
        <v/>
      </c>
    </row>
    <row r="253" customFormat="1" s="63">
      <c r="A253" s="56" t="n">
        <v>44562</v>
      </c>
      <c r="B253" s="57">
        <f>VLOOKUP(A253,'Database ADP'!A:B,2)</f>
        <v/>
      </c>
      <c r="C253" s="57">
        <f>VLOOKUP(A253,NFP!A:C,3)</f>
        <v/>
      </c>
    </row>
    <row r="254" customFormat="1" s="63">
      <c r="A254" s="56" t="n">
        <v>44593</v>
      </c>
      <c r="B254" s="57">
        <f>VLOOKUP(A254,'Database ADP'!A:B,2)</f>
        <v/>
      </c>
      <c r="C254" s="57">
        <f>VLOOKUP(A254,NFP!A:C,3)</f>
        <v/>
      </c>
    </row>
    <row r="255" customFormat="1" s="63">
      <c r="A255" s="56" t="n">
        <v>44621</v>
      </c>
      <c r="B255" s="57">
        <f>VLOOKUP(A255,'Database ADP'!A:B,2)</f>
        <v/>
      </c>
      <c r="C255" s="57">
        <f>VLOOKUP(A255,NFP!A:C,3)</f>
        <v/>
      </c>
    </row>
    <row r="256" customFormat="1" s="63">
      <c r="A256" s="56" t="n">
        <v>44652</v>
      </c>
      <c r="B256" s="57">
        <f>VLOOKUP(A256,'Database ADP'!A:B,2)</f>
        <v/>
      </c>
      <c r="C256" s="57">
        <f>VLOOKUP(A256,NFP!A:C,3)</f>
        <v/>
      </c>
    </row>
    <row r="257" customFormat="1" s="63">
      <c r="A257" s="56" t="n">
        <v>44682</v>
      </c>
      <c r="B257" s="57">
        <f>VLOOKUP(A257,'Database ADP'!A:B,2)</f>
        <v/>
      </c>
      <c r="C257" s="57">
        <f>VLOOKUP(A257,NFP!A:C,3)</f>
        <v/>
      </c>
    </row>
    <row r="258" customFormat="1" s="63">
      <c r="A258" s="56" t="n">
        <v>44713</v>
      </c>
      <c r="B258" s="57">
        <f>VLOOKUP(A258,'Database ADP'!A:B,2)</f>
        <v/>
      </c>
      <c r="C258" s="57">
        <f>VLOOKUP(A258,NFP!A:C,3)</f>
        <v/>
      </c>
    </row>
    <row r="259" customFormat="1" s="63">
      <c r="A259" s="56" t="n">
        <v>44743</v>
      </c>
      <c r="B259" s="57">
        <f>VLOOKUP(A259,'Database ADP'!A:B,2)</f>
        <v/>
      </c>
      <c r="C259" s="57">
        <f>VLOOKUP(A259,NFP!A:C,3)</f>
        <v/>
      </c>
    </row>
    <row r="260" customFormat="1" s="63">
      <c r="A260" s="56" t="n">
        <v>44774</v>
      </c>
      <c r="B260" s="57">
        <f>VLOOKUP(A260,'Database ADP'!A:B,2)</f>
        <v/>
      </c>
      <c r="C260" s="57">
        <f>VLOOKUP(A260,NFP!A:C,3)</f>
        <v/>
      </c>
    </row>
    <row r="261" customFormat="1" s="63">
      <c r="A261" s="56" t="n">
        <v>44805</v>
      </c>
      <c r="B261" s="57">
        <f>VLOOKUP(A261,'Database ADP'!A:B,2)</f>
        <v/>
      </c>
      <c r="C261" s="57">
        <f>VLOOKUP(A261,NFP!A:C,3)</f>
        <v/>
      </c>
    </row>
    <row r="262" customFormat="1" s="63">
      <c r="A262" s="56" t="n">
        <v>44835</v>
      </c>
      <c r="B262" s="57">
        <f>VLOOKUP(A262,'Database ADP'!A:B,2)</f>
        <v/>
      </c>
      <c r="C262" s="57">
        <f>VLOOKUP(A262,NFP!A:C,3)</f>
        <v/>
      </c>
    </row>
    <row r="263" customFormat="1" s="63">
      <c r="A263" s="56" t="n">
        <v>44866</v>
      </c>
      <c r="B263" s="57">
        <f>VLOOKUP(A263,'Database ADP'!A:B,2)</f>
        <v/>
      </c>
      <c r="C263" s="57">
        <f>VLOOKUP(A263,NFP!A:C,3)</f>
        <v/>
      </c>
    </row>
    <row r="264" customFormat="1" s="63">
      <c r="A264" s="56" t="n">
        <v>44896</v>
      </c>
      <c r="B264" s="57">
        <f>VLOOKUP(A264,'Database ADP'!A:B,2)</f>
        <v/>
      </c>
      <c r="C264" s="57">
        <f>VLOOKUP(A264,NFP!A:C,3)</f>
        <v/>
      </c>
    </row>
    <row r="265" customFormat="1" s="63">
      <c r="A265" s="15" t="n"/>
      <c r="B265" s="15" t="n"/>
      <c r="C265" s="15" t="n"/>
    </row>
    <row r="266" customFormat="1" s="63">
      <c r="A266" s="15" t="n"/>
      <c r="B266" s="15" t="n"/>
      <c r="C266" s="15" t="n"/>
    </row>
    <row r="267" customFormat="1" s="63">
      <c r="A267" s="15" t="n"/>
      <c r="B267" s="15" t="n"/>
      <c r="C267" s="15" t="n"/>
    </row>
    <row r="268" customFormat="1" s="63">
      <c r="A268" s="15" t="n"/>
      <c r="B268" s="15" t="n"/>
      <c r="C268" s="15" t="n"/>
    </row>
    <row r="269" customFormat="1" s="63">
      <c r="A269" s="15" t="n"/>
      <c r="B269" s="15" t="n"/>
      <c r="C269" s="15" t="n"/>
    </row>
    <row r="270" customFormat="1" s="63">
      <c r="A270" s="15" t="n"/>
      <c r="B270" s="15" t="n"/>
      <c r="C270" s="15" t="n"/>
    </row>
    <row r="271" customFormat="1" s="63">
      <c r="A271" s="15" t="n"/>
      <c r="B271" s="15" t="n"/>
      <c r="C271" s="15" t="n"/>
    </row>
    <row r="272" customFormat="1" s="63">
      <c r="A272" s="15" t="n"/>
      <c r="B272" s="15" t="n"/>
      <c r="C272" s="15" t="n"/>
    </row>
    <row r="273" customFormat="1" s="63">
      <c r="A273" s="15" t="n"/>
      <c r="B273" s="15" t="n"/>
      <c r="C273" s="15" t="n"/>
    </row>
    <row r="274" customFormat="1" s="63">
      <c r="A274" s="15" t="n"/>
      <c r="B274" s="15" t="n"/>
      <c r="C274" s="15" t="n"/>
    </row>
    <row r="275" customFormat="1" s="63">
      <c r="A275" s="15" t="n"/>
      <c r="B275" s="15" t="n"/>
      <c r="C275" s="15" t="n"/>
    </row>
    <row r="276" customFormat="1" s="63">
      <c r="A276" s="15" t="n"/>
      <c r="B276" s="15" t="n"/>
      <c r="C276" s="15" t="n"/>
    </row>
    <row r="277" customFormat="1" s="63">
      <c r="A277" s="15" t="n"/>
      <c r="B277" s="15" t="n"/>
      <c r="C277" s="15" t="n"/>
    </row>
    <row r="278" customFormat="1" s="63">
      <c r="A278" s="15" t="n"/>
      <c r="B278" s="15" t="n"/>
      <c r="C278" s="15" t="n"/>
    </row>
    <row r="279" customFormat="1" s="63">
      <c r="A279" s="15" t="n"/>
      <c r="B279" s="15" t="n"/>
      <c r="C279" s="15" t="n"/>
    </row>
    <row r="280" customFormat="1" s="63">
      <c r="A280" s="15" t="n"/>
      <c r="B280" s="15" t="n"/>
      <c r="C280" s="15" t="n"/>
    </row>
    <row r="281" customFormat="1" s="63">
      <c r="A281" s="15" t="n"/>
      <c r="B281" s="15" t="n"/>
      <c r="C281" s="15" t="n"/>
    </row>
    <row r="282" customFormat="1" s="63">
      <c r="A282" s="15" t="n"/>
      <c r="B282" s="15" t="n"/>
      <c r="C282" s="15" t="n"/>
    </row>
    <row r="283" customFormat="1" s="63">
      <c r="A283" s="15" t="n"/>
      <c r="B283" s="15" t="n"/>
      <c r="C283" s="15" t="n"/>
    </row>
    <row r="284" customFormat="1" s="63">
      <c r="A284" s="15" t="n"/>
      <c r="B284" s="15" t="n"/>
      <c r="C284" s="15" t="n"/>
    </row>
    <row r="285" customFormat="1" s="63">
      <c r="A285" s="15" t="n"/>
      <c r="B285" s="15" t="n"/>
      <c r="C285" s="15" t="n"/>
    </row>
    <row r="286" customFormat="1" s="63">
      <c r="A286" s="15" t="n"/>
      <c r="B286" s="15" t="n"/>
      <c r="C286" s="15" t="n"/>
    </row>
    <row r="287" customFormat="1" s="63">
      <c r="A287" s="15" t="n"/>
      <c r="B287" s="15" t="n"/>
      <c r="C287" s="15" t="n"/>
    </row>
    <row r="288" customFormat="1" s="63">
      <c r="A288" s="15" t="n"/>
      <c r="B288" s="15" t="n"/>
      <c r="C288" s="15" t="n"/>
    </row>
    <row r="289" customFormat="1" s="63">
      <c r="A289" s="15" t="n"/>
      <c r="B289" s="15" t="n"/>
      <c r="C289" s="15" t="n"/>
    </row>
    <row r="290" customFormat="1" s="63">
      <c r="A290" s="15" t="n"/>
      <c r="B290" s="15" t="n"/>
      <c r="C290" s="15" t="n"/>
    </row>
    <row r="291" customFormat="1" s="63">
      <c r="A291" s="15" t="n"/>
      <c r="B291" s="15" t="n"/>
      <c r="C291" s="15" t="n"/>
    </row>
    <row r="292" customFormat="1" s="63">
      <c r="A292" s="15" t="n"/>
      <c r="B292" s="15" t="n"/>
      <c r="C292" s="15" t="n"/>
    </row>
    <row r="293" customFormat="1" s="63">
      <c r="A293" s="15" t="n"/>
      <c r="B293" s="15" t="n"/>
      <c r="C293" s="15" t="n"/>
    </row>
    <row r="294" customFormat="1" s="63">
      <c r="A294" s="15" t="n"/>
      <c r="B294" s="15" t="n"/>
      <c r="C294" s="15" t="n"/>
    </row>
    <row r="295" customFormat="1" s="63">
      <c r="A295" s="15" t="n"/>
      <c r="B295" s="15" t="n"/>
      <c r="C295" s="15" t="n"/>
    </row>
    <row r="296" customFormat="1" s="63">
      <c r="A296" s="15" t="n"/>
      <c r="B296" s="15" t="n"/>
      <c r="C296" s="15" t="n"/>
    </row>
    <row r="297" customFormat="1" s="63">
      <c r="A297" s="15" t="n"/>
      <c r="B297" s="15" t="n"/>
      <c r="C297" s="15" t="n"/>
    </row>
    <row r="298" customFormat="1" s="63">
      <c r="A298" s="15" t="n"/>
      <c r="B298" s="15" t="n"/>
      <c r="C298" s="15" t="n"/>
    </row>
    <row r="299" customFormat="1" s="63">
      <c r="A299" s="15" t="n"/>
      <c r="B299" s="15" t="n"/>
      <c r="C299" s="15" t="n"/>
    </row>
    <row r="300" customFormat="1" s="63">
      <c r="A300" s="15" t="n"/>
      <c r="B300" s="15" t="n"/>
      <c r="C300" s="15" t="n"/>
    </row>
    <row r="301" customFormat="1" s="63">
      <c r="A301" s="15" t="n"/>
      <c r="B301" s="15" t="n"/>
      <c r="C301" s="15" t="n"/>
    </row>
    <row r="302" customFormat="1" s="63">
      <c r="A302" s="15" t="n"/>
      <c r="B302" s="15" t="n"/>
      <c r="C302" s="15" t="n"/>
    </row>
    <row r="303" customFormat="1" s="63">
      <c r="A303" s="15" t="n"/>
      <c r="B303" s="15" t="n"/>
      <c r="C303" s="15" t="n"/>
    </row>
    <row r="304" customFormat="1" s="63">
      <c r="A304" s="15" t="n"/>
      <c r="B304" s="15" t="n"/>
      <c r="C304" s="15" t="n"/>
    </row>
    <row r="305" customFormat="1" s="63">
      <c r="A305" s="15" t="n"/>
      <c r="B305" s="15" t="n"/>
      <c r="C305" s="15" t="n"/>
    </row>
    <row r="306" customFormat="1" s="63">
      <c r="A306" s="15" t="n"/>
      <c r="B306" s="15" t="n"/>
      <c r="C306" s="15" t="n"/>
    </row>
    <row r="307" customFormat="1" s="63">
      <c r="A307" s="15" t="n"/>
      <c r="B307" s="15" t="n"/>
      <c r="C307" s="15" t="n"/>
    </row>
    <row r="308" customFormat="1" s="63">
      <c r="A308" s="15" t="n"/>
      <c r="B308" s="15" t="n"/>
      <c r="C308" s="15" t="n"/>
    </row>
    <row r="309" customFormat="1" s="63">
      <c r="A309" s="15" t="n"/>
      <c r="B309" s="15" t="n"/>
      <c r="C309" s="15" t="n"/>
    </row>
    <row r="310" customFormat="1" s="63">
      <c r="A310" s="15" t="n"/>
      <c r="B310" s="15" t="n"/>
      <c r="C310" s="15" t="n"/>
    </row>
    <row r="311" customFormat="1" s="63">
      <c r="A311" s="15" t="n"/>
      <c r="B311" s="15" t="n"/>
      <c r="C311" s="15" t="n"/>
    </row>
    <row r="312" customFormat="1" s="63">
      <c r="A312" s="15" t="n"/>
      <c r="B312" s="15" t="n"/>
      <c r="C312" s="15" t="n"/>
    </row>
    <row r="313" customFormat="1" s="63">
      <c r="A313" s="15" t="n"/>
      <c r="B313" s="15" t="n"/>
      <c r="C313" s="15" t="n"/>
    </row>
    <row r="314" customFormat="1" s="63">
      <c r="A314" s="15" t="n"/>
      <c r="B314" s="15" t="n"/>
      <c r="C314" s="15" t="n"/>
    </row>
    <row r="315" customFormat="1" s="63">
      <c r="A315" s="15" t="n"/>
      <c r="B315" s="15" t="n"/>
      <c r="C315" s="15" t="n"/>
    </row>
    <row r="316" customFormat="1" s="63">
      <c r="A316" s="15" t="n"/>
      <c r="B316" s="15" t="n"/>
      <c r="C316" s="15" t="n"/>
    </row>
    <row r="317" customFormat="1" s="63">
      <c r="A317" s="15" t="n"/>
      <c r="B317" s="15" t="n"/>
      <c r="C317" s="15" t="n"/>
    </row>
    <row r="318" customFormat="1" s="63">
      <c r="A318" s="15" t="n"/>
      <c r="B318" s="15" t="n"/>
      <c r="C318" s="15" t="n"/>
    </row>
    <row r="319" customFormat="1" s="63">
      <c r="A319" s="15" t="n"/>
      <c r="B319" s="15" t="n"/>
      <c r="C319" s="15" t="n"/>
    </row>
    <row r="320" customFormat="1" s="63">
      <c r="A320" s="15" t="n"/>
      <c r="B320" s="15" t="n"/>
      <c r="C320" s="15" t="n"/>
    </row>
    <row r="321" customFormat="1" s="63">
      <c r="A321" s="15" t="n"/>
      <c r="B321" s="15" t="n"/>
      <c r="C321" s="15" t="n"/>
    </row>
    <row r="322" customFormat="1" s="63">
      <c r="A322" s="15" t="n"/>
      <c r="B322" s="15" t="n"/>
      <c r="C322" s="15" t="n"/>
    </row>
    <row r="323" customFormat="1" s="63">
      <c r="A323" s="15" t="n"/>
      <c r="B323" s="15" t="n"/>
      <c r="C323" s="15" t="n"/>
    </row>
    <row r="324" customFormat="1" s="63">
      <c r="A324" s="15" t="n"/>
      <c r="B324" s="15" t="n"/>
      <c r="C324" s="15" t="n"/>
    </row>
    <row r="325" customFormat="1" s="63">
      <c r="A325" s="15" t="n"/>
      <c r="B325" s="15" t="n"/>
      <c r="C325" s="15" t="n"/>
    </row>
    <row r="326" customFormat="1" s="63">
      <c r="A326" s="15" t="n"/>
      <c r="B326" s="15" t="n"/>
      <c r="C326" s="15" t="n"/>
    </row>
    <row r="327" customFormat="1" s="63">
      <c r="A327" s="15" t="n"/>
      <c r="B327" s="15" t="n"/>
      <c r="C327" s="15" t="n"/>
    </row>
    <row r="328" customFormat="1" s="63">
      <c r="A328" s="15" t="n"/>
      <c r="B328" s="15" t="n"/>
      <c r="C328" s="15" t="n"/>
    </row>
    <row r="329" customFormat="1" s="63">
      <c r="A329" s="15" t="n"/>
      <c r="B329" s="15" t="n"/>
      <c r="C329" s="15" t="n"/>
    </row>
    <row r="330" customFormat="1" s="63">
      <c r="A330" s="15" t="n"/>
      <c r="B330" s="15" t="n"/>
      <c r="C330" s="15" t="n"/>
    </row>
    <row r="331" customFormat="1" s="63">
      <c r="A331" s="15" t="n"/>
      <c r="B331" s="15" t="n"/>
      <c r="C331" s="15" t="n"/>
    </row>
    <row r="332" customFormat="1" s="63">
      <c r="A332" s="15" t="n"/>
      <c r="B332" s="15" t="n"/>
      <c r="C332" s="15" t="n"/>
    </row>
    <row r="333" customFormat="1" s="63">
      <c r="A333" s="15" t="n"/>
      <c r="B333" s="15" t="n"/>
      <c r="C333" s="15" t="n"/>
    </row>
    <row r="334" customFormat="1" s="63">
      <c r="A334" s="15" t="n"/>
      <c r="B334" s="15" t="n"/>
      <c r="C334" s="15" t="n"/>
    </row>
    <row r="335" customFormat="1" s="63">
      <c r="A335" s="15" t="n"/>
      <c r="B335" s="15" t="n"/>
      <c r="C335" s="15" t="n"/>
    </row>
    <row r="336" customFormat="1" s="63">
      <c r="A336" s="15" t="n"/>
      <c r="B336" s="15" t="n"/>
      <c r="C336" s="15" t="n"/>
    </row>
    <row r="337" customFormat="1" s="63">
      <c r="A337" s="15" t="n"/>
      <c r="B337" s="15" t="n"/>
      <c r="C337" s="15" t="n"/>
    </row>
    <row r="338" customFormat="1" s="63">
      <c r="A338" s="15" t="n"/>
      <c r="B338" s="15" t="n"/>
      <c r="C338" s="15" t="n"/>
    </row>
    <row r="339" customFormat="1" s="63">
      <c r="A339" s="15" t="n"/>
      <c r="B339" s="15" t="n"/>
      <c r="C339" s="15" t="n"/>
    </row>
    <row r="340" customFormat="1" s="63">
      <c r="A340" s="15" t="n"/>
      <c r="B340" s="15" t="n"/>
      <c r="C340" s="15" t="n"/>
    </row>
    <row r="341" customFormat="1" s="63">
      <c r="A341" s="15" t="n"/>
      <c r="B341" s="15" t="n"/>
      <c r="C341" s="15" t="n"/>
    </row>
    <row r="342" customFormat="1" s="63">
      <c r="A342" s="15" t="n"/>
      <c r="B342" s="15" t="n"/>
      <c r="C342" s="15" t="n"/>
    </row>
    <row r="343" customFormat="1" s="63">
      <c r="A343" s="15" t="n"/>
      <c r="B343" s="15" t="n"/>
      <c r="C343" s="15" t="n"/>
    </row>
    <row r="344" customFormat="1" s="63">
      <c r="A344" s="15" t="n"/>
      <c r="B344" s="15" t="n"/>
      <c r="C344" s="15" t="n"/>
    </row>
    <row r="345" customFormat="1" s="63">
      <c r="A345" s="15" t="n"/>
      <c r="B345" s="15" t="n"/>
      <c r="C345" s="15" t="n"/>
    </row>
    <row r="346" customFormat="1" s="63">
      <c r="A346" s="15" t="n"/>
      <c r="B346" s="15" t="n"/>
      <c r="C346" s="15" t="n"/>
    </row>
    <row r="347" customFormat="1" s="63">
      <c r="A347" s="15" t="n"/>
      <c r="B347" s="15" t="n"/>
      <c r="C347" s="15" t="n"/>
    </row>
    <row r="348" customFormat="1" s="63">
      <c r="A348" s="15" t="n"/>
      <c r="B348" s="15" t="n"/>
      <c r="C348" s="15" t="n"/>
    </row>
    <row r="349" customFormat="1" s="63">
      <c r="A349" s="15" t="n"/>
      <c r="B349" s="15" t="n"/>
      <c r="C349" s="15" t="n"/>
    </row>
    <row r="350" customFormat="1" s="63">
      <c r="A350" s="15" t="n"/>
      <c r="B350" s="15" t="n"/>
      <c r="C350" s="15" t="n"/>
    </row>
    <row r="351" customFormat="1" s="63">
      <c r="A351" s="15" t="n"/>
      <c r="B351" s="15" t="n"/>
      <c r="C351" s="15" t="n"/>
    </row>
    <row r="352" customFormat="1" s="63">
      <c r="A352" s="15" t="n"/>
      <c r="B352" s="15" t="n"/>
      <c r="C352" s="15" t="n"/>
    </row>
    <row r="353" customFormat="1" s="63">
      <c r="A353" s="15" t="n"/>
      <c r="B353" s="15" t="n"/>
      <c r="C353" s="15" t="n"/>
    </row>
    <row r="354" customFormat="1" s="63">
      <c r="A354" s="15" t="n"/>
      <c r="B354" s="15" t="n"/>
      <c r="C354" s="15" t="n"/>
    </row>
    <row r="355" customFormat="1" s="63">
      <c r="A355" s="15" t="n"/>
      <c r="B355" s="15" t="n"/>
      <c r="C355" s="15" t="n"/>
    </row>
    <row r="356" customFormat="1" s="63">
      <c r="A356" s="15" t="n"/>
      <c r="B356" s="15" t="n"/>
      <c r="C356" s="15" t="n"/>
    </row>
    <row r="357" customFormat="1" s="63">
      <c r="A357" s="15" t="n"/>
      <c r="B357" s="15" t="n"/>
      <c r="C357" s="15" t="n"/>
    </row>
    <row r="358" customFormat="1" s="63">
      <c r="A358" s="15" t="n"/>
      <c r="B358" s="15" t="n"/>
      <c r="C358" s="15" t="n"/>
    </row>
    <row r="359" customFormat="1" s="63">
      <c r="A359" s="15" t="n"/>
      <c r="B359" s="15" t="n"/>
      <c r="C359" s="15" t="n"/>
    </row>
    <row r="360" customFormat="1" s="63">
      <c r="A360" s="15" t="n"/>
      <c r="B360" s="15" t="n"/>
      <c r="C360" s="15" t="n"/>
    </row>
    <row r="361" customFormat="1" s="63">
      <c r="A361" s="15" t="n"/>
      <c r="B361" s="15" t="n"/>
      <c r="C361" s="15" t="n"/>
    </row>
    <row r="362" customFormat="1" s="63">
      <c r="A362" s="15" t="n"/>
      <c r="B362" s="15" t="n"/>
      <c r="C362" s="15" t="n"/>
    </row>
    <row r="363" customFormat="1" s="63">
      <c r="A363" s="15" t="n"/>
      <c r="B363" s="15" t="n"/>
      <c r="C363" s="15" t="n"/>
    </row>
    <row r="364" customFormat="1" s="63">
      <c r="A364" s="15" t="n"/>
      <c r="B364" s="15" t="n"/>
      <c r="C364" s="15" t="n"/>
    </row>
    <row r="365" customFormat="1" s="63">
      <c r="A365" s="15" t="n"/>
      <c r="B365" s="15" t="n"/>
      <c r="C365" s="15" t="n"/>
    </row>
    <row r="366" customFormat="1" s="63">
      <c r="A366" s="15" t="n"/>
      <c r="B366" s="15" t="n"/>
      <c r="C366" s="15" t="n"/>
    </row>
    <row r="367" customFormat="1" s="63">
      <c r="A367" s="15" t="n"/>
      <c r="B367" s="15" t="n"/>
      <c r="C367" s="15" t="n"/>
    </row>
    <row r="368" customFormat="1" s="63">
      <c r="A368" s="15" t="n"/>
      <c r="B368" s="15" t="n"/>
      <c r="C368" s="15" t="n"/>
    </row>
    <row r="369" customFormat="1" s="63">
      <c r="A369" s="15" t="n"/>
      <c r="B369" s="15" t="n"/>
      <c r="C369" s="15" t="n"/>
    </row>
    <row r="370" customFormat="1" s="63">
      <c r="A370" s="15" t="n"/>
      <c r="B370" s="15" t="n"/>
      <c r="C370" s="15" t="n"/>
    </row>
    <row r="371" customFormat="1" s="63">
      <c r="A371" s="15" t="n"/>
      <c r="B371" s="15" t="n"/>
      <c r="C371" s="15" t="n"/>
    </row>
    <row r="372" customFormat="1" s="63">
      <c r="A372" s="15" t="n"/>
      <c r="B372" s="15" t="n"/>
      <c r="C372" s="15" t="n"/>
    </row>
    <row r="373" customFormat="1" s="63">
      <c r="A373" s="15" t="n"/>
      <c r="B373" s="15" t="n"/>
      <c r="C373" s="15" t="n"/>
    </row>
    <row r="374" customFormat="1" s="63">
      <c r="A374" s="15" t="n"/>
      <c r="B374" s="15" t="n"/>
      <c r="C374" s="15" t="n"/>
    </row>
    <row r="375" customFormat="1" s="63">
      <c r="A375" s="15" t="n"/>
      <c r="B375" s="15" t="n"/>
      <c r="C375" s="15" t="n"/>
    </row>
    <row r="376" customFormat="1" s="63">
      <c r="A376" s="15" t="n"/>
      <c r="B376" s="15" t="n"/>
      <c r="C376" s="15" t="n"/>
    </row>
    <row r="377" customFormat="1" s="63">
      <c r="A377" s="15" t="n"/>
      <c r="B377" s="15" t="n"/>
      <c r="C377" s="15" t="n"/>
    </row>
    <row r="378" customFormat="1" s="63">
      <c r="A378" s="15" t="n"/>
      <c r="B378" s="15" t="n"/>
      <c r="C378" s="15" t="n"/>
    </row>
    <row r="379" customFormat="1" s="63">
      <c r="A379" s="15" t="n"/>
      <c r="B379" s="15" t="n"/>
      <c r="C379" s="15" t="n"/>
    </row>
    <row r="380" customFormat="1" s="63">
      <c r="A380" s="15" t="n"/>
      <c r="B380" s="15" t="n"/>
      <c r="C380" s="15" t="n"/>
    </row>
    <row r="381" customFormat="1" s="63">
      <c r="A381" s="15" t="n"/>
      <c r="B381" s="15" t="n"/>
      <c r="C381" s="15" t="n"/>
    </row>
    <row r="382" customFormat="1" s="63">
      <c r="A382" s="15" t="n"/>
      <c r="B382" s="15" t="n"/>
      <c r="C382" s="15" t="n"/>
    </row>
    <row r="383" customFormat="1" s="63">
      <c r="A383" s="15" t="n"/>
      <c r="B383" s="15" t="n"/>
      <c r="C383" s="15" t="n"/>
    </row>
    <row r="384" customFormat="1" s="63">
      <c r="A384" s="15" t="n"/>
      <c r="B384" s="15" t="n"/>
      <c r="C384" s="15" t="n"/>
    </row>
    <row r="385" customFormat="1" s="63">
      <c r="A385" s="15" t="n"/>
      <c r="B385" s="15" t="n"/>
      <c r="C385" s="15" t="n"/>
    </row>
    <row r="386" customFormat="1" s="63">
      <c r="A386" s="15" t="n"/>
      <c r="B386" s="15" t="n"/>
      <c r="C386" s="15" t="n"/>
    </row>
    <row r="387" customFormat="1" s="63">
      <c r="A387" s="15" t="n"/>
      <c r="B387" s="15" t="n"/>
      <c r="C387" s="15" t="n"/>
    </row>
    <row r="388" customFormat="1" s="63">
      <c r="A388" s="15" t="n"/>
      <c r="B388" s="15" t="n"/>
      <c r="C388" s="15" t="n"/>
    </row>
    <row r="389" customFormat="1" s="63">
      <c r="A389" s="15" t="n"/>
      <c r="B389" s="15" t="n"/>
      <c r="C389" s="15" t="n"/>
    </row>
    <row r="390" customFormat="1" s="63">
      <c r="A390" s="15" t="n"/>
      <c r="B390" s="15" t="n"/>
      <c r="C390" s="15" t="n"/>
    </row>
    <row r="391" customFormat="1" s="63">
      <c r="A391" s="15" t="n"/>
      <c r="B391" s="15" t="n"/>
      <c r="C391" s="15" t="n"/>
    </row>
    <row r="392" customFormat="1" s="63">
      <c r="A392" s="15" t="n"/>
      <c r="B392" s="15" t="n"/>
      <c r="C392" s="15" t="n"/>
    </row>
    <row r="393" customFormat="1" s="63">
      <c r="A393" s="15" t="n"/>
      <c r="B393" s="15" t="n"/>
      <c r="C393" s="15" t="n"/>
    </row>
    <row r="394" customFormat="1" s="63">
      <c r="A394" s="15" t="n"/>
      <c r="B394" s="15" t="n"/>
      <c r="C394" s="15" t="n"/>
    </row>
    <row r="395" customFormat="1" s="63">
      <c r="A395" s="15" t="n"/>
      <c r="B395" s="15" t="n"/>
      <c r="C395" s="15" t="n"/>
    </row>
    <row r="396" customFormat="1" s="63">
      <c r="A396" s="15" t="n"/>
      <c r="B396" s="15" t="n"/>
      <c r="C396" s="15" t="n"/>
    </row>
    <row r="397" customFormat="1" s="63">
      <c r="A397" s="15" t="n"/>
      <c r="B397" s="15" t="n"/>
      <c r="C397" s="15" t="n"/>
    </row>
    <row r="398" customFormat="1" s="63">
      <c r="A398" s="15" t="n"/>
      <c r="B398" s="15" t="n"/>
      <c r="C398" s="15" t="n"/>
    </row>
    <row r="399" customFormat="1" s="63">
      <c r="A399" s="15" t="n"/>
      <c r="B399" s="15" t="n"/>
      <c r="C399" s="15" t="n"/>
    </row>
    <row r="400" customFormat="1" s="63">
      <c r="A400" s="15" t="n"/>
      <c r="B400" s="15" t="n"/>
      <c r="C400" s="15" t="n"/>
    </row>
    <row r="401" customFormat="1" s="63">
      <c r="A401" s="15" t="n"/>
      <c r="B401" s="15" t="n"/>
      <c r="C401" s="15" t="n"/>
    </row>
    <row r="402" customFormat="1" s="63">
      <c r="A402" s="15" t="n"/>
      <c r="B402" s="15" t="n"/>
      <c r="C402" s="15" t="n"/>
    </row>
    <row r="403" customFormat="1" s="63">
      <c r="A403" s="15" t="n"/>
      <c r="B403" s="15" t="n"/>
      <c r="C403" s="15" t="n"/>
    </row>
    <row r="404" customFormat="1" s="63">
      <c r="A404" s="15" t="n"/>
      <c r="B404" s="15" t="n"/>
      <c r="C404" s="15" t="n"/>
    </row>
    <row r="405" customFormat="1" s="63">
      <c r="A405" s="15" t="n"/>
      <c r="B405" s="15" t="n"/>
      <c r="C405" s="15" t="n"/>
    </row>
    <row r="406" customFormat="1" s="63">
      <c r="A406" s="15" t="n"/>
      <c r="B406" s="15" t="n"/>
      <c r="C406" s="15" t="n"/>
    </row>
    <row r="407" customFormat="1" s="63">
      <c r="A407" s="15" t="n"/>
      <c r="B407" s="15" t="n"/>
      <c r="C407" s="15" t="n"/>
    </row>
    <row r="408" customFormat="1" s="63">
      <c r="A408" s="15" t="n"/>
      <c r="B408" s="15" t="n"/>
      <c r="C408" s="15" t="n"/>
    </row>
    <row r="409" customFormat="1" s="63">
      <c r="A409" s="15" t="n"/>
      <c r="B409" s="15" t="n"/>
      <c r="C409" s="15" t="n"/>
    </row>
    <row r="410" customFormat="1" s="63">
      <c r="A410" s="15" t="n"/>
      <c r="B410" s="15" t="n"/>
      <c r="C410" s="15" t="n"/>
    </row>
    <row r="411" customFormat="1" s="63">
      <c r="A411" s="15" t="n"/>
      <c r="B411" s="15" t="n"/>
      <c r="C411" s="15" t="n"/>
    </row>
    <row r="412" customFormat="1" s="63">
      <c r="A412" s="15" t="n"/>
      <c r="B412" s="15" t="n"/>
      <c r="C412" s="15" t="n"/>
    </row>
    <row r="413" customFormat="1" s="63">
      <c r="A413" s="15" t="n"/>
      <c r="B413" s="15" t="n"/>
      <c r="C413" s="15" t="n"/>
    </row>
    <row r="414" customFormat="1" s="63">
      <c r="A414" s="15" t="n"/>
      <c r="B414" s="15" t="n"/>
      <c r="C414" s="15" t="n"/>
    </row>
    <row r="415" customFormat="1" s="63">
      <c r="A415" s="15" t="n"/>
      <c r="B415" s="15" t="n"/>
      <c r="C415" s="15" t="n"/>
    </row>
    <row r="416" customFormat="1" s="63">
      <c r="A416" s="15" t="n"/>
      <c r="B416" s="15" t="n"/>
      <c r="C416" s="15" t="n"/>
    </row>
    <row r="417" customFormat="1" s="63">
      <c r="A417" s="15" t="n"/>
      <c r="B417" s="15" t="n"/>
      <c r="C417" s="15" t="n"/>
    </row>
    <row r="418" customFormat="1" s="63">
      <c r="A418" s="15" t="n"/>
      <c r="B418" s="15" t="n"/>
      <c r="C418" s="15" t="n"/>
    </row>
    <row r="419" customFormat="1" s="63">
      <c r="A419" s="15" t="n"/>
      <c r="B419" s="15" t="n"/>
      <c r="C419" s="15" t="n"/>
    </row>
    <row r="420" customFormat="1" s="63">
      <c r="A420" s="15" t="n"/>
      <c r="B420" s="15" t="n"/>
      <c r="C420" s="15" t="n"/>
    </row>
    <row r="421" customFormat="1" s="63">
      <c r="A421" s="15" t="n"/>
      <c r="B421" s="15" t="n"/>
      <c r="C421" s="15" t="n"/>
    </row>
    <row r="422" customFormat="1" s="63">
      <c r="A422" s="15" t="n"/>
      <c r="B422" s="15" t="n"/>
      <c r="C422" s="15" t="n"/>
    </row>
    <row r="423" customFormat="1" s="63">
      <c r="A423" s="15" t="n"/>
      <c r="B423" s="15" t="n"/>
      <c r="C423" s="15" t="n"/>
    </row>
    <row r="424" customFormat="1" s="63">
      <c r="A424" s="15" t="n"/>
      <c r="B424" s="15" t="n"/>
      <c r="C424" s="15" t="n"/>
    </row>
    <row r="425" customFormat="1" s="63">
      <c r="A425" s="15" t="n"/>
      <c r="B425" s="15" t="n"/>
      <c r="C425" s="15" t="n"/>
    </row>
    <row r="426" customFormat="1" s="63">
      <c r="A426" s="15" t="n"/>
      <c r="B426" s="15" t="n"/>
      <c r="C426" s="15" t="n"/>
    </row>
    <row r="427" customFormat="1" s="63">
      <c r="A427" s="15" t="n"/>
      <c r="B427" s="15" t="n"/>
      <c r="C427" s="15" t="n"/>
    </row>
    <row r="428" customFormat="1" s="63">
      <c r="A428" s="15" t="n"/>
      <c r="B428" s="15" t="n"/>
      <c r="C428" s="15" t="n"/>
    </row>
    <row r="429" customFormat="1" s="63">
      <c r="A429" s="15" t="n"/>
      <c r="B429" s="15" t="n"/>
      <c r="C429" s="15" t="n"/>
    </row>
    <row r="430" customFormat="1" s="63">
      <c r="A430" s="15" t="n"/>
      <c r="B430" s="15" t="n"/>
      <c r="C430" s="15" t="n"/>
    </row>
    <row r="431" customFormat="1" s="63">
      <c r="A431" s="15" t="n"/>
      <c r="B431" s="15" t="n"/>
      <c r="C431" s="15" t="n"/>
    </row>
    <row r="432" customFormat="1" s="63">
      <c r="A432" s="15" t="n"/>
      <c r="B432" s="15" t="n"/>
      <c r="C432" s="15" t="n"/>
    </row>
    <row r="433" customFormat="1" s="63">
      <c r="A433" s="15" t="n"/>
      <c r="B433" s="15" t="n"/>
      <c r="C433" s="15" t="n"/>
    </row>
    <row r="434" customFormat="1" s="63">
      <c r="A434" s="15" t="n"/>
      <c r="B434" s="15" t="n"/>
      <c r="C434" s="15" t="n"/>
    </row>
    <row r="435" customFormat="1" s="63">
      <c r="A435" s="15" t="n"/>
      <c r="B435" s="15" t="n"/>
      <c r="C435" s="15" t="n"/>
    </row>
    <row r="436" customFormat="1" s="63">
      <c r="A436" s="15" t="n"/>
      <c r="B436" s="15" t="n"/>
      <c r="C436" s="15" t="n"/>
    </row>
    <row r="437" customFormat="1" s="63">
      <c r="A437" s="15" t="n"/>
      <c r="B437" s="15" t="n"/>
      <c r="C437" s="15" t="n"/>
    </row>
    <row r="438" customFormat="1" s="63">
      <c r="A438" s="15" t="n"/>
      <c r="B438" s="15" t="n"/>
      <c r="C438" s="15" t="n"/>
    </row>
    <row r="439" customFormat="1" s="63">
      <c r="A439" s="15" t="n"/>
      <c r="B439" s="15" t="n"/>
      <c r="C439" s="15" t="n"/>
    </row>
    <row r="440" customFormat="1" s="63">
      <c r="A440" s="15" t="n"/>
      <c r="B440" s="15" t="n"/>
      <c r="C440" s="15" t="n"/>
    </row>
    <row r="441" customFormat="1" s="63">
      <c r="A441" s="15" t="n"/>
      <c r="B441" s="15" t="n"/>
      <c r="C441" s="15" t="n"/>
    </row>
    <row r="442" customFormat="1" s="63">
      <c r="A442" s="15" t="n"/>
      <c r="B442" s="15" t="n"/>
      <c r="C442" s="15" t="n"/>
    </row>
    <row r="443" customFormat="1" s="63">
      <c r="A443" s="15" t="n"/>
      <c r="B443" s="15" t="n"/>
      <c r="C443" s="15" t="n"/>
    </row>
    <row r="444" customFormat="1" s="63">
      <c r="A444" s="15" t="n"/>
      <c r="B444" s="15" t="n"/>
      <c r="C444" s="15" t="n"/>
    </row>
    <row r="445" customFormat="1" s="63">
      <c r="A445" s="15" t="n"/>
      <c r="B445" s="15" t="n"/>
      <c r="C445" s="15" t="n"/>
    </row>
    <row r="446" customFormat="1" s="63">
      <c r="A446" s="15" t="n"/>
      <c r="B446" s="15" t="n"/>
      <c r="C446" s="15" t="n"/>
    </row>
    <row r="447" customFormat="1" s="63">
      <c r="A447" s="15" t="n"/>
      <c r="B447" s="15" t="n"/>
      <c r="C447" s="15" t="n"/>
    </row>
    <row r="448" customFormat="1" s="63">
      <c r="A448" s="15" t="n"/>
      <c r="B448" s="15" t="n"/>
      <c r="C448" s="15" t="n"/>
    </row>
    <row r="449" customFormat="1" s="63">
      <c r="A449" s="15" t="n"/>
      <c r="B449" s="15" t="n"/>
      <c r="C449" s="15" t="n"/>
    </row>
    <row r="450" customFormat="1" s="63">
      <c r="A450" s="15" t="n"/>
      <c r="B450" s="15" t="n"/>
      <c r="C450" s="15" t="n"/>
    </row>
    <row r="451" customFormat="1" s="63">
      <c r="A451" s="15" t="n"/>
      <c r="B451" s="15" t="n"/>
      <c r="C451" s="15" t="n"/>
    </row>
    <row r="452" customFormat="1" s="63">
      <c r="A452" s="15" t="n"/>
      <c r="B452" s="15" t="n"/>
      <c r="C452" s="15" t="n"/>
    </row>
    <row r="453" customFormat="1" s="63">
      <c r="A453" s="15" t="n"/>
      <c r="B453" s="15" t="n"/>
      <c r="C453" s="15" t="n"/>
    </row>
    <row r="454" customFormat="1" s="63">
      <c r="A454" s="15" t="n"/>
      <c r="B454" s="15" t="n"/>
      <c r="C454" s="15" t="n"/>
    </row>
    <row r="455" customFormat="1" s="63">
      <c r="A455" s="15" t="n"/>
      <c r="B455" s="15" t="n"/>
      <c r="C455" s="15" t="n"/>
    </row>
    <row r="456" customFormat="1" s="63">
      <c r="A456" s="15" t="n"/>
      <c r="B456" s="15" t="n"/>
      <c r="C456" s="15" t="n"/>
    </row>
    <row r="457" customFormat="1" s="63">
      <c r="A457" s="15" t="n"/>
      <c r="B457" s="15" t="n"/>
      <c r="C457" s="15" t="n"/>
    </row>
    <row r="458" customFormat="1" s="63">
      <c r="A458" s="15" t="n"/>
      <c r="B458" s="15" t="n"/>
      <c r="C458" s="15" t="n"/>
    </row>
    <row r="459" customFormat="1" s="63">
      <c r="A459" s="15" t="n"/>
      <c r="B459" s="15" t="n"/>
      <c r="C459" s="15" t="n"/>
    </row>
    <row r="460" customFormat="1" s="63">
      <c r="A460" s="15" t="n"/>
      <c r="B460" s="15" t="n"/>
      <c r="C460" s="15" t="n"/>
    </row>
    <row r="461" customFormat="1" s="63">
      <c r="A461" s="15" t="n"/>
      <c r="B461" s="15" t="n"/>
      <c r="C461" s="15" t="n"/>
    </row>
    <row r="462" customFormat="1" s="63">
      <c r="A462" s="15" t="n"/>
      <c r="B462" s="15" t="n"/>
      <c r="C462" s="15" t="n"/>
    </row>
    <row r="463" customFormat="1" s="63">
      <c r="A463" s="15" t="n"/>
      <c r="B463" s="15" t="n"/>
      <c r="C463" s="15" t="n"/>
    </row>
    <row r="464" customFormat="1" s="63">
      <c r="A464" s="15" t="n"/>
      <c r="B464" s="15" t="n"/>
      <c r="C464" s="15" t="n"/>
    </row>
    <row r="465" customFormat="1" s="63">
      <c r="A465" s="15" t="n"/>
      <c r="B465" s="15" t="n"/>
      <c r="C465" s="15" t="n"/>
    </row>
    <row r="466" customFormat="1" s="63">
      <c r="A466" s="15" t="n"/>
      <c r="B466" s="15" t="n"/>
      <c r="C466" s="15" t="n"/>
    </row>
    <row r="467" customFormat="1" s="63">
      <c r="A467" s="15" t="n"/>
      <c r="B467" s="15" t="n"/>
      <c r="C467" s="15" t="n"/>
    </row>
    <row r="468" customFormat="1" s="63">
      <c r="A468" s="15" t="n"/>
      <c r="B468" s="15" t="n"/>
      <c r="C468" s="15" t="n"/>
    </row>
    <row r="469" customFormat="1" s="63">
      <c r="A469" s="15" t="n"/>
      <c r="B469" s="15" t="n"/>
      <c r="C469" s="15" t="n"/>
    </row>
    <row r="470" customFormat="1" s="63">
      <c r="A470" s="15" t="n"/>
      <c r="B470" s="15" t="n"/>
      <c r="C470" s="15" t="n"/>
    </row>
    <row r="471" customFormat="1" s="63">
      <c r="A471" s="15" t="n"/>
      <c r="B471" s="15" t="n"/>
      <c r="C471" s="15" t="n"/>
    </row>
    <row r="472" customFormat="1" s="63">
      <c r="A472" s="15" t="n"/>
      <c r="B472" s="15" t="n"/>
      <c r="C472" s="15" t="n"/>
    </row>
    <row r="473" customFormat="1" s="63">
      <c r="A473" s="15" t="n"/>
      <c r="B473" s="15" t="n"/>
      <c r="C473" s="15" t="n"/>
    </row>
    <row r="474" customFormat="1" s="63">
      <c r="A474" s="15" t="n"/>
      <c r="B474" s="15" t="n"/>
      <c r="C474" s="15" t="n"/>
    </row>
    <row r="475" customFormat="1" s="63">
      <c r="A475" s="15" t="n"/>
      <c r="B475" s="15" t="n"/>
      <c r="C475" s="15" t="n"/>
    </row>
    <row r="476" customFormat="1" s="63">
      <c r="A476" s="15" t="n"/>
      <c r="B476" s="15" t="n"/>
      <c r="C476" s="15" t="n"/>
    </row>
    <row r="477" customFormat="1" s="63">
      <c r="A477" s="15" t="n"/>
      <c r="B477" s="15" t="n"/>
      <c r="C477" s="15" t="n"/>
    </row>
    <row r="478" customFormat="1" s="63">
      <c r="A478" s="15" t="n"/>
      <c r="B478" s="15" t="n"/>
      <c r="C478" s="15" t="n"/>
    </row>
    <row r="479" customFormat="1" s="63">
      <c r="A479" s="15" t="n"/>
      <c r="B479" s="15" t="n"/>
      <c r="C479" s="15" t="n"/>
    </row>
    <row r="480" customFormat="1" s="63">
      <c r="A480" s="15" t="n"/>
      <c r="B480" s="15" t="n"/>
      <c r="C480" s="15" t="n"/>
    </row>
    <row r="481" customFormat="1" s="63">
      <c r="A481" s="15" t="n"/>
      <c r="B481" s="15" t="n"/>
      <c r="C481" s="15" t="n"/>
    </row>
    <row r="482" customFormat="1" s="63">
      <c r="A482" s="15" t="n"/>
      <c r="B482" s="15" t="n"/>
      <c r="C482" s="15" t="n"/>
    </row>
    <row r="483" customFormat="1" s="63">
      <c r="A483" s="15" t="n"/>
      <c r="B483" s="15" t="n"/>
      <c r="C483" s="15" t="n"/>
    </row>
    <row r="484" customFormat="1" s="63">
      <c r="A484" s="15" t="n"/>
      <c r="B484" s="15" t="n"/>
      <c r="C484" s="15" t="n"/>
    </row>
    <row r="485" customFormat="1" s="63">
      <c r="A485" s="15" t="n"/>
      <c r="B485" s="15" t="n"/>
      <c r="C485" s="15" t="n"/>
    </row>
    <row r="486" customFormat="1" s="63">
      <c r="A486" s="15" t="n"/>
      <c r="B486" s="15" t="n"/>
      <c r="C486" s="15" t="n"/>
    </row>
    <row r="487" customFormat="1" s="63">
      <c r="A487" s="15" t="n"/>
      <c r="B487" s="15" t="n"/>
      <c r="C487" s="15" t="n"/>
    </row>
    <row r="488" customFormat="1" s="63">
      <c r="A488" s="15" t="n"/>
      <c r="B488" s="15" t="n"/>
      <c r="C488" s="15" t="n"/>
    </row>
    <row r="489" customFormat="1" s="63">
      <c r="A489" s="15" t="n"/>
      <c r="B489" s="15" t="n"/>
      <c r="C489" s="15" t="n"/>
    </row>
    <row r="490" customFormat="1" s="63">
      <c r="A490" s="15" t="n"/>
      <c r="B490" s="15" t="n"/>
      <c r="C490" s="15" t="n"/>
    </row>
    <row r="491" customFormat="1" s="63">
      <c r="A491" s="15" t="n"/>
      <c r="B491" s="15" t="n"/>
      <c r="C491" s="15" t="n"/>
    </row>
    <row r="492" customFormat="1" s="63">
      <c r="A492" s="15" t="n"/>
      <c r="B492" s="15" t="n"/>
      <c r="C492" s="15" t="n"/>
    </row>
    <row r="493" customFormat="1" s="63">
      <c r="A493" s="15" t="n"/>
      <c r="B493" s="15" t="n"/>
      <c r="C493" s="15" t="n"/>
    </row>
    <row r="494" customFormat="1" s="63">
      <c r="A494" s="15" t="n"/>
      <c r="B494" s="15" t="n"/>
      <c r="C494" s="15" t="n"/>
    </row>
    <row r="495" customFormat="1" s="63">
      <c r="A495" s="15" t="n"/>
      <c r="B495" s="15" t="n"/>
      <c r="C495" s="15" t="n"/>
    </row>
    <row r="496" customFormat="1" s="63">
      <c r="A496" s="15" t="n"/>
      <c r="B496" s="15" t="n"/>
      <c r="C496" s="15" t="n"/>
    </row>
    <row r="497" customFormat="1" s="63">
      <c r="A497" s="15" t="n"/>
      <c r="B497" s="15" t="n"/>
      <c r="C497" s="15" t="n"/>
    </row>
    <row r="498" customFormat="1" s="63">
      <c r="A498" s="15" t="n"/>
      <c r="B498" s="15" t="n"/>
      <c r="C498" s="15" t="n"/>
    </row>
    <row r="499" customFormat="1" s="63">
      <c r="A499" s="15" t="n"/>
      <c r="B499" s="15" t="n"/>
      <c r="C499" s="15" t="n"/>
    </row>
    <row r="500" customFormat="1" s="63">
      <c r="A500" s="15" t="n"/>
      <c r="B500" s="15" t="n"/>
      <c r="C500" s="15" t="n"/>
    </row>
    <row r="501" customFormat="1" s="63">
      <c r="A501" s="15" t="n"/>
      <c r="B501" s="15" t="n"/>
      <c r="C501" s="15" t="n"/>
    </row>
    <row r="502" customFormat="1" s="63">
      <c r="A502" s="15" t="n"/>
      <c r="B502" s="15" t="n"/>
      <c r="C502" s="15" t="n"/>
    </row>
    <row r="503" customFormat="1" s="63">
      <c r="A503" s="15" t="n"/>
      <c r="B503" s="15" t="n"/>
      <c r="C503" s="15" t="n"/>
    </row>
    <row r="504" customFormat="1" s="63">
      <c r="A504" s="15" t="n"/>
      <c r="B504" s="15" t="n"/>
      <c r="C504" s="15" t="n"/>
    </row>
    <row r="505" customFormat="1" s="63">
      <c r="A505" s="15" t="n"/>
      <c r="B505" s="15" t="n"/>
      <c r="C505" s="15" t="n"/>
    </row>
    <row r="506" customFormat="1" s="63">
      <c r="A506" s="15" t="n"/>
      <c r="B506" s="15" t="n"/>
      <c r="C506" s="15" t="n"/>
    </row>
    <row r="507" customFormat="1" s="63">
      <c r="A507" s="15" t="n"/>
      <c r="B507" s="15" t="n"/>
      <c r="C507" s="15" t="n"/>
    </row>
    <row r="508" customFormat="1" s="63">
      <c r="A508" s="15" t="n"/>
      <c r="B508" s="15" t="n"/>
      <c r="C508" s="15" t="n"/>
    </row>
    <row r="509" customFormat="1" s="63">
      <c r="A509" s="15" t="n"/>
      <c r="B509" s="15" t="n"/>
      <c r="C509" s="15" t="n"/>
    </row>
    <row r="510" customFormat="1" s="63">
      <c r="A510" s="15" t="n"/>
      <c r="B510" s="15" t="n"/>
      <c r="C510" s="15" t="n"/>
    </row>
    <row r="511" customFormat="1" s="63">
      <c r="A511" s="15" t="n"/>
      <c r="B511" s="15" t="n"/>
      <c r="C511" s="15" t="n"/>
    </row>
    <row r="512" customFormat="1" s="63">
      <c r="A512" s="15" t="n"/>
      <c r="B512" s="15" t="n"/>
      <c r="C512" s="15" t="n"/>
    </row>
    <row r="513" customFormat="1" s="63">
      <c r="A513" s="15" t="n"/>
      <c r="B513" s="15" t="n"/>
      <c r="C513" s="15" t="n"/>
    </row>
    <row r="514" customFormat="1" s="63">
      <c r="A514" s="15" t="n"/>
      <c r="B514" s="15" t="n"/>
      <c r="C514" s="15" t="n"/>
    </row>
    <row r="515" customFormat="1" s="63">
      <c r="A515" s="15" t="n"/>
      <c r="B515" s="15" t="n"/>
      <c r="C515" s="15" t="n"/>
    </row>
    <row r="516" customFormat="1" s="63">
      <c r="A516" s="15" t="n"/>
      <c r="B516" s="15" t="n"/>
      <c r="C516" s="15" t="n"/>
    </row>
    <row r="517" customFormat="1" s="63">
      <c r="A517" s="15" t="n"/>
      <c r="B517" s="15" t="n"/>
      <c r="C517" s="15" t="n"/>
    </row>
    <row r="518" customFormat="1" s="63">
      <c r="A518" s="15" t="n"/>
      <c r="B518" s="15" t="n"/>
      <c r="C518" s="15" t="n"/>
    </row>
    <row r="519" customFormat="1" s="63">
      <c r="A519" s="15" t="n"/>
      <c r="B519" s="15" t="n"/>
      <c r="C519" s="15" t="n"/>
    </row>
    <row r="520" customFormat="1" s="63">
      <c r="A520" s="15" t="n"/>
      <c r="B520" s="15" t="n"/>
      <c r="C520" s="15" t="n"/>
    </row>
    <row r="521" customFormat="1" s="63">
      <c r="A521" s="15" t="n"/>
      <c r="B521" s="15" t="n"/>
      <c r="C521" s="15" t="n"/>
    </row>
    <row r="522" customFormat="1" s="63">
      <c r="A522" s="15" t="n"/>
      <c r="B522" s="15" t="n"/>
      <c r="C522" s="15" t="n"/>
    </row>
    <row r="523" customFormat="1" s="63">
      <c r="A523" s="15" t="n"/>
      <c r="B523" s="15" t="n"/>
      <c r="C523" s="15" t="n"/>
    </row>
    <row r="524" customFormat="1" s="63">
      <c r="A524" s="15" t="n"/>
      <c r="B524" s="15" t="n"/>
      <c r="C524" s="15" t="n"/>
    </row>
    <row r="525" customFormat="1" s="63">
      <c r="A525" s="15" t="n"/>
      <c r="B525" s="15" t="n"/>
      <c r="C525" s="15" t="n"/>
    </row>
    <row r="526" customFormat="1" s="63">
      <c r="A526" s="15" t="n"/>
      <c r="B526" s="15" t="n"/>
      <c r="C526" s="15" t="n"/>
    </row>
    <row r="527" customFormat="1" s="63">
      <c r="A527" s="15" t="n"/>
      <c r="B527" s="15" t="n"/>
      <c r="C527" s="15" t="n"/>
    </row>
    <row r="528" customFormat="1" s="63">
      <c r="A528" s="15" t="n"/>
      <c r="B528" s="15" t="n"/>
      <c r="C528" s="15" t="n"/>
    </row>
    <row r="529" customFormat="1" s="63">
      <c r="A529" s="15" t="n"/>
      <c r="B529" s="15" t="n"/>
      <c r="C529" s="15" t="n"/>
    </row>
    <row r="530" customFormat="1" s="63">
      <c r="A530" s="15" t="n"/>
      <c r="B530" s="15" t="n"/>
      <c r="C530" s="15" t="n"/>
    </row>
    <row r="531" customFormat="1" s="63">
      <c r="A531" s="15" t="n"/>
      <c r="B531" s="15" t="n"/>
      <c r="C531" s="15" t="n"/>
    </row>
    <row r="532" customFormat="1" s="63">
      <c r="A532" s="15" t="n"/>
      <c r="B532" s="15" t="n"/>
      <c r="C532" s="15" t="n"/>
    </row>
    <row r="533" customFormat="1" s="63">
      <c r="A533" s="15" t="n"/>
      <c r="B533" s="15" t="n"/>
      <c r="C533" s="15" t="n"/>
    </row>
    <row r="534" customFormat="1" s="63">
      <c r="A534" s="15" t="n"/>
      <c r="B534" s="15" t="n"/>
      <c r="C534" s="15" t="n"/>
    </row>
    <row r="535" customFormat="1" s="63">
      <c r="A535" s="15" t="n"/>
      <c r="B535" s="15" t="n"/>
      <c r="C535" s="15" t="n"/>
    </row>
    <row r="536" customFormat="1" s="63">
      <c r="A536" s="15" t="n"/>
      <c r="B536" s="15" t="n"/>
      <c r="C536" s="15" t="n"/>
    </row>
    <row r="537" customFormat="1" s="63">
      <c r="A537" s="15" t="n"/>
      <c r="B537" s="15" t="n"/>
      <c r="C537" s="15" t="n"/>
    </row>
    <row r="538" customFormat="1" s="63">
      <c r="A538" s="15" t="n"/>
      <c r="B538" s="15" t="n"/>
      <c r="C538" s="15" t="n"/>
    </row>
    <row r="539" customFormat="1" s="63">
      <c r="A539" s="15" t="n"/>
      <c r="B539" s="15" t="n"/>
      <c r="C539" s="15" t="n"/>
    </row>
    <row r="540" customFormat="1" s="63">
      <c r="A540" s="15" t="n"/>
      <c r="B540" s="15" t="n"/>
      <c r="C540" s="15" t="n"/>
    </row>
    <row r="541" customFormat="1" s="63">
      <c r="A541" s="15" t="n"/>
      <c r="B541" s="15" t="n"/>
      <c r="C541" s="15" t="n"/>
    </row>
    <row r="542" customFormat="1" s="63">
      <c r="A542" s="15" t="n"/>
      <c r="B542" s="15" t="n"/>
      <c r="C542" s="15" t="n"/>
    </row>
    <row r="543" customFormat="1" s="63">
      <c r="A543" s="15" t="n"/>
      <c r="B543" s="15" t="n"/>
      <c r="C543" s="15" t="n"/>
    </row>
    <row r="544" customFormat="1" s="63">
      <c r="A544" s="15" t="n"/>
      <c r="B544" s="15" t="n"/>
      <c r="C544" s="15" t="n"/>
    </row>
    <row r="545" customFormat="1" s="63">
      <c r="A545" s="15" t="n"/>
      <c r="B545" s="15" t="n"/>
      <c r="C545" s="15" t="n"/>
    </row>
    <row r="546" customFormat="1" s="63">
      <c r="A546" s="15" t="n"/>
      <c r="B546" s="15" t="n"/>
      <c r="C546" s="15" t="n"/>
    </row>
    <row r="547" customFormat="1" s="63">
      <c r="A547" s="15" t="n"/>
      <c r="B547" s="15" t="n"/>
      <c r="C547" s="15" t="n"/>
    </row>
    <row r="548" customFormat="1" s="63">
      <c r="A548" s="15" t="n"/>
      <c r="B548" s="15" t="n"/>
      <c r="C548" s="15" t="n"/>
    </row>
    <row r="549" customFormat="1" s="63">
      <c r="A549" s="15" t="n"/>
      <c r="B549" s="15" t="n"/>
      <c r="C549" s="15" t="n"/>
    </row>
    <row r="550" customFormat="1" s="63">
      <c r="A550" s="15" t="n"/>
      <c r="B550" s="15" t="n"/>
      <c r="C550" s="15" t="n"/>
    </row>
    <row r="551" customFormat="1" s="63">
      <c r="A551" s="15" t="n"/>
      <c r="B551" s="15" t="n"/>
      <c r="C551" s="15" t="n"/>
    </row>
  </sheetData>
  <hyperlinks>
    <hyperlink xmlns:r="http://schemas.openxmlformats.org/officeDocument/2006/relationships" ref="A1" r:id="rId1"/>
    <hyperlink xmlns:r="http://schemas.openxmlformats.org/officeDocument/2006/relationships" ref="A2" r:id="rId2"/>
    <hyperlink xmlns:r="http://schemas.openxmlformats.org/officeDocument/2006/relationships" ref="A3" r:id="rId3"/>
  </hyperlinks>
  <pageMargins left="0.7" right="0.7" top="0.75" bottom="0.75" header="0.3" footer="0.3"/>
  <drawing xmlns:r="http://schemas.openxmlformats.org/officeDocument/2006/relationships" r:id="rId4"/>
  <tableParts count="1">
    <tablePart xmlns:r="http://schemas.openxmlformats.org/officeDocument/2006/relationships" r:id="rId5"/>
  </tableParts>
</worksheet>
</file>

<file path=xl/worksheets/sheet10.xml><?xml version="1.0" encoding="utf-8"?>
<worksheet xmlns="http://schemas.openxmlformats.org/spreadsheetml/2006/main">
  <sheetPr codeName="Sheet8">
    <tabColor theme="9" tint="-0.249977111117893"/>
    <outlinePr summaryBelow="1" summaryRight="1"/>
    <pageSetUpPr/>
  </sheetPr>
  <dimension ref="B1:T96"/>
  <sheetViews>
    <sheetView tabSelected="1" zoomScale="90" zoomScaleNormal="90" workbookViewId="0">
      <pane xSplit="2" ySplit="3" topLeftCell="C78" activePane="bottomRight" state="frozen"/>
      <selection activeCell="L243" sqref="L243"/>
      <selection pane="topRight" activeCell="L243" sqref="L243"/>
      <selection pane="bottomLeft" activeCell="L243" sqref="L243"/>
      <selection pane="bottomRight" activeCell="S100" sqref="S100"/>
    </sheetView>
  </sheetViews>
  <sheetFormatPr baseColWidth="8" defaultColWidth="8.81640625" defaultRowHeight="14.5"/>
  <cols>
    <col width="9.1796875" customWidth="1" style="63" min="1" max="1"/>
    <col width="13.6328125" customWidth="1" style="49" min="2" max="2"/>
    <col width="6.1796875" customWidth="1" style="49" min="3" max="20"/>
    <col width="6.1796875" customWidth="1" style="63" min="21" max="21"/>
    <col width="9.1796875" customWidth="1" style="63" min="22" max="40"/>
  </cols>
  <sheetData>
    <row r="1">
      <c r="C1" t="inlineStr">
        <is>
          <t>USA</t>
        </is>
      </c>
      <c r="D1" t="inlineStr">
        <is>
          <t>EA19</t>
        </is>
      </c>
      <c r="E1" t="inlineStr">
        <is>
          <t>JPN</t>
        </is>
      </c>
      <c r="F1" t="inlineStr">
        <is>
          <t>DEU</t>
        </is>
      </c>
      <c r="G1" t="inlineStr">
        <is>
          <t>FRA</t>
        </is>
      </c>
      <c r="H1" t="inlineStr">
        <is>
          <t>GBR</t>
        </is>
      </c>
      <c r="I1" t="inlineStr">
        <is>
          <t>ITA</t>
        </is>
      </c>
      <c r="J1" t="inlineStr">
        <is>
          <t>ESP</t>
        </is>
      </c>
      <c r="K1" t="inlineStr">
        <is>
          <t>SWE</t>
        </is>
      </c>
      <c r="L1" t="inlineStr">
        <is>
          <t>MEX</t>
        </is>
      </c>
      <c r="M1" t="inlineStr">
        <is>
          <t>CAN</t>
        </is>
      </c>
      <c r="N1" t="inlineStr">
        <is>
          <t>AUS</t>
        </is>
      </c>
      <c r="O1" t="inlineStr">
        <is>
          <t>KOR</t>
        </is>
      </c>
      <c r="P1" t="inlineStr">
        <is>
          <t>GRC</t>
        </is>
      </c>
      <c r="Q1" t="inlineStr">
        <is>
          <t>IRL</t>
        </is>
      </c>
      <c r="R1" t="inlineStr">
        <is>
          <t>TUR</t>
        </is>
      </c>
      <c r="S1" t="inlineStr">
        <is>
          <t>CZE</t>
        </is>
      </c>
      <c r="T1" t="inlineStr">
        <is>
          <t>POL</t>
        </is>
      </c>
    </row>
    <row r="2" customFormat="1" s="63"/>
    <row r="3" ht="75.75" customHeight="1" s="49">
      <c r="B3" s="6" t="n"/>
      <c r="C3" s="7" t="inlineStr">
        <is>
          <t>US</t>
        </is>
      </c>
      <c r="D3" s="8" t="inlineStr">
        <is>
          <t>Eurozone</t>
        </is>
      </c>
      <c r="E3" s="9" t="inlineStr">
        <is>
          <t xml:space="preserve">Japan </t>
        </is>
      </c>
      <c r="F3" s="10" t="inlineStr">
        <is>
          <t>Germany</t>
        </is>
      </c>
      <c r="G3" s="10" t="inlineStr">
        <is>
          <t>France</t>
        </is>
      </c>
      <c r="H3" s="10" t="inlineStr">
        <is>
          <t>UK</t>
        </is>
      </c>
      <c r="I3" s="10" t="inlineStr">
        <is>
          <t xml:space="preserve">Italy </t>
        </is>
      </c>
      <c r="J3" s="10" t="inlineStr">
        <is>
          <t>Spain</t>
        </is>
      </c>
      <c r="K3" s="10" t="inlineStr">
        <is>
          <t>Sweden</t>
        </is>
      </c>
      <c r="L3" s="10" t="inlineStr">
        <is>
          <t>Mexico</t>
        </is>
      </c>
      <c r="M3" s="10" t="inlineStr">
        <is>
          <t>Canada</t>
        </is>
      </c>
      <c r="N3" s="10" t="inlineStr">
        <is>
          <t>Australia</t>
        </is>
      </c>
      <c r="O3" s="10" t="inlineStr">
        <is>
          <t xml:space="preserve">S Korea </t>
        </is>
      </c>
      <c r="P3" s="10" t="inlineStr">
        <is>
          <t>Greece</t>
        </is>
      </c>
      <c r="Q3" s="10" t="inlineStr">
        <is>
          <t>Ireland</t>
        </is>
      </c>
      <c r="R3" s="10" t="inlineStr">
        <is>
          <t>Turkey</t>
        </is>
      </c>
      <c r="S3" s="10" t="inlineStr">
        <is>
          <t xml:space="preserve">Czech </t>
        </is>
      </c>
      <c r="T3" s="10" t="inlineStr">
        <is>
          <t>Poland</t>
        </is>
      </c>
    </row>
    <row r="4">
      <c r="B4" s="6" t="n"/>
      <c r="C4" s="11" t="n"/>
      <c r="D4" s="11" t="n"/>
      <c r="E4" s="11" t="n"/>
      <c r="F4" s="11" t="n"/>
      <c r="G4" s="11" t="n"/>
      <c r="H4" s="11" t="n"/>
      <c r="I4" s="11" t="n"/>
      <c r="J4" s="11" t="n"/>
      <c r="K4" s="11" t="n"/>
      <c r="L4" s="11" t="n"/>
      <c r="M4" s="11" t="n"/>
      <c r="N4" s="11" t="n"/>
      <c r="O4" s="11" t="n"/>
      <c r="P4" s="11" t="n"/>
      <c r="Q4" s="11" t="n"/>
      <c r="R4" s="11" t="n"/>
      <c r="S4" s="11" t="n"/>
      <c r="T4" s="11" t="n"/>
    </row>
    <row r="5">
      <c r="B5" s="12" t="n">
        <v>42094</v>
      </c>
      <c r="C5" s="13">
        <f>IF(VLOOKUP(B5,'Data World'!$A:$AL,MATCH(World!$C$1,'Data World'!$A$1:$AL$1,))=0,#N/A,VLOOKUP(B5,'Data World'!$A:$AL,MATCH(World!$C$1,'Data World'!$A$1:$AL$1,)))</f>
        <v/>
      </c>
      <c r="D5" s="13">
        <f>IF(VLOOKUP(B5,'Data World'!$A:$AL,MATCH(World!$D$1,'Data World'!$A$1:$AL$1,))=0,#N/A,VLOOKUP(B5,'Data World'!$A:$AL,MATCH(World!$D$1,'Data World'!$A$1:$AL$1,)))</f>
        <v/>
      </c>
      <c r="E5" s="13">
        <f>IF(VLOOKUP(B5,'Data World'!$A:$AL,MATCH(World!$E$1,'Data World'!$A$1:$AL$1,))=0,#N/A,VLOOKUP(B5,'Data World'!$A:$AL,MATCH(World!$E$1,'Data World'!$A$1:$AL$1,)))</f>
        <v/>
      </c>
      <c r="F5" s="13">
        <f>IF(VLOOKUP(B5,'Data World'!$A:$AL,MATCH(World!$F$1,'Data World'!$A$1:$AL$1,))=0,#N/A,VLOOKUP(B5,'Data World'!$A:$AL,MATCH(World!$F$1,'Data World'!$A$1:$AL$1,)))</f>
        <v/>
      </c>
      <c r="G5" s="13">
        <f>IF(VLOOKUP(B5,'Data World'!$A:$AL,MATCH(World!$G$1,'Data World'!$A$1:$AL$1,))=0,#N/A,VLOOKUP(B5,'Data World'!$A:$AL,MATCH(World!$G$1,'Data World'!$A$1:$AL$1,)))</f>
        <v/>
      </c>
      <c r="H5" s="13">
        <f>IF(VLOOKUP(B5,'Data World'!$A:$AL,MATCH(World!$H$1,'Data World'!$A$1:$AL$1,))=0,#N/A,VLOOKUP(B5,'Data World'!$A:$AL,MATCH(World!$H$1,'Data World'!$A$1:$AL$1,)))</f>
        <v/>
      </c>
      <c r="I5" s="13">
        <f>IF(VLOOKUP(B5,'Data World'!$A:$AL,MATCH(World!$I$1,'Data World'!$A$1:$AL$1,))=0,#N/A,VLOOKUP(B5,'Data World'!$A:$AL,MATCH(World!$I$1,'Data World'!$A$1:$AL$1,)))</f>
        <v/>
      </c>
      <c r="J5" s="13">
        <f>IF(VLOOKUP(B5,'Data World'!$A:$AL,MATCH(World!$J$1,'Data World'!$A$1:$AL$1,))=0,#N/A,VLOOKUP(B5,'Data World'!$A:$AL,MATCH(World!$J$1,'Data World'!$A$1:$AL$1,)))</f>
        <v/>
      </c>
      <c r="K5" s="13">
        <f>IF(VLOOKUP(B5,'Data World'!$A:$AL,MATCH(World!$K$1,'Data World'!$A$1:$AL$1,))=0,#N/A,VLOOKUP(B5,'Data World'!$A:$AL,MATCH(World!$K$1,'Data World'!$A$1:$AL$1,)))</f>
        <v/>
      </c>
      <c r="L5" s="13">
        <f>IF(VLOOKUP(B5,'Data World'!$A:$AL,MATCH(World!$L$1,'Data World'!$A$1:$AL$1,))=0,#N/A,VLOOKUP(B5,'Data World'!$A:$AL,MATCH(World!$L$1,'Data World'!$A$1:$AL$1,)))</f>
        <v/>
      </c>
      <c r="M5" s="13">
        <f>IF(VLOOKUP(B5,'Data World'!$A:$AL,MATCH(World!$M$1,'Data World'!$A$1:$AL$1,))=0,#N/A,VLOOKUP(B5,'Data World'!$A:$AL,MATCH(World!$M$1,'Data World'!$A$1:$AL$1,)))</f>
        <v/>
      </c>
      <c r="N5" s="13">
        <f>IF(VLOOKUP(B5,'Data World'!$A:$AL,MATCH(World!$N$1,'Data World'!$A$1:$AL$1,))=0,#N/A,VLOOKUP(B5,'Data World'!$A:$AL,MATCH(World!$N$1,'Data World'!$A$1:$AL$1,)))</f>
        <v/>
      </c>
      <c r="O5" s="13">
        <f>IF(VLOOKUP(B5,'Data World'!$A:$AL,MATCH(World!$O$1,'Data World'!$A$1:$AL$1,))=0,#N/A,VLOOKUP(B5,'Data World'!$A:$AL,MATCH(World!$O$1,'Data World'!$A$1:$AL$1,)))</f>
        <v/>
      </c>
      <c r="P5" s="13">
        <f>IF(VLOOKUP(B5,'Data World'!$A:$AL,MATCH(World!$P$1,'Data World'!$A$1:$AL$1,))=0,#N/A,VLOOKUP(B5,'Data World'!$A:$AL,MATCH(World!$P$1,'Data World'!$A$1:$AL$1,)))</f>
        <v/>
      </c>
      <c r="Q5" s="13">
        <f>IF(VLOOKUP(B5,'Data World'!$A:$AL,MATCH(World!$Q$1,'Data World'!$A$1:$AL$1,))=0,#N/A,VLOOKUP(B5,'Data World'!$A:$AL,MATCH(World!$Q$1,'Data World'!$A$1:$AL$1,)))</f>
        <v/>
      </c>
      <c r="R5" s="13">
        <f>IF(VLOOKUP(B5,'Data World'!$A:$AL,MATCH(World!$R$1,'Data World'!$A$1:$AL$1,))=0,#N/A,VLOOKUP(B5,'Data World'!$A:$AL,MATCH(World!$R$1,'Data World'!$A$1:$AL$1,)))</f>
        <v/>
      </c>
      <c r="S5" s="13">
        <f>IF(VLOOKUP(B5,'Data World'!$A:$AL,MATCH(World!$S$1,'Data World'!$A$1:$AL$1,))=0,#N/A,VLOOKUP(B5,'Data World'!$A:$AL,MATCH(World!$S$1,'Data World'!$A$1:$AL$1,)))</f>
        <v/>
      </c>
      <c r="T5" s="13">
        <f>IF(VLOOKUP(B5,'Data World'!$A:$AL,MATCH(World!$T$1,'Data World'!$A$1:$AL$1,))=0,#N/A,VLOOKUP(B5,'Data World'!$A:$AL,MATCH(World!$T$1,'Data World'!$A$1:$AL$1,)))</f>
        <v/>
      </c>
    </row>
    <row r="6">
      <c r="B6" s="12" t="n">
        <v>42124</v>
      </c>
      <c r="C6" s="13">
        <f>IF(VLOOKUP(B6,'Data World'!$A:$AL,MATCH(World!$C$1,'Data World'!$A$1:$AL$1,))=0,#N/A,VLOOKUP(B6,'Data World'!$A:$AL,MATCH(World!$C$1,'Data World'!$A$1:$AL$1,)))</f>
        <v/>
      </c>
      <c r="D6" s="13">
        <f>IF(VLOOKUP(B6,'Data World'!$A:$AL,MATCH(World!$D$1,'Data World'!$A$1:$AL$1,))=0,#N/A,VLOOKUP(B6,'Data World'!$A:$AL,MATCH(World!$D$1,'Data World'!$A$1:$AL$1,)))</f>
        <v/>
      </c>
      <c r="E6" s="13">
        <f>IF(VLOOKUP(B6,'Data World'!$A:$AL,MATCH(World!$E$1,'Data World'!$A$1:$AL$1,))=0,#N/A,VLOOKUP(B6,'Data World'!$A:$AL,MATCH(World!$E$1,'Data World'!$A$1:$AL$1,)))</f>
        <v/>
      </c>
      <c r="F6" s="13">
        <f>IF(VLOOKUP(B6,'Data World'!$A:$AL,MATCH(World!$F$1,'Data World'!$A$1:$AL$1,))=0,#N/A,VLOOKUP(B6,'Data World'!$A:$AL,MATCH(World!$F$1,'Data World'!$A$1:$AL$1,)))</f>
        <v/>
      </c>
      <c r="G6" s="13">
        <f>IF(VLOOKUP(B6,'Data World'!$A:$AL,MATCH(World!$G$1,'Data World'!$A$1:$AL$1,))=0,#N/A,VLOOKUP(B6,'Data World'!$A:$AL,MATCH(World!$G$1,'Data World'!$A$1:$AL$1,)))</f>
        <v/>
      </c>
      <c r="H6" s="13">
        <f>IF(VLOOKUP(B6,'Data World'!$A:$AL,MATCH(World!$H$1,'Data World'!$A$1:$AL$1,))=0,#N/A,VLOOKUP(B6,'Data World'!$A:$AL,MATCH(World!$H$1,'Data World'!$A$1:$AL$1,)))</f>
        <v/>
      </c>
      <c r="I6" s="13">
        <f>IF(VLOOKUP(B6,'Data World'!$A:$AL,MATCH(World!$I$1,'Data World'!$A$1:$AL$1,))=0,#N/A,VLOOKUP(B6,'Data World'!$A:$AL,MATCH(World!$I$1,'Data World'!$A$1:$AL$1,)))</f>
        <v/>
      </c>
      <c r="J6" s="13">
        <f>IF(VLOOKUP(B6,'Data World'!$A:$AL,MATCH(World!$J$1,'Data World'!$A$1:$AL$1,))=0,#N/A,VLOOKUP(B6,'Data World'!$A:$AL,MATCH(World!$J$1,'Data World'!$A$1:$AL$1,)))</f>
        <v/>
      </c>
      <c r="K6" s="13">
        <f>IF(VLOOKUP(B6,'Data World'!$A:$AL,MATCH(World!$K$1,'Data World'!$A$1:$AL$1,))=0,#N/A,VLOOKUP(B6,'Data World'!$A:$AL,MATCH(World!$K$1,'Data World'!$A$1:$AL$1,)))</f>
        <v/>
      </c>
      <c r="L6" s="13">
        <f>IF(VLOOKUP(B6,'Data World'!$A:$AL,MATCH(World!$L$1,'Data World'!$A$1:$AL$1,))=0,#N/A,VLOOKUP(B6,'Data World'!$A:$AL,MATCH(World!$L$1,'Data World'!$A$1:$AL$1,)))</f>
        <v/>
      </c>
      <c r="M6" s="13">
        <f>IF(VLOOKUP(B6,'Data World'!$A:$AL,MATCH(World!$M$1,'Data World'!$A$1:$AL$1,))=0,#N/A,VLOOKUP(B6,'Data World'!$A:$AL,MATCH(World!$M$1,'Data World'!$A$1:$AL$1,)))</f>
        <v/>
      </c>
      <c r="N6" s="13">
        <f>IF(VLOOKUP(B6,'Data World'!$A:$AL,MATCH(World!$N$1,'Data World'!$A$1:$AL$1,))=0,#N/A,VLOOKUP(B6,'Data World'!$A:$AL,MATCH(World!$N$1,'Data World'!$A$1:$AL$1,)))</f>
        <v/>
      </c>
      <c r="O6" s="13">
        <f>IF(VLOOKUP(B6,'Data World'!$A:$AL,MATCH(World!$O$1,'Data World'!$A$1:$AL$1,))=0,#N/A,VLOOKUP(B6,'Data World'!$A:$AL,MATCH(World!$O$1,'Data World'!$A$1:$AL$1,)))</f>
        <v/>
      </c>
      <c r="P6" s="13">
        <f>IF(VLOOKUP(B6,'Data World'!$A:$AL,MATCH(World!$P$1,'Data World'!$A$1:$AL$1,))=0,#N/A,VLOOKUP(B6,'Data World'!$A:$AL,MATCH(World!$P$1,'Data World'!$A$1:$AL$1,)))</f>
        <v/>
      </c>
      <c r="Q6" s="13">
        <f>IF(VLOOKUP(B6,'Data World'!$A:$AL,MATCH(World!$Q$1,'Data World'!$A$1:$AL$1,))=0,#N/A,VLOOKUP(B6,'Data World'!$A:$AL,MATCH(World!$Q$1,'Data World'!$A$1:$AL$1,)))</f>
        <v/>
      </c>
      <c r="R6" s="13">
        <f>IF(VLOOKUP(B6,'Data World'!$A:$AL,MATCH(World!$R$1,'Data World'!$A$1:$AL$1,))=0,#N/A,VLOOKUP(B6,'Data World'!$A:$AL,MATCH(World!$R$1,'Data World'!$A$1:$AL$1,)))</f>
        <v/>
      </c>
      <c r="S6" s="13">
        <f>IF(VLOOKUP(B6,'Data World'!$A:$AL,MATCH(World!$S$1,'Data World'!$A$1:$AL$1,))=0,#N/A,VLOOKUP(B6,'Data World'!$A:$AL,MATCH(World!$S$1,'Data World'!$A$1:$AL$1,)))</f>
        <v/>
      </c>
      <c r="T6" s="13">
        <f>IF(VLOOKUP(B6,'Data World'!$A:$AL,MATCH(World!$T$1,'Data World'!$A$1:$AL$1,))=0,#N/A,VLOOKUP(B6,'Data World'!$A:$AL,MATCH(World!$T$1,'Data World'!$A$1:$AL$1,)))</f>
        <v/>
      </c>
    </row>
    <row r="7">
      <c r="B7" s="12" t="n">
        <v>42155</v>
      </c>
      <c r="C7" s="13">
        <f>IF(VLOOKUP(B7,'Data World'!$A:$AL,MATCH(World!$C$1,'Data World'!$A$1:$AL$1,))=0,#N/A,VLOOKUP(B7,'Data World'!$A:$AL,MATCH(World!$C$1,'Data World'!$A$1:$AL$1,)))</f>
        <v/>
      </c>
      <c r="D7" s="13">
        <f>IF(VLOOKUP(B7,'Data World'!$A:$AL,MATCH(World!$D$1,'Data World'!$A$1:$AL$1,))=0,#N/A,VLOOKUP(B7,'Data World'!$A:$AL,MATCH(World!$D$1,'Data World'!$A$1:$AL$1,)))</f>
        <v/>
      </c>
      <c r="E7" s="13">
        <f>IF(VLOOKUP(B7,'Data World'!$A:$AL,MATCH(World!$E$1,'Data World'!$A$1:$AL$1,))=0,#N/A,VLOOKUP(B7,'Data World'!$A:$AL,MATCH(World!$E$1,'Data World'!$A$1:$AL$1,)))</f>
        <v/>
      </c>
      <c r="F7" s="13">
        <f>IF(VLOOKUP(B7,'Data World'!$A:$AL,MATCH(World!$F$1,'Data World'!$A$1:$AL$1,))=0,#N/A,VLOOKUP(B7,'Data World'!$A:$AL,MATCH(World!$F$1,'Data World'!$A$1:$AL$1,)))</f>
        <v/>
      </c>
      <c r="G7" s="13">
        <f>IF(VLOOKUP(B7,'Data World'!$A:$AL,MATCH(World!$G$1,'Data World'!$A$1:$AL$1,))=0,#N/A,VLOOKUP(B7,'Data World'!$A:$AL,MATCH(World!$G$1,'Data World'!$A$1:$AL$1,)))</f>
        <v/>
      </c>
      <c r="H7" s="13">
        <f>IF(VLOOKUP(B7,'Data World'!$A:$AL,MATCH(World!$H$1,'Data World'!$A$1:$AL$1,))=0,#N/A,VLOOKUP(B7,'Data World'!$A:$AL,MATCH(World!$H$1,'Data World'!$A$1:$AL$1,)))</f>
        <v/>
      </c>
      <c r="I7" s="13">
        <f>IF(VLOOKUP(B7,'Data World'!$A:$AL,MATCH(World!$I$1,'Data World'!$A$1:$AL$1,))=0,#N/A,VLOOKUP(B7,'Data World'!$A:$AL,MATCH(World!$I$1,'Data World'!$A$1:$AL$1,)))</f>
        <v/>
      </c>
      <c r="J7" s="13">
        <f>IF(VLOOKUP(B7,'Data World'!$A:$AL,MATCH(World!$J$1,'Data World'!$A$1:$AL$1,))=0,#N/A,VLOOKUP(B7,'Data World'!$A:$AL,MATCH(World!$J$1,'Data World'!$A$1:$AL$1,)))</f>
        <v/>
      </c>
      <c r="K7" s="13">
        <f>IF(VLOOKUP(B7,'Data World'!$A:$AL,MATCH(World!$K$1,'Data World'!$A$1:$AL$1,))=0,#N/A,VLOOKUP(B7,'Data World'!$A:$AL,MATCH(World!$K$1,'Data World'!$A$1:$AL$1,)))</f>
        <v/>
      </c>
      <c r="L7" s="13">
        <f>IF(VLOOKUP(B7,'Data World'!$A:$AL,MATCH(World!$L$1,'Data World'!$A$1:$AL$1,))=0,#N/A,VLOOKUP(B7,'Data World'!$A:$AL,MATCH(World!$L$1,'Data World'!$A$1:$AL$1,)))</f>
        <v/>
      </c>
      <c r="M7" s="13">
        <f>IF(VLOOKUP(B7,'Data World'!$A:$AL,MATCH(World!$M$1,'Data World'!$A$1:$AL$1,))=0,#N/A,VLOOKUP(B7,'Data World'!$A:$AL,MATCH(World!$M$1,'Data World'!$A$1:$AL$1,)))</f>
        <v/>
      </c>
      <c r="N7" s="13">
        <f>IF(VLOOKUP(B7,'Data World'!$A:$AL,MATCH(World!$N$1,'Data World'!$A$1:$AL$1,))=0,#N/A,VLOOKUP(B7,'Data World'!$A:$AL,MATCH(World!$N$1,'Data World'!$A$1:$AL$1,)))</f>
        <v/>
      </c>
      <c r="O7" s="13">
        <f>IF(VLOOKUP(B7,'Data World'!$A:$AL,MATCH(World!$O$1,'Data World'!$A$1:$AL$1,))=0,#N/A,VLOOKUP(B7,'Data World'!$A:$AL,MATCH(World!$O$1,'Data World'!$A$1:$AL$1,)))</f>
        <v/>
      </c>
      <c r="P7" s="13">
        <f>IF(VLOOKUP(B7,'Data World'!$A:$AL,MATCH(World!$P$1,'Data World'!$A$1:$AL$1,))=0,#N/A,VLOOKUP(B7,'Data World'!$A:$AL,MATCH(World!$P$1,'Data World'!$A$1:$AL$1,)))</f>
        <v/>
      </c>
      <c r="Q7" s="13">
        <f>IF(VLOOKUP(B7,'Data World'!$A:$AL,MATCH(World!$Q$1,'Data World'!$A$1:$AL$1,))=0,#N/A,VLOOKUP(B7,'Data World'!$A:$AL,MATCH(World!$Q$1,'Data World'!$A$1:$AL$1,)))</f>
        <v/>
      </c>
      <c r="R7" s="13">
        <f>IF(VLOOKUP(B7,'Data World'!$A:$AL,MATCH(World!$R$1,'Data World'!$A$1:$AL$1,))=0,#N/A,VLOOKUP(B7,'Data World'!$A:$AL,MATCH(World!$R$1,'Data World'!$A$1:$AL$1,)))</f>
        <v/>
      </c>
      <c r="S7" s="13">
        <f>IF(VLOOKUP(B7,'Data World'!$A:$AL,MATCH(World!$S$1,'Data World'!$A$1:$AL$1,))=0,#N/A,VLOOKUP(B7,'Data World'!$A:$AL,MATCH(World!$S$1,'Data World'!$A$1:$AL$1,)))</f>
        <v/>
      </c>
      <c r="T7" s="13">
        <f>IF(VLOOKUP(B7,'Data World'!$A:$AL,MATCH(World!$T$1,'Data World'!$A$1:$AL$1,))=0,#N/A,VLOOKUP(B7,'Data World'!$A:$AL,MATCH(World!$T$1,'Data World'!$A$1:$AL$1,)))</f>
        <v/>
      </c>
    </row>
    <row r="8">
      <c r="B8" s="12" t="n">
        <v>42185</v>
      </c>
      <c r="C8" s="13">
        <f>IF(VLOOKUP(B8,'Data World'!$A:$AL,MATCH(World!$C$1,'Data World'!$A$1:$AL$1,))=0,#N/A,VLOOKUP(B8,'Data World'!$A:$AL,MATCH(World!$C$1,'Data World'!$A$1:$AL$1,)))</f>
        <v/>
      </c>
      <c r="D8" s="13">
        <f>IF(VLOOKUP(B8,'Data World'!$A:$AL,MATCH(World!$D$1,'Data World'!$A$1:$AL$1,))=0,#N/A,VLOOKUP(B8,'Data World'!$A:$AL,MATCH(World!$D$1,'Data World'!$A$1:$AL$1,)))</f>
        <v/>
      </c>
      <c r="E8" s="13">
        <f>IF(VLOOKUP(B8,'Data World'!$A:$AL,MATCH(World!$E$1,'Data World'!$A$1:$AL$1,))=0,#N/A,VLOOKUP(B8,'Data World'!$A:$AL,MATCH(World!$E$1,'Data World'!$A$1:$AL$1,)))</f>
        <v/>
      </c>
      <c r="F8" s="13">
        <f>IF(VLOOKUP(B8,'Data World'!$A:$AL,MATCH(World!$F$1,'Data World'!$A$1:$AL$1,))=0,#N/A,VLOOKUP(B8,'Data World'!$A:$AL,MATCH(World!$F$1,'Data World'!$A$1:$AL$1,)))</f>
        <v/>
      </c>
      <c r="G8" s="13">
        <f>IF(VLOOKUP(B8,'Data World'!$A:$AL,MATCH(World!$G$1,'Data World'!$A$1:$AL$1,))=0,#N/A,VLOOKUP(B8,'Data World'!$A:$AL,MATCH(World!$G$1,'Data World'!$A$1:$AL$1,)))</f>
        <v/>
      </c>
      <c r="H8" s="13">
        <f>IF(VLOOKUP(B8,'Data World'!$A:$AL,MATCH(World!$H$1,'Data World'!$A$1:$AL$1,))=0,#N/A,VLOOKUP(B8,'Data World'!$A:$AL,MATCH(World!$H$1,'Data World'!$A$1:$AL$1,)))</f>
        <v/>
      </c>
      <c r="I8" s="13">
        <f>IF(VLOOKUP(B8,'Data World'!$A:$AL,MATCH(World!$I$1,'Data World'!$A$1:$AL$1,))=0,#N/A,VLOOKUP(B8,'Data World'!$A:$AL,MATCH(World!$I$1,'Data World'!$A$1:$AL$1,)))</f>
        <v/>
      </c>
      <c r="J8" s="13">
        <f>IF(VLOOKUP(B8,'Data World'!$A:$AL,MATCH(World!$J$1,'Data World'!$A$1:$AL$1,))=0,#N/A,VLOOKUP(B8,'Data World'!$A:$AL,MATCH(World!$J$1,'Data World'!$A$1:$AL$1,)))</f>
        <v/>
      </c>
      <c r="K8" s="13">
        <f>IF(VLOOKUP(B8,'Data World'!$A:$AL,MATCH(World!$K$1,'Data World'!$A$1:$AL$1,))=0,#N/A,VLOOKUP(B8,'Data World'!$A:$AL,MATCH(World!$K$1,'Data World'!$A$1:$AL$1,)))</f>
        <v/>
      </c>
      <c r="L8" s="13">
        <f>IF(VLOOKUP(B8,'Data World'!$A:$AL,MATCH(World!$L$1,'Data World'!$A$1:$AL$1,))=0,#N/A,VLOOKUP(B8,'Data World'!$A:$AL,MATCH(World!$L$1,'Data World'!$A$1:$AL$1,)))</f>
        <v/>
      </c>
      <c r="M8" s="13">
        <f>IF(VLOOKUP(B8,'Data World'!$A:$AL,MATCH(World!$M$1,'Data World'!$A$1:$AL$1,))=0,#N/A,VLOOKUP(B8,'Data World'!$A:$AL,MATCH(World!$M$1,'Data World'!$A$1:$AL$1,)))</f>
        <v/>
      </c>
      <c r="N8" s="13">
        <f>IF(VLOOKUP(B8,'Data World'!$A:$AL,MATCH(World!$N$1,'Data World'!$A$1:$AL$1,))=0,#N/A,VLOOKUP(B8,'Data World'!$A:$AL,MATCH(World!$N$1,'Data World'!$A$1:$AL$1,)))</f>
        <v/>
      </c>
      <c r="O8" s="13">
        <f>IF(VLOOKUP(B8,'Data World'!$A:$AL,MATCH(World!$O$1,'Data World'!$A$1:$AL$1,))=0,#N/A,VLOOKUP(B8,'Data World'!$A:$AL,MATCH(World!$O$1,'Data World'!$A$1:$AL$1,)))</f>
        <v/>
      </c>
      <c r="P8" s="13">
        <f>IF(VLOOKUP(B8,'Data World'!$A:$AL,MATCH(World!$P$1,'Data World'!$A$1:$AL$1,))=0,#N/A,VLOOKUP(B8,'Data World'!$A:$AL,MATCH(World!$P$1,'Data World'!$A$1:$AL$1,)))</f>
        <v/>
      </c>
      <c r="Q8" s="13">
        <f>IF(VLOOKUP(B8,'Data World'!$A:$AL,MATCH(World!$Q$1,'Data World'!$A$1:$AL$1,))=0,#N/A,VLOOKUP(B8,'Data World'!$A:$AL,MATCH(World!$Q$1,'Data World'!$A$1:$AL$1,)))</f>
        <v/>
      </c>
      <c r="R8" s="13">
        <f>IF(VLOOKUP(B8,'Data World'!$A:$AL,MATCH(World!$R$1,'Data World'!$A$1:$AL$1,))=0,#N/A,VLOOKUP(B8,'Data World'!$A:$AL,MATCH(World!$R$1,'Data World'!$A$1:$AL$1,)))</f>
        <v/>
      </c>
      <c r="S8" s="13">
        <f>IF(VLOOKUP(B8,'Data World'!$A:$AL,MATCH(World!$S$1,'Data World'!$A$1:$AL$1,))=0,#N/A,VLOOKUP(B8,'Data World'!$A:$AL,MATCH(World!$S$1,'Data World'!$A$1:$AL$1,)))</f>
        <v/>
      </c>
      <c r="T8" s="13">
        <f>IF(VLOOKUP(B8,'Data World'!$A:$AL,MATCH(World!$T$1,'Data World'!$A$1:$AL$1,))=0,#N/A,VLOOKUP(B8,'Data World'!$A:$AL,MATCH(World!$T$1,'Data World'!$A$1:$AL$1,)))</f>
        <v/>
      </c>
    </row>
    <row r="9">
      <c r="B9" s="12" t="n">
        <v>42216</v>
      </c>
      <c r="C9" s="13">
        <f>IF(VLOOKUP(B9,'Data World'!$A:$AL,MATCH(World!$C$1,'Data World'!$A$1:$AL$1,))=0,#N/A,VLOOKUP(B9,'Data World'!$A:$AL,MATCH(World!$C$1,'Data World'!$A$1:$AL$1,)))</f>
        <v/>
      </c>
      <c r="D9" s="13">
        <f>IF(VLOOKUP(B9,'Data World'!$A:$AL,MATCH(World!$D$1,'Data World'!$A$1:$AL$1,))=0,#N/A,VLOOKUP(B9,'Data World'!$A:$AL,MATCH(World!$D$1,'Data World'!$A$1:$AL$1,)))</f>
        <v/>
      </c>
      <c r="E9" s="13">
        <f>IF(VLOOKUP(B9,'Data World'!$A:$AL,MATCH(World!$E$1,'Data World'!$A$1:$AL$1,))=0,#N/A,VLOOKUP(B9,'Data World'!$A:$AL,MATCH(World!$E$1,'Data World'!$A$1:$AL$1,)))</f>
        <v/>
      </c>
      <c r="F9" s="13">
        <f>IF(VLOOKUP(B9,'Data World'!$A:$AL,MATCH(World!$F$1,'Data World'!$A$1:$AL$1,))=0,#N/A,VLOOKUP(B9,'Data World'!$A:$AL,MATCH(World!$F$1,'Data World'!$A$1:$AL$1,)))</f>
        <v/>
      </c>
      <c r="G9" s="13">
        <f>IF(VLOOKUP(B9,'Data World'!$A:$AL,MATCH(World!$G$1,'Data World'!$A$1:$AL$1,))=0,#N/A,VLOOKUP(B9,'Data World'!$A:$AL,MATCH(World!$G$1,'Data World'!$A$1:$AL$1,)))</f>
        <v/>
      </c>
      <c r="H9" s="13">
        <f>IF(VLOOKUP(B9,'Data World'!$A:$AL,MATCH(World!$H$1,'Data World'!$A$1:$AL$1,))=0,#N/A,VLOOKUP(B9,'Data World'!$A:$AL,MATCH(World!$H$1,'Data World'!$A$1:$AL$1,)))</f>
        <v/>
      </c>
      <c r="I9" s="13">
        <f>IF(VLOOKUP(B9,'Data World'!$A:$AL,MATCH(World!$I$1,'Data World'!$A$1:$AL$1,))=0,#N/A,VLOOKUP(B9,'Data World'!$A:$AL,MATCH(World!$I$1,'Data World'!$A$1:$AL$1,)))</f>
        <v/>
      </c>
      <c r="J9" s="13">
        <f>IF(VLOOKUP(B9,'Data World'!$A:$AL,MATCH(World!$J$1,'Data World'!$A$1:$AL$1,))=0,#N/A,VLOOKUP(B9,'Data World'!$A:$AL,MATCH(World!$J$1,'Data World'!$A$1:$AL$1,)))</f>
        <v/>
      </c>
      <c r="K9" s="13">
        <f>IF(VLOOKUP(B9,'Data World'!$A:$AL,MATCH(World!$K$1,'Data World'!$A$1:$AL$1,))=0,#N/A,VLOOKUP(B9,'Data World'!$A:$AL,MATCH(World!$K$1,'Data World'!$A$1:$AL$1,)))</f>
        <v/>
      </c>
      <c r="L9" s="13">
        <f>IF(VLOOKUP(B9,'Data World'!$A:$AL,MATCH(World!$L$1,'Data World'!$A$1:$AL$1,))=0,#N/A,VLOOKUP(B9,'Data World'!$A:$AL,MATCH(World!$L$1,'Data World'!$A$1:$AL$1,)))</f>
        <v/>
      </c>
      <c r="M9" s="13">
        <f>IF(VLOOKUP(B9,'Data World'!$A:$AL,MATCH(World!$M$1,'Data World'!$A$1:$AL$1,))=0,#N/A,VLOOKUP(B9,'Data World'!$A:$AL,MATCH(World!$M$1,'Data World'!$A$1:$AL$1,)))</f>
        <v/>
      </c>
      <c r="N9" s="13">
        <f>IF(VLOOKUP(B9,'Data World'!$A:$AL,MATCH(World!$N$1,'Data World'!$A$1:$AL$1,))=0,#N/A,VLOOKUP(B9,'Data World'!$A:$AL,MATCH(World!$N$1,'Data World'!$A$1:$AL$1,)))</f>
        <v/>
      </c>
      <c r="O9" s="13">
        <f>IF(VLOOKUP(B9,'Data World'!$A:$AL,MATCH(World!$O$1,'Data World'!$A$1:$AL$1,))=0,#N/A,VLOOKUP(B9,'Data World'!$A:$AL,MATCH(World!$O$1,'Data World'!$A$1:$AL$1,)))</f>
        <v/>
      </c>
      <c r="P9" s="13">
        <f>IF(VLOOKUP(B9,'Data World'!$A:$AL,MATCH(World!$P$1,'Data World'!$A$1:$AL$1,))=0,#N/A,VLOOKUP(B9,'Data World'!$A:$AL,MATCH(World!$P$1,'Data World'!$A$1:$AL$1,)))</f>
        <v/>
      </c>
      <c r="Q9" s="13">
        <f>IF(VLOOKUP(B9,'Data World'!$A:$AL,MATCH(World!$Q$1,'Data World'!$A$1:$AL$1,))=0,#N/A,VLOOKUP(B9,'Data World'!$A:$AL,MATCH(World!$Q$1,'Data World'!$A$1:$AL$1,)))</f>
        <v/>
      </c>
      <c r="R9" s="13">
        <f>IF(VLOOKUP(B9,'Data World'!$A:$AL,MATCH(World!$R$1,'Data World'!$A$1:$AL$1,))=0,#N/A,VLOOKUP(B9,'Data World'!$A:$AL,MATCH(World!$R$1,'Data World'!$A$1:$AL$1,)))</f>
        <v/>
      </c>
      <c r="S9" s="13">
        <f>IF(VLOOKUP(B9,'Data World'!$A:$AL,MATCH(World!$S$1,'Data World'!$A$1:$AL$1,))=0,#N/A,VLOOKUP(B9,'Data World'!$A:$AL,MATCH(World!$S$1,'Data World'!$A$1:$AL$1,)))</f>
        <v/>
      </c>
      <c r="T9" s="13">
        <f>IF(VLOOKUP(B9,'Data World'!$A:$AL,MATCH(World!$T$1,'Data World'!$A$1:$AL$1,))=0,#N/A,VLOOKUP(B9,'Data World'!$A:$AL,MATCH(World!$T$1,'Data World'!$A$1:$AL$1,)))</f>
        <v/>
      </c>
    </row>
    <row r="10">
      <c r="B10" s="12" t="n">
        <v>42247</v>
      </c>
      <c r="C10" s="13">
        <f>IF(VLOOKUP(B10,'Data World'!$A:$AL,MATCH(World!$C$1,'Data World'!$A$1:$AL$1,))=0,#N/A,VLOOKUP(B10,'Data World'!$A:$AL,MATCH(World!$C$1,'Data World'!$A$1:$AL$1,)))</f>
        <v/>
      </c>
      <c r="D10" s="13">
        <f>IF(VLOOKUP(B10,'Data World'!$A:$AL,MATCH(World!$D$1,'Data World'!$A$1:$AL$1,))=0,#N/A,VLOOKUP(B10,'Data World'!$A:$AL,MATCH(World!$D$1,'Data World'!$A$1:$AL$1,)))</f>
        <v/>
      </c>
      <c r="E10" s="13">
        <f>IF(VLOOKUP(B10,'Data World'!$A:$AL,MATCH(World!$E$1,'Data World'!$A$1:$AL$1,))=0,#N/A,VLOOKUP(B10,'Data World'!$A:$AL,MATCH(World!$E$1,'Data World'!$A$1:$AL$1,)))</f>
        <v/>
      </c>
      <c r="F10" s="13">
        <f>IF(VLOOKUP(B10,'Data World'!$A:$AL,MATCH(World!$F$1,'Data World'!$A$1:$AL$1,))=0,#N/A,VLOOKUP(B10,'Data World'!$A:$AL,MATCH(World!$F$1,'Data World'!$A$1:$AL$1,)))</f>
        <v/>
      </c>
      <c r="G10" s="13">
        <f>IF(VLOOKUP(B10,'Data World'!$A:$AL,MATCH(World!$G$1,'Data World'!$A$1:$AL$1,))=0,#N/A,VLOOKUP(B10,'Data World'!$A:$AL,MATCH(World!$G$1,'Data World'!$A$1:$AL$1,)))</f>
        <v/>
      </c>
      <c r="H10" s="13">
        <f>IF(VLOOKUP(B10,'Data World'!$A:$AL,MATCH(World!$H$1,'Data World'!$A$1:$AL$1,))=0,#N/A,VLOOKUP(B10,'Data World'!$A:$AL,MATCH(World!$H$1,'Data World'!$A$1:$AL$1,)))</f>
        <v/>
      </c>
      <c r="I10" s="13">
        <f>IF(VLOOKUP(B10,'Data World'!$A:$AL,MATCH(World!$I$1,'Data World'!$A$1:$AL$1,))=0,#N/A,VLOOKUP(B10,'Data World'!$A:$AL,MATCH(World!$I$1,'Data World'!$A$1:$AL$1,)))</f>
        <v/>
      </c>
      <c r="J10" s="13">
        <f>IF(VLOOKUP(B10,'Data World'!$A:$AL,MATCH(World!$J$1,'Data World'!$A$1:$AL$1,))=0,#N/A,VLOOKUP(B10,'Data World'!$A:$AL,MATCH(World!$J$1,'Data World'!$A$1:$AL$1,)))</f>
        <v/>
      </c>
      <c r="K10" s="13">
        <f>IF(VLOOKUP(B10,'Data World'!$A:$AL,MATCH(World!$K$1,'Data World'!$A$1:$AL$1,))=0,#N/A,VLOOKUP(B10,'Data World'!$A:$AL,MATCH(World!$K$1,'Data World'!$A$1:$AL$1,)))</f>
        <v/>
      </c>
      <c r="L10" s="13">
        <f>IF(VLOOKUP(B10,'Data World'!$A:$AL,MATCH(World!$L$1,'Data World'!$A$1:$AL$1,))=0,#N/A,VLOOKUP(B10,'Data World'!$A:$AL,MATCH(World!$L$1,'Data World'!$A$1:$AL$1,)))</f>
        <v/>
      </c>
      <c r="M10" s="13">
        <f>IF(VLOOKUP(B10,'Data World'!$A:$AL,MATCH(World!$M$1,'Data World'!$A$1:$AL$1,))=0,#N/A,VLOOKUP(B10,'Data World'!$A:$AL,MATCH(World!$M$1,'Data World'!$A$1:$AL$1,)))</f>
        <v/>
      </c>
      <c r="N10" s="13">
        <f>IF(VLOOKUP(B10,'Data World'!$A:$AL,MATCH(World!$N$1,'Data World'!$A$1:$AL$1,))=0,#N/A,VLOOKUP(B10,'Data World'!$A:$AL,MATCH(World!$N$1,'Data World'!$A$1:$AL$1,)))</f>
        <v/>
      </c>
      <c r="O10" s="13">
        <f>IF(VLOOKUP(B10,'Data World'!$A:$AL,MATCH(World!$O$1,'Data World'!$A$1:$AL$1,))=0,#N/A,VLOOKUP(B10,'Data World'!$A:$AL,MATCH(World!$O$1,'Data World'!$A$1:$AL$1,)))</f>
        <v/>
      </c>
      <c r="P10" s="13">
        <f>IF(VLOOKUP(B10,'Data World'!$A:$AL,MATCH(World!$P$1,'Data World'!$A$1:$AL$1,))=0,#N/A,VLOOKUP(B10,'Data World'!$A:$AL,MATCH(World!$P$1,'Data World'!$A$1:$AL$1,)))</f>
        <v/>
      </c>
      <c r="Q10" s="13">
        <f>IF(VLOOKUP(B10,'Data World'!$A:$AL,MATCH(World!$Q$1,'Data World'!$A$1:$AL$1,))=0,#N/A,VLOOKUP(B10,'Data World'!$A:$AL,MATCH(World!$Q$1,'Data World'!$A$1:$AL$1,)))</f>
        <v/>
      </c>
      <c r="R10" s="13">
        <f>IF(VLOOKUP(B10,'Data World'!$A:$AL,MATCH(World!$R$1,'Data World'!$A$1:$AL$1,))=0,#N/A,VLOOKUP(B10,'Data World'!$A:$AL,MATCH(World!$R$1,'Data World'!$A$1:$AL$1,)))</f>
        <v/>
      </c>
      <c r="S10" s="13">
        <f>IF(VLOOKUP(B10,'Data World'!$A:$AL,MATCH(World!$S$1,'Data World'!$A$1:$AL$1,))=0,#N/A,VLOOKUP(B10,'Data World'!$A:$AL,MATCH(World!$S$1,'Data World'!$A$1:$AL$1,)))</f>
        <v/>
      </c>
      <c r="T10" s="13">
        <f>IF(VLOOKUP(B10,'Data World'!$A:$AL,MATCH(World!$T$1,'Data World'!$A$1:$AL$1,))=0,#N/A,VLOOKUP(B10,'Data World'!$A:$AL,MATCH(World!$T$1,'Data World'!$A$1:$AL$1,)))</f>
        <v/>
      </c>
    </row>
    <row r="11">
      <c r="B11" s="12" t="n">
        <v>42277</v>
      </c>
      <c r="C11" s="13">
        <f>IF(VLOOKUP(B11,'Data World'!$A:$AL,MATCH(World!$C$1,'Data World'!$A$1:$AL$1,))=0,#N/A,VLOOKUP(B11,'Data World'!$A:$AL,MATCH(World!$C$1,'Data World'!$A$1:$AL$1,)))</f>
        <v/>
      </c>
      <c r="D11" s="13">
        <f>IF(VLOOKUP(B11,'Data World'!$A:$AL,MATCH(World!$D$1,'Data World'!$A$1:$AL$1,))=0,#N/A,VLOOKUP(B11,'Data World'!$A:$AL,MATCH(World!$D$1,'Data World'!$A$1:$AL$1,)))</f>
        <v/>
      </c>
      <c r="E11" s="13">
        <f>IF(VLOOKUP(B11,'Data World'!$A:$AL,MATCH(World!$E$1,'Data World'!$A$1:$AL$1,))=0,#N/A,VLOOKUP(B11,'Data World'!$A:$AL,MATCH(World!$E$1,'Data World'!$A$1:$AL$1,)))</f>
        <v/>
      </c>
      <c r="F11" s="13">
        <f>IF(VLOOKUP(B11,'Data World'!$A:$AL,MATCH(World!$F$1,'Data World'!$A$1:$AL$1,))=0,#N/A,VLOOKUP(B11,'Data World'!$A:$AL,MATCH(World!$F$1,'Data World'!$A$1:$AL$1,)))</f>
        <v/>
      </c>
      <c r="G11" s="13">
        <f>IF(VLOOKUP(B11,'Data World'!$A:$AL,MATCH(World!$G$1,'Data World'!$A$1:$AL$1,))=0,#N/A,VLOOKUP(B11,'Data World'!$A:$AL,MATCH(World!$G$1,'Data World'!$A$1:$AL$1,)))</f>
        <v/>
      </c>
      <c r="H11" s="13">
        <f>IF(VLOOKUP(B11,'Data World'!$A:$AL,MATCH(World!$H$1,'Data World'!$A$1:$AL$1,))=0,#N/A,VLOOKUP(B11,'Data World'!$A:$AL,MATCH(World!$H$1,'Data World'!$A$1:$AL$1,)))</f>
        <v/>
      </c>
      <c r="I11" s="13">
        <f>IF(VLOOKUP(B11,'Data World'!$A:$AL,MATCH(World!$I$1,'Data World'!$A$1:$AL$1,))=0,#N/A,VLOOKUP(B11,'Data World'!$A:$AL,MATCH(World!$I$1,'Data World'!$A$1:$AL$1,)))</f>
        <v/>
      </c>
      <c r="J11" s="13">
        <f>IF(VLOOKUP(B11,'Data World'!$A:$AL,MATCH(World!$J$1,'Data World'!$A$1:$AL$1,))=0,#N/A,VLOOKUP(B11,'Data World'!$A:$AL,MATCH(World!$J$1,'Data World'!$A$1:$AL$1,)))</f>
        <v/>
      </c>
      <c r="K11" s="13">
        <f>IF(VLOOKUP(B11,'Data World'!$A:$AL,MATCH(World!$K$1,'Data World'!$A$1:$AL$1,))=0,#N/A,VLOOKUP(B11,'Data World'!$A:$AL,MATCH(World!$K$1,'Data World'!$A$1:$AL$1,)))</f>
        <v/>
      </c>
      <c r="L11" s="13">
        <f>IF(VLOOKUP(B11,'Data World'!$A:$AL,MATCH(World!$L$1,'Data World'!$A$1:$AL$1,))=0,#N/A,VLOOKUP(B11,'Data World'!$A:$AL,MATCH(World!$L$1,'Data World'!$A$1:$AL$1,)))</f>
        <v/>
      </c>
      <c r="M11" s="13">
        <f>IF(VLOOKUP(B11,'Data World'!$A:$AL,MATCH(World!$M$1,'Data World'!$A$1:$AL$1,))=0,#N/A,VLOOKUP(B11,'Data World'!$A:$AL,MATCH(World!$M$1,'Data World'!$A$1:$AL$1,)))</f>
        <v/>
      </c>
      <c r="N11" s="13">
        <f>IF(VLOOKUP(B11,'Data World'!$A:$AL,MATCH(World!$N$1,'Data World'!$A$1:$AL$1,))=0,#N/A,VLOOKUP(B11,'Data World'!$A:$AL,MATCH(World!$N$1,'Data World'!$A$1:$AL$1,)))</f>
        <v/>
      </c>
      <c r="O11" s="13">
        <f>IF(VLOOKUP(B11,'Data World'!$A:$AL,MATCH(World!$O$1,'Data World'!$A$1:$AL$1,))=0,#N/A,VLOOKUP(B11,'Data World'!$A:$AL,MATCH(World!$O$1,'Data World'!$A$1:$AL$1,)))</f>
        <v/>
      </c>
      <c r="P11" s="13">
        <f>IF(VLOOKUP(B11,'Data World'!$A:$AL,MATCH(World!$P$1,'Data World'!$A$1:$AL$1,))=0,#N/A,VLOOKUP(B11,'Data World'!$A:$AL,MATCH(World!$P$1,'Data World'!$A$1:$AL$1,)))</f>
        <v/>
      </c>
      <c r="Q11" s="13">
        <f>IF(VLOOKUP(B11,'Data World'!$A:$AL,MATCH(World!$Q$1,'Data World'!$A$1:$AL$1,))=0,#N/A,VLOOKUP(B11,'Data World'!$A:$AL,MATCH(World!$Q$1,'Data World'!$A$1:$AL$1,)))</f>
        <v/>
      </c>
      <c r="R11" s="13">
        <f>IF(VLOOKUP(B11,'Data World'!$A:$AL,MATCH(World!$R$1,'Data World'!$A$1:$AL$1,))=0,#N/A,VLOOKUP(B11,'Data World'!$A:$AL,MATCH(World!$R$1,'Data World'!$A$1:$AL$1,)))</f>
        <v/>
      </c>
      <c r="S11" s="13">
        <f>IF(VLOOKUP(B11,'Data World'!$A:$AL,MATCH(World!$S$1,'Data World'!$A$1:$AL$1,))=0,#N/A,VLOOKUP(B11,'Data World'!$A:$AL,MATCH(World!$S$1,'Data World'!$A$1:$AL$1,)))</f>
        <v/>
      </c>
      <c r="T11" s="13">
        <f>IF(VLOOKUP(B11,'Data World'!$A:$AL,MATCH(World!$T$1,'Data World'!$A$1:$AL$1,))=0,#N/A,VLOOKUP(B11,'Data World'!$A:$AL,MATCH(World!$T$1,'Data World'!$A$1:$AL$1,)))</f>
        <v/>
      </c>
    </row>
    <row r="12">
      <c r="B12" s="12" t="n">
        <v>42308</v>
      </c>
      <c r="C12" s="13">
        <f>IF(VLOOKUP(B12,'Data World'!$A:$AL,MATCH(World!$C$1,'Data World'!$A$1:$AL$1,))=0,#N/A,VLOOKUP(B12,'Data World'!$A:$AL,MATCH(World!$C$1,'Data World'!$A$1:$AL$1,)))</f>
        <v/>
      </c>
      <c r="D12" s="13">
        <f>IF(VLOOKUP(B12,'Data World'!$A:$AL,MATCH(World!$D$1,'Data World'!$A$1:$AL$1,))=0,#N/A,VLOOKUP(B12,'Data World'!$A:$AL,MATCH(World!$D$1,'Data World'!$A$1:$AL$1,)))</f>
        <v/>
      </c>
      <c r="E12" s="13">
        <f>IF(VLOOKUP(B12,'Data World'!$A:$AL,MATCH(World!$E$1,'Data World'!$A$1:$AL$1,))=0,#N/A,VLOOKUP(B12,'Data World'!$A:$AL,MATCH(World!$E$1,'Data World'!$A$1:$AL$1,)))</f>
        <v/>
      </c>
      <c r="F12" s="13">
        <f>IF(VLOOKUP(B12,'Data World'!$A:$AL,MATCH(World!$F$1,'Data World'!$A$1:$AL$1,))=0,#N/A,VLOOKUP(B12,'Data World'!$A:$AL,MATCH(World!$F$1,'Data World'!$A$1:$AL$1,)))</f>
        <v/>
      </c>
      <c r="G12" s="13">
        <f>IF(VLOOKUP(B12,'Data World'!$A:$AL,MATCH(World!$G$1,'Data World'!$A$1:$AL$1,))=0,#N/A,VLOOKUP(B12,'Data World'!$A:$AL,MATCH(World!$G$1,'Data World'!$A$1:$AL$1,)))</f>
        <v/>
      </c>
      <c r="H12" s="13">
        <f>IF(VLOOKUP(B12,'Data World'!$A:$AL,MATCH(World!$H$1,'Data World'!$A$1:$AL$1,))=0,#N/A,VLOOKUP(B12,'Data World'!$A:$AL,MATCH(World!$H$1,'Data World'!$A$1:$AL$1,)))</f>
        <v/>
      </c>
      <c r="I12" s="13">
        <f>IF(VLOOKUP(B12,'Data World'!$A:$AL,MATCH(World!$I$1,'Data World'!$A$1:$AL$1,))=0,#N/A,VLOOKUP(B12,'Data World'!$A:$AL,MATCH(World!$I$1,'Data World'!$A$1:$AL$1,)))</f>
        <v/>
      </c>
      <c r="J12" s="13">
        <f>IF(VLOOKUP(B12,'Data World'!$A:$AL,MATCH(World!$J$1,'Data World'!$A$1:$AL$1,))=0,#N/A,VLOOKUP(B12,'Data World'!$A:$AL,MATCH(World!$J$1,'Data World'!$A$1:$AL$1,)))</f>
        <v/>
      </c>
      <c r="K12" s="13">
        <f>IF(VLOOKUP(B12,'Data World'!$A:$AL,MATCH(World!$K$1,'Data World'!$A$1:$AL$1,))=0,#N/A,VLOOKUP(B12,'Data World'!$A:$AL,MATCH(World!$K$1,'Data World'!$A$1:$AL$1,)))</f>
        <v/>
      </c>
      <c r="L12" s="13">
        <f>IF(VLOOKUP(B12,'Data World'!$A:$AL,MATCH(World!$L$1,'Data World'!$A$1:$AL$1,))=0,#N/A,VLOOKUP(B12,'Data World'!$A:$AL,MATCH(World!$L$1,'Data World'!$A$1:$AL$1,)))</f>
        <v/>
      </c>
      <c r="M12" s="13">
        <f>IF(VLOOKUP(B12,'Data World'!$A:$AL,MATCH(World!$M$1,'Data World'!$A$1:$AL$1,))=0,#N/A,VLOOKUP(B12,'Data World'!$A:$AL,MATCH(World!$M$1,'Data World'!$A$1:$AL$1,)))</f>
        <v/>
      </c>
      <c r="N12" s="13">
        <f>IF(VLOOKUP(B12,'Data World'!$A:$AL,MATCH(World!$N$1,'Data World'!$A$1:$AL$1,))=0,#N/A,VLOOKUP(B12,'Data World'!$A:$AL,MATCH(World!$N$1,'Data World'!$A$1:$AL$1,)))</f>
        <v/>
      </c>
      <c r="O12" s="13">
        <f>IF(VLOOKUP(B12,'Data World'!$A:$AL,MATCH(World!$O$1,'Data World'!$A$1:$AL$1,))=0,#N/A,VLOOKUP(B12,'Data World'!$A:$AL,MATCH(World!$O$1,'Data World'!$A$1:$AL$1,)))</f>
        <v/>
      </c>
      <c r="P12" s="13">
        <f>IF(VLOOKUP(B12,'Data World'!$A:$AL,MATCH(World!$P$1,'Data World'!$A$1:$AL$1,))=0,#N/A,VLOOKUP(B12,'Data World'!$A:$AL,MATCH(World!$P$1,'Data World'!$A$1:$AL$1,)))</f>
        <v/>
      </c>
      <c r="Q12" s="13">
        <f>IF(VLOOKUP(B12,'Data World'!$A:$AL,MATCH(World!$Q$1,'Data World'!$A$1:$AL$1,))=0,#N/A,VLOOKUP(B12,'Data World'!$A:$AL,MATCH(World!$Q$1,'Data World'!$A$1:$AL$1,)))</f>
        <v/>
      </c>
      <c r="R12" s="13">
        <f>IF(VLOOKUP(B12,'Data World'!$A:$AL,MATCH(World!$R$1,'Data World'!$A$1:$AL$1,))=0,#N/A,VLOOKUP(B12,'Data World'!$A:$AL,MATCH(World!$R$1,'Data World'!$A$1:$AL$1,)))</f>
        <v/>
      </c>
      <c r="S12" s="13">
        <f>IF(VLOOKUP(B12,'Data World'!$A:$AL,MATCH(World!$S$1,'Data World'!$A$1:$AL$1,))=0,#N/A,VLOOKUP(B12,'Data World'!$A:$AL,MATCH(World!$S$1,'Data World'!$A$1:$AL$1,)))</f>
        <v/>
      </c>
      <c r="T12" s="13">
        <f>IF(VLOOKUP(B12,'Data World'!$A:$AL,MATCH(World!$T$1,'Data World'!$A$1:$AL$1,))=0,#N/A,VLOOKUP(B12,'Data World'!$A:$AL,MATCH(World!$T$1,'Data World'!$A$1:$AL$1,)))</f>
        <v/>
      </c>
    </row>
    <row r="13">
      <c r="B13" s="12" t="n">
        <v>42338</v>
      </c>
      <c r="C13" s="13">
        <f>IF(VLOOKUP(B13,'Data World'!$A:$AL,MATCH(World!$C$1,'Data World'!$A$1:$AL$1,))=0,#N/A,VLOOKUP(B13,'Data World'!$A:$AL,MATCH(World!$C$1,'Data World'!$A$1:$AL$1,)))</f>
        <v/>
      </c>
      <c r="D13" s="13">
        <f>IF(VLOOKUP(B13,'Data World'!$A:$AL,MATCH(World!$D$1,'Data World'!$A$1:$AL$1,))=0,#N/A,VLOOKUP(B13,'Data World'!$A:$AL,MATCH(World!$D$1,'Data World'!$A$1:$AL$1,)))</f>
        <v/>
      </c>
      <c r="E13" s="13">
        <f>IF(VLOOKUP(B13,'Data World'!$A:$AL,MATCH(World!$E$1,'Data World'!$A$1:$AL$1,))=0,#N/A,VLOOKUP(B13,'Data World'!$A:$AL,MATCH(World!$E$1,'Data World'!$A$1:$AL$1,)))</f>
        <v/>
      </c>
      <c r="F13" s="13">
        <f>IF(VLOOKUP(B13,'Data World'!$A:$AL,MATCH(World!$F$1,'Data World'!$A$1:$AL$1,))=0,#N/A,VLOOKUP(B13,'Data World'!$A:$AL,MATCH(World!$F$1,'Data World'!$A$1:$AL$1,)))</f>
        <v/>
      </c>
      <c r="G13" s="13">
        <f>IF(VLOOKUP(B13,'Data World'!$A:$AL,MATCH(World!$G$1,'Data World'!$A$1:$AL$1,))=0,#N/A,VLOOKUP(B13,'Data World'!$A:$AL,MATCH(World!$G$1,'Data World'!$A$1:$AL$1,)))</f>
        <v/>
      </c>
      <c r="H13" s="13">
        <f>IF(VLOOKUP(B13,'Data World'!$A:$AL,MATCH(World!$H$1,'Data World'!$A$1:$AL$1,))=0,#N/A,VLOOKUP(B13,'Data World'!$A:$AL,MATCH(World!$H$1,'Data World'!$A$1:$AL$1,)))</f>
        <v/>
      </c>
      <c r="I13" s="13">
        <f>IF(VLOOKUP(B13,'Data World'!$A:$AL,MATCH(World!$I$1,'Data World'!$A$1:$AL$1,))=0,#N/A,VLOOKUP(B13,'Data World'!$A:$AL,MATCH(World!$I$1,'Data World'!$A$1:$AL$1,)))</f>
        <v/>
      </c>
      <c r="J13" s="13">
        <f>IF(VLOOKUP(B13,'Data World'!$A:$AL,MATCH(World!$J$1,'Data World'!$A$1:$AL$1,))=0,#N/A,VLOOKUP(B13,'Data World'!$A:$AL,MATCH(World!$J$1,'Data World'!$A$1:$AL$1,)))</f>
        <v/>
      </c>
      <c r="K13" s="13">
        <f>IF(VLOOKUP(B13,'Data World'!$A:$AL,MATCH(World!$K$1,'Data World'!$A$1:$AL$1,))=0,#N/A,VLOOKUP(B13,'Data World'!$A:$AL,MATCH(World!$K$1,'Data World'!$A$1:$AL$1,)))</f>
        <v/>
      </c>
      <c r="L13" s="13">
        <f>IF(VLOOKUP(B13,'Data World'!$A:$AL,MATCH(World!$L$1,'Data World'!$A$1:$AL$1,))=0,#N/A,VLOOKUP(B13,'Data World'!$A:$AL,MATCH(World!$L$1,'Data World'!$A$1:$AL$1,)))</f>
        <v/>
      </c>
      <c r="M13" s="13">
        <f>IF(VLOOKUP(B13,'Data World'!$A:$AL,MATCH(World!$M$1,'Data World'!$A$1:$AL$1,))=0,#N/A,VLOOKUP(B13,'Data World'!$A:$AL,MATCH(World!$M$1,'Data World'!$A$1:$AL$1,)))</f>
        <v/>
      </c>
      <c r="N13" s="13">
        <f>IF(VLOOKUP(B13,'Data World'!$A:$AL,MATCH(World!$N$1,'Data World'!$A$1:$AL$1,))=0,#N/A,VLOOKUP(B13,'Data World'!$A:$AL,MATCH(World!$N$1,'Data World'!$A$1:$AL$1,)))</f>
        <v/>
      </c>
      <c r="O13" s="13">
        <f>IF(VLOOKUP(B13,'Data World'!$A:$AL,MATCH(World!$O$1,'Data World'!$A$1:$AL$1,))=0,#N/A,VLOOKUP(B13,'Data World'!$A:$AL,MATCH(World!$O$1,'Data World'!$A$1:$AL$1,)))</f>
        <v/>
      </c>
      <c r="P13" s="13">
        <f>IF(VLOOKUP(B13,'Data World'!$A:$AL,MATCH(World!$P$1,'Data World'!$A$1:$AL$1,))=0,#N/A,VLOOKUP(B13,'Data World'!$A:$AL,MATCH(World!$P$1,'Data World'!$A$1:$AL$1,)))</f>
        <v/>
      </c>
      <c r="Q13" s="13">
        <f>IF(VLOOKUP(B13,'Data World'!$A:$AL,MATCH(World!$Q$1,'Data World'!$A$1:$AL$1,))=0,#N/A,VLOOKUP(B13,'Data World'!$A:$AL,MATCH(World!$Q$1,'Data World'!$A$1:$AL$1,)))</f>
        <v/>
      </c>
      <c r="R13" s="13">
        <f>IF(VLOOKUP(B13,'Data World'!$A:$AL,MATCH(World!$R$1,'Data World'!$A$1:$AL$1,))=0,#N/A,VLOOKUP(B13,'Data World'!$A:$AL,MATCH(World!$R$1,'Data World'!$A$1:$AL$1,)))</f>
        <v/>
      </c>
      <c r="S13" s="13">
        <f>IF(VLOOKUP(B13,'Data World'!$A:$AL,MATCH(World!$S$1,'Data World'!$A$1:$AL$1,))=0,#N/A,VLOOKUP(B13,'Data World'!$A:$AL,MATCH(World!$S$1,'Data World'!$A$1:$AL$1,)))</f>
        <v/>
      </c>
      <c r="T13" s="13">
        <f>IF(VLOOKUP(B13,'Data World'!$A:$AL,MATCH(World!$T$1,'Data World'!$A$1:$AL$1,))=0,#N/A,VLOOKUP(B13,'Data World'!$A:$AL,MATCH(World!$T$1,'Data World'!$A$1:$AL$1,)))</f>
        <v/>
      </c>
    </row>
    <row r="14">
      <c r="B14" s="12" t="n">
        <v>42369</v>
      </c>
      <c r="C14" s="13">
        <f>IF(VLOOKUP(B14,'Data World'!$A:$AL,MATCH(World!$C$1,'Data World'!$A$1:$AL$1,))=0,#N/A,VLOOKUP(B14,'Data World'!$A:$AL,MATCH(World!$C$1,'Data World'!$A$1:$AL$1,)))</f>
        <v/>
      </c>
      <c r="D14" s="13">
        <f>IF(VLOOKUP(B14,'Data World'!$A:$AL,MATCH(World!$D$1,'Data World'!$A$1:$AL$1,))=0,#N/A,VLOOKUP(B14,'Data World'!$A:$AL,MATCH(World!$D$1,'Data World'!$A$1:$AL$1,)))</f>
        <v/>
      </c>
      <c r="E14" s="13">
        <f>IF(VLOOKUP(B14,'Data World'!$A:$AL,MATCH(World!$E$1,'Data World'!$A$1:$AL$1,))=0,#N/A,VLOOKUP(B14,'Data World'!$A:$AL,MATCH(World!$E$1,'Data World'!$A$1:$AL$1,)))</f>
        <v/>
      </c>
      <c r="F14" s="13">
        <f>IF(VLOOKUP(B14,'Data World'!$A:$AL,MATCH(World!$F$1,'Data World'!$A$1:$AL$1,))=0,#N/A,VLOOKUP(B14,'Data World'!$A:$AL,MATCH(World!$F$1,'Data World'!$A$1:$AL$1,)))</f>
        <v/>
      </c>
      <c r="G14" s="13">
        <f>IF(VLOOKUP(B14,'Data World'!$A:$AL,MATCH(World!$G$1,'Data World'!$A$1:$AL$1,))=0,#N/A,VLOOKUP(B14,'Data World'!$A:$AL,MATCH(World!$G$1,'Data World'!$A$1:$AL$1,)))</f>
        <v/>
      </c>
      <c r="H14" s="13">
        <f>IF(VLOOKUP(B14,'Data World'!$A:$AL,MATCH(World!$H$1,'Data World'!$A$1:$AL$1,))=0,#N/A,VLOOKUP(B14,'Data World'!$A:$AL,MATCH(World!$H$1,'Data World'!$A$1:$AL$1,)))</f>
        <v/>
      </c>
      <c r="I14" s="13">
        <f>IF(VLOOKUP(B14,'Data World'!$A:$AL,MATCH(World!$I$1,'Data World'!$A$1:$AL$1,))=0,#N/A,VLOOKUP(B14,'Data World'!$A:$AL,MATCH(World!$I$1,'Data World'!$A$1:$AL$1,)))</f>
        <v/>
      </c>
      <c r="J14" s="13">
        <f>IF(VLOOKUP(B14,'Data World'!$A:$AL,MATCH(World!$J$1,'Data World'!$A$1:$AL$1,))=0,#N/A,VLOOKUP(B14,'Data World'!$A:$AL,MATCH(World!$J$1,'Data World'!$A$1:$AL$1,)))</f>
        <v/>
      </c>
      <c r="K14" s="13">
        <f>IF(VLOOKUP(B14,'Data World'!$A:$AL,MATCH(World!$K$1,'Data World'!$A$1:$AL$1,))=0,#N/A,VLOOKUP(B14,'Data World'!$A:$AL,MATCH(World!$K$1,'Data World'!$A$1:$AL$1,)))</f>
        <v/>
      </c>
      <c r="L14" s="13">
        <f>IF(VLOOKUP(B14,'Data World'!$A:$AL,MATCH(World!$L$1,'Data World'!$A$1:$AL$1,))=0,#N/A,VLOOKUP(B14,'Data World'!$A:$AL,MATCH(World!$L$1,'Data World'!$A$1:$AL$1,)))</f>
        <v/>
      </c>
      <c r="M14" s="13">
        <f>IF(VLOOKUP(B14,'Data World'!$A:$AL,MATCH(World!$M$1,'Data World'!$A$1:$AL$1,))=0,#N/A,VLOOKUP(B14,'Data World'!$A:$AL,MATCH(World!$M$1,'Data World'!$A$1:$AL$1,)))</f>
        <v/>
      </c>
      <c r="N14" s="13">
        <f>IF(VLOOKUP(B14,'Data World'!$A:$AL,MATCH(World!$N$1,'Data World'!$A$1:$AL$1,))=0,#N/A,VLOOKUP(B14,'Data World'!$A:$AL,MATCH(World!$N$1,'Data World'!$A$1:$AL$1,)))</f>
        <v/>
      </c>
      <c r="O14" s="13">
        <f>IF(VLOOKUP(B14,'Data World'!$A:$AL,MATCH(World!$O$1,'Data World'!$A$1:$AL$1,))=0,#N/A,VLOOKUP(B14,'Data World'!$A:$AL,MATCH(World!$O$1,'Data World'!$A$1:$AL$1,)))</f>
        <v/>
      </c>
      <c r="P14" s="13">
        <f>IF(VLOOKUP(B14,'Data World'!$A:$AL,MATCH(World!$P$1,'Data World'!$A$1:$AL$1,))=0,#N/A,VLOOKUP(B14,'Data World'!$A:$AL,MATCH(World!$P$1,'Data World'!$A$1:$AL$1,)))</f>
        <v/>
      </c>
      <c r="Q14" s="13">
        <f>IF(VLOOKUP(B14,'Data World'!$A:$AL,MATCH(World!$Q$1,'Data World'!$A$1:$AL$1,))=0,#N/A,VLOOKUP(B14,'Data World'!$A:$AL,MATCH(World!$Q$1,'Data World'!$A$1:$AL$1,)))</f>
        <v/>
      </c>
      <c r="R14" s="13">
        <f>IF(VLOOKUP(B14,'Data World'!$A:$AL,MATCH(World!$R$1,'Data World'!$A$1:$AL$1,))=0,#N/A,VLOOKUP(B14,'Data World'!$A:$AL,MATCH(World!$R$1,'Data World'!$A$1:$AL$1,)))</f>
        <v/>
      </c>
      <c r="S14" s="13">
        <f>IF(VLOOKUP(B14,'Data World'!$A:$AL,MATCH(World!$S$1,'Data World'!$A$1:$AL$1,))=0,#N/A,VLOOKUP(B14,'Data World'!$A:$AL,MATCH(World!$S$1,'Data World'!$A$1:$AL$1,)))</f>
        <v/>
      </c>
      <c r="T14" s="13">
        <f>IF(VLOOKUP(B14,'Data World'!$A:$AL,MATCH(World!$T$1,'Data World'!$A$1:$AL$1,))=0,#N/A,VLOOKUP(B14,'Data World'!$A:$AL,MATCH(World!$T$1,'Data World'!$A$1:$AL$1,)))</f>
        <v/>
      </c>
    </row>
    <row r="15">
      <c r="B15" s="12" t="n">
        <v>42400</v>
      </c>
      <c r="C15" s="13">
        <f>IF(VLOOKUP(B15,'Data World'!$A:$AL,MATCH(World!$C$1,'Data World'!$A$1:$AL$1,))=0,#N/A,VLOOKUP(B15,'Data World'!$A:$AL,MATCH(World!$C$1,'Data World'!$A$1:$AL$1,)))</f>
        <v/>
      </c>
      <c r="D15" s="13">
        <f>IF(VLOOKUP(B15,'Data World'!$A:$AL,MATCH(World!$D$1,'Data World'!$A$1:$AL$1,))=0,#N/A,VLOOKUP(B15,'Data World'!$A:$AL,MATCH(World!$D$1,'Data World'!$A$1:$AL$1,)))</f>
        <v/>
      </c>
      <c r="E15" s="13">
        <f>IF(VLOOKUP(B15,'Data World'!$A:$AL,MATCH(World!$E$1,'Data World'!$A$1:$AL$1,))=0,#N/A,VLOOKUP(B15,'Data World'!$A:$AL,MATCH(World!$E$1,'Data World'!$A$1:$AL$1,)))</f>
        <v/>
      </c>
      <c r="F15" s="13">
        <f>IF(VLOOKUP(B15,'Data World'!$A:$AL,MATCH(World!$F$1,'Data World'!$A$1:$AL$1,))=0,#N/A,VLOOKUP(B15,'Data World'!$A:$AL,MATCH(World!$F$1,'Data World'!$A$1:$AL$1,)))</f>
        <v/>
      </c>
      <c r="G15" s="13">
        <f>IF(VLOOKUP(B15,'Data World'!$A:$AL,MATCH(World!$G$1,'Data World'!$A$1:$AL$1,))=0,#N/A,VLOOKUP(B15,'Data World'!$A:$AL,MATCH(World!$G$1,'Data World'!$A$1:$AL$1,)))</f>
        <v/>
      </c>
      <c r="H15" s="13">
        <f>IF(VLOOKUP(B15,'Data World'!$A:$AL,MATCH(World!$H$1,'Data World'!$A$1:$AL$1,))=0,#N/A,VLOOKUP(B15,'Data World'!$A:$AL,MATCH(World!$H$1,'Data World'!$A$1:$AL$1,)))</f>
        <v/>
      </c>
      <c r="I15" s="13">
        <f>IF(VLOOKUP(B15,'Data World'!$A:$AL,MATCH(World!$I$1,'Data World'!$A$1:$AL$1,))=0,#N/A,VLOOKUP(B15,'Data World'!$A:$AL,MATCH(World!$I$1,'Data World'!$A$1:$AL$1,)))</f>
        <v/>
      </c>
      <c r="J15" s="13">
        <f>IF(VLOOKUP(B15,'Data World'!$A:$AL,MATCH(World!$J$1,'Data World'!$A$1:$AL$1,))=0,#N/A,VLOOKUP(B15,'Data World'!$A:$AL,MATCH(World!$J$1,'Data World'!$A$1:$AL$1,)))</f>
        <v/>
      </c>
      <c r="K15" s="13">
        <f>IF(VLOOKUP(B15,'Data World'!$A:$AL,MATCH(World!$K$1,'Data World'!$A$1:$AL$1,))=0,#N/A,VLOOKUP(B15,'Data World'!$A:$AL,MATCH(World!$K$1,'Data World'!$A$1:$AL$1,)))</f>
        <v/>
      </c>
      <c r="L15" s="13">
        <f>IF(VLOOKUP(B15,'Data World'!$A:$AL,MATCH(World!$L$1,'Data World'!$A$1:$AL$1,))=0,#N/A,VLOOKUP(B15,'Data World'!$A:$AL,MATCH(World!$L$1,'Data World'!$A$1:$AL$1,)))</f>
        <v/>
      </c>
      <c r="M15" s="13">
        <f>IF(VLOOKUP(B15,'Data World'!$A:$AL,MATCH(World!$M$1,'Data World'!$A$1:$AL$1,))=0,#N/A,VLOOKUP(B15,'Data World'!$A:$AL,MATCH(World!$M$1,'Data World'!$A$1:$AL$1,)))</f>
        <v/>
      </c>
      <c r="N15" s="13">
        <f>IF(VLOOKUP(B15,'Data World'!$A:$AL,MATCH(World!$N$1,'Data World'!$A$1:$AL$1,))=0,#N/A,VLOOKUP(B15,'Data World'!$A:$AL,MATCH(World!$N$1,'Data World'!$A$1:$AL$1,)))</f>
        <v/>
      </c>
      <c r="O15" s="13">
        <f>IF(VLOOKUP(B15,'Data World'!$A:$AL,MATCH(World!$O$1,'Data World'!$A$1:$AL$1,))=0,#N/A,VLOOKUP(B15,'Data World'!$A:$AL,MATCH(World!$O$1,'Data World'!$A$1:$AL$1,)))</f>
        <v/>
      </c>
      <c r="P15" s="13">
        <f>IF(VLOOKUP(B15,'Data World'!$A:$AL,MATCH(World!$P$1,'Data World'!$A$1:$AL$1,))=0,#N/A,VLOOKUP(B15,'Data World'!$A:$AL,MATCH(World!$P$1,'Data World'!$A$1:$AL$1,)))</f>
        <v/>
      </c>
      <c r="Q15" s="13">
        <f>IF(VLOOKUP(B15,'Data World'!$A:$AL,MATCH(World!$Q$1,'Data World'!$A$1:$AL$1,))=0,#N/A,VLOOKUP(B15,'Data World'!$A:$AL,MATCH(World!$Q$1,'Data World'!$A$1:$AL$1,)))</f>
        <v/>
      </c>
      <c r="R15" s="13">
        <f>IF(VLOOKUP(B15,'Data World'!$A:$AL,MATCH(World!$R$1,'Data World'!$A$1:$AL$1,))=0,#N/A,VLOOKUP(B15,'Data World'!$A:$AL,MATCH(World!$R$1,'Data World'!$A$1:$AL$1,)))</f>
        <v/>
      </c>
      <c r="S15" s="13">
        <f>IF(VLOOKUP(B15,'Data World'!$A:$AL,MATCH(World!$S$1,'Data World'!$A$1:$AL$1,))=0,#N/A,VLOOKUP(B15,'Data World'!$A:$AL,MATCH(World!$S$1,'Data World'!$A$1:$AL$1,)))</f>
        <v/>
      </c>
      <c r="T15" s="13">
        <f>IF(VLOOKUP(B15,'Data World'!$A:$AL,MATCH(World!$T$1,'Data World'!$A$1:$AL$1,))=0,#N/A,VLOOKUP(B15,'Data World'!$A:$AL,MATCH(World!$T$1,'Data World'!$A$1:$AL$1,)))</f>
        <v/>
      </c>
    </row>
    <row r="16">
      <c r="B16" s="12" t="n">
        <v>42429</v>
      </c>
      <c r="C16" s="13">
        <f>IF(VLOOKUP(B16,'Data World'!$A:$AL,MATCH(World!$C$1,'Data World'!$A$1:$AL$1,))=0,#N/A,VLOOKUP(B16,'Data World'!$A:$AL,MATCH(World!$C$1,'Data World'!$A$1:$AL$1,)))</f>
        <v/>
      </c>
      <c r="D16" s="13">
        <f>IF(VLOOKUP(B16,'Data World'!$A:$AL,MATCH(World!$D$1,'Data World'!$A$1:$AL$1,))=0,#N/A,VLOOKUP(B16,'Data World'!$A:$AL,MATCH(World!$D$1,'Data World'!$A$1:$AL$1,)))</f>
        <v/>
      </c>
      <c r="E16" s="13">
        <f>IF(VLOOKUP(B16,'Data World'!$A:$AL,MATCH(World!$E$1,'Data World'!$A$1:$AL$1,))=0,#N/A,VLOOKUP(B16,'Data World'!$A:$AL,MATCH(World!$E$1,'Data World'!$A$1:$AL$1,)))</f>
        <v/>
      </c>
      <c r="F16" s="13">
        <f>IF(VLOOKUP(B16,'Data World'!$A:$AL,MATCH(World!$F$1,'Data World'!$A$1:$AL$1,))=0,#N/A,VLOOKUP(B16,'Data World'!$A:$AL,MATCH(World!$F$1,'Data World'!$A$1:$AL$1,)))</f>
        <v/>
      </c>
      <c r="G16" s="13">
        <f>IF(VLOOKUP(B16,'Data World'!$A:$AL,MATCH(World!$G$1,'Data World'!$A$1:$AL$1,))=0,#N/A,VLOOKUP(B16,'Data World'!$A:$AL,MATCH(World!$G$1,'Data World'!$A$1:$AL$1,)))</f>
        <v/>
      </c>
      <c r="H16" s="13">
        <f>IF(VLOOKUP(B16,'Data World'!$A:$AL,MATCH(World!$H$1,'Data World'!$A$1:$AL$1,))=0,#N/A,VLOOKUP(B16,'Data World'!$A:$AL,MATCH(World!$H$1,'Data World'!$A$1:$AL$1,)))</f>
        <v/>
      </c>
      <c r="I16" s="13">
        <f>IF(VLOOKUP(B16,'Data World'!$A:$AL,MATCH(World!$I$1,'Data World'!$A$1:$AL$1,))=0,#N/A,VLOOKUP(B16,'Data World'!$A:$AL,MATCH(World!$I$1,'Data World'!$A$1:$AL$1,)))</f>
        <v/>
      </c>
      <c r="J16" s="13">
        <f>IF(VLOOKUP(B16,'Data World'!$A:$AL,MATCH(World!$J$1,'Data World'!$A$1:$AL$1,))=0,#N/A,VLOOKUP(B16,'Data World'!$A:$AL,MATCH(World!$J$1,'Data World'!$A$1:$AL$1,)))</f>
        <v/>
      </c>
      <c r="K16" s="13">
        <f>IF(VLOOKUP(B16,'Data World'!$A:$AL,MATCH(World!$K$1,'Data World'!$A$1:$AL$1,))=0,#N/A,VLOOKUP(B16,'Data World'!$A:$AL,MATCH(World!$K$1,'Data World'!$A$1:$AL$1,)))</f>
        <v/>
      </c>
      <c r="L16" s="13">
        <f>IF(VLOOKUP(B16,'Data World'!$A:$AL,MATCH(World!$L$1,'Data World'!$A$1:$AL$1,))=0,#N/A,VLOOKUP(B16,'Data World'!$A:$AL,MATCH(World!$L$1,'Data World'!$A$1:$AL$1,)))</f>
        <v/>
      </c>
      <c r="M16" s="13">
        <f>IF(VLOOKUP(B16,'Data World'!$A:$AL,MATCH(World!$M$1,'Data World'!$A$1:$AL$1,))=0,#N/A,VLOOKUP(B16,'Data World'!$A:$AL,MATCH(World!$M$1,'Data World'!$A$1:$AL$1,)))</f>
        <v/>
      </c>
      <c r="N16" s="13">
        <f>IF(VLOOKUP(B16,'Data World'!$A:$AL,MATCH(World!$N$1,'Data World'!$A$1:$AL$1,))=0,#N/A,VLOOKUP(B16,'Data World'!$A:$AL,MATCH(World!$N$1,'Data World'!$A$1:$AL$1,)))</f>
        <v/>
      </c>
      <c r="O16" s="13">
        <f>IF(VLOOKUP(B16,'Data World'!$A:$AL,MATCH(World!$O$1,'Data World'!$A$1:$AL$1,))=0,#N/A,VLOOKUP(B16,'Data World'!$A:$AL,MATCH(World!$O$1,'Data World'!$A$1:$AL$1,)))</f>
        <v/>
      </c>
      <c r="P16" s="13">
        <f>IF(VLOOKUP(B16,'Data World'!$A:$AL,MATCH(World!$P$1,'Data World'!$A$1:$AL$1,))=0,#N/A,VLOOKUP(B16,'Data World'!$A:$AL,MATCH(World!$P$1,'Data World'!$A$1:$AL$1,)))</f>
        <v/>
      </c>
      <c r="Q16" s="13">
        <f>IF(VLOOKUP(B16,'Data World'!$A:$AL,MATCH(World!$Q$1,'Data World'!$A$1:$AL$1,))=0,#N/A,VLOOKUP(B16,'Data World'!$A:$AL,MATCH(World!$Q$1,'Data World'!$A$1:$AL$1,)))</f>
        <v/>
      </c>
      <c r="R16" s="13">
        <f>IF(VLOOKUP(B16,'Data World'!$A:$AL,MATCH(World!$R$1,'Data World'!$A$1:$AL$1,))=0,#N/A,VLOOKUP(B16,'Data World'!$A:$AL,MATCH(World!$R$1,'Data World'!$A$1:$AL$1,)))</f>
        <v/>
      </c>
      <c r="S16" s="13">
        <f>IF(VLOOKUP(B16,'Data World'!$A:$AL,MATCH(World!$S$1,'Data World'!$A$1:$AL$1,))=0,#N/A,VLOOKUP(B16,'Data World'!$A:$AL,MATCH(World!$S$1,'Data World'!$A$1:$AL$1,)))</f>
        <v/>
      </c>
      <c r="T16" s="13">
        <f>IF(VLOOKUP(B16,'Data World'!$A:$AL,MATCH(World!$T$1,'Data World'!$A$1:$AL$1,))=0,#N/A,VLOOKUP(B16,'Data World'!$A:$AL,MATCH(World!$T$1,'Data World'!$A$1:$AL$1,)))</f>
        <v/>
      </c>
    </row>
    <row r="17">
      <c r="B17" s="12" t="n">
        <v>42460</v>
      </c>
      <c r="C17" s="13">
        <f>IF(VLOOKUP(B17,'Data World'!$A:$AL,MATCH(World!$C$1,'Data World'!$A$1:$AL$1,))=0,#N/A,VLOOKUP(B17,'Data World'!$A:$AL,MATCH(World!$C$1,'Data World'!$A$1:$AL$1,)))</f>
        <v/>
      </c>
      <c r="D17" s="13">
        <f>IF(VLOOKUP(B17,'Data World'!$A:$AL,MATCH(World!$D$1,'Data World'!$A$1:$AL$1,))=0,#N/A,VLOOKUP(B17,'Data World'!$A:$AL,MATCH(World!$D$1,'Data World'!$A$1:$AL$1,)))</f>
        <v/>
      </c>
      <c r="E17" s="13">
        <f>IF(VLOOKUP(B17,'Data World'!$A:$AL,MATCH(World!$E$1,'Data World'!$A$1:$AL$1,))=0,#N/A,VLOOKUP(B17,'Data World'!$A:$AL,MATCH(World!$E$1,'Data World'!$A$1:$AL$1,)))</f>
        <v/>
      </c>
      <c r="F17" s="13">
        <f>IF(VLOOKUP(B17,'Data World'!$A:$AL,MATCH(World!$F$1,'Data World'!$A$1:$AL$1,))=0,#N/A,VLOOKUP(B17,'Data World'!$A:$AL,MATCH(World!$F$1,'Data World'!$A$1:$AL$1,)))</f>
        <v/>
      </c>
      <c r="G17" s="13">
        <f>IF(VLOOKUP(B17,'Data World'!$A:$AL,MATCH(World!$G$1,'Data World'!$A$1:$AL$1,))=0,#N/A,VLOOKUP(B17,'Data World'!$A:$AL,MATCH(World!$G$1,'Data World'!$A$1:$AL$1,)))</f>
        <v/>
      </c>
      <c r="H17" s="13">
        <f>IF(VLOOKUP(B17,'Data World'!$A:$AL,MATCH(World!$H$1,'Data World'!$A$1:$AL$1,))=0,#N/A,VLOOKUP(B17,'Data World'!$A:$AL,MATCH(World!$H$1,'Data World'!$A$1:$AL$1,)))</f>
        <v/>
      </c>
      <c r="I17" s="13">
        <f>IF(VLOOKUP(B17,'Data World'!$A:$AL,MATCH(World!$I$1,'Data World'!$A$1:$AL$1,))=0,#N/A,VLOOKUP(B17,'Data World'!$A:$AL,MATCH(World!$I$1,'Data World'!$A$1:$AL$1,)))</f>
        <v/>
      </c>
      <c r="J17" s="13">
        <f>IF(VLOOKUP(B17,'Data World'!$A:$AL,MATCH(World!$J$1,'Data World'!$A$1:$AL$1,))=0,#N/A,VLOOKUP(B17,'Data World'!$A:$AL,MATCH(World!$J$1,'Data World'!$A$1:$AL$1,)))</f>
        <v/>
      </c>
      <c r="K17" s="13">
        <f>IF(VLOOKUP(B17,'Data World'!$A:$AL,MATCH(World!$K$1,'Data World'!$A$1:$AL$1,))=0,#N/A,VLOOKUP(B17,'Data World'!$A:$AL,MATCH(World!$K$1,'Data World'!$A$1:$AL$1,)))</f>
        <v/>
      </c>
      <c r="L17" s="13">
        <f>IF(VLOOKUP(B17,'Data World'!$A:$AL,MATCH(World!$L$1,'Data World'!$A$1:$AL$1,))=0,#N/A,VLOOKUP(B17,'Data World'!$A:$AL,MATCH(World!$L$1,'Data World'!$A$1:$AL$1,)))</f>
        <v/>
      </c>
      <c r="M17" s="13">
        <f>IF(VLOOKUP(B17,'Data World'!$A:$AL,MATCH(World!$M$1,'Data World'!$A$1:$AL$1,))=0,#N/A,VLOOKUP(B17,'Data World'!$A:$AL,MATCH(World!$M$1,'Data World'!$A$1:$AL$1,)))</f>
        <v/>
      </c>
      <c r="N17" s="13">
        <f>IF(VLOOKUP(B17,'Data World'!$A:$AL,MATCH(World!$N$1,'Data World'!$A$1:$AL$1,))=0,#N/A,VLOOKUP(B17,'Data World'!$A:$AL,MATCH(World!$N$1,'Data World'!$A$1:$AL$1,)))</f>
        <v/>
      </c>
      <c r="O17" s="13">
        <f>IF(VLOOKUP(B17,'Data World'!$A:$AL,MATCH(World!$O$1,'Data World'!$A$1:$AL$1,))=0,#N/A,VLOOKUP(B17,'Data World'!$A:$AL,MATCH(World!$O$1,'Data World'!$A$1:$AL$1,)))</f>
        <v/>
      </c>
      <c r="P17" s="13">
        <f>IF(VLOOKUP(B17,'Data World'!$A:$AL,MATCH(World!$P$1,'Data World'!$A$1:$AL$1,))=0,#N/A,VLOOKUP(B17,'Data World'!$A:$AL,MATCH(World!$P$1,'Data World'!$A$1:$AL$1,)))</f>
        <v/>
      </c>
      <c r="Q17" s="13">
        <f>IF(VLOOKUP(B17,'Data World'!$A:$AL,MATCH(World!$Q$1,'Data World'!$A$1:$AL$1,))=0,#N/A,VLOOKUP(B17,'Data World'!$A:$AL,MATCH(World!$Q$1,'Data World'!$A$1:$AL$1,)))</f>
        <v/>
      </c>
      <c r="R17" s="13">
        <f>IF(VLOOKUP(B17,'Data World'!$A:$AL,MATCH(World!$R$1,'Data World'!$A$1:$AL$1,))=0,#N/A,VLOOKUP(B17,'Data World'!$A:$AL,MATCH(World!$R$1,'Data World'!$A$1:$AL$1,)))</f>
        <v/>
      </c>
      <c r="S17" s="13">
        <f>IF(VLOOKUP(B17,'Data World'!$A:$AL,MATCH(World!$S$1,'Data World'!$A$1:$AL$1,))=0,#N/A,VLOOKUP(B17,'Data World'!$A:$AL,MATCH(World!$S$1,'Data World'!$A$1:$AL$1,)))</f>
        <v/>
      </c>
      <c r="T17" s="13">
        <f>IF(VLOOKUP(B17,'Data World'!$A:$AL,MATCH(World!$T$1,'Data World'!$A$1:$AL$1,))=0,#N/A,VLOOKUP(B17,'Data World'!$A:$AL,MATCH(World!$T$1,'Data World'!$A$1:$AL$1,)))</f>
        <v/>
      </c>
    </row>
    <row r="18">
      <c r="B18" s="12" t="n">
        <v>42490</v>
      </c>
      <c r="C18" s="13">
        <f>IF(VLOOKUP(B18,'Data World'!$A:$AL,MATCH(World!$C$1,'Data World'!$A$1:$AL$1,))=0,#N/A,VLOOKUP(B18,'Data World'!$A:$AL,MATCH(World!$C$1,'Data World'!$A$1:$AL$1,)))</f>
        <v/>
      </c>
      <c r="D18" s="13">
        <f>IF(VLOOKUP(B18,'Data World'!$A:$AL,MATCH(World!$D$1,'Data World'!$A$1:$AL$1,))=0,#N/A,VLOOKUP(B18,'Data World'!$A:$AL,MATCH(World!$D$1,'Data World'!$A$1:$AL$1,)))</f>
        <v/>
      </c>
      <c r="E18" s="13">
        <f>IF(VLOOKUP(B18,'Data World'!$A:$AL,MATCH(World!$E$1,'Data World'!$A$1:$AL$1,))=0,#N/A,VLOOKUP(B18,'Data World'!$A:$AL,MATCH(World!$E$1,'Data World'!$A$1:$AL$1,)))</f>
        <v/>
      </c>
      <c r="F18" s="13">
        <f>IF(VLOOKUP(B18,'Data World'!$A:$AL,MATCH(World!$F$1,'Data World'!$A$1:$AL$1,))=0,#N/A,VLOOKUP(B18,'Data World'!$A:$AL,MATCH(World!$F$1,'Data World'!$A$1:$AL$1,)))</f>
        <v/>
      </c>
      <c r="G18" s="13">
        <f>IF(VLOOKUP(B18,'Data World'!$A:$AL,MATCH(World!$G$1,'Data World'!$A$1:$AL$1,))=0,#N/A,VLOOKUP(B18,'Data World'!$A:$AL,MATCH(World!$G$1,'Data World'!$A$1:$AL$1,)))</f>
        <v/>
      </c>
      <c r="H18" s="13">
        <f>IF(VLOOKUP(B18,'Data World'!$A:$AL,MATCH(World!$H$1,'Data World'!$A$1:$AL$1,))=0,#N/A,VLOOKUP(B18,'Data World'!$A:$AL,MATCH(World!$H$1,'Data World'!$A$1:$AL$1,)))</f>
        <v/>
      </c>
      <c r="I18" s="13">
        <f>IF(VLOOKUP(B18,'Data World'!$A:$AL,MATCH(World!$I$1,'Data World'!$A$1:$AL$1,))=0,#N/A,VLOOKUP(B18,'Data World'!$A:$AL,MATCH(World!$I$1,'Data World'!$A$1:$AL$1,)))</f>
        <v/>
      </c>
      <c r="J18" s="13">
        <f>IF(VLOOKUP(B18,'Data World'!$A:$AL,MATCH(World!$J$1,'Data World'!$A$1:$AL$1,))=0,#N/A,VLOOKUP(B18,'Data World'!$A:$AL,MATCH(World!$J$1,'Data World'!$A$1:$AL$1,)))</f>
        <v/>
      </c>
      <c r="K18" s="13">
        <f>IF(VLOOKUP(B18,'Data World'!$A:$AL,MATCH(World!$K$1,'Data World'!$A$1:$AL$1,))=0,#N/A,VLOOKUP(B18,'Data World'!$A:$AL,MATCH(World!$K$1,'Data World'!$A$1:$AL$1,)))</f>
        <v/>
      </c>
      <c r="L18" s="13">
        <f>IF(VLOOKUP(B18,'Data World'!$A:$AL,MATCH(World!$L$1,'Data World'!$A$1:$AL$1,))=0,#N/A,VLOOKUP(B18,'Data World'!$A:$AL,MATCH(World!$L$1,'Data World'!$A$1:$AL$1,)))</f>
        <v/>
      </c>
      <c r="M18" s="13">
        <f>IF(VLOOKUP(B18,'Data World'!$A:$AL,MATCH(World!$M$1,'Data World'!$A$1:$AL$1,))=0,#N/A,VLOOKUP(B18,'Data World'!$A:$AL,MATCH(World!$M$1,'Data World'!$A$1:$AL$1,)))</f>
        <v/>
      </c>
      <c r="N18" s="13">
        <f>IF(VLOOKUP(B18,'Data World'!$A:$AL,MATCH(World!$N$1,'Data World'!$A$1:$AL$1,))=0,#N/A,VLOOKUP(B18,'Data World'!$A:$AL,MATCH(World!$N$1,'Data World'!$A$1:$AL$1,)))</f>
        <v/>
      </c>
      <c r="O18" s="13">
        <f>IF(VLOOKUP(B18,'Data World'!$A:$AL,MATCH(World!$O$1,'Data World'!$A$1:$AL$1,))=0,#N/A,VLOOKUP(B18,'Data World'!$A:$AL,MATCH(World!$O$1,'Data World'!$A$1:$AL$1,)))</f>
        <v/>
      </c>
      <c r="P18" s="13">
        <f>IF(VLOOKUP(B18,'Data World'!$A:$AL,MATCH(World!$P$1,'Data World'!$A$1:$AL$1,))=0,#N/A,VLOOKUP(B18,'Data World'!$A:$AL,MATCH(World!$P$1,'Data World'!$A$1:$AL$1,)))</f>
        <v/>
      </c>
      <c r="Q18" s="13">
        <f>IF(VLOOKUP(B18,'Data World'!$A:$AL,MATCH(World!$Q$1,'Data World'!$A$1:$AL$1,))=0,#N/A,VLOOKUP(B18,'Data World'!$A:$AL,MATCH(World!$Q$1,'Data World'!$A$1:$AL$1,)))</f>
        <v/>
      </c>
      <c r="R18" s="13">
        <f>IF(VLOOKUP(B18,'Data World'!$A:$AL,MATCH(World!$R$1,'Data World'!$A$1:$AL$1,))=0,#N/A,VLOOKUP(B18,'Data World'!$A:$AL,MATCH(World!$R$1,'Data World'!$A$1:$AL$1,)))</f>
        <v/>
      </c>
      <c r="S18" s="13">
        <f>IF(VLOOKUP(B18,'Data World'!$A:$AL,MATCH(World!$S$1,'Data World'!$A$1:$AL$1,))=0,#N/A,VLOOKUP(B18,'Data World'!$A:$AL,MATCH(World!$S$1,'Data World'!$A$1:$AL$1,)))</f>
        <v/>
      </c>
      <c r="T18" s="13">
        <f>IF(VLOOKUP(B18,'Data World'!$A:$AL,MATCH(World!$T$1,'Data World'!$A$1:$AL$1,))=0,#N/A,VLOOKUP(B18,'Data World'!$A:$AL,MATCH(World!$T$1,'Data World'!$A$1:$AL$1,)))</f>
        <v/>
      </c>
    </row>
    <row r="19">
      <c r="B19" s="12" t="n">
        <v>42521</v>
      </c>
      <c r="C19" s="13">
        <f>IF(VLOOKUP(B19,'Data World'!$A:$AL,MATCH(World!$C$1,'Data World'!$A$1:$AL$1,))=0,#N/A,VLOOKUP(B19,'Data World'!$A:$AL,MATCH(World!$C$1,'Data World'!$A$1:$AL$1,)))</f>
        <v/>
      </c>
      <c r="D19" s="13">
        <f>IF(VLOOKUP(B19,'Data World'!$A:$AL,MATCH(World!$D$1,'Data World'!$A$1:$AL$1,))=0,#N/A,VLOOKUP(B19,'Data World'!$A:$AL,MATCH(World!$D$1,'Data World'!$A$1:$AL$1,)))</f>
        <v/>
      </c>
      <c r="E19" s="13">
        <f>IF(VLOOKUP(B19,'Data World'!$A:$AL,MATCH(World!$E$1,'Data World'!$A$1:$AL$1,))=0,#N/A,VLOOKUP(B19,'Data World'!$A:$AL,MATCH(World!$E$1,'Data World'!$A$1:$AL$1,)))</f>
        <v/>
      </c>
      <c r="F19" s="13">
        <f>IF(VLOOKUP(B19,'Data World'!$A:$AL,MATCH(World!$F$1,'Data World'!$A$1:$AL$1,))=0,#N/A,VLOOKUP(B19,'Data World'!$A:$AL,MATCH(World!$F$1,'Data World'!$A$1:$AL$1,)))</f>
        <v/>
      </c>
      <c r="G19" s="13">
        <f>IF(VLOOKUP(B19,'Data World'!$A:$AL,MATCH(World!$G$1,'Data World'!$A$1:$AL$1,))=0,#N/A,VLOOKUP(B19,'Data World'!$A:$AL,MATCH(World!$G$1,'Data World'!$A$1:$AL$1,)))</f>
        <v/>
      </c>
      <c r="H19" s="13">
        <f>IF(VLOOKUP(B19,'Data World'!$A:$AL,MATCH(World!$H$1,'Data World'!$A$1:$AL$1,))=0,#N/A,VLOOKUP(B19,'Data World'!$A:$AL,MATCH(World!$H$1,'Data World'!$A$1:$AL$1,)))</f>
        <v/>
      </c>
      <c r="I19" s="13">
        <f>IF(VLOOKUP(B19,'Data World'!$A:$AL,MATCH(World!$I$1,'Data World'!$A$1:$AL$1,))=0,#N/A,VLOOKUP(B19,'Data World'!$A:$AL,MATCH(World!$I$1,'Data World'!$A$1:$AL$1,)))</f>
        <v/>
      </c>
      <c r="J19" s="13">
        <f>IF(VLOOKUP(B19,'Data World'!$A:$AL,MATCH(World!$J$1,'Data World'!$A$1:$AL$1,))=0,#N/A,VLOOKUP(B19,'Data World'!$A:$AL,MATCH(World!$J$1,'Data World'!$A$1:$AL$1,)))</f>
        <v/>
      </c>
      <c r="K19" s="13">
        <f>IF(VLOOKUP(B19,'Data World'!$A:$AL,MATCH(World!$K$1,'Data World'!$A$1:$AL$1,))=0,#N/A,VLOOKUP(B19,'Data World'!$A:$AL,MATCH(World!$K$1,'Data World'!$A$1:$AL$1,)))</f>
        <v/>
      </c>
      <c r="L19" s="13">
        <f>IF(VLOOKUP(B19,'Data World'!$A:$AL,MATCH(World!$L$1,'Data World'!$A$1:$AL$1,))=0,#N/A,VLOOKUP(B19,'Data World'!$A:$AL,MATCH(World!$L$1,'Data World'!$A$1:$AL$1,)))</f>
        <v/>
      </c>
      <c r="M19" s="13">
        <f>IF(VLOOKUP(B19,'Data World'!$A:$AL,MATCH(World!$M$1,'Data World'!$A$1:$AL$1,))=0,#N/A,VLOOKUP(B19,'Data World'!$A:$AL,MATCH(World!$M$1,'Data World'!$A$1:$AL$1,)))</f>
        <v/>
      </c>
      <c r="N19" s="13">
        <f>IF(VLOOKUP(B19,'Data World'!$A:$AL,MATCH(World!$N$1,'Data World'!$A$1:$AL$1,))=0,#N/A,VLOOKUP(B19,'Data World'!$A:$AL,MATCH(World!$N$1,'Data World'!$A$1:$AL$1,)))</f>
        <v/>
      </c>
      <c r="O19" s="13">
        <f>IF(VLOOKUP(B19,'Data World'!$A:$AL,MATCH(World!$O$1,'Data World'!$A$1:$AL$1,))=0,#N/A,VLOOKUP(B19,'Data World'!$A:$AL,MATCH(World!$O$1,'Data World'!$A$1:$AL$1,)))</f>
        <v/>
      </c>
      <c r="P19" s="13">
        <f>IF(VLOOKUP(B19,'Data World'!$A:$AL,MATCH(World!$P$1,'Data World'!$A$1:$AL$1,))=0,#N/A,VLOOKUP(B19,'Data World'!$A:$AL,MATCH(World!$P$1,'Data World'!$A$1:$AL$1,)))</f>
        <v/>
      </c>
      <c r="Q19" s="13">
        <f>IF(VLOOKUP(B19,'Data World'!$A:$AL,MATCH(World!$Q$1,'Data World'!$A$1:$AL$1,))=0,#N/A,VLOOKUP(B19,'Data World'!$A:$AL,MATCH(World!$Q$1,'Data World'!$A$1:$AL$1,)))</f>
        <v/>
      </c>
      <c r="R19" s="13">
        <f>IF(VLOOKUP(B19,'Data World'!$A:$AL,MATCH(World!$R$1,'Data World'!$A$1:$AL$1,))=0,#N/A,VLOOKUP(B19,'Data World'!$A:$AL,MATCH(World!$R$1,'Data World'!$A$1:$AL$1,)))</f>
        <v/>
      </c>
      <c r="S19" s="13">
        <f>IF(VLOOKUP(B19,'Data World'!$A:$AL,MATCH(World!$S$1,'Data World'!$A$1:$AL$1,))=0,#N/A,VLOOKUP(B19,'Data World'!$A:$AL,MATCH(World!$S$1,'Data World'!$A$1:$AL$1,)))</f>
        <v/>
      </c>
      <c r="T19" s="13">
        <f>IF(VLOOKUP(B19,'Data World'!$A:$AL,MATCH(World!$T$1,'Data World'!$A$1:$AL$1,))=0,#N/A,VLOOKUP(B19,'Data World'!$A:$AL,MATCH(World!$T$1,'Data World'!$A$1:$AL$1,)))</f>
        <v/>
      </c>
    </row>
    <row r="20">
      <c r="B20" s="12" t="n">
        <v>42551</v>
      </c>
      <c r="C20" s="13">
        <f>IF(VLOOKUP(B20,'Data World'!$A:$AL,MATCH(World!$C$1,'Data World'!$A$1:$AL$1,))=0,#N/A,VLOOKUP(B20,'Data World'!$A:$AL,MATCH(World!$C$1,'Data World'!$A$1:$AL$1,)))</f>
        <v/>
      </c>
      <c r="D20" s="13">
        <f>IF(VLOOKUP(B20,'Data World'!$A:$AL,MATCH(World!$D$1,'Data World'!$A$1:$AL$1,))=0,#N/A,VLOOKUP(B20,'Data World'!$A:$AL,MATCH(World!$D$1,'Data World'!$A$1:$AL$1,)))</f>
        <v/>
      </c>
      <c r="E20" s="13">
        <f>IF(VLOOKUP(B20,'Data World'!$A:$AL,MATCH(World!$E$1,'Data World'!$A$1:$AL$1,))=0,#N/A,VLOOKUP(B20,'Data World'!$A:$AL,MATCH(World!$E$1,'Data World'!$A$1:$AL$1,)))</f>
        <v/>
      </c>
      <c r="F20" s="13">
        <f>IF(VLOOKUP(B20,'Data World'!$A:$AL,MATCH(World!$F$1,'Data World'!$A$1:$AL$1,))=0,#N/A,VLOOKUP(B20,'Data World'!$A:$AL,MATCH(World!$F$1,'Data World'!$A$1:$AL$1,)))</f>
        <v/>
      </c>
      <c r="G20" s="13">
        <f>IF(VLOOKUP(B20,'Data World'!$A:$AL,MATCH(World!$G$1,'Data World'!$A$1:$AL$1,))=0,#N/A,VLOOKUP(B20,'Data World'!$A:$AL,MATCH(World!$G$1,'Data World'!$A$1:$AL$1,)))</f>
        <v/>
      </c>
      <c r="H20" s="13">
        <f>IF(VLOOKUP(B20,'Data World'!$A:$AL,MATCH(World!$H$1,'Data World'!$A$1:$AL$1,))=0,#N/A,VLOOKUP(B20,'Data World'!$A:$AL,MATCH(World!$H$1,'Data World'!$A$1:$AL$1,)))</f>
        <v/>
      </c>
      <c r="I20" s="13">
        <f>IF(VLOOKUP(B20,'Data World'!$A:$AL,MATCH(World!$I$1,'Data World'!$A$1:$AL$1,))=0,#N/A,VLOOKUP(B20,'Data World'!$A:$AL,MATCH(World!$I$1,'Data World'!$A$1:$AL$1,)))</f>
        <v/>
      </c>
      <c r="J20" s="13">
        <f>IF(VLOOKUP(B20,'Data World'!$A:$AL,MATCH(World!$J$1,'Data World'!$A$1:$AL$1,))=0,#N/A,VLOOKUP(B20,'Data World'!$A:$AL,MATCH(World!$J$1,'Data World'!$A$1:$AL$1,)))</f>
        <v/>
      </c>
      <c r="K20" s="13">
        <f>IF(VLOOKUP(B20,'Data World'!$A:$AL,MATCH(World!$K$1,'Data World'!$A$1:$AL$1,))=0,#N/A,VLOOKUP(B20,'Data World'!$A:$AL,MATCH(World!$K$1,'Data World'!$A$1:$AL$1,)))</f>
        <v/>
      </c>
      <c r="L20" s="13">
        <f>IF(VLOOKUP(B20,'Data World'!$A:$AL,MATCH(World!$L$1,'Data World'!$A$1:$AL$1,))=0,#N/A,VLOOKUP(B20,'Data World'!$A:$AL,MATCH(World!$L$1,'Data World'!$A$1:$AL$1,)))</f>
        <v/>
      </c>
      <c r="M20" s="13">
        <f>IF(VLOOKUP(B20,'Data World'!$A:$AL,MATCH(World!$M$1,'Data World'!$A$1:$AL$1,))=0,#N/A,VLOOKUP(B20,'Data World'!$A:$AL,MATCH(World!$M$1,'Data World'!$A$1:$AL$1,)))</f>
        <v/>
      </c>
      <c r="N20" s="13">
        <f>IF(VLOOKUP(B20,'Data World'!$A:$AL,MATCH(World!$N$1,'Data World'!$A$1:$AL$1,))=0,#N/A,VLOOKUP(B20,'Data World'!$A:$AL,MATCH(World!$N$1,'Data World'!$A$1:$AL$1,)))</f>
        <v/>
      </c>
      <c r="O20" s="13">
        <f>IF(VLOOKUP(B20,'Data World'!$A:$AL,MATCH(World!$O$1,'Data World'!$A$1:$AL$1,))=0,#N/A,VLOOKUP(B20,'Data World'!$A:$AL,MATCH(World!$O$1,'Data World'!$A$1:$AL$1,)))</f>
        <v/>
      </c>
      <c r="P20" s="13">
        <f>IF(VLOOKUP(B20,'Data World'!$A:$AL,MATCH(World!$P$1,'Data World'!$A$1:$AL$1,))=0,#N/A,VLOOKUP(B20,'Data World'!$A:$AL,MATCH(World!$P$1,'Data World'!$A$1:$AL$1,)))</f>
        <v/>
      </c>
      <c r="Q20" s="13">
        <f>IF(VLOOKUP(B20,'Data World'!$A:$AL,MATCH(World!$Q$1,'Data World'!$A$1:$AL$1,))=0,#N/A,VLOOKUP(B20,'Data World'!$A:$AL,MATCH(World!$Q$1,'Data World'!$A$1:$AL$1,)))</f>
        <v/>
      </c>
      <c r="R20" s="13">
        <f>IF(VLOOKUP(B20,'Data World'!$A:$AL,MATCH(World!$R$1,'Data World'!$A$1:$AL$1,))=0,#N/A,VLOOKUP(B20,'Data World'!$A:$AL,MATCH(World!$R$1,'Data World'!$A$1:$AL$1,)))</f>
        <v/>
      </c>
      <c r="S20" s="13">
        <f>IF(VLOOKUP(B20,'Data World'!$A:$AL,MATCH(World!$S$1,'Data World'!$A$1:$AL$1,))=0,#N/A,VLOOKUP(B20,'Data World'!$A:$AL,MATCH(World!$S$1,'Data World'!$A$1:$AL$1,)))</f>
        <v/>
      </c>
      <c r="T20" s="13">
        <f>IF(VLOOKUP(B20,'Data World'!$A:$AL,MATCH(World!$T$1,'Data World'!$A$1:$AL$1,))=0,#N/A,VLOOKUP(B20,'Data World'!$A:$AL,MATCH(World!$T$1,'Data World'!$A$1:$AL$1,)))</f>
        <v/>
      </c>
    </row>
    <row r="21">
      <c r="B21" s="12" t="n">
        <v>42582</v>
      </c>
      <c r="C21" s="13">
        <f>IF(VLOOKUP(B21,'Data World'!$A:$AL,MATCH(World!$C$1,'Data World'!$A$1:$AL$1,))=0,#N/A,VLOOKUP(B21,'Data World'!$A:$AL,MATCH(World!$C$1,'Data World'!$A$1:$AL$1,)))</f>
        <v/>
      </c>
      <c r="D21" s="13">
        <f>IF(VLOOKUP(B21,'Data World'!$A:$AL,MATCH(World!$D$1,'Data World'!$A$1:$AL$1,))=0,#N/A,VLOOKUP(B21,'Data World'!$A:$AL,MATCH(World!$D$1,'Data World'!$A$1:$AL$1,)))</f>
        <v/>
      </c>
      <c r="E21" s="13">
        <f>IF(VLOOKUP(B21,'Data World'!$A:$AL,MATCH(World!$E$1,'Data World'!$A$1:$AL$1,))=0,#N/A,VLOOKUP(B21,'Data World'!$A:$AL,MATCH(World!$E$1,'Data World'!$A$1:$AL$1,)))</f>
        <v/>
      </c>
      <c r="F21" s="13">
        <f>IF(VLOOKUP(B21,'Data World'!$A:$AL,MATCH(World!$F$1,'Data World'!$A$1:$AL$1,))=0,#N/A,VLOOKUP(B21,'Data World'!$A:$AL,MATCH(World!$F$1,'Data World'!$A$1:$AL$1,)))</f>
        <v/>
      </c>
      <c r="G21" s="13">
        <f>IF(VLOOKUP(B21,'Data World'!$A:$AL,MATCH(World!$G$1,'Data World'!$A$1:$AL$1,))=0,#N/A,VLOOKUP(B21,'Data World'!$A:$AL,MATCH(World!$G$1,'Data World'!$A$1:$AL$1,)))</f>
        <v/>
      </c>
      <c r="H21" s="13">
        <f>IF(VLOOKUP(B21,'Data World'!$A:$AL,MATCH(World!$H$1,'Data World'!$A$1:$AL$1,))=0,#N/A,VLOOKUP(B21,'Data World'!$A:$AL,MATCH(World!$H$1,'Data World'!$A$1:$AL$1,)))</f>
        <v/>
      </c>
      <c r="I21" s="13">
        <f>IF(VLOOKUP(B21,'Data World'!$A:$AL,MATCH(World!$I$1,'Data World'!$A$1:$AL$1,))=0,#N/A,VLOOKUP(B21,'Data World'!$A:$AL,MATCH(World!$I$1,'Data World'!$A$1:$AL$1,)))</f>
        <v/>
      </c>
      <c r="J21" s="13">
        <f>IF(VLOOKUP(B21,'Data World'!$A:$AL,MATCH(World!$J$1,'Data World'!$A$1:$AL$1,))=0,#N/A,VLOOKUP(B21,'Data World'!$A:$AL,MATCH(World!$J$1,'Data World'!$A$1:$AL$1,)))</f>
        <v/>
      </c>
      <c r="K21" s="13">
        <f>IF(VLOOKUP(B21,'Data World'!$A:$AL,MATCH(World!$K$1,'Data World'!$A$1:$AL$1,))=0,#N/A,VLOOKUP(B21,'Data World'!$A:$AL,MATCH(World!$K$1,'Data World'!$A$1:$AL$1,)))</f>
        <v/>
      </c>
      <c r="L21" s="13">
        <f>IF(VLOOKUP(B21,'Data World'!$A:$AL,MATCH(World!$L$1,'Data World'!$A$1:$AL$1,))=0,#N/A,VLOOKUP(B21,'Data World'!$A:$AL,MATCH(World!$L$1,'Data World'!$A$1:$AL$1,)))</f>
        <v/>
      </c>
      <c r="M21" s="13">
        <f>IF(VLOOKUP(B21,'Data World'!$A:$AL,MATCH(World!$M$1,'Data World'!$A$1:$AL$1,))=0,#N/A,VLOOKUP(B21,'Data World'!$A:$AL,MATCH(World!$M$1,'Data World'!$A$1:$AL$1,)))</f>
        <v/>
      </c>
      <c r="N21" s="13">
        <f>IF(VLOOKUP(B21,'Data World'!$A:$AL,MATCH(World!$N$1,'Data World'!$A$1:$AL$1,))=0,#N/A,VLOOKUP(B21,'Data World'!$A:$AL,MATCH(World!$N$1,'Data World'!$A$1:$AL$1,)))</f>
        <v/>
      </c>
      <c r="O21" s="13">
        <f>IF(VLOOKUP(B21,'Data World'!$A:$AL,MATCH(World!$O$1,'Data World'!$A$1:$AL$1,))=0,#N/A,VLOOKUP(B21,'Data World'!$A:$AL,MATCH(World!$O$1,'Data World'!$A$1:$AL$1,)))</f>
        <v/>
      </c>
      <c r="P21" s="13">
        <f>IF(VLOOKUP(B21,'Data World'!$A:$AL,MATCH(World!$P$1,'Data World'!$A$1:$AL$1,))=0,#N/A,VLOOKUP(B21,'Data World'!$A:$AL,MATCH(World!$P$1,'Data World'!$A$1:$AL$1,)))</f>
        <v/>
      </c>
      <c r="Q21" s="13">
        <f>IF(VLOOKUP(B21,'Data World'!$A:$AL,MATCH(World!$Q$1,'Data World'!$A$1:$AL$1,))=0,#N/A,VLOOKUP(B21,'Data World'!$A:$AL,MATCH(World!$Q$1,'Data World'!$A$1:$AL$1,)))</f>
        <v/>
      </c>
      <c r="R21" s="13">
        <f>IF(VLOOKUP(B21,'Data World'!$A:$AL,MATCH(World!$R$1,'Data World'!$A$1:$AL$1,))=0,#N/A,VLOOKUP(B21,'Data World'!$A:$AL,MATCH(World!$R$1,'Data World'!$A$1:$AL$1,)))</f>
        <v/>
      </c>
      <c r="S21" s="13">
        <f>IF(VLOOKUP(B21,'Data World'!$A:$AL,MATCH(World!$S$1,'Data World'!$A$1:$AL$1,))=0,#N/A,VLOOKUP(B21,'Data World'!$A:$AL,MATCH(World!$S$1,'Data World'!$A$1:$AL$1,)))</f>
        <v/>
      </c>
      <c r="T21" s="13">
        <f>IF(VLOOKUP(B21,'Data World'!$A:$AL,MATCH(World!$T$1,'Data World'!$A$1:$AL$1,))=0,#N/A,VLOOKUP(B21,'Data World'!$A:$AL,MATCH(World!$T$1,'Data World'!$A$1:$AL$1,)))</f>
        <v/>
      </c>
    </row>
    <row r="22">
      <c r="B22" s="12" t="n">
        <v>42613</v>
      </c>
      <c r="C22" s="13">
        <f>IF(VLOOKUP(B22,'Data World'!$A:$AL,MATCH(World!$C$1,'Data World'!$A$1:$AL$1,))=0,#N/A,VLOOKUP(B22,'Data World'!$A:$AL,MATCH(World!$C$1,'Data World'!$A$1:$AL$1,)))</f>
        <v/>
      </c>
      <c r="D22" s="13">
        <f>IF(VLOOKUP(B22,'Data World'!$A:$AL,MATCH(World!$D$1,'Data World'!$A$1:$AL$1,))=0,#N/A,VLOOKUP(B22,'Data World'!$A:$AL,MATCH(World!$D$1,'Data World'!$A$1:$AL$1,)))</f>
        <v/>
      </c>
      <c r="E22" s="13">
        <f>IF(VLOOKUP(B22,'Data World'!$A:$AL,MATCH(World!$E$1,'Data World'!$A$1:$AL$1,))=0,#N/A,VLOOKUP(B22,'Data World'!$A:$AL,MATCH(World!$E$1,'Data World'!$A$1:$AL$1,)))</f>
        <v/>
      </c>
      <c r="F22" s="13">
        <f>IF(VLOOKUP(B22,'Data World'!$A:$AL,MATCH(World!$F$1,'Data World'!$A$1:$AL$1,))=0,#N/A,VLOOKUP(B22,'Data World'!$A:$AL,MATCH(World!$F$1,'Data World'!$A$1:$AL$1,)))</f>
        <v/>
      </c>
      <c r="G22" s="13">
        <f>IF(VLOOKUP(B22,'Data World'!$A:$AL,MATCH(World!$G$1,'Data World'!$A$1:$AL$1,))=0,#N/A,VLOOKUP(B22,'Data World'!$A:$AL,MATCH(World!$G$1,'Data World'!$A$1:$AL$1,)))</f>
        <v/>
      </c>
      <c r="H22" s="13">
        <f>IF(VLOOKUP(B22,'Data World'!$A:$AL,MATCH(World!$H$1,'Data World'!$A$1:$AL$1,))=0,#N/A,VLOOKUP(B22,'Data World'!$A:$AL,MATCH(World!$H$1,'Data World'!$A$1:$AL$1,)))</f>
        <v/>
      </c>
      <c r="I22" s="13">
        <f>IF(VLOOKUP(B22,'Data World'!$A:$AL,MATCH(World!$I$1,'Data World'!$A$1:$AL$1,))=0,#N/A,VLOOKUP(B22,'Data World'!$A:$AL,MATCH(World!$I$1,'Data World'!$A$1:$AL$1,)))</f>
        <v/>
      </c>
      <c r="J22" s="13">
        <f>IF(VLOOKUP(B22,'Data World'!$A:$AL,MATCH(World!$J$1,'Data World'!$A$1:$AL$1,))=0,#N/A,VLOOKUP(B22,'Data World'!$A:$AL,MATCH(World!$J$1,'Data World'!$A$1:$AL$1,)))</f>
        <v/>
      </c>
      <c r="K22" s="13">
        <f>IF(VLOOKUP(B22,'Data World'!$A:$AL,MATCH(World!$K$1,'Data World'!$A$1:$AL$1,))=0,#N/A,VLOOKUP(B22,'Data World'!$A:$AL,MATCH(World!$K$1,'Data World'!$A$1:$AL$1,)))</f>
        <v/>
      </c>
      <c r="L22" s="13">
        <f>IF(VLOOKUP(B22,'Data World'!$A:$AL,MATCH(World!$L$1,'Data World'!$A$1:$AL$1,))=0,#N/A,VLOOKUP(B22,'Data World'!$A:$AL,MATCH(World!$L$1,'Data World'!$A$1:$AL$1,)))</f>
        <v/>
      </c>
      <c r="M22" s="13">
        <f>IF(VLOOKUP(B22,'Data World'!$A:$AL,MATCH(World!$M$1,'Data World'!$A$1:$AL$1,))=0,#N/A,VLOOKUP(B22,'Data World'!$A:$AL,MATCH(World!$M$1,'Data World'!$A$1:$AL$1,)))</f>
        <v/>
      </c>
      <c r="N22" s="13">
        <f>IF(VLOOKUP(B22,'Data World'!$A:$AL,MATCH(World!$N$1,'Data World'!$A$1:$AL$1,))=0,#N/A,VLOOKUP(B22,'Data World'!$A:$AL,MATCH(World!$N$1,'Data World'!$A$1:$AL$1,)))</f>
        <v/>
      </c>
      <c r="O22" s="13">
        <f>IF(VLOOKUP(B22,'Data World'!$A:$AL,MATCH(World!$O$1,'Data World'!$A$1:$AL$1,))=0,#N/A,VLOOKUP(B22,'Data World'!$A:$AL,MATCH(World!$O$1,'Data World'!$A$1:$AL$1,)))</f>
        <v/>
      </c>
      <c r="P22" s="13">
        <f>IF(VLOOKUP(B22,'Data World'!$A:$AL,MATCH(World!$P$1,'Data World'!$A$1:$AL$1,))=0,#N/A,VLOOKUP(B22,'Data World'!$A:$AL,MATCH(World!$P$1,'Data World'!$A$1:$AL$1,)))</f>
        <v/>
      </c>
      <c r="Q22" s="13">
        <f>IF(VLOOKUP(B22,'Data World'!$A:$AL,MATCH(World!$Q$1,'Data World'!$A$1:$AL$1,))=0,#N/A,VLOOKUP(B22,'Data World'!$A:$AL,MATCH(World!$Q$1,'Data World'!$A$1:$AL$1,)))</f>
        <v/>
      </c>
      <c r="R22" s="13">
        <f>IF(VLOOKUP(B22,'Data World'!$A:$AL,MATCH(World!$R$1,'Data World'!$A$1:$AL$1,))=0,#N/A,VLOOKUP(B22,'Data World'!$A:$AL,MATCH(World!$R$1,'Data World'!$A$1:$AL$1,)))</f>
        <v/>
      </c>
      <c r="S22" s="13">
        <f>IF(VLOOKUP(B22,'Data World'!$A:$AL,MATCH(World!$S$1,'Data World'!$A$1:$AL$1,))=0,#N/A,VLOOKUP(B22,'Data World'!$A:$AL,MATCH(World!$S$1,'Data World'!$A$1:$AL$1,)))</f>
        <v/>
      </c>
      <c r="T22" s="13">
        <f>IF(VLOOKUP(B22,'Data World'!$A:$AL,MATCH(World!$T$1,'Data World'!$A$1:$AL$1,))=0,#N/A,VLOOKUP(B22,'Data World'!$A:$AL,MATCH(World!$T$1,'Data World'!$A$1:$AL$1,)))</f>
        <v/>
      </c>
    </row>
    <row r="23">
      <c r="B23" s="12" t="n">
        <v>42643</v>
      </c>
      <c r="C23" s="13">
        <f>IF(VLOOKUP(B23,'Data World'!$A:$AL,MATCH(World!$C$1,'Data World'!$A$1:$AL$1,))=0,#N/A,VLOOKUP(B23,'Data World'!$A:$AL,MATCH(World!$C$1,'Data World'!$A$1:$AL$1,)))</f>
        <v/>
      </c>
      <c r="D23" s="13">
        <f>IF(VLOOKUP(B23,'Data World'!$A:$AL,MATCH(World!$D$1,'Data World'!$A$1:$AL$1,))=0,#N/A,VLOOKUP(B23,'Data World'!$A:$AL,MATCH(World!$D$1,'Data World'!$A$1:$AL$1,)))</f>
        <v/>
      </c>
      <c r="E23" s="13">
        <f>IF(VLOOKUP(B23,'Data World'!$A:$AL,MATCH(World!$E$1,'Data World'!$A$1:$AL$1,))=0,#N/A,VLOOKUP(B23,'Data World'!$A:$AL,MATCH(World!$E$1,'Data World'!$A$1:$AL$1,)))</f>
        <v/>
      </c>
      <c r="F23" s="13">
        <f>IF(VLOOKUP(B23,'Data World'!$A:$AL,MATCH(World!$F$1,'Data World'!$A$1:$AL$1,))=0,#N/A,VLOOKUP(B23,'Data World'!$A:$AL,MATCH(World!$F$1,'Data World'!$A$1:$AL$1,)))</f>
        <v/>
      </c>
      <c r="G23" s="13">
        <f>IF(VLOOKUP(B23,'Data World'!$A:$AL,MATCH(World!$G$1,'Data World'!$A$1:$AL$1,))=0,#N/A,VLOOKUP(B23,'Data World'!$A:$AL,MATCH(World!$G$1,'Data World'!$A$1:$AL$1,)))</f>
        <v/>
      </c>
      <c r="H23" s="13">
        <f>IF(VLOOKUP(B23,'Data World'!$A:$AL,MATCH(World!$H$1,'Data World'!$A$1:$AL$1,))=0,#N/A,VLOOKUP(B23,'Data World'!$A:$AL,MATCH(World!$H$1,'Data World'!$A$1:$AL$1,)))</f>
        <v/>
      </c>
      <c r="I23" s="13">
        <f>IF(VLOOKUP(B23,'Data World'!$A:$AL,MATCH(World!$I$1,'Data World'!$A$1:$AL$1,))=0,#N/A,VLOOKUP(B23,'Data World'!$A:$AL,MATCH(World!$I$1,'Data World'!$A$1:$AL$1,)))</f>
        <v/>
      </c>
      <c r="J23" s="13">
        <f>IF(VLOOKUP(B23,'Data World'!$A:$AL,MATCH(World!$J$1,'Data World'!$A$1:$AL$1,))=0,#N/A,VLOOKUP(B23,'Data World'!$A:$AL,MATCH(World!$J$1,'Data World'!$A$1:$AL$1,)))</f>
        <v/>
      </c>
      <c r="K23" s="13">
        <f>IF(VLOOKUP(B23,'Data World'!$A:$AL,MATCH(World!$K$1,'Data World'!$A$1:$AL$1,))=0,#N/A,VLOOKUP(B23,'Data World'!$A:$AL,MATCH(World!$K$1,'Data World'!$A$1:$AL$1,)))</f>
        <v/>
      </c>
      <c r="L23" s="13">
        <f>IF(VLOOKUP(B23,'Data World'!$A:$AL,MATCH(World!$L$1,'Data World'!$A$1:$AL$1,))=0,#N/A,VLOOKUP(B23,'Data World'!$A:$AL,MATCH(World!$L$1,'Data World'!$A$1:$AL$1,)))</f>
        <v/>
      </c>
      <c r="M23" s="13">
        <f>IF(VLOOKUP(B23,'Data World'!$A:$AL,MATCH(World!$M$1,'Data World'!$A$1:$AL$1,))=0,#N/A,VLOOKUP(B23,'Data World'!$A:$AL,MATCH(World!$M$1,'Data World'!$A$1:$AL$1,)))</f>
        <v/>
      </c>
      <c r="N23" s="13">
        <f>IF(VLOOKUP(B23,'Data World'!$A:$AL,MATCH(World!$N$1,'Data World'!$A$1:$AL$1,))=0,#N/A,VLOOKUP(B23,'Data World'!$A:$AL,MATCH(World!$N$1,'Data World'!$A$1:$AL$1,)))</f>
        <v/>
      </c>
      <c r="O23" s="13">
        <f>IF(VLOOKUP(B23,'Data World'!$A:$AL,MATCH(World!$O$1,'Data World'!$A$1:$AL$1,))=0,#N/A,VLOOKUP(B23,'Data World'!$A:$AL,MATCH(World!$O$1,'Data World'!$A$1:$AL$1,)))</f>
        <v/>
      </c>
      <c r="P23" s="13">
        <f>IF(VLOOKUP(B23,'Data World'!$A:$AL,MATCH(World!$P$1,'Data World'!$A$1:$AL$1,))=0,#N/A,VLOOKUP(B23,'Data World'!$A:$AL,MATCH(World!$P$1,'Data World'!$A$1:$AL$1,)))</f>
        <v/>
      </c>
      <c r="Q23" s="13">
        <f>IF(VLOOKUP(B23,'Data World'!$A:$AL,MATCH(World!$Q$1,'Data World'!$A$1:$AL$1,))=0,#N/A,VLOOKUP(B23,'Data World'!$A:$AL,MATCH(World!$Q$1,'Data World'!$A$1:$AL$1,)))</f>
        <v/>
      </c>
      <c r="R23" s="13">
        <f>IF(VLOOKUP(B23,'Data World'!$A:$AL,MATCH(World!$R$1,'Data World'!$A$1:$AL$1,))=0,#N/A,VLOOKUP(B23,'Data World'!$A:$AL,MATCH(World!$R$1,'Data World'!$A$1:$AL$1,)))</f>
        <v/>
      </c>
      <c r="S23" s="13">
        <f>IF(VLOOKUP(B23,'Data World'!$A:$AL,MATCH(World!$S$1,'Data World'!$A$1:$AL$1,))=0,#N/A,VLOOKUP(B23,'Data World'!$A:$AL,MATCH(World!$S$1,'Data World'!$A$1:$AL$1,)))</f>
        <v/>
      </c>
      <c r="T23" s="13">
        <f>IF(VLOOKUP(B23,'Data World'!$A:$AL,MATCH(World!$T$1,'Data World'!$A$1:$AL$1,))=0,#N/A,VLOOKUP(B23,'Data World'!$A:$AL,MATCH(World!$T$1,'Data World'!$A$1:$AL$1,)))</f>
        <v/>
      </c>
    </row>
    <row r="24">
      <c r="B24" s="12" t="n">
        <v>42674</v>
      </c>
      <c r="C24" s="13">
        <f>IF(VLOOKUP(B24,'Data World'!$A:$AL,MATCH(World!$C$1,'Data World'!$A$1:$AL$1,))=0,#N/A,VLOOKUP(B24,'Data World'!$A:$AL,MATCH(World!$C$1,'Data World'!$A$1:$AL$1,)))</f>
        <v/>
      </c>
      <c r="D24" s="13">
        <f>IF(VLOOKUP(B24,'Data World'!$A:$AL,MATCH(World!$D$1,'Data World'!$A$1:$AL$1,))=0,#N/A,VLOOKUP(B24,'Data World'!$A:$AL,MATCH(World!$D$1,'Data World'!$A$1:$AL$1,)))</f>
        <v/>
      </c>
      <c r="E24" s="13">
        <f>IF(VLOOKUP(B24,'Data World'!$A:$AL,MATCH(World!$E$1,'Data World'!$A$1:$AL$1,))=0,#N/A,VLOOKUP(B24,'Data World'!$A:$AL,MATCH(World!$E$1,'Data World'!$A$1:$AL$1,)))</f>
        <v/>
      </c>
      <c r="F24" s="13">
        <f>IF(VLOOKUP(B24,'Data World'!$A:$AL,MATCH(World!$F$1,'Data World'!$A$1:$AL$1,))=0,#N/A,VLOOKUP(B24,'Data World'!$A:$AL,MATCH(World!$F$1,'Data World'!$A$1:$AL$1,)))</f>
        <v/>
      </c>
      <c r="G24" s="13">
        <f>IF(VLOOKUP(B24,'Data World'!$A:$AL,MATCH(World!$G$1,'Data World'!$A$1:$AL$1,))=0,#N/A,VLOOKUP(B24,'Data World'!$A:$AL,MATCH(World!$G$1,'Data World'!$A$1:$AL$1,)))</f>
        <v/>
      </c>
      <c r="H24" s="13">
        <f>IF(VLOOKUP(B24,'Data World'!$A:$AL,MATCH(World!$H$1,'Data World'!$A$1:$AL$1,))=0,#N/A,VLOOKUP(B24,'Data World'!$A:$AL,MATCH(World!$H$1,'Data World'!$A$1:$AL$1,)))</f>
        <v/>
      </c>
      <c r="I24" s="13">
        <f>IF(VLOOKUP(B24,'Data World'!$A:$AL,MATCH(World!$I$1,'Data World'!$A$1:$AL$1,))=0,#N/A,VLOOKUP(B24,'Data World'!$A:$AL,MATCH(World!$I$1,'Data World'!$A$1:$AL$1,)))</f>
        <v/>
      </c>
      <c r="J24" s="13">
        <f>IF(VLOOKUP(B24,'Data World'!$A:$AL,MATCH(World!$J$1,'Data World'!$A$1:$AL$1,))=0,#N/A,VLOOKUP(B24,'Data World'!$A:$AL,MATCH(World!$J$1,'Data World'!$A$1:$AL$1,)))</f>
        <v/>
      </c>
      <c r="K24" s="13">
        <f>IF(VLOOKUP(B24,'Data World'!$A:$AL,MATCH(World!$K$1,'Data World'!$A$1:$AL$1,))=0,#N/A,VLOOKUP(B24,'Data World'!$A:$AL,MATCH(World!$K$1,'Data World'!$A$1:$AL$1,)))</f>
        <v/>
      </c>
      <c r="L24" s="13">
        <f>IF(VLOOKUP(B24,'Data World'!$A:$AL,MATCH(World!$L$1,'Data World'!$A$1:$AL$1,))=0,#N/A,VLOOKUP(B24,'Data World'!$A:$AL,MATCH(World!$L$1,'Data World'!$A$1:$AL$1,)))</f>
        <v/>
      </c>
      <c r="M24" s="13">
        <f>IF(VLOOKUP(B24,'Data World'!$A:$AL,MATCH(World!$M$1,'Data World'!$A$1:$AL$1,))=0,#N/A,VLOOKUP(B24,'Data World'!$A:$AL,MATCH(World!$M$1,'Data World'!$A$1:$AL$1,)))</f>
        <v/>
      </c>
      <c r="N24" s="13">
        <f>IF(VLOOKUP(B24,'Data World'!$A:$AL,MATCH(World!$N$1,'Data World'!$A$1:$AL$1,))=0,#N/A,VLOOKUP(B24,'Data World'!$A:$AL,MATCH(World!$N$1,'Data World'!$A$1:$AL$1,)))</f>
        <v/>
      </c>
      <c r="O24" s="13">
        <f>IF(VLOOKUP(B24,'Data World'!$A:$AL,MATCH(World!$O$1,'Data World'!$A$1:$AL$1,))=0,#N/A,VLOOKUP(B24,'Data World'!$A:$AL,MATCH(World!$O$1,'Data World'!$A$1:$AL$1,)))</f>
        <v/>
      </c>
      <c r="P24" s="13">
        <f>IF(VLOOKUP(B24,'Data World'!$A:$AL,MATCH(World!$P$1,'Data World'!$A$1:$AL$1,))=0,#N/A,VLOOKUP(B24,'Data World'!$A:$AL,MATCH(World!$P$1,'Data World'!$A$1:$AL$1,)))</f>
        <v/>
      </c>
      <c r="Q24" s="13">
        <f>IF(VLOOKUP(B24,'Data World'!$A:$AL,MATCH(World!$Q$1,'Data World'!$A$1:$AL$1,))=0,#N/A,VLOOKUP(B24,'Data World'!$A:$AL,MATCH(World!$Q$1,'Data World'!$A$1:$AL$1,)))</f>
        <v/>
      </c>
      <c r="R24" s="13">
        <f>IF(VLOOKUP(B24,'Data World'!$A:$AL,MATCH(World!$R$1,'Data World'!$A$1:$AL$1,))=0,#N/A,VLOOKUP(B24,'Data World'!$A:$AL,MATCH(World!$R$1,'Data World'!$A$1:$AL$1,)))</f>
        <v/>
      </c>
      <c r="S24" s="13">
        <f>IF(VLOOKUP(B24,'Data World'!$A:$AL,MATCH(World!$S$1,'Data World'!$A$1:$AL$1,))=0,#N/A,VLOOKUP(B24,'Data World'!$A:$AL,MATCH(World!$S$1,'Data World'!$A$1:$AL$1,)))</f>
        <v/>
      </c>
      <c r="T24" s="13">
        <f>IF(VLOOKUP(B24,'Data World'!$A:$AL,MATCH(World!$T$1,'Data World'!$A$1:$AL$1,))=0,#N/A,VLOOKUP(B24,'Data World'!$A:$AL,MATCH(World!$T$1,'Data World'!$A$1:$AL$1,)))</f>
        <v/>
      </c>
    </row>
    <row r="25">
      <c r="B25" s="12" t="n">
        <v>42704</v>
      </c>
      <c r="C25" s="13">
        <f>IF(VLOOKUP(B25,'Data World'!$A:$AL,MATCH(World!$C$1,'Data World'!$A$1:$AL$1,))=0,#N/A,VLOOKUP(B25,'Data World'!$A:$AL,MATCH(World!$C$1,'Data World'!$A$1:$AL$1,)))</f>
        <v/>
      </c>
      <c r="D25" s="13">
        <f>IF(VLOOKUP(B25,'Data World'!$A:$AL,MATCH(World!$D$1,'Data World'!$A$1:$AL$1,))=0,#N/A,VLOOKUP(B25,'Data World'!$A:$AL,MATCH(World!$D$1,'Data World'!$A$1:$AL$1,)))</f>
        <v/>
      </c>
      <c r="E25" s="13">
        <f>IF(VLOOKUP(B25,'Data World'!$A:$AL,MATCH(World!$E$1,'Data World'!$A$1:$AL$1,))=0,#N/A,VLOOKUP(B25,'Data World'!$A:$AL,MATCH(World!$E$1,'Data World'!$A$1:$AL$1,)))</f>
        <v/>
      </c>
      <c r="F25" s="13">
        <f>IF(VLOOKUP(B25,'Data World'!$A:$AL,MATCH(World!$F$1,'Data World'!$A$1:$AL$1,))=0,#N/A,VLOOKUP(B25,'Data World'!$A:$AL,MATCH(World!$F$1,'Data World'!$A$1:$AL$1,)))</f>
        <v/>
      </c>
      <c r="G25" s="13">
        <f>IF(VLOOKUP(B25,'Data World'!$A:$AL,MATCH(World!$G$1,'Data World'!$A$1:$AL$1,))=0,#N/A,VLOOKUP(B25,'Data World'!$A:$AL,MATCH(World!$G$1,'Data World'!$A$1:$AL$1,)))</f>
        <v/>
      </c>
      <c r="H25" s="13">
        <f>IF(VLOOKUP(B25,'Data World'!$A:$AL,MATCH(World!$H$1,'Data World'!$A$1:$AL$1,))=0,#N/A,VLOOKUP(B25,'Data World'!$A:$AL,MATCH(World!$H$1,'Data World'!$A$1:$AL$1,)))</f>
        <v/>
      </c>
      <c r="I25" s="13">
        <f>IF(VLOOKUP(B25,'Data World'!$A:$AL,MATCH(World!$I$1,'Data World'!$A$1:$AL$1,))=0,#N/A,VLOOKUP(B25,'Data World'!$A:$AL,MATCH(World!$I$1,'Data World'!$A$1:$AL$1,)))</f>
        <v/>
      </c>
      <c r="J25" s="13">
        <f>IF(VLOOKUP(B25,'Data World'!$A:$AL,MATCH(World!$J$1,'Data World'!$A$1:$AL$1,))=0,#N/A,VLOOKUP(B25,'Data World'!$A:$AL,MATCH(World!$J$1,'Data World'!$A$1:$AL$1,)))</f>
        <v/>
      </c>
      <c r="K25" s="13">
        <f>IF(VLOOKUP(B25,'Data World'!$A:$AL,MATCH(World!$K$1,'Data World'!$A$1:$AL$1,))=0,#N/A,VLOOKUP(B25,'Data World'!$A:$AL,MATCH(World!$K$1,'Data World'!$A$1:$AL$1,)))</f>
        <v/>
      </c>
      <c r="L25" s="13">
        <f>IF(VLOOKUP(B25,'Data World'!$A:$AL,MATCH(World!$L$1,'Data World'!$A$1:$AL$1,))=0,#N/A,VLOOKUP(B25,'Data World'!$A:$AL,MATCH(World!$L$1,'Data World'!$A$1:$AL$1,)))</f>
        <v/>
      </c>
      <c r="M25" s="13">
        <f>IF(VLOOKUP(B25,'Data World'!$A:$AL,MATCH(World!$M$1,'Data World'!$A$1:$AL$1,))=0,#N/A,VLOOKUP(B25,'Data World'!$A:$AL,MATCH(World!$M$1,'Data World'!$A$1:$AL$1,)))</f>
        <v/>
      </c>
      <c r="N25" s="13">
        <f>IF(VLOOKUP(B25,'Data World'!$A:$AL,MATCH(World!$N$1,'Data World'!$A$1:$AL$1,))=0,#N/A,VLOOKUP(B25,'Data World'!$A:$AL,MATCH(World!$N$1,'Data World'!$A$1:$AL$1,)))</f>
        <v/>
      </c>
      <c r="O25" s="13">
        <f>IF(VLOOKUP(B25,'Data World'!$A:$AL,MATCH(World!$O$1,'Data World'!$A$1:$AL$1,))=0,#N/A,VLOOKUP(B25,'Data World'!$A:$AL,MATCH(World!$O$1,'Data World'!$A$1:$AL$1,)))</f>
        <v/>
      </c>
      <c r="P25" s="13">
        <f>IF(VLOOKUP(B25,'Data World'!$A:$AL,MATCH(World!$P$1,'Data World'!$A$1:$AL$1,))=0,#N/A,VLOOKUP(B25,'Data World'!$A:$AL,MATCH(World!$P$1,'Data World'!$A$1:$AL$1,)))</f>
        <v/>
      </c>
      <c r="Q25" s="13">
        <f>IF(VLOOKUP(B25,'Data World'!$A:$AL,MATCH(World!$Q$1,'Data World'!$A$1:$AL$1,))=0,#N/A,VLOOKUP(B25,'Data World'!$A:$AL,MATCH(World!$Q$1,'Data World'!$A$1:$AL$1,)))</f>
        <v/>
      </c>
      <c r="R25" s="13">
        <f>IF(VLOOKUP(B25,'Data World'!$A:$AL,MATCH(World!$R$1,'Data World'!$A$1:$AL$1,))=0,#N/A,VLOOKUP(B25,'Data World'!$A:$AL,MATCH(World!$R$1,'Data World'!$A$1:$AL$1,)))</f>
        <v/>
      </c>
      <c r="S25" s="13">
        <f>IF(VLOOKUP(B25,'Data World'!$A:$AL,MATCH(World!$S$1,'Data World'!$A$1:$AL$1,))=0,#N/A,VLOOKUP(B25,'Data World'!$A:$AL,MATCH(World!$S$1,'Data World'!$A$1:$AL$1,)))</f>
        <v/>
      </c>
      <c r="T25" s="13">
        <f>IF(VLOOKUP(B25,'Data World'!$A:$AL,MATCH(World!$T$1,'Data World'!$A$1:$AL$1,))=0,#N/A,VLOOKUP(B25,'Data World'!$A:$AL,MATCH(World!$T$1,'Data World'!$A$1:$AL$1,)))</f>
        <v/>
      </c>
    </row>
    <row r="26">
      <c r="B26" s="12" t="n">
        <v>42735</v>
      </c>
      <c r="C26" s="13">
        <f>IF(VLOOKUP(B26,'Data World'!$A:$AL,MATCH(World!$C$1,'Data World'!$A$1:$AL$1,))=0,#N/A,VLOOKUP(B26,'Data World'!$A:$AL,MATCH(World!$C$1,'Data World'!$A$1:$AL$1,)))</f>
        <v/>
      </c>
      <c r="D26" s="13">
        <f>IF(VLOOKUP(B26,'Data World'!$A:$AL,MATCH(World!$D$1,'Data World'!$A$1:$AL$1,))=0,#N/A,VLOOKUP(B26,'Data World'!$A:$AL,MATCH(World!$D$1,'Data World'!$A$1:$AL$1,)))</f>
        <v/>
      </c>
      <c r="E26" s="13">
        <f>IF(VLOOKUP(B26,'Data World'!$A:$AL,MATCH(World!$E$1,'Data World'!$A$1:$AL$1,))=0,#N/A,VLOOKUP(B26,'Data World'!$A:$AL,MATCH(World!$E$1,'Data World'!$A$1:$AL$1,)))</f>
        <v/>
      </c>
      <c r="F26" s="13">
        <f>IF(VLOOKUP(B26,'Data World'!$A:$AL,MATCH(World!$F$1,'Data World'!$A$1:$AL$1,))=0,#N/A,VLOOKUP(B26,'Data World'!$A:$AL,MATCH(World!$F$1,'Data World'!$A$1:$AL$1,)))</f>
        <v/>
      </c>
      <c r="G26" s="13">
        <f>IF(VLOOKUP(B26,'Data World'!$A:$AL,MATCH(World!$G$1,'Data World'!$A$1:$AL$1,))=0,#N/A,VLOOKUP(B26,'Data World'!$A:$AL,MATCH(World!$G$1,'Data World'!$A$1:$AL$1,)))</f>
        <v/>
      </c>
      <c r="H26" s="13">
        <f>IF(VLOOKUP(B26,'Data World'!$A:$AL,MATCH(World!$H$1,'Data World'!$A$1:$AL$1,))=0,#N/A,VLOOKUP(B26,'Data World'!$A:$AL,MATCH(World!$H$1,'Data World'!$A$1:$AL$1,)))</f>
        <v/>
      </c>
      <c r="I26" s="13">
        <f>IF(VLOOKUP(B26,'Data World'!$A:$AL,MATCH(World!$I$1,'Data World'!$A$1:$AL$1,))=0,#N/A,VLOOKUP(B26,'Data World'!$A:$AL,MATCH(World!$I$1,'Data World'!$A$1:$AL$1,)))</f>
        <v/>
      </c>
      <c r="J26" s="13">
        <f>IF(VLOOKUP(B26,'Data World'!$A:$AL,MATCH(World!$J$1,'Data World'!$A$1:$AL$1,))=0,#N/A,VLOOKUP(B26,'Data World'!$A:$AL,MATCH(World!$J$1,'Data World'!$A$1:$AL$1,)))</f>
        <v/>
      </c>
      <c r="K26" s="13">
        <f>IF(VLOOKUP(B26,'Data World'!$A:$AL,MATCH(World!$K$1,'Data World'!$A$1:$AL$1,))=0,#N/A,VLOOKUP(B26,'Data World'!$A:$AL,MATCH(World!$K$1,'Data World'!$A$1:$AL$1,)))</f>
        <v/>
      </c>
      <c r="L26" s="13">
        <f>IF(VLOOKUP(B26,'Data World'!$A:$AL,MATCH(World!$L$1,'Data World'!$A$1:$AL$1,))=0,#N/A,VLOOKUP(B26,'Data World'!$A:$AL,MATCH(World!$L$1,'Data World'!$A$1:$AL$1,)))</f>
        <v/>
      </c>
      <c r="M26" s="13">
        <f>IF(VLOOKUP(B26,'Data World'!$A:$AL,MATCH(World!$M$1,'Data World'!$A$1:$AL$1,))=0,#N/A,VLOOKUP(B26,'Data World'!$A:$AL,MATCH(World!$M$1,'Data World'!$A$1:$AL$1,)))</f>
        <v/>
      </c>
      <c r="N26" s="13">
        <f>IF(VLOOKUP(B26,'Data World'!$A:$AL,MATCH(World!$N$1,'Data World'!$A$1:$AL$1,))=0,#N/A,VLOOKUP(B26,'Data World'!$A:$AL,MATCH(World!$N$1,'Data World'!$A$1:$AL$1,)))</f>
        <v/>
      </c>
      <c r="O26" s="13">
        <f>IF(VLOOKUP(B26,'Data World'!$A:$AL,MATCH(World!$O$1,'Data World'!$A$1:$AL$1,))=0,#N/A,VLOOKUP(B26,'Data World'!$A:$AL,MATCH(World!$O$1,'Data World'!$A$1:$AL$1,)))</f>
        <v/>
      </c>
      <c r="P26" s="13">
        <f>IF(VLOOKUP(B26,'Data World'!$A:$AL,MATCH(World!$P$1,'Data World'!$A$1:$AL$1,))=0,#N/A,VLOOKUP(B26,'Data World'!$A:$AL,MATCH(World!$P$1,'Data World'!$A$1:$AL$1,)))</f>
        <v/>
      </c>
      <c r="Q26" s="13">
        <f>IF(VLOOKUP(B26,'Data World'!$A:$AL,MATCH(World!$Q$1,'Data World'!$A$1:$AL$1,))=0,#N/A,VLOOKUP(B26,'Data World'!$A:$AL,MATCH(World!$Q$1,'Data World'!$A$1:$AL$1,)))</f>
        <v/>
      </c>
      <c r="R26" s="13">
        <f>IF(VLOOKUP(B26,'Data World'!$A:$AL,MATCH(World!$R$1,'Data World'!$A$1:$AL$1,))=0,#N/A,VLOOKUP(B26,'Data World'!$A:$AL,MATCH(World!$R$1,'Data World'!$A$1:$AL$1,)))</f>
        <v/>
      </c>
      <c r="S26" s="13">
        <f>IF(VLOOKUP(B26,'Data World'!$A:$AL,MATCH(World!$S$1,'Data World'!$A$1:$AL$1,))=0,#N/A,VLOOKUP(B26,'Data World'!$A:$AL,MATCH(World!$S$1,'Data World'!$A$1:$AL$1,)))</f>
        <v/>
      </c>
      <c r="T26" s="13">
        <f>IF(VLOOKUP(B26,'Data World'!$A:$AL,MATCH(World!$T$1,'Data World'!$A$1:$AL$1,))=0,#N/A,VLOOKUP(B26,'Data World'!$A:$AL,MATCH(World!$T$1,'Data World'!$A$1:$AL$1,)))</f>
        <v/>
      </c>
    </row>
    <row r="27">
      <c r="B27" s="12" t="n">
        <v>42766</v>
      </c>
      <c r="C27" s="13">
        <f>IF(VLOOKUP(B27,'Data World'!$A:$AL,MATCH(World!$C$1,'Data World'!$A$1:$AL$1,))=0,#N/A,VLOOKUP(B27,'Data World'!$A:$AL,MATCH(World!$C$1,'Data World'!$A$1:$AL$1,)))</f>
        <v/>
      </c>
      <c r="D27" s="13">
        <f>IF(VLOOKUP(B27,'Data World'!$A:$AL,MATCH(World!$D$1,'Data World'!$A$1:$AL$1,))=0,#N/A,VLOOKUP(B27,'Data World'!$A:$AL,MATCH(World!$D$1,'Data World'!$A$1:$AL$1,)))</f>
        <v/>
      </c>
      <c r="E27" s="13">
        <f>IF(VLOOKUP(B27,'Data World'!$A:$AL,MATCH(World!$E$1,'Data World'!$A$1:$AL$1,))=0,#N/A,VLOOKUP(B27,'Data World'!$A:$AL,MATCH(World!$E$1,'Data World'!$A$1:$AL$1,)))</f>
        <v/>
      </c>
      <c r="F27" s="13">
        <f>IF(VLOOKUP(B27,'Data World'!$A:$AL,MATCH(World!$F$1,'Data World'!$A$1:$AL$1,))=0,#N/A,VLOOKUP(B27,'Data World'!$A:$AL,MATCH(World!$F$1,'Data World'!$A$1:$AL$1,)))</f>
        <v/>
      </c>
      <c r="G27" s="13">
        <f>IF(VLOOKUP(B27,'Data World'!$A:$AL,MATCH(World!$G$1,'Data World'!$A$1:$AL$1,))=0,#N/A,VLOOKUP(B27,'Data World'!$A:$AL,MATCH(World!$G$1,'Data World'!$A$1:$AL$1,)))</f>
        <v/>
      </c>
      <c r="H27" s="13">
        <f>IF(VLOOKUP(B27,'Data World'!$A:$AL,MATCH(World!$H$1,'Data World'!$A$1:$AL$1,))=0,#N/A,VLOOKUP(B27,'Data World'!$A:$AL,MATCH(World!$H$1,'Data World'!$A$1:$AL$1,)))</f>
        <v/>
      </c>
      <c r="I27" s="13">
        <f>IF(VLOOKUP(B27,'Data World'!$A:$AL,MATCH(World!$I$1,'Data World'!$A$1:$AL$1,))=0,#N/A,VLOOKUP(B27,'Data World'!$A:$AL,MATCH(World!$I$1,'Data World'!$A$1:$AL$1,)))</f>
        <v/>
      </c>
      <c r="J27" s="13">
        <f>IF(VLOOKUP(B27,'Data World'!$A:$AL,MATCH(World!$J$1,'Data World'!$A$1:$AL$1,))=0,#N/A,VLOOKUP(B27,'Data World'!$A:$AL,MATCH(World!$J$1,'Data World'!$A$1:$AL$1,)))</f>
        <v/>
      </c>
      <c r="K27" s="13">
        <f>IF(VLOOKUP(B27,'Data World'!$A:$AL,MATCH(World!$K$1,'Data World'!$A$1:$AL$1,))=0,#N/A,VLOOKUP(B27,'Data World'!$A:$AL,MATCH(World!$K$1,'Data World'!$A$1:$AL$1,)))</f>
        <v/>
      </c>
      <c r="L27" s="13">
        <f>IF(VLOOKUP(B27,'Data World'!$A:$AL,MATCH(World!$L$1,'Data World'!$A$1:$AL$1,))=0,#N/A,VLOOKUP(B27,'Data World'!$A:$AL,MATCH(World!$L$1,'Data World'!$A$1:$AL$1,)))</f>
        <v/>
      </c>
      <c r="M27" s="13">
        <f>IF(VLOOKUP(B27,'Data World'!$A:$AL,MATCH(World!$M$1,'Data World'!$A$1:$AL$1,))=0,#N/A,VLOOKUP(B27,'Data World'!$A:$AL,MATCH(World!$M$1,'Data World'!$A$1:$AL$1,)))</f>
        <v/>
      </c>
      <c r="N27" s="13">
        <f>IF(VLOOKUP(B27,'Data World'!$A:$AL,MATCH(World!$N$1,'Data World'!$A$1:$AL$1,))=0,#N/A,VLOOKUP(B27,'Data World'!$A:$AL,MATCH(World!$N$1,'Data World'!$A$1:$AL$1,)))</f>
        <v/>
      </c>
      <c r="O27" s="13">
        <f>IF(VLOOKUP(B27,'Data World'!$A:$AL,MATCH(World!$O$1,'Data World'!$A$1:$AL$1,))=0,#N/A,VLOOKUP(B27,'Data World'!$A:$AL,MATCH(World!$O$1,'Data World'!$A$1:$AL$1,)))</f>
        <v/>
      </c>
      <c r="P27" s="13">
        <f>IF(VLOOKUP(B27,'Data World'!$A:$AL,MATCH(World!$P$1,'Data World'!$A$1:$AL$1,))=0,#N/A,VLOOKUP(B27,'Data World'!$A:$AL,MATCH(World!$P$1,'Data World'!$A$1:$AL$1,)))</f>
        <v/>
      </c>
      <c r="Q27" s="13">
        <f>IF(VLOOKUP(B27,'Data World'!$A:$AL,MATCH(World!$Q$1,'Data World'!$A$1:$AL$1,))=0,#N/A,VLOOKUP(B27,'Data World'!$A:$AL,MATCH(World!$Q$1,'Data World'!$A$1:$AL$1,)))</f>
        <v/>
      </c>
      <c r="R27" s="13">
        <f>IF(VLOOKUP(B27,'Data World'!$A:$AL,MATCH(World!$R$1,'Data World'!$A$1:$AL$1,))=0,#N/A,VLOOKUP(B27,'Data World'!$A:$AL,MATCH(World!$R$1,'Data World'!$A$1:$AL$1,)))</f>
        <v/>
      </c>
      <c r="S27" s="13">
        <f>IF(VLOOKUP(B27,'Data World'!$A:$AL,MATCH(World!$S$1,'Data World'!$A$1:$AL$1,))=0,#N/A,VLOOKUP(B27,'Data World'!$A:$AL,MATCH(World!$S$1,'Data World'!$A$1:$AL$1,)))</f>
        <v/>
      </c>
      <c r="T27" s="13">
        <f>IF(VLOOKUP(B27,'Data World'!$A:$AL,MATCH(World!$T$1,'Data World'!$A$1:$AL$1,))=0,#N/A,VLOOKUP(B27,'Data World'!$A:$AL,MATCH(World!$T$1,'Data World'!$A$1:$AL$1,)))</f>
        <v/>
      </c>
    </row>
    <row r="28">
      <c r="B28" s="12" t="n">
        <v>42794</v>
      </c>
      <c r="C28" s="13">
        <f>IF(VLOOKUP(B28,'Data World'!$A:$AL,MATCH(World!$C$1,'Data World'!$A$1:$AL$1,))=0,#N/A,VLOOKUP(B28,'Data World'!$A:$AL,MATCH(World!$C$1,'Data World'!$A$1:$AL$1,)))</f>
        <v/>
      </c>
      <c r="D28" s="13">
        <f>IF(VLOOKUP(B28,'Data World'!$A:$AL,MATCH(World!$D$1,'Data World'!$A$1:$AL$1,))=0,#N/A,VLOOKUP(B28,'Data World'!$A:$AL,MATCH(World!$D$1,'Data World'!$A$1:$AL$1,)))</f>
        <v/>
      </c>
      <c r="E28" s="13">
        <f>IF(VLOOKUP(B28,'Data World'!$A:$AL,MATCH(World!$E$1,'Data World'!$A$1:$AL$1,))=0,#N/A,VLOOKUP(B28,'Data World'!$A:$AL,MATCH(World!$E$1,'Data World'!$A$1:$AL$1,)))</f>
        <v/>
      </c>
      <c r="F28" s="13">
        <f>IF(VLOOKUP(B28,'Data World'!$A:$AL,MATCH(World!$F$1,'Data World'!$A$1:$AL$1,))=0,#N/A,VLOOKUP(B28,'Data World'!$A:$AL,MATCH(World!$F$1,'Data World'!$A$1:$AL$1,)))</f>
        <v/>
      </c>
      <c r="G28" s="13">
        <f>IF(VLOOKUP(B28,'Data World'!$A:$AL,MATCH(World!$G$1,'Data World'!$A$1:$AL$1,))=0,#N/A,VLOOKUP(B28,'Data World'!$A:$AL,MATCH(World!$G$1,'Data World'!$A$1:$AL$1,)))</f>
        <v/>
      </c>
      <c r="H28" s="13">
        <f>IF(VLOOKUP(B28,'Data World'!$A:$AL,MATCH(World!$H$1,'Data World'!$A$1:$AL$1,))=0,#N/A,VLOOKUP(B28,'Data World'!$A:$AL,MATCH(World!$H$1,'Data World'!$A$1:$AL$1,)))</f>
        <v/>
      </c>
      <c r="I28" s="13">
        <f>IF(VLOOKUP(B28,'Data World'!$A:$AL,MATCH(World!$I$1,'Data World'!$A$1:$AL$1,))=0,#N/A,VLOOKUP(B28,'Data World'!$A:$AL,MATCH(World!$I$1,'Data World'!$A$1:$AL$1,)))</f>
        <v/>
      </c>
      <c r="J28" s="13">
        <f>IF(VLOOKUP(B28,'Data World'!$A:$AL,MATCH(World!$J$1,'Data World'!$A$1:$AL$1,))=0,#N/A,VLOOKUP(B28,'Data World'!$A:$AL,MATCH(World!$J$1,'Data World'!$A$1:$AL$1,)))</f>
        <v/>
      </c>
      <c r="K28" s="13">
        <f>IF(VLOOKUP(B28,'Data World'!$A:$AL,MATCH(World!$K$1,'Data World'!$A$1:$AL$1,))=0,#N/A,VLOOKUP(B28,'Data World'!$A:$AL,MATCH(World!$K$1,'Data World'!$A$1:$AL$1,)))</f>
        <v/>
      </c>
      <c r="L28" s="13">
        <f>IF(VLOOKUP(B28,'Data World'!$A:$AL,MATCH(World!$L$1,'Data World'!$A$1:$AL$1,))=0,#N/A,VLOOKUP(B28,'Data World'!$A:$AL,MATCH(World!$L$1,'Data World'!$A$1:$AL$1,)))</f>
        <v/>
      </c>
      <c r="M28" s="13">
        <f>IF(VLOOKUP(B28,'Data World'!$A:$AL,MATCH(World!$M$1,'Data World'!$A$1:$AL$1,))=0,#N/A,VLOOKUP(B28,'Data World'!$A:$AL,MATCH(World!$M$1,'Data World'!$A$1:$AL$1,)))</f>
        <v/>
      </c>
      <c r="N28" s="13">
        <f>IF(VLOOKUP(B28,'Data World'!$A:$AL,MATCH(World!$N$1,'Data World'!$A$1:$AL$1,))=0,#N/A,VLOOKUP(B28,'Data World'!$A:$AL,MATCH(World!$N$1,'Data World'!$A$1:$AL$1,)))</f>
        <v/>
      </c>
      <c r="O28" s="13">
        <f>IF(VLOOKUP(B28,'Data World'!$A:$AL,MATCH(World!$O$1,'Data World'!$A$1:$AL$1,))=0,#N/A,VLOOKUP(B28,'Data World'!$A:$AL,MATCH(World!$O$1,'Data World'!$A$1:$AL$1,)))</f>
        <v/>
      </c>
      <c r="P28" s="13">
        <f>IF(VLOOKUP(B28,'Data World'!$A:$AL,MATCH(World!$P$1,'Data World'!$A$1:$AL$1,))=0,#N/A,VLOOKUP(B28,'Data World'!$A:$AL,MATCH(World!$P$1,'Data World'!$A$1:$AL$1,)))</f>
        <v/>
      </c>
      <c r="Q28" s="13">
        <f>IF(VLOOKUP(B28,'Data World'!$A:$AL,MATCH(World!$Q$1,'Data World'!$A$1:$AL$1,))=0,#N/A,VLOOKUP(B28,'Data World'!$A:$AL,MATCH(World!$Q$1,'Data World'!$A$1:$AL$1,)))</f>
        <v/>
      </c>
      <c r="R28" s="13">
        <f>IF(VLOOKUP(B28,'Data World'!$A:$AL,MATCH(World!$R$1,'Data World'!$A$1:$AL$1,))=0,#N/A,VLOOKUP(B28,'Data World'!$A:$AL,MATCH(World!$R$1,'Data World'!$A$1:$AL$1,)))</f>
        <v/>
      </c>
      <c r="S28" s="13">
        <f>IF(VLOOKUP(B28,'Data World'!$A:$AL,MATCH(World!$S$1,'Data World'!$A$1:$AL$1,))=0,#N/A,VLOOKUP(B28,'Data World'!$A:$AL,MATCH(World!$S$1,'Data World'!$A$1:$AL$1,)))</f>
        <v/>
      </c>
      <c r="T28" s="13">
        <f>IF(VLOOKUP(B28,'Data World'!$A:$AL,MATCH(World!$T$1,'Data World'!$A$1:$AL$1,))=0,#N/A,VLOOKUP(B28,'Data World'!$A:$AL,MATCH(World!$T$1,'Data World'!$A$1:$AL$1,)))</f>
        <v/>
      </c>
    </row>
    <row r="29">
      <c r="B29" s="12" t="n">
        <v>42825</v>
      </c>
      <c r="C29" s="13">
        <f>IF(VLOOKUP(B29,'Data World'!$A:$AL,MATCH(World!$C$1,'Data World'!$A$1:$AL$1,))=0,#N/A,VLOOKUP(B29,'Data World'!$A:$AL,MATCH(World!$C$1,'Data World'!$A$1:$AL$1,)))</f>
        <v/>
      </c>
      <c r="D29" s="13">
        <f>IF(VLOOKUP(B29,'Data World'!$A:$AL,MATCH(World!$D$1,'Data World'!$A$1:$AL$1,))=0,#N/A,VLOOKUP(B29,'Data World'!$A:$AL,MATCH(World!$D$1,'Data World'!$A$1:$AL$1,)))</f>
        <v/>
      </c>
      <c r="E29" s="13">
        <f>IF(VLOOKUP(B29,'Data World'!$A:$AL,MATCH(World!$E$1,'Data World'!$A$1:$AL$1,))=0,#N/A,VLOOKUP(B29,'Data World'!$A:$AL,MATCH(World!$E$1,'Data World'!$A$1:$AL$1,)))</f>
        <v/>
      </c>
      <c r="F29" s="13">
        <f>IF(VLOOKUP(B29,'Data World'!$A:$AL,MATCH(World!$F$1,'Data World'!$A$1:$AL$1,))=0,#N/A,VLOOKUP(B29,'Data World'!$A:$AL,MATCH(World!$F$1,'Data World'!$A$1:$AL$1,)))</f>
        <v/>
      </c>
      <c r="G29" s="13">
        <f>IF(VLOOKUP(B29,'Data World'!$A:$AL,MATCH(World!$G$1,'Data World'!$A$1:$AL$1,))=0,#N/A,VLOOKUP(B29,'Data World'!$A:$AL,MATCH(World!$G$1,'Data World'!$A$1:$AL$1,)))</f>
        <v/>
      </c>
      <c r="H29" s="13">
        <f>IF(VLOOKUP(B29,'Data World'!$A:$AL,MATCH(World!$H$1,'Data World'!$A$1:$AL$1,))=0,#N/A,VLOOKUP(B29,'Data World'!$A:$AL,MATCH(World!$H$1,'Data World'!$A$1:$AL$1,)))</f>
        <v/>
      </c>
      <c r="I29" s="13">
        <f>IF(VLOOKUP(B29,'Data World'!$A:$AL,MATCH(World!$I$1,'Data World'!$A$1:$AL$1,))=0,#N/A,VLOOKUP(B29,'Data World'!$A:$AL,MATCH(World!$I$1,'Data World'!$A$1:$AL$1,)))</f>
        <v/>
      </c>
      <c r="J29" s="13">
        <f>IF(VLOOKUP(B29,'Data World'!$A:$AL,MATCH(World!$J$1,'Data World'!$A$1:$AL$1,))=0,#N/A,VLOOKUP(B29,'Data World'!$A:$AL,MATCH(World!$J$1,'Data World'!$A$1:$AL$1,)))</f>
        <v/>
      </c>
      <c r="K29" s="13">
        <f>IF(VLOOKUP(B29,'Data World'!$A:$AL,MATCH(World!$K$1,'Data World'!$A$1:$AL$1,))=0,#N/A,VLOOKUP(B29,'Data World'!$A:$AL,MATCH(World!$K$1,'Data World'!$A$1:$AL$1,)))</f>
        <v/>
      </c>
      <c r="L29" s="13">
        <f>IF(VLOOKUP(B29,'Data World'!$A:$AL,MATCH(World!$L$1,'Data World'!$A$1:$AL$1,))=0,#N/A,VLOOKUP(B29,'Data World'!$A:$AL,MATCH(World!$L$1,'Data World'!$A$1:$AL$1,)))</f>
        <v/>
      </c>
      <c r="M29" s="13">
        <f>IF(VLOOKUP(B29,'Data World'!$A:$AL,MATCH(World!$M$1,'Data World'!$A$1:$AL$1,))=0,#N/A,VLOOKUP(B29,'Data World'!$A:$AL,MATCH(World!$M$1,'Data World'!$A$1:$AL$1,)))</f>
        <v/>
      </c>
      <c r="N29" s="13">
        <f>IF(VLOOKUP(B29,'Data World'!$A:$AL,MATCH(World!$N$1,'Data World'!$A$1:$AL$1,))=0,#N/A,VLOOKUP(B29,'Data World'!$A:$AL,MATCH(World!$N$1,'Data World'!$A$1:$AL$1,)))</f>
        <v/>
      </c>
      <c r="O29" s="13">
        <f>IF(VLOOKUP(B29,'Data World'!$A:$AL,MATCH(World!$O$1,'Data World'!$A$1:$AL$1,))=0,#N/A,VLOOKUP(B29,'Data World'!$A:$AL,MATCH(World!$O$1,'Data World'!$A$1:$AL$1,)))</f>
        <v/>
      </c>
      <c r="P29" s="13">
        <f>IF(VLOOKUP(B29,'Data World'!$A:$AL,MATCH(World!$P$1,'Data World'!$A$1:$AL$1,))=0,#N/A,VLOOKUP(B29,'Data World'!$A:$AL,MATCH(World!$P$1,'Data World'!$A$1:$AL$1,)))</f>
        <v/>
      </c>
      <c r="Q29" s="13">
        <f>IF(VLOOKUP(B29,'Data World'!$A:$AL,MATCH(World!$Q$1,'Data World'!$A$1:$AL$1,))=0,#N/A,VLOOKUP(B29,'Data World'!$A:$AL,MATCH(World!$Q$1,'Data World'!$A$1:$AL$1,)))</f>
        <v/>
      </c>
      <c r="R29" s="13">
        <f>IF(VLOOKUP(B29,'Data World'!$A:$AL,MATCH(World!$R$1,'Data World'!$A$1:$AL$1,))=0,#N/A,VLOOKUP(B29,'Data World'!$A:$AL,MATCH(World!$R$1,'Data World'!$A$1:$AL$1,)))</f>
        <v/>
      </c>
      <c r="S29" s="13">
        <f>IF(VLOOKUP(B29,'Data World'!$A:$AL,MATCH(World!$S$1,'Data World'!$A$1:$AL$1,))=0,#N/A,VLOOKUP(B29,'Data World'!$A:$AL,MATCH(World!$S$1,'Data World'!$A$1:$AL$1,)))</f>
        <v/>
      </c>
      <c r="T29" s="13">
        <f>IF(VLOOKUP(B29,'Data World'!$A:$AL,MATCH(World!$T$1,'Data World'!$A$1:$AL$1,))=0,#N/A,VLOOKUP(B29,'Data World'!$A:$AL,MATCH(World!$T$1,'Data World'!$A$1:$AL$1,)))</f>
        <v/>
      </c>
    </row>
    <row r="30">
      <c r="B30" s="12" t="n">
        <v>42855</v>
      </c>
      <c r="C30" s="13">
        <f>IF(VLOOKUP(B30,'Data World'!$A:$AL,MATCH(World!$C$1,'Data World'!$A$1:$AL$1,))=0,#N/A,VLOOKUP(B30,'Data World'!$A:$AL,MATCH(World!$C$1,'Data World'!$A$1:$AL$1,)))</f>
        <v/>
      </c>
      <c r="D30" s="13">
        <f>IF(VLOOKUP(B30,'Data World'!$A:$AL,MATCH(World!$D$1,'Data World'!$A$1:$AL$1,))=0,#N/A,VLOOKUP(B30,'Data World'!$A:$AL,MATCH(World!$D$1,'Data World'!$A$1:$AL$1,)))</f>
        <v/>
      </c>
      <c r="E30" s="13">
        <f>IF(VLOOKUP(B30,'Data World'!$A:$AL,MATCH(World!$E$1,'Data World'!$A$1:$AL$1,))=0,#N/A,VLOOKUP(B30,'Data World'!$A:$AL,MATCH(World!$E$1,'Data World'!$A$1:$AL$1,)))</f>
        <v/>
      </c>
      <c r="F30" s="13">
        <f>IF(VLOOKUP(B30,'Data World'!$A:$AL,MATCH(World!$F$1,'Data World'!$A$1:$AL$1,))=0,#N/A,VLOOKUP(B30,'Data World'!$A:$AL,MATCH(World!$F$1,'Data World'!$A$1:$AL$1,)))</f>
        <v/>
      </c>
      <c r="G30" s="13">
        <f>IF(VLOOKUP(B30,'Data World'!$A:$AL,MATCH(World!$G$1,'Data World'!$A$1:$AL$1,))=0,#N/A,VLOOKUP(B30,'Data World'!$A:$AL,MATCH(World!$G$1,'Data World'!$A$1:$AL$1,)))</f>
        <v/>
      </c>
      <c r="H30" s="13">
        <f>IF(VLOOKUP(B30,'Data World'!$A:$AL,MATCH(World!$H$1,'Data World'!$A$1:$AL$1,))=0,#N/A,VLOOKUP(B30,'Data World'!$A:$AL,MATCH(World!$H$1,'Data World'!$A$1:$AL$1,)))</f>
        <v/>
      </c>
      <c r="I30" s="13">
        <f>IF(VLOOKUP(B30,'Data World'!$A:$AL,MATCH(World!$I$1,'Data World'!$A$1:$AL$1,))=0,#N/A,VLOOKUP(B30,'Data World'!$A:$AL,MATCH(World!$I$1,'Data World'!$A$1:$AL$1,)))</f>
        <v/>
      </c>
      <c r="J30" s="13">
        <f>IF(VLOOKUP(B30,'Data World'!$A:$AL,MATCH(World!$J$1,'Data World'!$A$1:$AL$1,))=0,#N/A,VLOOKUP(B30,'Data World'!$A:$AL,MATCH(World!$J$1,'Data World'!$A$1:$AL$1,)))</f>
        <v/>
      </c>
      <c r="K30" s="13">
        <f>IF(VLOOKUP(B30,'Data World'!$A:$AL,MATCH(World!$K$1,'Data World'!$A$1:$AL$1,))=0,#N/A,VLOOKUP(B30,'Data World'!$A:$AL,MATCH(World!$K$1,'Data World'!$A$1:$AL$1,)))</f>
        <v/>
      </c>
      <c r="L30" s="13">
        <f>IF(VLOOKUP(B30,'Data World'!$A:$AL,MATCH(World!$L$1,'Data World'!$A$1:$AL$1,))=0,#N/A,VLOOKUP(B30,'Data World'!$A:$AL,MATCH(World!$L$1,'Data World'!$A$1:$AL$1,)))</f>
        <v/>
      </c>
      <c r="M30" s="13">
        <f>IF(VLOOKUP(B30,'Data World'!$A:$AL,MATCH(World!$M$1,'Data World'!$A$1:$AL$1,))=0,#N/A,VLOOKUP(B30,'Data World'!$A:$AL,MATCH(World!$M$1,'Data World'!$A$1:$AL$1,)))</f>
        <v/>
      </c>
      <c r="N30" s="13">
        <f>IF(VLOOKUP(B30,'Data World'!$A:$AL,MATCH(World!$N$1,'Data World'!$A$1:$AL$1,))=0,#N/A,VLOOKUP(B30,'Data World'!$A:$AL,MATCH(World!$N$1,'Data World'!$A$1:$AL$1,)))</f>
        <v/>
      </c>
      <c r="O30" s="13">
        <f>IF(VLOOKUP(B30,'Data World'!$A:$AL,MATCH(World!$O$1,'Data World'!$A$1:$AL$1,))=0,#N/A,VLOOKUP(B30,'Data World'!$A:$AL,MATCH(World!$O$1,'Data World'!$A$1:$AL$1,)))</f>
        <v/>
      </c>
      <c r="P30" s="13">
        <f>IF(VLOOKUP(B30,'Data World'!$A:$AL,MATCH(World!$P$1,'Data World'!$A$1:$AL$1,))=0,#N/A,VLOOKUP(B30,'Data World'!$A:$AL,MATCH(World!$P$1,'Data World'!$A$1:$AL$1,)))</f>
        <v/>
      </c>
      <c r="Q30" s="13">
        <f>IF(VLOOKUP(B30,'Data World'!$A:$AL,MATCH(World!$Q$1,'Data World'!$A$1:$AL$1,))=0,#N/A,VLOOKUP(B30,'Data World'!$A:$AL,MATCH(World!$Q$1,'Data World'!$A$1:$AL$1,)))</f>
        <v/>
      </c>
      <c r="R30" s="13">
        <f>IF(VLOOKUP(B30,'Data World'!$A:$AL,MATCH(World!$R$1,'Data World'!$A$1:$AL$1,))=0,#N/A,VLOOKUP(B30,'Data World'!$A:$AL,MATCH(World!$R$1,'Data World'!$A$1:$AL$1,)))</f>
        <v/>
      </c>
      <c r="S30" s="13">
        <f>IF(VLOOKUP(B30,'Data World'!$A:$AL,MATCH(World!$S$1,'Data World'!$A$1:$AL$1,))=0,#N/A,VLOOKUP(B30,'Data World'!$A:$AL,MATCH(World!$S$1,'Data World'!$A$1:$AL$1,)))</f>
        <v/>
      </c>
      <c r="T30" s="13">
        <f>IF(VLOOKUP(B30,'Data World'!$A:$AL,MATCH(World!$T$1,'Data World'!$A$1:$AL$1,))=0,#N/A,VLOOKUP(B30,'Data World'!$A:$AL,MATCH(World!$T$1,'Data World'!$A$1:$AL$1,)))</f>
        <v/>
      </c>
    </row>
    <row r="31">
      <c r="B31" s="12" t="n">
        <v>42886</v>
      </c>
      <c r="C31" s="13">
        <f>IF(VLOOKUP(B31,'Data World'!$A:$AL,MATCH(World!$C$1,'Data World'!$A$1:$AL$1,))=0,#N/A,VLOOKUP(B31,'Data World'!$A:$AL,MATCH(World!$C$1,'Data World'!$A$1:$AL$1,)))</f>
        <v/>
      </c>
      <c r="D31" s="13">
        <f>IF(VLOOKUP(B31,'Data World'!$A:$AL,MATCH(World!$D$1,'Data World'!$A$1:$AL$1,))=0,#N/A,VLOOKUP(B31,'Data World'!$A:$AL,MATCH(World!$D$1,'Data World'!$A$1:$AL$1,)))</f>
        <v/>
      </c>
      <c r="E31" s="13">
        <f>IF(VLOOKUP(B31,'Data World'!$A:$AL,MATCH(World!$E$1,'Data World'!$A$1:$AL$1,))=0,#N/A,VLOOKUP(B31,'Data World'!$A:$AL,MATCH(World!$E$1,'Data World'!$A$1:$AL$1,)))</f>
        <v/>
      </c>
      <c r="F31" s="13">
        <f>IF(VLOOKUP(B31,'Data World'!$A:$AL,MATCH(World!$F$1,'Data World'!$A$1:$AL$1,))=0,#N/A,VLOOKUP(B31,'Data World'!$A:$AL,MATCH(World!$F$1,'Data World'!$A$1:$AL$1,)))</f>
        <v/>
      </c>
      <c r="G31" s="13">
        <f>IF(VLOOKUP(B31,'Data World'!$A:$AL,MATCH(World!$G$1,'Data World'!$A$1:$AL$1,))=0,#N/A,VLOOKUP(B31,'Data World'!$A:$AL,MATCH(World!$G$1,'Data World'!$A$1:$AL$1,)))</f>
        <v/>
      </c>
      <c r="H31" s="13">
        <f>IF(VLOOKUP(B31,'Data World'!$A:$AL,MATCH(World!$H$1,'Data World'!$A$1:$AL$1,))=0,#N/A,VLOOKUP(B31,'Data World'!$A:$AL,MATCH(World!$H$1,'Data World'!$A$1:$AL$1,)))</f>
        <v/>
      </c>
      <c r="I31" s="13">
        <f>IF(VLOOKUP(B31,'Data World'!$A:$AL,MATCH(World!$I$1,'Data World'!$A$1:$AL$1,))=0,#N/A,VLOOKUP(B31,'Data World'!$A:$AL,MATCH(World!$I$1,'Data World'!$A$1:$AL$1,)))</f>
        <v/>
      </c>
      <c r="J31" s="13">
        <f>IF(VLOOKUP(B31,'Data World'!$A:$AL,MATCH(World!$J$1,'Data World'!$A$1:$AL$1,))=0,#N/A,VLOOKUP(B31,'Data World'!$A:$AL,MATCH(World!$J$1,'Data World'!$A$1:$AL$1,)))</f>
        <v/>
      </c>
      <c r="K31" s="13">
        <f>IF(VLOOKUP(B31,'Data World'!$A:$AL,MATCH(World!$K$1,'Data World'!$A$1:$AL$1,))=0,#N/A,VLOOKUP(B31,'Data World'!$A:$AL,MATCH(World!$K$1,'Data World'!$A$1:$AL$1,)))</f>
        <v/>
      </c>
      <c r="L31" s="13">
        <f>IF(VLOOKUP(B31,'Data World'!$A:$AL,MATCH(World!$L$1,'Data World'!$A$1:$AL$1,))=0,#N/A,VLOOKUP(B31,'Data World'!$A:$AL,MATCH(World!$L$1,'Data World'!$A$1:$AL$1,)))</f>
        <v/>
      </c>
      <c r="M31" s="13">
        <f>IF(VLOOKUP(B31,'Data World'!$A:$AL,MATCH(World!$M$1,'Data World'!$A$1:$AL$1,))=0,#N/A,VLOOKUP(B31,'Data World'!$A:$AL,MATCH(World!$M$1,'Data World'!$A$1:$AL$1,)))</f>
        <v/>
      </c>
      <c r="N31" s="13">
        <f>IF(VLOOKUP(B31,'Data World'!$A:$AL,MATCH(World!$N$1,'Data World'!$A$1:$AL$1,))=0,#N/A,VLOOKUP(B31,'Data World'!$A:$AL,MATCH(World!$N$1,'Data World'!$A$1:$AL$1,)))</f>
        <v/>
      </c>
      <c r="O31" s="13">
        <f>IF(VLOOKUP(B31,'Data World'!$A:$AL,MATCH(World!$O$1,'Data World'!$A$1:$AL$1,))=0,#N/A,VLOOKUP(B31,'Data World'!$A:$AL,MATCH(World!$O$1,'Data World'!$A$1:$AL$1,)))</f>
        <v/>
      </c>
      <c r="P31" s="13">
        <f>IF(VLOOKUP(B31,'Data World'!$A:$AL,MATCH(World!$P$1,'Data World'!$A$1:$AL$1,))=0,#N/A,VLOOKUP(B31,'Data World'!$A:$AL,MATCH(World!$P$1,'Data World'!$A$1:$AL$1,)))</f>
        <v/>
      </c>
      <c r="Q31" s="13">
        <f>IF(VLOOKUP(B31,'Data World'!$A:$AL,MATCH(World!$Q$1,'Data World'!$A$1:$AL$1,))=0,#N/A,VLOOKUP(B31,'Data World'!$A:$AL,MATCH(World!$Q$1,'Data World'!$A$1:$AL$1,)))</f>
        <v/>
      </c>
      <c r="R31" s="13">
        <f>IF(VLOOKUP(B31,'Data World'!$A:$AL,MATCH(World!$R$1,'Data World'!$A$1:$AL$1,))=0,#N/A,VLOOKUP(B31,'Data World'!$A:$AL,MATCH(World!$R$1,'Data World'!$A$1:$AL$1,)))</f>
        <v/>
      </c>
      <c r="S31" s="13">
        <f>IF(VLOOKUP(B31,'Data World'!$A:$AL,MATCH(World!$S$1,'Data World'!$A$1:$AL$1,))=0,#N/A,VLOOKUP(B31,'Data World'!$A:$AL,MATCH(World!$S$1,'Data World'!$A$1:$AL$1,)))</f>
        <v/>
      </c>
      <c r="T31" s="13">
        <f>IF(VLOOKUP(B31,'Data World'!$A:$AL,MATCH(World!$T$1,'Data World'!$A$1:$AL$1,))=0,#N/A,VLOOKUP(B31,'Data World'!$A:$AL,MATCH(World!$T$1,'Data World'!$A$1:$AL$1,)))</f>
        <v/>
      </c>
    </row>
    <row r="32">
      <c r="B32" s="12" t="n">
        <v>42916</v>
      </c>
      <c r="C32" s="13">
        <f>IF(VLOOKUP(B32,'Data World'!$A:$AL,MATCH(World!$C$1,'Data World'!$A$1:$AL$1,))=0,#N/A,VLOOKUP(B32,'Data World'!$A:$AL,MATCH(World!$C$1,'Data World'!$A$1:$AL$1,)))</f>
        <v/>
      </c>
      <c r="D32" s="13">
        <f>IF(VLOOKUP(B32,'Data World'!$A:$AL,MATCH(World!$D$1,'Data World'!$A$1:$AL$1,))=0,#N/A,VLOOKUP(B32,'Data World'!$A:$AL,MATCH(World!$D$1,'Data World'!$A$1:$AL$1,)))</f>
        <v/>
      </c>
      <c r="E32" s="13">
        <f>IF(VLOOKUP(B32,'Data World'!$A:$AL,MATCH(World!$E$1,'Data World'!$A$1:$AL$1,))=0,#N/A,VLOOKUP(B32,'Data World'!$A:$AL,MATCH(World!$E$1,'Data World'!$A$1:$AL$1,)))</f>
        <v/>
      </c>
      <c r="F32" s="13">
        <f>IF(VLOOKUP(B32,'Data World'!$A:$AL,MATCH(World!$F$1,'Data World'!$A$1:$AL$1,))=0,#N/A,VLOOKUP(B32,'Data World'!$A:$AL,MATCH(World!$F$1,'Data World'!$A$1:$AL$1,)))</f>
        <v/>
      </c>
      <c r="G32" s="13">
        <f>IF(VLOOKUP(B32,'Data World'!$A:$AL,MATCH(World!$G$1,'Data World'!$A$1:$AL$1,))=0,#N/A,VLOOKUP(B32,'Data World'!$A:$AL,MATCH(World!$G$1,'Data World'!$A$1:$AL$1,)))</f>
        <v/>
      </c>
      <c r="H32" s="13">
        <f>IF(VLOOKUP(B32,'Data World'!$A:$AL,MATCH(World!$H$1,'Data World'!$A$1:$AL$1,))=0,#N/A,VLOOKUP(B32,'Data World'!$A:$AL,MATCH(World!$H$1,'Data World'!$A$1:$AL$1,)))</f>
        <v/>
      </c>
      <c r="I32" s="13">
        <f>IF(VLOOKUP(B32,'Data World'!$A:$AL,MATCH(World!$I$1,'Data World'!$A$1:$AL$1,))=0,#N/A,VLOOKUP(B32,'Data World'!$A:$AL,MATCH(World!$I$1,'Data World'!$A$1:$AL$1,)))</f>
        <v/>
      </c>
      <c r="J32" s="13">
        <f>IF(VLOOKUP(B32,'Data World'!$A:$AL,MATCH(World!$J$1,'Data World'!$A$1:$AL$1,))=0,#N/A,VLOOKUP(B32,'Data World'!$A:$AL,MATCH(World!$J$1,'Data World'!$A$1:$AL$1,)))</f>
        <v/>
      </c>
      <c r="K32" s="13">
        <f>IF(VLOOKUP(B32,'Data World'!$A:$AL,MATCH(World!$K$1,'Data World'!$A$1:$AL$1,))=0,#N/A,VLOOKUP(B32,'Data World'!$A:$AL,MATCH(World!$K$1,'Data World'!$A$1:$AL$1,)))</f>
        <v/>
      </c>
      <c r="L32" s="13">
        <f>IF(VLOOKUP(B32,'Data World'!$A:$AL,MATCH(World!$L$1,'Data World'!$A$1:$AL$1,))=0,#N/A,VLOOKUP(B32,'Data World'!$A:$AL,MATCH(World!$L$1,'Data World'!$A$1:$AL$1,)))</f>
        <v/>
      </c>
      <c r="M32" s="13">
        <f>IF(VLOOKUP(B32,'Data World'!$A:$AL,MATCH(World!$M$1,'Data World'!$A$1:$AL$1,))=0,#N/A,VLOOKUP(B32,'Data World'!$A:$AL,MATCH(World!$M$1,'Data World'!$A$1:$AL$1,)))</f>
        <v/>
      </c>
      <c r="N32" s="13">
        <f>IF(VLOOKUP(B32,'Data World'!$A:$AL,MATCH(World!$N$1,'Data World'!$A$1:$AL$1,))=0,#N/A,VLOOKUP(B32,'Data World'!$A:$AL,MATCH(World!$N$1,'Data World'!$A$1:$AL$1,)))</f>
        <v/>
      </c>
      <c r="O32" s="13">
        <f>IF(VLOOKUP(B32,'Data World'!$A:$AL,MATCH(World!$O$1,'Data World'!$A$1:$AL$1,))=0,#N/A,VLOOKUP(B32,'Data World'!$A:$AL,MATCH(World!$O$1,'Data World'!$A$1:$AL$1,)))</f>
        <v/>
      </c>
      <c r="P32" s="13">
        <f>IF(VLOOKUP(B32,'Data World'!$A:$AL,MATCH(World!$P$1,'Data World'!$A$1:$AL$1,))=0,#N/A,VLOOKUP(B32,'Data World'!$A:$AL,MATCH(World!$P$1,'Data World'!$A$1:$AL$1,)))</f>
        <v/>
      </c>
      <c r="Q32" s="13">
        <f>IF(VLOOKUP(B32,'Data World'!$A:$AL,MATCH(World!$Q$1,'Data World'!$A$1:$AL$1,))=0,#N/A,VLOOKUP(B32,'Data World'!$A:$AL,MATCH(World!$Q$1,'Data World'!$A$1:$AL$1,)))</f>
        <v/>
      </c>
      <c r="R32" s="13">
        <f>IF(VLOOKUP(B32,'Data World'!$A:$AL,MATCH(World!$R$1,'Data World'!$A$1:$AL$1,))=0,#N/A,VLOOKUP(B32,'Data World'!$A:$AL,MATCH(World!$R$1,'Data World'!$A$1:$AL$1,)))</f>
        <v/>
      </c>
      <c r="S32" s="13">
        <f>IF(VLOOKUP(B32,'Data World'!$A:$AL,MATCH(World!$S$1,'Data World'!$A$1:$AL$1,))=0,#N/A,VLOOKUP(B32,'Data World'!$A:$AL,MATCH(World!$S$1,'Data World'!$A$1:$AL$1,)))</f>
        <v/>
      </c>
      <c r="T32" s="13">
        <f>IF(VLOOKUP(B32,'Data World'!$A:$AL,MATCH(World!$T$1,'Data World'!$A$1:$AL$1,))=0,#N/A,VLOOKUP(B32,'Data World'!$A:$AL,MATCH(World!$T$1,'Data World'!$A$1:$AL$1,)))</f>
        <v/>
      </c>
    </row>
    <row r="33">
      <c r="B33" s="12" t="n">
        <v>42947</v>
      </c>
      <c r="C33" s="13">
        <f>IF(VLOOKUP(B33,'Data World'!$A:$AL,MATCH(World!$C$1,'Data World'!$A$1:$AL$1,))=0,#N/A,VLOOKUP(B33,'Data World'!$A:$AL,MATCH(World!$C$1,'Data World'!$A$1:$AL$1,)))</f>
        <v/>
      </c>
      <c r="D33" s="13">
        <f>IF(VLOOKUP(B33,'Data World'!$A:$AL,MATCH(World!$D$1,'Data World'!$A$1:$AL$1,))=0,#N/A,VLOOKUP(B33,'Data World'!$A:$AL,MATCH(World!$D$1,'Data World'!$A$1:$AL$1,)))</f>
        <v/>
      </c>
      <c r="E33" s="13">
        <f>IF(VLOOKUP(B33,'Data World'!$A:$AL,MATCH(World!$E$1,'Data World'!$A$1:$AL$1,))=0,#N/A,VLOOKUP(B33,'Data World'!$A:$AL,MATCH(World!$E$1,'Data World'!$A$1:$AL$1,)))</f>
        <v/>
      </c>
      <c r="F33" s="13">
        <f>IF(VLOOKUP(B33,'Data World'!$A:$AL,MATCH(World!$F$1,'Data World'!$A$1:$AL$1,))=0,#N/A,VLOOKUP(B33,'Data World'!$A:$AL,MATCH(World!$F$1,'Data World'!$A$1:$AL$1,)))</f>
        <v/>
      </c>
      <c r="G33" s="13">
        <f>IF(VLOOKUP(B33,'Data World'!$A:$AL,MATCH(World!$G$1,'Data World'!$A$1:$AL$1,))=0,#N/A,VLOOKUP(B33,'Data World'!$A:$AL,MATCH(World!$G$1,'Data World'!$A$1:$AL$1,)))</f>
        <v/>
      </c>
      <c r="H33" s="13">
        <f>IF(VLOOKUP(B33,'Data World'!$A:$AL,MATCH(World!$H$1,'Data World'!$A$1:$AL$1,))=0,#N/A,VLOOKUP(B33,'Data World'!$A:$AL,MATCH(World!$H$1,'Data World'!$A$1:$AL$1,)))</f>
        <v/>
      </c>
      <c r="I33" s="13">
        <f>IF(VLOOKUP(B33,'Data World'!$A:$AL,MATCH(World!$I$1,'Data World'!$A$1:$AL$1,))=0,#N/A,VLOOKUP(B33,'Data World'!$A:$AL,MATCH(World!$I$1,'Data World'!$A$1:$AL$1,)))</f>
        <v/>
      </c>
      <c r="J33" s="13">
        <f>IF(VLOOKUP(B33,'Data World'!$A:$AL,MATCH(World!$J$1,'Data World'!$A$1:$AL$1,))=0,#N/A,VLOOKUP(B33,'Data World'!$A:$AL,MATCH(World!$J$1,'Data World'!$A$1:$AL$1,)))</f>
        <v/>
      </c>
      <c r="K33" s="13">
        <f>IF(VLOOKUP(B33,'Data World'!$A:$AL,MATCH(World!$K$1,'Data World'!$A$1:$AL$1,))=0,#N/A,VLOOKUP(B33,'Data World'!$A:$AL,MATCH(World!$K$1,'Data World'!$A$1:$AL$1,)))</f>
        <v/>
      </c>
      <c r="L33" s="13">
        <f>IF(VLOOKUP(B33,'Data World'!$A:$AL,MATCH(World!$L$1,'Data World'!$A$1:$AL$1,))=0,#N/A,VLOOKUP(B33,'Data World'!$A:$AL,MATCH(World!$L$1,'Data World'!$A$1:$AL$1,)))</f>
        <v/>
      </c>
      <c r="M33" s="13">
        <f>IF(VLOOKUP(B33,'Data World'!$A:$AL,MATCH(World!$M$1,'Data World'!$A$1:$AL$1,))=0,#N/A,VLOOKUP(B33,'Data World'!$A:$AL,MATCH(World!$M$1,'Data World'!$A$1:$AL$1,)))</f>
        <v/>
      </c>
      <c r="N33" s="13">
        <f>IF(VLOOKUP(B33,'Data World'!$A:$AL,MATCH(World!$N$1,'Data World'!$A$1:$AL$1,))=0,#N/A,VLOOKUP(B33,'Data World'!$A:$AL,MATCH(World!$N$1,'Data World'!$A$1:$AL$1,)))</f>
        <v/>
      </c>
      <c r="O33" s="13">
        <f>IF(VLOOKUP(B33,'Data World'!$A:$AL,MATCH(World!$O$1,'Data World'!$A$1:$AL$1,))=0,#N/A,VLOOKUP(B33,'Data World'!$A:$AL,MATCH(World!$O$1,'Data World'!$A$1:$AL$1,)))</f>
        <v/>
      </c>
      <c r="P33" s="13">
        <f>IF(VLOOKUP(B33,'Data World'!$A:$AL,MATCH(World!$P$1,'Data World'!$A$1:$AL$1,))=0,#N/A,VLOOKUP(B33,'Data World'!$A:$AL,MATCH(World!$P$1,'Data World'!$A$1:$AL$1,)))</f>
        <v/>
      </c>
      <c r="Q33" s="13">
        <f>IF(VLOOKUP(B33,'Data World'!$A:$AL,MATCH(World!$Q$1,'Data World'!$A$1:$AL$1,))=0,#N/A,VLOOKUP(B33,'Data World'!$A:$AL,MATCH(World!$Q$1,'Data World'!$A$1:$AL$1,)))</f>
        <v/>
      </c>
      <c r="R33" s="13">
        <f>IF(VLOOKUP(B33,'Data World'!$A:$AL,MATCH(World!$R$1,'Data World'!$A$1:$AL$1,))=0,#N/A,VLOOKUP(B33,'Data World'!$A:$AL,MATCH(World!$R$1,'Data World'!$A$1:$AL$1,)))</f>
        <v/>
      </c>
      <c r="S33" s="13">
        <f>IF(VLOOKUP(B33,'Data World'!$A:$AL,MATCH(World!$S$1,'Data World'!$A$1:$AL$1,))=0,#N/A,VLOOKUP(B33,'Data World'!$A:$AL,MATCH(World!$S$1,'Data World'!$A$1:$AL$1,)))</f>
        <v/>
      </c>
      <c r="T33" s="13">
        <f>IF(VLOOKUP(B33,'Data World'!$A:$AL,MATCH(World!$T$1,'Data World'!$A$1:$AL$1,))=0,#N/A,VLOOKUP(B33,'Data World'!$A:$AL,MATCH(World!$T$1,'Data World'!$A$1:$AL$1,)))</f>
        <v/>
      </c>
    </row>
    <row r="34">
      <c r="B34" s="12" t="n">
        <v>42978</v>
      </c>
      <c r="C34" s="13">
        <f>IF(VLOOKUP(B34,'Data World'!$A:$AL,MATCH(World!$C$1,'Data World'!$A$1:$AL$1,))=0,#N/A,VLOOKUP(B34,'Data World'!$A:$AL,MATCH(World!$C$1,'Data World'!$A$1:$AL$1,)))</f>
        <v/>
      </c>
      <c r="D34" s="13">
        <f>IF(VLOOKUP(B34,'Data World'!$A:$AL,MATCH(World!$D$1,'Data World'!$A$1:$AL$1,))=0,#N/A,VLOOKUP(B34,'Data World'!$A:$AL,MATCH(World!$D$1,'Data World'!$A$1:$AL$1,)))</f>
        <v/>
      </c>
      <c r="E34" s="13">
        <f>IF(VLOOKUP(B34,'Data World'!$A:$AL,MATCH(World!$E$1,'Data World'!$A$1:$AL$1,))=0,#N/A,VLOOKUP(B34,'Data World'!$A:$AL,MATCH(World!$E$1,'Data World'!$A$1:$AL$1,)))</f>
        <v/>
      </c>
      <c r="F34" s="13">
        <f>IF(VLOOKUP(B34,'Data World'!$A:$AL,MATCH(World!$F$1,'Data World'!$A$1:$AL$1,))=0,#N/A,VLOOKUP(B34,'Data World'!$A:$AL,MATCH(World!$F$1,'Data World'!$A$1:$AL$1,)))</f>
        <v/>
      </c>
      <c r="G34" s="13">
        <f>IF(VLOOKUP(B34,'Data World'!$A:$AL,MATCH(World!$G$1,'Data World'!$A$1:$AL$1,))=0,#N/A,VLOOKUP(B34,'Data World'!$A:$AL,MATCH(World!$G$1,'Data World'!$A$1:$AL$1,)))</f>
        <v/>
      </c>
      <c r="H34" s="13">
        <f>IF(VLOOKUP(B34,'Data World'!$A:$AL,MATCH(World!$H$1,'Data World'!$A$1:$AL$1,))=0,#N/A,VLOOKUP(B34,'Data World'!$A:$AL,MATCH(World!$H$1,'Data World'!$A$1:$AL$1,)))</f>
        <v/>
      </c>
      <c r="I34" s="13">
        <f>IF(VLOOKUP(B34,'Data World'!$A:$AL,MATCH(World!$I$1,'Data World'!$A$1:$AL$1,))=0,#N/A,VLOOKUP(B34,'Data World'!$A:$AL,MATCH(World!$I$1,'Data World'!$A$1:$AL$1,)))</f>
        <v/>
      </c>
      <c r="J34" s="13">
        <f>IF(VLOOKUP(B34,'Data World'!$A:$AL,MATCH(World!$J$1,'Data World'!$A$1:$AL$1,))=0,#N/A,VLOOKUP(B34,'Data World'!$A:$AL,MATCH(World!$J$1,'Data World'!$A$1:$AL$1,)))</f>
        <v/>
      </c>
      <c r="K34" s="13">
        <f>IF(VLOOKUP(B34,'Data World'!$A:$AL,MATCH(World!$K$1,'Data World'!$A$1:$AL$1,))=0,#N/A,VLOOKUP(B34,'Data World'!$A:$AL,MATCH(World!$K$1,'Data World'!$A$1:$AL$1,)))</f>
        <v/>
      </c>
      <c r="L34" s="13">
        <f>IF(VLOOKUP(B34,'Data World'!$A:$AL,MATCH(World!$L$1,'Data World'!$A$1:$AL$1,))=0,#N/A,VLOOKUP(B34,'Data World'!$A:$AL,MATCH(World!$L$1,'Data World'!$A$1:$AL$1,)))</f>
        <v/>
      </c>
      <c r="M34" s="13">
        <f>IF(VLOOKUP(B34,'Data World'!$A:$AL,MATCH(World!$M$1,'Data World'!$A$1:$AL$1,))=0,#N/A,VLOOKUP(B34,'Data World'!$A:$AL,MATCH(World!$M$1,'Data World'!$A$1:$AL$1,)))</f>
        <v/>
      </c>
      <c r="N34" s="13">
        <f>IF(VLOOKUP(B34,'Data World'!$A:$AL,MATCH(World!$N$1,'Data World'!$A$1:$AL$1,))=0,#N/A,VLOOKUP(B34,'Data World'!$A:$AL,MATCH(World!$N$1,'Data World'!$A$1:$AL$1,)))</f>
        <v/>
      </c>
      <c r="O34" s="13">
        <f>IF(VLOOKUP(B34,'Data World'!$A:$AL,MATCH(World!$O$1,'Data World'!$A$1:$AL$1,))=0,#N/A,VLOOKUP(B34,'Data World'!$A:$AL,MATCH(World!$O$1,'Data World'!$A$1:$AL$1,)))</f>
        <v/>
      </c>
      <c r="P34" s="13">
        <f>IF(VLOOKUP(B34,'Data World'!$A:$AL,MATCH(World!$P$1,'Data World'!$A$1:$AL$1,))=0,#N/A,VLOOKUP(B34,'Data World'!$A:$AL,MATCH(World!$P$1,'Data World'!$A$1:$AL$1,)))</f>
        <v/>
      </c>
      <c r="Q34" s="13">
        <f>IF(VLOOKUP(B34,'Data World'!$A:$AL,MATCH(World!$Q$1,'Data World'!$A$1:$AL$1,))=0,#N/A,VLOOKUP(B34,'Data World'!$A:$AL,MATCH(World!$Q$1,'Data World'!$A$1:$AL$1,)))</f>
        <v/>
      </c>
      <c r="R34" s="13">
        <f>IF(VLOOKUP(B34,'Data World'!$A:$AL,MATCH(World!$R$1,'Data World'!$A$1:$AL$1,))=0,#N/A,VLOOKUP(B34,'Data World'!$A:$AL,MATCH(World!$R$1,'Data World'!$A$1:$AL$1,)))</f>
        <v/>
      </c>
      <c r="S34" s="13">
        <f>IF(VLOOKUP(B34,'Data World'!$A:$AL,MATCH(World!$S$1,'Data World'!$A$1:$AL$1,))=0,#N/A,VLOOKUP(B34,'Data World'!$A:$AL,MATCH(World!$S$1,'Data World'!$A$1:$AL$1,)))</f>
        <v/>
      </c>
      <c r="T34" s="13">
        <f>IF(VLOOKUP(B34,'Data World'!$A:$AL,MATCH(World!$T$1,'Data World'!$A$1:$AL$1,))=0,#N/A,VLOOKUP(B34,'Data World'!$A:$AL,MATCH(World!$T$1,'Data World'!$A$1:$AL$1,)))</f>
        <v/>
      </c>
    </row>
    <row r="35">
      <c r="B35" s="12" t="n">
        <v>43008</v>
      </c>
      <c r="C35" s="13">
        <f>IF(VLOOKUP(B35,'Data World'!$A:$AL,MATCH(World!$C$1,'Data World'!$A$1:$AL$1,))=0,#N/A,VLOOKUP(B35,'Data World'!$A:$AL,MATCH(World!$C$1,'Data World'!$A$1:$AL$1,)))</f>
        <v/>
      </c>
      <c r="D35" s="13">
        <f>IF(VLOOKUP(B35,'Data World'!$A:$AL,MATCH(World!$D$1,'Data World'!$A$1:$AL$1,))=0,#N/A,VLOOKUP(B35,'Data World'!$A:$AL,MATCH(World!$D$1,'Data World'!$A$1:$AL$1,)))</f>
        <v/>
      </c>
      <c r="E35" s="13">
        <f>IF(VLOOKUP(B35,'Data World'!$A:$AL,MATCH(World!$E$1,'Data World'!$A$1:$AL$1,))=0,#N/A,VLOOKUP(B35,'Data World'!$A:$AL,MATCH(World!$E$1,'Data World'!$A$1:$AL$1,)))</f>
        <v/>
      </c>
      <c r="F35" s="13">
        <f>IF(VLOOKUP(B35,'Data World'!$A:$AL,MATCH(World!$F$1,'Data World'!$A$1:$AL$1,))=0,#N/A,VLOOKUP(B35,'Data World'!$A:$AL,MATCH(World!$F$1,'Data World'!$A$1:$AL$1,)))</f>
        <v/>
      </c>
      <c r="G35" s="13">
        <f>IF(VLOOKUP(B35,'Data World'!$A:$AL,MATCH(World!$G$1,'Data World'!$A$1:$AL$1,))=0,#N/A,VLOOKUP(B35,'Data World'!$A:$AL,MATCH(World!$G$1,'Data World'!$A$1:$AL$1,)))</f>
        <v/>
      </c>
      <c r="H35" s="13">
        <f>IF(VLOOKUP(B35,'Data World'!$A:$AL,MATCH(World!$H$1,'Data World'!$A$1:$AL$1,))=0,#N/A,VLOOKUP(B35,'Data World'!$A:$AL,MATCH(World!$H$1,'Data World'!$A$1:$AL$1,)))</f>
        <v/>
      </c>
      <c r="I35" s="13">
        <f>IF(VLOOKUP(B35,'Data World'!$A:$AL,MATCH(World!$I$1,'Data World'!$A$1:$AL$1,))=0,#N/A,VLOOKUP(B35,'Data World'!$A:$AL,MATCH(World!$I$1,'Data World'!$A$1:$AL$1,)))</f>
        <v/>
      </c>
      <c r="J35" s="13">
        <f>IF(VLOOKUP(B35,'Data World'!$A:$AL,MATCH(World!$J$1,'Data World'!$A$1:$AL$1,))=0,#N/A,VLOOKUP(B35,'Data World'!$A:$AL,MATCH(World!$J$1,'Data World'!$A$1:$AL$1,)))</f>
        <v/>
      </c>
      <c r="K35" s="13">
        <f>IF(VLOOKUP(B35,'Data World'!$A:$AL,MATCH(World!$K$1,'Data World'!$A$1:$AL$1,))=0,#N/A,VLOOKUP(B35,'Data World'!$A:$AL,MATCH(World!$K$1,'Data World'!$A$1:$AL$1,)))</f>
        <v/>
      </c>
      <c r="L35" s="13">
        <f>IF(VLOOKUP(B35,'Data World'!$A:$AL,MATCH(World!$L$1,'Data World'!$A$1:$AL$1,))=0,#N/A,VLOOKUP(B35,'Data World'!$A:$AL,MATCH(World!$L$1,'Data World'!$A$1:$AL$1,)))</f>
        <v/>
      </c>
      <c r="M35" s="13">
        <f>IF(VLOOKUP(B35,'Data World'!$A:$AL,MATCH(World!$M$1,'Data World'!$A$1:$AL$1,))=0,#N/A,VLOOKUP(B35,'Data World'!$A:$AL,MATCH(World!$M$1,'Data World'!$A$1:$AL$1,)))</f>
        <v/>
      </c>
      <c r="N35" s="13">
        <f>IF(VLOOKUP(B35,'Data World'!$A:$AL,MATCH(World!$N$1,'Data World'!$A$1:$AL$1,))=0,#N/A,VLOOKUP(B35,'Data World'!$A:$AL,MATCH(World!$N$1,'Data World'!$A$1:$AL$1,)))</f>
        <v/>
      </c>
      <c r="O35" s="13">
        <f>IF(VLOOKUP(B35,'Data World'!$A:$AL,MATCH(World!$O$1,'Data World'!$A$1:$AL$1,))=0,#N/A,VLOOKUP(B35,'Data World'!$A:$AL,MATCH(World!$O$1,'Data World'!$A$1:$AL$1,)))</f>
        <v/>
      </c>
      <c r="P35" s="13">
        <f>IF(VLOOKUP(B35,'Data World'!$A:$AL,MATCH(World!$P$1,'Data World'!$A$1:$AL$1,))=0,#N/A,VLOOKUP(B35,'Data World'!$A:$AL,MATCH(World!$P$1,'Data World'!$A$1:$AL$1,)))</f>
        <v/>
      </c>
      <c r="Q35" s="13">
        <f>IF(VLOOKUP(B35,'Data World'!$A:$AL,MATCH(World!$Q$1,'Data World'!$A$1:$AL$1,))=0,#N/A,VLOOKUP(B35,'Data World'!$A:$AL,MATCH(World!$Q$1,'Data World'!$A$1:$AL$1,)))</f>
        <v/>
      </c>
      <c r="R35" s="13">
        <f>IF(VLOOKUP(B35,'Data World'!$A:$AL,MATCH(World!$R$1,'Data World'!$A$1:$AL$1,))=0,#N/A,VLOOKUP(B35,'Data World'!$A:$AL,MATCH(World!$R$1,'Data World'!$A$1:$AL$1,)))</f>
        <v/>
      </c>
      <c r="S35" s="13">
        <f>IF(VLOOKUP(B35,'Data World'!$A:$AL,MATCH(World!$S$1,'Data World'!$A$1:$AL$1,))=0,#N/A,VLOOKUP(B35,'Data World'!$A:$AL,MATCH(World!$S$1,'Data World'!$A$1:$AL$1,)))</f>
        <v/>
      </c>
      <c r="T35" s="13">
        <f>IF(VLOOKUP(B35,'Data World'!$A:$AL,MATCH(World!$T$1,'Data World'!$A$1:$AL$1,))=0,#N/A,VLOOKUP(B35,'Data World'!$A:$AL,MATCH(World!$T$1,'Data World'!$A$1:$AL$1,)))</f>
        <v/>
      </c>
    </row>
    <row r="36">
      <c r="B36" s="12" t="n">
        <v>43039</v>
      </c>
      <c r="C36" s="13">
        <f>IF(VLOOKUP(B36,'Data World'!$A:$AL,MATCH(World!$C$1,'Data World'!$A$1:$AL$1,))=0,#N/A,VLOOKUP(B36,'Data World'!$A:$AL,MATCH(World!$C$1,'Data World'!$A$1:$AL$1,)))</f>
        <v/>
      </c>
      <c r="D36" s="13">
        <f>IF(VLOOKUP(B36,'Data World'!$A:$AL,MATCH(World!$D$1,'Data World'!$A$1:$AL$1,))=0,#N/A,VLOOKUP(B36,'Data World'!$A:$AL,MATCH(World!$D$1,'Data World'!$A$1:$AL$1,)))</f>
        <v/>
      </c>
      <c r="E36" s="13">
        <f>IF(VLOOKUP(B36,'Data World'!$A:$AL,MATCH(World!$E$1,'Data World'!$A$1:$AL$1,))=0,#N/A,VLOOKUP(B36,'Data World'!$A:$AL,MATCH(World!$E$1,'Data World'!$A$1:$AL$1,)))</f>
        <v/>
      </c>
      <c r="F36" s="13">
        <f>IF(VLOOKUP(B36,'Data World'!$A:$AL,MATCH(World!$F$1,'Data World'!$A$1:$AL$1,))=0,#N/A,VLOOKUP(B36,'Data World'!$A:$AL,MATCH(World!$F$1,'Data World'!$A$1:$AL$1,)))</f>
        <v/>
      </c>
      <c r="G36" s="13">
        <f>IF(VLOOKUP(B36,'Data World'!$A:$AL,MATCH(World!$G$1,'Data World'!$A$1:$AL$1,))=0,#N/A,VLOOKUP(B36,'Data World'!$A:$AL,MATCH(World!$G$1,'Data World'!$A$1:$AL$1,)))</f>
        <v/>
      </c>
      <c r="H36" s="13">
        <f>IF(VLOOKUP(B36,'Data World'!$A:$AL,MATCH(World!$H$1,'Data World'!$A$1:$AL$1,))=0,#N/A,VLOOKUP(B36,'Data World'!$A:$AL,MATCH(World!$H$1,'Data World'!$A$1:$AL$1,)))</f>
        <v/>
      </c>
      <c r="I36" s="13">
        <f>IF(VLOOKUP(B36,'Data World'!$A:$AL,MATCH(World!$I$1,'Data World'!$A$1:$AL$1,))=0,#N/A,VLOOKUP(B36,'Data World'!$A:$AL,MATCH(World!$I$1,'Data World'!$A$1:$AL$1,)))</f>
        <v/>
      </c>
      <c r="J36" s="13">
        <f>IF(VLOOKUP(B36,'Data World'!$A:$AL,MATCH(World!$J$1,'Data World'!$A$1:$AL$1,))=0,#N/A,VLOOKUP(B36,'Data World'!$A:$AL,MATCH(World!$J$1,'Data World'!$A$1:$AL$1,)))</f>
        <v/>
      </c>
      <c r="K36" s="13">
        <f>IF(VLOOKUP(B36,'Data World'!$A:$AL,MATCH(World!$K$1,'Data World'!$A$1:$AL$1,))=0,#N/A,VLOOKUP(B36,'Data World'!$A:$AL,MATCH(World!$K$1,'Data World'!$A$1:$AL$1,)))</f>
        <v/>
      </c>
      <c r="L36" s="13">
        <f>IF(VLOOKUP(B36,'Data World'!$A:$AL,MATCH(World!$L$1,'Data World'!$A$1:$AL$1,))=0,#N/A,VLOOKUP(B36,'Data World'!$A:$AL,MATCH(World!$L$1,'Data World'!$A$1:$AL$1,)))</f>
        <v/>
      </c>
      <c r="M36" s="13">
        <f>IF(VLOOKUP(B36,'Data World'!$A:$AL,MATCH(World!$M$1,'Data World'!$A$1:$AL$1,))=0,#N/A,VLOOKUP(B36,'Data World'!$A:$AL,MATCH(World!$M$1,'Data World'!$A$1:$AL$1,)))</f>
        <v/>
      </c>
      <c r="N36" s="13">
        <f>IF(VLOOKUP(B36,'Data World'!$A:$AL,MATCH(World!$N$1,'Data World'!$A$1:$AL$1,))=0,#N/A,VLOOKUP(B36,'Data World'!$A:$AL,MATCH(World!$N$1,'Data World'!$A$1:$AL$1,)))</f>
        <v/>
      </c>
      <c r="O36" s="13">
        <f>IF(VLOOKUP(B36,'Data World'!$A:$AL,MATCH(World!$O$1,'Data World'!$A$1:$AL$1,))=0,#N/A,VLOOKUP(B36,'Data World'!$A:$AL,MATCH(World!$O$1,'Data World'!$A$1:$AL$1,)))</f>
        <v/>
      </c>
      <c r="P36" s="13">
        <f>IF(VLOOKUP(B36,'Data World'!$A:$AL,MATCH(World!$P$1,'Data World'!$A$1:$AL$1,))=0,#N/A,VLOOKUP(B36,'Data World'!$A:$AL,MATCH(World!$P$1,'Data World'!$A$1:$AL$1,)))</f>
        <v/>
      </c>
      <c r="Q36" s="13">
        <f>IF(VLOOKUP(B36,'Data World'!$A:$AL,MATCH(World!$Q$1,'Data World'!$A$1:$AL$1,))=0,#N/A,VLOOKUP(B36,'Data World'!$A:$AL,MATCH(World!$Q$1,'Data World'!$A$1:$AL$1,)))</f>
        <v/>
      </c>
      <c r="R36" s="13">
        <f>IF(VLOOKUP(B36,'Data World'!$A:$AL,MATCH(World!$R$1,'Data World'!$A$1:$AL$1,))=0,#N/A,VLOOKUP(B36,'Data World'!$A:$AL,MATCH(World!$R$1,'Data World'!$A$1:$AL$1,)))</f>
        <v/>
      </c>
      <c r="S36" s="13">
        <f>IF(VLOOKUP(B36,'Data World'!$A:$AL,MATCH(World!$S$1,'Data World'!$A$1:$AL$1,))=0,#N/A,VLOOKUP(B36,'Data World'!$A:$AL,MATCH(World!$S$1,'Data World'!$A$1:$AL$1,)))</f>
        <v/>
      </c>
      <c r="T36" s="13">
        <f>IF(VLOOKUP(B36,'Data World'!$A:$AL,MATCH(World!$T$1,'Data World'!$A$1:$AL$1,))=0,#N/A,VLOOKUP(B36,'Data World'!$A:$AL,MATCH(World!$T$1,'Data World'!$A$1:$AL$1,)))</f>
        <v/>
      </c>
    </row>
    <row r="37">
      <c r="B37" s="12" t="n">
        <v>43069</v>
      </c>
      <c r="C37" s="13">
        <f>IF(VLOOKUP(B37,'Data World'!$A:$AL,MATCH(World!$C$1,'Data World'!$A$1:$AL$1,))=0,#N/A,VLOOKUP(B37,'Data World'!$A:$AL,MATCH(World!$C$1,'Data World'!$A$1:$AL$1,)))</f>
        <v/>
      </c>
      <c r="D37" s="13">
        <f>IF(VLOOKUP(B37,'Data World'!$A:$AL,MATCH(World!$D$1,'Data World'!$A$1:$AL$1,))=0,#N/A,VLOOKUP(B37,'Data World'!$A:$AL,MATCH(World!$D$1,'Data World'!$A$1:$AL$1,)))</f>
        <v/>
      </c>
      <c r="E37" s="13">
        <f>IF(VLOOKUP(B37,'Data World'!$A:$AL,MATCH(World!$E$1,'Data World'!$A$1:$AL$1,))=0,#N/A,VLOOKUP(B37,'Data World'!$A:$AL,MATCH(World!$E$1,'Data World'!$A$1:$AL$1,)))</f>
        <v/>
      </c>
      <c r="F37" s="13">
        <f>IF(VLOOKUP(B37,'Data World'!$A:$AL,MATCH(World!$F$1,'Data World'!$A$1:$AL$1,))=0,#N/A,VLOOKUP(B37,'Data World'!$A:$AL,MATCH(World!$F$1,'Data World'!$A$1:$AL$1,)))</f>
        <v/>
      </c>
      <c r="G37" s="13">
        <f>IF(VLOOKUP(B37,'Data World'!$A:$AL,MATCH(World!$G$1,'Data World'!$A$1:$AL$1,))=0,#N/A,VLOOKUP(B37,'Data World'!$A:$AL,MATCH(World!$G$1,'Data World'!$A$1:$AL$1,)))</f>
        <v/>
      </c>
      <c r="H37" s="13">
        <f>IF(VLOOKUP(B37,'Data World'!$A:$AL,MATCH(World!$H$1,'Data World'!$A$1:$AL$1,))=0,#N/A,VLOOKUP(B37,'Data World'!$A:$AL,MATCH(World!$H$1,'Data World'!$A$1:$AL$1,)))</f>
        <v/>
      </c>
      <c r="I37" s="13">
        <f>IF(VLOOKUP(B37,'Data World'!$A:$AL,MATCH(World!$I$1,'Data World'!$A$1:$AL$1,))=0,#N/A,VLOOKUP(B37,'Data World'!$A:$AL,MATCH(World!$I$1,'Data World'!$A$1:$AL$1,)))</f>
        <v/>
      </c>
      <c r="J37" s="13">
        <f>IF(VLOOKUP(B37,'Data World'!$A:$AL,MATCH(World!$J$1,'Data World'!$A$1:$AL$1,))=0,#N/A,VLOOKUP(B37,'Data World'!$A:$AL,MATCH(World!$J$1,'Data World'!$A$1:$AL$1,)))</f>
        <v/>
      </c>
      <c r="K37" s="13">
        <f>IF(VLOOKUP(B37,'Data World'!$A:$AL,MATCH(World!$K$1,'Data World'!$A$1:$AL$1,))=0,#N/A,VLOOKUP(B37,'Data World'!$A:$AL,MATCH(World!$K$1,'Data World'!$A$1:$AL$1,)))</f>
        <v/>
      </c>
      <c r="L37" s="13">
        <f>IF(VLOOKUP(B37,'Data World'!$A:$AL,MATCH(World!$L$1,'Data World'!$A$1:$AL$1,))=0,#N/A,VLOOKUP(B37,'Data World'!$A:$AL,MATCH(World!$L$1,'Data World'!$A$1:$AL$1,)))</f>
        <v/>
      </c>
      <c r="M37" s="13">
        <f>IF(VLOOKUP(B37,'Data World'!$A:$AL,MATCH(World!$M$1,'Data World'!$A$1:$AL$1,))=0,#N/A,VLOOKUP(B37,'Data World'!$A:$AL,MATCH(World!$M$1,'Data World'!$A$1:$AL$1,)))</f>
        <v/>
      </c>
      <c r="N37" s="13">
        <f>IF(VLOOKUP(B37,'Data World'!$A:$AL,MATCH(World!$N$1,'Data World'!$A$1:$AL$1,))=0,#N/A,VLOOKUP(B37,'Data World'!$A:$AL,MATCH(World!$N$1,'Data World'!$A$1:$AL$1,)))</f>
        <v/>
      </c>
      <c r="O37" s="13">
        <f>IF(VLOOKUP(B37,'Data World'!$A:$AL,MATCH(World!$O$1,'Data World'!$A$1:$AL$1,))=0,#N/A,VLOOKUP(B37,'Data World'!$A:$AL,MATCH(World!$O$1,'Data World'!$A$1:$AL$1,)))</f>
        <v/>
      </c>
      <c r="P37" s="13">
        <f>IF(VLOOKUP(B37,'Data World'!$A:$AL,MATCH(World!$P$1,'Data World'!$A$1:$AL$1,))=0,#N/A,VLOOKUP(B37,'Data World'!$A:$AL,MATCH(World!$P$1,'Data World'!$A$1:$AL$1,)))</f>
        <v/>
      </c>
      <c r="Q37" s="13">
        <f>IF(VLOOKUP(B37,'Data World'!$A:$AL,MATCH(World!$Q$1,'Data World'!$A$1:$AL$1,))=0,#N/A,VLOOKUP(B37,'Data World'!$A:$AL,MATCH(World!$Q$1,'Data World'!$A$1:$AL$1,)))</f>
        <v/>
      </c>
      <c r="R37" s="13">
        <f>IF(VLOOKUP(B37,'Data World'!$A:$AL,MATCH(World!$R$1,'Data World'!$A$1:$AL$1,))=0,#N/A,VLOOKUP(B37,'Data World'!$A:$AL,MATCH(World!$R$1,'Data World'!$A$1:$AL$1,)))</f>
        <v/>
      </c>
      <c r="S37" s="13">
        <f>IF(VLOOKUP(B37,'Data World'!$A:$AL,MATCH(World!$S$1,'Data World'!$A$1:$AL$1,))=0,#N/A,VLOOKUP(B37,'Data World'!$A:$AL,MATCH(World!$S$1,'Data World'!$A$1:$AL$1,)))</f>
        <v/>
      </c>
      <c r="T37" s="13">
        <f>IF(VLOOKUP(B37,'Data World'!$A:$AL,MATCH(World!$T$1,'Data World'!$A$1:$AL$1,))=0,#N/A,VLOOKUP(B37,'Data World'!$A:$AL,MATCH(World!$T$1,'Data World'!$A$1:$AL$1,)))</f>
        <v/>
      </c>
    </row>
    <row r="38">
      <c r="B38" s="12" t="n">
        <v>43100</v>
      </c>
      <c r="C38" s="13">
        <f>IF(VLOOKUP(B38,'Data World'!$A:$AL,MATCH(World!$C$1,'Data World'!$A$1:$AL$1,))=0,#N/A,VLOOKUP(B38,'Data World'!$A:$AL,MATCH(World!$C$1,'Data World'!$A$1:$AL$1,)))</f>
        <v/>
      </c>
      <c r="D38" s="13">
        <f>IF(VLOOKUP(B38,'Data World'!$A:$AL,MATCH(World!$D$1,'Data World'!$A$1:$AL$1,))=0,#N/A,VLOOKUP(B38,'Data World'!$A:$AL,MATCH(World!$D$1,'Data World'!$A$1:$AL$1,)))</f>
        <v/>
      </c>
      <c r="E38" s="13">
        <f>IF(VLOOKUP(B38,'Data World'!$A:$AL,MATCH(World!$E$1,'Data World'!$A$1:$AL$1,))=0,#N/A,VLOOKUP(B38,'Data World'!$A:$AL,MATCH(World!$E$1,'Data World'!$A$1:$AL$1,)))</f>
        <v/>
      </c>
      <c r="F38" s="13">
        <f>IF(VLOOKUP(B38,'Data World'!$A:$AL,MATCH(World!$F$1,'Data World'!$A$1:$AL$1,))=0,#N/A,VLOOKUP(B38,'Data World'!$A:$AL,MATCH(World!$F$1,'Data World'!$A$1:$AL$1,)))</f>
        <v/>
      </c>
      <c r="G38" s="13">
        <f>IF(VLOOKUP(B38,'Data World'!$A:$AL,MATCH(World!$G$1,'Data World'!$A$1:$AL$1,))=0,#N/A,VLOOKUP(B38,'Data World'!$A:$AL,MATCH(World!$G$1,'Data World'!$A$1:$AL$1,)))</f>
        <v/>
      </c>
      <c r="H38" s="13">
        <f>IF(VLOOKUP(B38,'Data World'!$A:$AL,MATCH(World!$H$1,'Data World'!$A$1:$AL$1,))=0,#N/A,VLOOKUP(B38,'Data World'!$A:$AL,MATCH(World!$H$1,'Data World'!$A$1:$AL$1,)))</f>
        <v/>
      </c>
      <c r="I38" s="13">
        <f>IF(VLOOKUP(B38,'Data World'!$A:$AL,MATCH(World!$I$1,'Data World'!$A$1:$AL$1,))=0,#N/A,VLOOKUP(B38,'Data World'!$A:$AL,MATCH(World!$I$1,'Data World'!$A$1:$AL$1,)))</f>
        <v/>
      </c>
      <c r="J38" s="13">
        <f>IF(VLOOKUP(B38,'Data World'!$A:$AL,MATCH(World!$J$1,'Data World'!$A$1:$AL$1,))=0,#N/A,VLOOKUP(B38,'Data World'!$A:$AL,MATCH(World!$J$1,'Data World'!$A$1:$AL$1,)))</f>
        <v/>
      </c>
      <c r="K38" s="13">
        <f>IF(VLOOKUP(B38,'Data World'!$A:$AL,MATCH(World!$K$1,'Data World'!$A$1:$AL$1,))=0,#N/A,VLOOKUP(B38,'Data World'!$A:$AL,MATCH(World!$K$1,'Data World'!$A$1:$AL$1,)))</f>
        <v/>
      </c>
      <c r="L38" s="13">
        <f>IF(VLOOKUP(B38,'Data World'!$A:$AL,MATCH(World!$L$1,'Data World'!$A$1:$AL$1,))=0,#N/A,VLOOKUP(B38,'Data World'!$A:$AL,MATCH(World!$L$1,'Data World'!$A$1:$AL$1,)))</f>
        <v/>
      </c>
      <c r="M38" s="13">
        <f>IF(VLOOKUP(B38,'Data World'!$A:$AL,MATCH(World!$M$1,'Data World'!$A$1:$AL$1,))=0,#N/A,VLOOKUP(B38,'Data World'!$A:$AL,MATCH(World!$M$1,'Data World'!$A$1:$AL$1,)))</f>
        <v/>
      </c>
      <c r="N38" s="13">
        <f>IF(VLOOKUP(B38,'Data World'!$A:$AL,MATCH(World!$N$1,'Data World'!$A$1:$AL$1,))=0,#N/A,VLOOKUP(B38,'Data World'!$A:$AL,MATCH(World!$N$1,'Data World'!$A$1:$AL$1,)))</f>
        <v/>
      </c>
      <c r="O38" s="13">
        <f>IF(VLOOKUP(B38,'Data World'!$A:$AL,MATCH(World!$O$1,'Data World'!$A$1:$AL$1,))=0,#N/A,VLOOKUP(B38,'Data World'!$A:$AL,MATCH(World!$O$1,'Data World'!$A$1:$AL$1,)))</f>
        <v/>
      </c>
      <c r="P38" s="13">
        <f>IF(VLOOKUP(B38,'Data World'!$A:$AL,MATCH(World!$P$1,'Data World'!$A$1:$AL$1,))=0,#N/A,VLOOKUP(B38,'Data World'!$A:$AL,MATCH(World!$P$1,'Data World'!$A$1:$AL$1,)))</f>
        <v/>
      </c>
      <c r="Q38" s="13">
        <f>IF(VLOOKUP(B38,'Data World'!$A:$AL,MATCH(World!$Q$1,'Data World'!$A$1:$AL$1,))=0,#N/A,VLOOKUP(B38,'Data World'!$A:$AL,MATCH(World!$Q$1,'Data World'!$A$1:$AL$1,)))</f>
        <v/>
      </c>
      <c r="R38" s="13">
        <f>IF(VLOOKUP(B38,'Data World'!$A:$AL,MATCH(World!$R$1,'Data World'!$A$1:$AL$1,))=0,#N/A,VLOOKUP(B38,'Data World'!$A:$AL,MATCH(World!$R$1,'Data World'!$A$1:$AL$1,)))</f>
        <v/>
      </c>
      <c r="S38" s="13">
        <f>IF(VLOOKUP(B38,'Data World'!$A:$AL,MATCH(World!$S$1,'Data World'!$A$1:$AL$1,))=0,#N/A,VLOOKUP(B38,'Data World'!$A:$AL,MATCH(World!$S$1,'Data World'!$A$1:$AL$1,)))</f>
        <v/>
      </c>
      <c r="T38" s="13">
        <f>IF(VLOOKUP(B38,'Data World'!$A:$AL,MATCH(World!$T$1,'Data World'!$A$1:$AL$1,))=0,#N/A,VLOOKUP(B38,'Data World'!$A:$AL,MATCH(World!$T$1,'Data World'!$A$1:$AL$1,)))</f>
        <v/>
      </c>
    </row>
    <row r="39">
      <c r="B39" s="12" t="n">
        <v>43131</v>
      </c>
      <c r="C39" s="13">
        <f>IF(VLOOKUP(B39,'Data World'!$A:$AL,MATCH(World!$C$1,'Data World'!$A$1:$AL$1,))=0,#N/A,VLOOKUP(B39,'Data World'!$A:$AL,MATCH(World!$C$1,'Data World'!$A$1:$AL$1,)))</f>
        <v/>
      </c>
      <c r="D39" s="13">
        <f>IF(VLOOKUP(B39,'Data World'!$A:$AL,MATCH(World!$D$1,'Data World'!$A$1:$AL$1,))=0,#N/A,VLOOKUP(B39,'Data World'!$A:$AL,MATCH(World!$D$1,'Data World'!$A$1:$AL$1,)))</f>
        <v/>
      </c>
      <c r="E39" s="13">
        <f>IF(VLOOKUP(B39,'Data World'!$A:$AL,MATCH(World!$E$1,'Data World'!$A$1:$AL$1,))=0,#N/A,VLOOKUP(B39,'Data World'!$A:$AL,MATCH(World!$E$1,'Data World'!$A$1:$AL$1,)))</f>
        <v/>
      </c>
      <c r="F39" s="13">
        <f>IF(VLOOKUP(B39,'Data World'!$A:$AL,MATCH(World!$F$1,'Data World'!$A$1:$AL$1,))=0,#N/A,VLOOKUP(B39,'Data World'!$A:$AL,MATCH(World!$F$1,'Data World'!$A$1:$AL$1,)))</f>
        <v/>
      </c>
      <c r="G39" s="13">
        <f>IF(VLOOKUP(B39,'Data World'!$A:$AL,MATCH(World!$G$1,'Data World'!$A$1:$AL$1,))=0,#N/A,VLOOKUP(B39,'Data World'!$A:$AL,MATCH(World!$G$1,'Data World'!$A$1:$AL$1,)))</f>
        <v/>
      </c>
      <c r="H39" s="13">
        <f>IF(VLOOKUP(B39,'Data World'!$A:$AL,MATCH(World!$H$1,'Data World'!$A$1:$AL$1,))=0,#N/A,VLOOKUP(B39,'Data World'!$A:$AL,MATCH(World!$H$1,'Data World'!$A$1:$AL$1,)))</f>
        <v/>
      </c>
      <c r="I39" s="13">
        <f>IF(VLOOKUP(B39,'Data World'!$A:$AL,MATCH(World!$I$1,'Data World'!$A$1:$AL$1,))=0,#N/A,VLOOKUP(B39,'Data World'!$A:$AL,MATCH(World!$I$1,'Data World'!$A$1:$AL$1,)))</f>
        <v/>
      </c>
      <c r="J39" s="13">
        <f>IF(VLOOKUP(B39,'Data World'!$A:$AL,MATCH(World!$J$1,'Data World'!$A$1:$AL$1,))=0,#N/A,VLOOKUP(B39,'Data World'!$A:$AL,MATCH(World!$J$1,'Data World'!$A$1:$AL$1,)))</f>
        <v/>
      </c>
      <c r="K39" s="13">
        <f>IF(VLOOKUP(B39,'Data World'!$A:$AL,MATCH(World!$K$1,'Data World'!$A$1:$AL$1,))=0,#N/A,VLOOKUP(B39,'Data World'!$A:$AL,MATCH(World!$K$1,'Data World'!$A$1:$AL$1,)))</f>
        <v/>
      </c>
      <c r="L39" s="13">
        <f>IF(VLOOKUP(B39,'Data World'!$A:$AL,MATCH(World!$L$1,'Data World'!$A$1:$AL$1,))=0,#N/A,VLOOKUP(B39,'Data World'!$A:$AL,MATCH(World!$L$1,'Data World'!$A$1:$AL$1,)))</f>
        <v/>
      </c>
      <c r="M39" s="13">
        <f>IF(VLOOKUP(B39,'Data World'!$A:$AL,MATCH(World!$M$1,'Data World'!$A$1:$AL$1,))=0,#N/A,VLOOKUP(B39,'Data World'!$A:$AL,MATCH(World!$M$1,'Data World'!$A$1:$AL$1,)))</f>
        <v/>
      </c>
      <c r="N39" s="13">
        <f>IF(VLOOKUP(B39,'Data World'!$A:$AL,MATCH(World!$N$1,'Data World'!$A$1:$AL$1,))=0,#N/A,VLOOKUP(B39,'Data World'!$A:$AL,MATCH(World!$N$1,'Data World'!$A$1:$AL$1,)))</f>
        <v/>
      </c>
      <c r="O39" s="13">
        <f>IF(VLOOKUP(B39,'Data World'!$A:$AL,MATCH(World!$O$1,'Data World'!$A$1:$AL$1,))=0,#N/A,VLOOKUP(B39,'Data World'!$A:$AL,MATCH(World!$O$1,'Data World'!$A$1:$AL$1,)))</f>
        <v/>
      </c>
      <c r="P39" s="13">
        <f>IF(VLOOKUP(B39,'Data World'!$A:$AL,MATCH(World!$P$1,'Data World'!$A$1:$AL$1,))=0,#N/A,VLOOKUP(B39,'Data World'!$A:$AL,MATCH(World!$P$1,'Data World'!$A$1:$AL$1,)))</f>
        <v/>
      </c>
      <c r="Q39" s="13">
        <f>IF(VLOOKUP(B39,'Data World'!$A:$AL,MATCH(World!$Q$1,'Data World'!$A$1:$AL$1,))=0,#N/A,VLOOKUP(B39,'Data World'!$A:$AL,MATCH(World!$Q$1,'Data World'!$A$1:$AL$1,)))</f>
        <v/>
      </c>
      <c r="R39" s="13">
        <f>IF(VLOOKUP(B39,'Data World'!$A:$AL,MATCH(World!$R$1,'Data World'!$A$1:$AL$1,))=0,#N/A,VLOOKUP(B39,'Data World'!$A:$AL,MATCH(World!$R$1,'Data World'!$A$1:$AL$1,)))</f>
        <v/>
      </c>
      <c r="S39" s="13">
        <f>IF(VLOOKUP(B39,'Data World'!$A:$AL,MATCH(World!$S$1,'Data World'!$A$1:$AL$1,))=0,#N/A,VLOOKUP(B39,'Data World'!$A:$AL,MATCH(World!$S$1,'Data World'!$A$1:$AL$1,)))</f>
        <v/>
      </c>
      <c r="T39" s="13">
        <f>IF(VLOOKUP(B39,'Data World'!$A:$AL,MATCH(World!$T$1,'Data World'!$A$1:$AL$1,))=0,#N/A,VLOOKUP(B39,'Data World'!$A:$AL,MATCH(World!$T$1,'Data World'!$A$1:$AL$1,)))</f>
        <v/>
      </c>
    </row>
    <row r="40">
      <c r="B40" s="12" t="n">
        <v>43159</v>
      </c>
      <c r="C40" s="13">
        <f>IF(VLOOKUP(B40,'Data World'!$A:$AL,MATCH(World!$C$1,'Data World'!$A$1:$AL$1,))=0,#N/A,VLOOKUP(B40,'Data World'!$A:$AL,MATCH(World!$C$1,'Data World'!$A$1:$AL$1,)))</f>
        <v/>
      </c>
      <c r="D40" s="13">
        <f>IF(VLOOKUP(B40,'Data World'!$A:$AL,MATCH(World!$D$1,'Data World'!$A$1:$AL$1,))=0,#N/A,VLOOKUP(B40,'Data World'!$A:$AL,MATCH(World!$D$1,'Data World'!$A$1:$AL$1,)))</f>
        <v/>
      </c>
      <c r="E40" s="13">
        <f>IF(VLOOKUP(B40,'Data World'!$A:$AL,MATCH(World!$E$1,'Data World'!$A$1:$AL$1,))=0,#N/A,VLOOKUP(B40,'Data World'!$A:$AL,MATCH(World!$E$1,'Data World'!$A$1:$AL$1,)))</f>
        <v/>
      </c>
      <c r="F40" s="13">
        <f>IF(VLOOKUP(B40,'Data World'!$A:$AL,MATCH(World!$F$1,'Data World'!$A$1:$AL$1,))=0,#N/A,VLOOKUP(B40,'Data World'!$A:$AL,MATCH(World!$F$1,'Data World'!$A$1:$AL$1,)))</f>
        <v/>
      </c>
      <c r="G40" s="13">
        <f>IF(VLOOKUP(B40,'Data World'!$A:$AL,MATCH(World!$G$1,'Data World'!$A$1:$AL$1,))=0,#N/A,VLOOKUP(B40,'Data World'!$A:$AL,MATCH(World!$G$1,'Data World'!$A$1:$AL$1,)))</f>
        <v/>
      </c>
      <c r="H40" s="13">
        <f>IF(VLOOKUP(B40,'Data World'!$A:$AL,MATCH(World!$H$1,'Data World'!$A$1:$AL$1,))=0,#N/A,VLOOKUP(B40,'Data World'!$A:$AL,MATCH(World!$H$1,'Data World'!$A$1:$AL$1,)))</f>
        <v/>
      </c>
      <c r="I40" s="13">
        <f>IF(VLOOKUP(B40,'Data World'!$A:$AL,MATCH(World!$I$1,'Data World'!$A$1:$AL$1,))=0,#N/A,VLOOKUP(B40,'Data World'!$A:$AL,MATCH(World!$I$1,'Data World'!$A$1:$AL$1,)))</f>
        <v/>
      </c>
      <c r="J40" s="13">
        <f>IF(VLOOKUP(B40,'Data World'!$A:$AL,MATCH(World!$J$1,'Data World'!$A$1:$AL$1,))=0,#N/A,VLOOKUP(B40,'Data World'!$A:$AL,MATCH(World!$J$1,'Data World'!$A$1:$AL$1,)))</f>
        <v/>
      </c>
      <c r="K40" s="13">
        <f>IF(VLOOKUP(B40,'Data World'!$A:$AL,MATCH(World!$K$1,'Data World'!$A$1:$AL$1,))=0,#N/A,VLOOKUP(B40,'Data World'!$A:$AL,MATCH(World!$K$1,'Data World'!$A$1:$AL$1,)))</f>
        <v/>
      </c>
      <c r="L40" s="13">
        <f>IF(VLOOKUP(B40,'Data World'!$A:$AL,MATCH(World!$L$1,'Data World'!$A$1:$AL$1,))=0,#N/A,VLOOKUP(B40,'Data World'!$A:$AL,MATCH(World!$L$1,'Data World'!$A$1:$AL$1,)))</f>
        <v/>
      </c>
      <c r="M40" s="13">
        <f>IF(VLOOKUP(B40,'Data World'!$A:$AL,MATCH(World!$M$1,'Data World'!$A$1:$AL$1,))=0,#N/A,VLOOKUP(B40,'Data World'!$A:$AL,MATCH(World!$M$1,'Data World'!$A$1:$AL$1,)))</f>
        <v/>
      </c>
      <c r="N40" s="13">
        <f>IF(VLOOKUP(B40,'Data World'!$A:$AL,MATCH(World!$N$1,'Data World'!$A$1:$AL$1,))=0,#N/A,VLOOKUP(B40,'Data World'!$A:$AL,MATCH(World!$N$1,'Data World'!$A$1:$AL$1,)))</f>
        <v/>
      </c>
      <c r="O40" s="13">
        <f>IF(VLOOKUP(B40,'Data World'!$A:$AL,MATCH(World!$O$1,'Data World'!$A$1:$AL$1,))=0,#N/A,VLOOKUP(B40,'Data World'!$A:$AL,MATCH(World!$O$1,'Data World'!$A$1:$AL$1,)))</f>
        <v/>
      </c>
      <c r="P40" s="13">
        <f>IF(VLOOKUP(B40,'Data World'!$A:$AL,MATCH(World!$P$1,'Data World'!$A$1:$AL$1,))=0,#N/A,VLOOKUP(B40,'Data World'!$A:$AL,MATCH(World!$P$1,'Data World'!$A$1:$AL$1,)))</f>
        <v/>
      </c>
      <c r="Q40" s="13">
        <f>IF(VLOOKUP(B40,'Data World'!$A:$AL,MATCH(World!$Q$1,'Data World'!$A$1:$AL$1,))=0,#N/A,VLOOKUP(B40,'Data World'!$A:$AL,MATCH(World!$Q$1,'Data World'!$A$1:$AL$1,)))</f>
        <v/>
      </c>
      <c r="R40" s="13">
        <f>IF(VLOOKUP(B40,'Data World'!$A:$AL,MATCH(World!$R$1,'Data World'!$A$1:$AL$1,))=0,#N/A,VLOOKUP(B40,'Data World'!$A:$AL,MATCH(World!$R$1,'Data World'!$A$1:$AL$1,)))</f>
        <v/>
      </c>
      <c r="S40" s="13">
        <f>IF(VLOOKUP(B40,'Data World'!$A:$AL,MATCH(World!$S$1,'Data World'!$A$1:$AL$1,))=0,#N/A,VLOOKUP(B40,'Data World'!$A:$AL,MATCH(World!$S$1,'Data World'!$A$1:$AL$1,)))</f>
        <v/>
      </c>
      <c r="T40" s="13">
        <f>IF(VLOOKUP(B40,'Data World'!$A:$AL,MATCH(World!$T$1,'Data World'!$A$1:$AL$1,))=0,#N/A,VLOOKUP(B40,'Data World'!$A:$AL,MATCH(World!$T$1,'Data World'!$A$1:$AL$1,)))</f>
        <v/>
      </c>
    </row>
    <row r="41">
      <c r="B41" s="12" t="n">
        <v>43190</v>
      </c>
      <c r="C41" s="13">
        <f>IF(VLOOKUP(B41,'Data World'!$A:$AL,MATCH(World!$C$1,'Data World'!$A$1:$AL$1,))=0,#N/A,VLOOKUP(B41,'Data World'!$A:$AL,MATCH(World!$C$1,'Data World'!$A$1:$AL$1,)))</f>
        <v/>
      </c>
      <c r="D41" s="13">
        <f>IF(VLOOKUP(B41,'Data World'!$A:$AL,MATCH(World!$D$1,'Data World'!$A$1:$AL$1,))=0,#N/A,VLOOKUP(B41,'Data World'!$A:$AL,MATCH(World!$D$1,'Data World'!$A$1:$AL$1,)))</f>
        <v/>
      </c>
      <c r="E41" s="13">
        <f>IF(VLOOKUP(B41,'Data World'!$A:$AL,MATCH(World!$E$1,'Data World'!$A$1:$AL$1,))=0,#N/A,VLOOKUP(B41,'Data World'!$A:$AL,MATCH(World!$E$1,'Data World'!$A$1:$AL$1,)))</f>
        <v/>
      </c>
      <c r="F41" s="13">
        <f>IF(VLOOKUP(B41,'Data World'!$A:$AL,MATCH(World!$F$1,'Data World'!$A$1:$AL$1,))=0,#N/A,VLOOKUP(B41,'Data World'!$A:$AL,MATCH(World!$F$1,'Data World'!$A$1:$AL$1,)))</f>
        <v/>
      </c>
      <c r="G41" s="13">
        <f>IF(VLOOKUP(B41,'Data World'!$A:$AL,MATCH(World!$G$1,'Data World'!$A$1:$AL$1,))=0,#N/A,VLOOKUP(B41,'Data World'!$A:$AL,MATCH(World!$G$1,'Data World'!$A$1:$AL$1,)))</f>
        <v/>
      </c>
      <c r="H41" s="13">
        <f>IF(VLOOKUP(B41,'Data World'!$A:$AL,MATCH(World!$H$1,'Data World'!$A$1:$AL$1,))=0,#N/A,VLOOKUP(B41,'Data World'!$A:$AL,MATCH(World!$H$1,'Data World'!$A$1:$AL$1,)))</f>
        <v/>
      </c>
      <c r="I41" s="13">
        <f>IF(VLOOKUP(B41,'Data World'!$A:$AL,MATCH(World!$I$1,'Data World'!$A$1:$AL$1,))=0,#N/A,VLOOKUP(B41,'Data World'!$A:$AL,MATCH(World!$I$1,'Data World'!$A$1:$AL$1,)))</f>
        <v/>
      </c>
      <c r="J41" s="13">
        <f>IF(VLOOKUP(B41,'Data World'!$A:$AL,MATCH(World!$J$1,'Data World'!$A$1:$AL$1,))=0,#N/A,VLOOKUP(B41,'Data World'!$A:$AL,MATCH(World!$J$1,'Data World'!$A$1:$AL$1,)))</f>
        <v/>
      </c>
      <c r="K41" s="13">
        <f>IF(VLOOKUP(B41,'Data World'!$A:$AL,MATCH(World!$K$1,'Data World'!$A$1:$AL$1,))=0,#N/A,VLOOKUP(B41,'Data World'!$A:$AL,MATCH(World!$K$1,'Data World'!$A$1:$AL$1,)))</f>
        <v/>
      </c>
      <c r="L41" s="13">
        <f>IF(VLOOKUP(B41,'Data World'!$A:$AL,MATCH(World!$L$1,'Data World'!$A$1:$AL$1,))=0,#N/A,VLOOKUP(B41,'Data World'!$A:$AL,MATCH(World!$L$1,'Data World'!$A$1:$AL$1,)))</f>
        <v/>
      </c>
      <c r="M41" s="13">
        <f>IF(VLOOKUP(B41,'Data World'!$A:$AL,MATCH(World!$M$1,'Data World'!$A$1:$AL$1,))=0,#N/A,VLOOKUP(B41,'Data World'!$A:$AL,MATCH(World!$M$1,'Data World'!$A$1:$AL$1,)))</f>
        <v/>
      </c>
      <c r="N41" s="13">
        <f>IF(VLOOKUP(B41,'Data World'!$A:$AL,MATCH(World!$N$1,'Data World'!$A$1:$AL$1,))=0,#N/A,VLOOKUP(B41,'Data World'!$A:$AL,MATCH(World!$N$1,'Data World'!$A$1:$AL$1,)))</f>
        <v/>
      </c>
      <c r="O41" s="13">
        <f>IF(VLOOKUP(B41,'Data World'!$A:$AL,MATCH(World!$O$1,'Data World'!$A$1:$AL$1,))=0,#N/A,VLOOKUP(B41,'Data World'!$A:$AL,MATCH(World!$O$1,'Data World'!$A$1:$AL$1,)))</f>
        <v/>
      </c>
      <c r="P41" s="13">
        <f>IF(VLOOKUP(B41,'Data World'!$A:$AL,MATCH(World!$P$1,'Data World'!$A$1:$AL$1,))=0,#N/A,VLOOKUP(B41,'Data World'!$A:$AL,MATCH(World!$P$1,'Data World'!$A$1:$AL$1,)))</f>
        <v/>
      </c>
      <c r="Q41" s="13">
        <f>IF(VLOOKUP(B41,'Data World'!$A:$AL,MATCH(World!$Q$1,'Data World'!$A$1:$AL$1,))=0,#N/A,VLOOKUP(B41,'Data World'!$A:$AL,MATCH(World!$Q$1,'Data World'!$A$1:$AL$1,)))</f>
        <v/>
      </c>
      <c r="R41" s="13">
        <f>IF(VLOOKUP(B41,'Data World'!$A:$AL,MATCH(World!$R$1,'Data World'!$A$1:$AL$1,))=0,#N/A,VLOOKUP(B41,'Data World'!$A:$AL,MATCH(World!$R$1,'Data World'!$A$1:$AL$1,)))</f>
        <v/>
      </c>
      <c r="S41" s="13">
        <f>IF(VLOOKUP(B41,'Data World'!$A:$AL,MATCH(World!$S$1,'Data World'!$A$1:$AL$1,))=0,#N/A,VLOOKUP(B41,'Data World'!$A:$AL,MATCH(World!$S$1,'Data World'!$A$1:$AL$1,)))</f>
        <v/>
      </c>
      <c r="T41" s="13">
        <f>IF(VLOOKUP(B41,'Data World'!$A:$AL,MATCH(World!$T$1,'Data World'!$A$1:$AL$1,))=0,#N/A,VLOOKUP(B41,'Data World'!$A:$AL,MATCH(World!$T$1,'Data World'!$A$1:$AL$1,)))</f>
        <v/>
      </c>
    </row>
    <row r="42">
      <c r="B42" s="12" t="n">
        <v>43220</v>
      </c>
      <c r="C42" s="13">
        <f>IF(VLOOKUP(B42,'Data World'!$A:$AL,MATCH(World!$C$1,'Data World'!$A$1:$AL$1,))=0,#N/A,VLOOKUP(B42,'Data World'!$A:$AL,MATCH(World!$C$1,'Data World'!$A$1:$AL$1,)))</f>
        <v/>
      </c>
      <c r="D42" s="13">
        <f>IF(VLOOKUP(B42,'Data World'!$A:$AL,MATCH(World!$D$1,'Data World'!$A$1:$AL$1,))=0,#N/A,VLOOKUP(B42,'Data World'!$A:$AL,MATCH(World!$D$1,'Data World'!$A$1:$AL$1,)))</f>
        <v/>
      </c>
      <c r="E42" s="13">
        <f>IF(VLOOKUP(B42,'Data World'!$A:$AL,MATCH(World!$E$1,'Data World'!$A$1:$AL$1,))=0,#N/A,VLOOKUP(B42,'Data World'!$A:$AL,MATCH(World!$E$1,'Data World'!$A$1:$AL$1,)))</f>
        <v/>
      </c>
      <c r="F42" s="13">
        <f>IF(VLOOKUP(B42,'Data World'!$A:$AL,MATCH(World!$F$1,'Data World'!$A$1:$AL$1,))=0,#N/A,VLOOKUP(B42,'Data World'!$A:$AL,MATCH(World!$F$1,'Data World'!$A$1:$AL$1,)))</f>
        <v/>
      </c>
      <c r="G42" s="13">
        <f>IF(VLOOKUP(B42,'Data World'!$A:$AL,MATCH(World!$G$1,'Data World'!$A$1:$AL$1,))=0,#N/A,VLOOKUP(B42,'Data World'!$A:$AL,MATCH(World!$G$1,'Data World'!$A$1:$AL$1,)))</f>
        <v/>
      </c>
      <c r="H42" s="13">
        <f>IF(VLOOKUP(B42,'Data World'!$A:$AL,MATCH(World!$H$1,'Data World'!$A$1:$AL$1,))=0,#N/A,VLOOKUP(B42,'Data World'!$A:$AL,MATCH(World!$H$1,'Data World'!$A$1:$AL$1,)))</f>
        <v/>
      </c>
      <c r="I42" s="13">
        <f>IF(VLOOKUP(B42,'Data World'!$A:$AL,MATCH(World!$I$1,'Data World'!$A$1:$AL$1,))=0,#N/A,VLOOKUP(B42,'Data World'!$A:$AL,MATCH(World!$I$1,'Data World'!$A$1:$AL$1,)))</f>
        <v/>
      </c>
      <c r="J42" s="13">
        <f>IF(VLOOKUP(B42,'Data World'!$A:$AL,MATCH(World!$J$1,'Data World'!$A$1:$AL$1,))=0,#N/A,VLOOKUP(B42,'Data World'!$A:$AL,MATCH(World!$J$1,'Data World'!$A$1:$AL$1,)))</f>
        <v/>
      </c>
      <c r="K42" s="13">
        <f>IF(VLOOKUP(B42,'Data World'!$A:$AL,MATCH(World!$K$1,'Data World'!$A$1:$AL$1,))=0,#N/A,VLOOKUP(B42,'Data World'!$A:$AL,MATCH(World!$K$1,'Data World'!$A$1:$AL$1,)))</f>
        <v/>
      </c>
      <c r="L42" s="13">
        <f>IF(VLOOKUP(B42,'Data World'!$A:$AL,MATCH(World!$L$1,'Data World'!$A$1:$AL$1,))=0,#N/A,VLOOKUP(B42,'Data World'!$A:$AL,MATCH(World!$L$1,'Data World'!$A$1:$AL$1,)))</f>
        <v/>
      </c>
      <c r="M42" s="13">
        <f>IF(VLOOKUP(B42,'Data World'!$A:$AL,MATCH(World!$M$1,'Data World'!$A$1:$AL$1,))=0,#N/A,VLOOKUP(B42,'Data World'!$A:$AL,MATCH(World!$M$1,'Data World'!$A$1:$AL$1,)))</f>
        <v/>
      </c>
      <c r="N42" s="13">
        <f>IF(VLOOKUP(B42,'Data World'!$A:$AL,MATCH(World!$N$1,'Data World'!$A$1:$AL$1,))=0,#N/A,VLOOKUP(B42,'Data World'!$A:$AL,MATCH(World!$N$1,'Data World'!$A$1:$AL$1,)))</f>
        <v/>
      </c>
      <c r="O42" s="13">
        <f>IF(VLOOKUP(B42,'Data World'!$A:$AL,MATCH(World!$O$1,'Data World'!$A$1:$AL$1,))=0,#N/A,VLOOKUP(B42,'Data World'!$A:$AL,MATCH(World!$O$1,'Data World'!$A$1:$AL$1,)))</f>
        <v/>
      </c>
      <c r="P42" s="13">
        <f>IF(VLOOKUP(B42,'Data World'!$A:$AL,MATCH(World!$P$1,'Data World'!$A$1:$AL$1,))=0,#N/A,VLOOKUP(B42,'Data World'!$A:$AL,MATCH(World!$P$1,'Data World'!$A$1:$AL$1,)))</f>
        <v/>
      </c>
      <c r="Q42" s="13">
        <f>IF(VLOOKUP(B42,'Data World'!$A:$AL,MATCH(World!$Q$1,'Data World'!$A$1:$AL$1,))=0,#N/A,VLOOKUP(B42,'Data World'!$A:$AL,MATCH(World!$Q$1,'Data World'!$A$1:$AL$1,)))</f>
        <v/>
      </c>
      <c r="R42" s="13">
        <f>IF(VLOOKUP(B42,'Data World'!$A:$AL,MATCH(World!$R$1,'Data World'!$A$1:$AL$1,))=0,#N/A,VLOOKUP(B42,'Data World'!$A:$AL,MATCH(World!$R$1,'Data World'!$A$1:$AL$1,)))</f>
        <v/>
      </c>
      <c r="S42" s="13">
        <f>IF(VLOOKUP(B42,'Data World'!$A:$AL,MATCH(World!$S$1,'Data World'!$A$1:$AL$1,))=0,#N/A,VLOOKUP(B42,'Data World'!$A:$AL,MATCH(World!$S$1,'Data World'!$A$1:$AL$1,)))</f>
        <v/>
      </c>
      <c r="T42" s="13">
        <f>IF(VLOOKUP(B42,'Data World'!$A:$AL,MATCH(World!$T$1,'Data World'!$A$1:$AL$1,))=0,#N/A,VLOOKUP(B42,'Data World'!$A:$AL,MATCH(World!$T$1,'Data World'!$A$1:$AL$1,)))</f>
        <v/>
      </c>
    </row>
    <row r="43" customFormat="1" s="63">
      <c r="B43" s="12" t="n">
        <v>43251</v>
      </c>
      <c r="C43" s="13">
        <f>IF(VLOOKUP(B43,'Data World'!$A:$AL,MATCH(World!$C$1,'Data World'!$A$1:$AL$1,))=0,#N/A,VLOOKUP(B43,'Data World'!$A:$AL,MATCH(World!$C$1,'Data World'!$A$1:$AL$1,)))</f>
        <v/>
      </c>
      <c r="D43" s="13">
        <f>IF(VLOOKUP(B43,'Data World'!$A:$AL,MATCH(World!$D$1,'Data World'!$A$1:$AL$1,))=0,#N/A,VLOOKUP(B43,'Data World'!$A:$AL,MATCH(World!$D$1,'Data World'!$A$1:$AL$1,)))</f>
        <v/>
      </c>
      <c r="E43" s="13">
        <f>IF(VLOOKUP(B43,'Data World'!$A:$AL,MATCH(World!$E$1,'Data World'!$A$1:$AL$1,))=0,#N/A,VLOOKUP(B43,'Data World'!$A:$AL,MATCH(World!$E$1,'Data World'!$A$1:$AL$1,)))</f>
        <v/>
      </c>
      <c r="F43" s="13">
        <f>IF(VLOOKUP(B43,'Data World'!$A:$AL,MATCH(World!$F$1,'Data World'!$A$1:$AL$1,))=0,#N/A,VLOOKUP(B43,'Data World'!$A:$AL,MATCH(World!$F$1,'Data World'!$A$1:$AL$1,)))</f>
        <v/>
      </c>
      <c r="G43" s="13">
        <f>IF(VLOOKUP(B43,'Data World'!$A:$AL,MATCH(World!$G$1,'Data World'!$A$1:$AL$1,))=0,#N/A,VLOOKUP(B43,'Data World'!$A:$AL,MATCH(World!$G$1,'Data World'!$A$1:$AL$1,)))</f>
        <v/>
      </c>
      <c r="H43" s="13">
        <f>IF(VLOOKUP(B43,'Data World'!$A:$AL,MATCH(World!$H$1,'Data World'!$A$1:$AL$1,))=0,#N/A,VLOOKUP(B43,'Data World'!$A:$AL,MATCH(World!$H$1,'Data World'!$A$1:$AL$1,)))</f>
        <v/>
      </c>
      <c r="I43" s="13">
        <f>IF(VLOOKUP(B43,'Data World'!$A:$AL,MATCH(World!$I$1,'Data World'!$A$1:$AL$1,))=0,#N/A,VLOOKUP(B43,'Data World'!$A:$AL,MATCH(World!$I$1,'Data World'!$A$1:$AL$1,)))</f>
        <v/>
      </c>
      <c r="J43" s="13">
        <f>IF(VLOOKUP(B43,'Data World'!$A:$AL,MATCH(World!$J$1,'Data World'!$A$1:$AL$1,))=0,#N/A,VLOOKUP(B43,'Data World'!$A:$AL,MATCH(World!$J$1,'Data World'!$A$1:$AL$1,)))</f>
        <v/>
      </c>
      <c r="K43" s="13">
        <f>IF(VLOOKUP(B43,'Data World'!$A:$AL,MATCH(World!$K$1,'Data World'!$A$1:$AL$1,))=0,#N/A,VLOOKUP(B43,'Data World'!$A:$AL,MATCH(World!$K$1,'Data World'!$A$1:$AL$1,)))</f>
        <v/>
      </c>
      <c r="L43" s="13">
        <f>IF(VLOOKUP(B43,'Data World'!$A:$AL,MATCH(World!$L$1,'Data World'!$A$1:$AL$1,))=0,#N/A,VLOOKUP(B43,'Data World'!$A:$AL,MATCH(World!$L$1,'Data World'!$A$1:$AL$1,)))</f>
        <v/>
      </c>
      <c r="M43" s="13">
        <f>IF(VLOOKUP(B43,'Data World'!$A:$AL,MATCH(World!$M$1,'Data World'!$A$1:$AL$1,))=0,#N/A,VLOOKUP(B43,'Data World'!$A:$AL,MATCH(World!$M$1,'Data World'!$A$1:$AL$1,)))</f>
        <v/>
      </c>
      <c r="N43" s="13">
        <f>IF(VLOOKUP(B43,'Data World'!$A:$AL,MATCH(World!$N$1,'Data World'!$A$1:$AL$1,))=0,#N/A,VLOOKUP(B43,'Data World'!$A:$AL,MATCH(World!$N$1,'Data World'!$A$1:$AL$1,)))</f>
        <v/>
      </c>
      <c r="O43" s="13">
        <f>IF(VLOOKUP(B43,'Data World'!$A:$AL,MATCH(World!$O$1,'Data World'!$A$1:$AL$1,))=0,#N/A,VLOOKUP(B43,'Data World'!$A:$AL,MATCH(World!$O$1,'Data World'!$A$1:$AL$1,)))</f>
        <v/>
      </c>
      <c r="P43" s="13">
        <f>IF(VLOOKUP(B43,'Data World'!$A:$AL,MATCH(World!$P$1,'Data World'!$A$1:$AL$1,))=0,#N/A,VLOOKUP(B43,'Data World'!$A:$AL,MATCH(World!$P$1,'Data World'!$A$1:$AL$1,)))</f>
        <v/>
      </c>
      <c r="Q43" s="13">
        <f>IF(VLOOKUP(B43,'Data World'!$A:$AL,MATCH(World!$Q$1,'Data World'!$A$1:$AL$1,))=0,#N/A,VLOOKUP(B43,'Data World'!$A:$AL,MATCH(World!$Q$1,'Data World'!$A$1:$AL$1,)))</f>
        <v/>
      </c>
      <c r="R43" s="13">
        <f>IF(VLOOKUP(B43,'Data World'!$A:$AL,MATCH(World!$R$1,'Data World'!$A$1:$AL$1,))=0,#N/A,VLOOKUP(B43,'Data World'!$A:$AL,MATCH(World!$R$1,'Data World'!$A$1:$AL$1,)))</f>
        <v/>
      </c>
      <c r="S43" s="13">
        <f>IF(VLOOKUP(B43,'Data World'!$A:$AL,MATCH(World!$S$1,'Data World'!$A$1:$AL$1,))=0,#N/A,VLOOKUP(B43,'Data World'!$A:$AL,MATCH(World!$S$1,'Data World'!$A$1:$AL$1,)))</f>
        <v/>
      </c>
      <c r="T43" s="13">
        <f>IF(VLOOKUP(B43,'Data World'!$A:$AL,MATCH(World!$T$1,'Data World'!$A$1:$AL$1,))=0,#N/A,VLOOKUP(B43,'Data World'!$A:$AL,MATCH(World!$T$1,'Data World'!$A$1:$AL$1,)))</f>
        <v/>
      </c>
    </row>
    <row r="44" customFormat="1" s="63">
      <c r="B44" s="12" t="n">
        <v>43281</v>
      </c>
      <c r="C44" s="13">
        <f>IF(VLOOKUP(B44,'Data World'!$A:$AL,MATCH(World!$C$1,'Data World'!$A$1:$AL$1,))=0,#N/A,VLOOKUP(B44,'Data World'!$A:$AL,MATCH(World!$C$1,'Data World'!$A$1:$AL$1,)))</f>
        <v/>
      </c>
      <c r="D44" s="13">
        <f>IF(VLOOKUP(B44,'Data World'!$A:$AL,MATCH(World!$D$1,'Data World'!$A$1:$AL$1,))=0,#N/A,VLOOKUP(B44,'Data World'!$A:$AL,MATCH(World!$D$1,'Data World'!$A$1:$AL$1,)))</f>
        <v/>
      </c>
      <c r="E44" s="13">
        <f>IF(VLOOKUP(B44,'Data World'!$A:$AL,MATCH(World!$E$1,'Data World'!$A$1:$AL$1,))=0,#N/A,VLOOKUP(B44,'Data World'!$A:$AL,MATCH(World!$E$1,'Data World'!$A$1:$AL$1,)))</f>
        <v/>
      </c>
      <c r="F44" s="13">
        <f>IF(VLOOKUP(B44,'Data World'!$A:$AL,MATCH(World!$F$1,'Data World'!$A$1:$AL$1,))=0,#N/A,VLOOKUP(B44,'Data World'!$A:$AL,MATCH(World!$F$1,'Data World'!$A$1:$AL$1,)))</f>
        <v/>
      </c>
      <c r="G44" s="13">
        <f>IF(VLOOKUP(B44,'Data World'!$A:$AL,MATCH(World!$G$1,'Data World'!$A$1:$AL$1,))=0,#N/A,VLOOKUP(B44,'Data World'!$A:$AL,MATCH(World!$G$1,'Data World'!$A$1:$AL$1,)))</f>
        <v/>
      </c>
      <c r="H44" s="13">
        <f>IF(VLOOKUP(B44,'Data World'!$A:$AL,MATCH(World!$H$1,'Data World'!$A$1:$AL$1,))=0,#N/A,VLOOKUP(B44,'Data World'!$A:$AL,MATCH(World!$H$1,'Data World'!$A$1:$AL$1,)))</f>
        <v/>
      </c>
      <c r="I44" s="13">
        <f>IF(VLOOKUP(B44,'Data World'!$A:$AL,MATCH(World!$I$1,'Data World'!$A$1:$AL$1,))=0,#N/A,VLOOKUP(B44,'Data World'!$A:$AL,MATCH(World!$I$1,'Data World'!$A$1:$AL$1,)))</f>
        <v/>
      </c>
      <c r="J44" s="13">
        <f>IF(VLOOKUP(B44,'Data World'!$A:$AL,MATCH(World!$J$1,'Data World'!$A$1:$AL$1,))=0,#N/A,VLOOKUP(B44,'Data World'!$A:$AL,MATCH(World!$J$1,'Data World'!$A$1:$AL$1,)))</f>
        <v/>
      </c>
      <c r="K44" s="13">
        <f>IF(VLOOKUP(B44,'Data World'!$A:$AL,MATCH(World!$K$1,'Data World'!$A$1:$AL$1,))=0,#N/A,VLOOKUP(B44,'Data World'!$A:$AL,MATCH(World!$K$1,'Data World'!$A$1:$AL$1,)))</f>
        <v/>
      </c>
      <c r="L44" s="13">
        <f>IF(VLOOKUP(B44,'Data World'!$A:$AL,MATCH(World!$L$1,'Data World'!$A$1:$AL$1,))=0,#N/A,VLOOKUP(B44,'Data World'!$A:$AL,MATCH(World!$L$1,'Data World'!$A$1:$AL$1,)))</f>
        <v/>
      </c>
      <c r="M44" s="13">
        <f>IF(VLOOKUP(B44,'Data World'!$A:$AL,MATCH(World!$M$1,'Data World'!$A$1:$AL$1,))=0,#N/A,VLOOKUP(B44,'Data World'!$A:$AL,MATCH(World!$M$1,'Data World'!$A$1:$AL$1,)))</f>
        <v/>
      </c>
      <c r="N44" s="13">
        <f>IF(VLOOKUP(B44,'Data World'!$A:$AL,MATCH(World!$N$1,'Data World'!$A$1:$AL$1,))=0,#N/A,VLOOKUP(B44,'Data World'!$A:$AL,MATCH(World!$N$1,'Data World'!$A$1:$AL$1,)))</f>
        <v/>
      </c>
      <c r="O44" s="13">
        <f>IF(VLOOKUP(B44,'Data World'!$A:$AL,MATCH(World!$O$1,'Data World'!$A$1:$AL$1,))=0,#N/A,VLOOKUP(B44,'Data World'!$A:$AL,MATCH(World!$O$1,'Data World'!$A$1:$AL$1,)))</f>
        <v/>
      </c>
      <c r="P44" s="13">
        <f>IF(VLOOKUP(B44,'Data World'!$A:$AL,MATCH(World!$P$1,'Data World'!$A$1:$AL$1,))=0,#N/A,VLOOKUP(B44,'Data World'!$A:$AL,MATCH(World!$P$1,'Data World'!$A$1:$AL$1,)))</f>
        <v/>
      </c>
      <c r="Q44" s="13">
        <f>IF(VLOOKUP(B44,'Data World'!$A:$AL,MATCH(World!$Q$1,'Data World'!$A$1:$AL$1,))=0,#N/A,VLOOKUP(B44,'Data World'!$A:$AL,MATCH(World!$Q$1,'Data World'!$A$1:$AL$1,)))</f>
        <v/>
      </c>
      <c r="R44" s="13">
        <f>IF(VLOOKUP(B44,'Data World'!$A:$AL,MATCH(World!$R$1,'Data World'!$A$1:$AL$1,))=0,#N/A,VLOOKUP(B44,'Data World'!$A:$AL,MATCH(World!$R$1,'Data World'!$A$1:$AL$1,)))</f>
        <v/>
      </c>
      <c r="S44" s="13">
        <f>IF(VLOOKUP(B44,'Data World'!$A:$AL,MATCH(World!$S$1,'Data World'!$A$1:$AL$1,))=0,#N/A,VLOOKUP(B44,'Data World'!$A:$AL,MATCH(World!$S$1,'Data World'!$A$1:$AL$1,)))</f>
        <v/>
      </c>
      <c r="T44" s="13">
        <f>IF(VLOOKUP(B44,'Data World'!$A:$AL,MATCH(World!$T$1,'Data World'!$A$1:$AL$1,))=0,#N/A,VLOOKUP(B44,'Data World'!$A:$AL,MATCH(World!$T$1,'Data World'!$A$1:$AL$1,)))</f>
        <v/>
      </c>
    </row>
    <row r="45" customFormat="1" s="63">
      <c r="B45" s="12" t="n">
        <v>43312</v>
      </c>
      <c r="C45" s="13">
        <f>IF(VLOOKUP(B45,'Data World'!$A:$AL,MATCH(World!$C$1,'Data World'!$A$1:$AL$1,))=0,#N/A,VLOOKUP(B45,'Data World'!$A:$AL,MATCH(World!$C$1,'Data World'!$A$1:$AL$1,)))</f>
        <v/>
      </c>
      <c r="D45" s="13">
        <f>IF(VLOOKUP(B45,'Data World'!$A:$AL,MATCH(World!$D$1,'Data World'!$A$1:$AL$1,))=0,#N/A,VLOOKUP(B45,'Data World'!$A:$AL,MATCH(World!$D$1,'Data World'!$A$1:$AL$1,)))</f>
        <v/>
      </c>
      <c r="E45" s="13">
        <f>IF(VLOOKUP(B45,'Data World'!$A:$AL,MATCH(World!$E$1,'Data World'!$A$1:$AL$1,))=0,#N/A,VLOOKUP(B45,'Data World'!$A:$AL,MATCH(World!$E$1,'Data World'!$A$1:$AL$1,)))</f>
        <v/>
      </c>
      <c r="F45" s="13">
        <f>IF(VLOOKUP(B45,'Data World'!$A:$AL,MATCH(World!$F$1,'Data World'!$A$1:$AL$1,))=0,#N/A,VLOOKUP(B45,'Data World'!$A:$AL,MATCH(World!$F$1,'Data World'!$A$1:$AL$1,)))</f>
        <v/>
      </c>
      <c r="G45" s="13">
        <f>IF(VLOOKUP(B45,'Data World'!$A:$AL,MATCH(World!$G$1,'Data World'!$A$1:$AL$1,))=0,#N/A,VLOOKUP(B45,'Data World'!$A:$AL,MATCH(World!$G$1,'Data World'!$A$1:$AL$1,)))</f>
        <v/>
      </c>
      <c r="H45" s="13">
        <f>IF(VLOOKUP(B45,'Data World'!$A:$AL,MATCH(World!$H$1,'Data World'!$A$1:$AL$1,))=0,#N/A,VLOOKUP(B45,'Data World'!$A:$AL,MATCH(World!$H$1,'Data World'!$A$1:$AL$1,)))</f>
        <v/>
      </c>
      <c r="I45" s="13">
        <f>IF(VLOOKUP(B45,'Data World'!$A:$AL,MATCH(World!$I$1,'Data World'!$A$1:$AL$1,))=0,#N/A,VLOOKUP(B45,'Data World'!$A:$AL,MATCH(World!$I$1,'Data World'!$A$1:$AL$1,)))</f>
        <v/>
      </c>
      <c r="J45" s="13">
        <f>IF(VLOOKUP(B45,'Data World'!$A:$AL,MATCH(World!$J$1,'Data World'!$A$1:$AL$1,))=0,#N/A,VLOOKUP(B45,'Data World'!$A:$AL,MATCH(World!$J$1,'Data World'!$A$1:$AL$1,)))</f>
        <v/>
      </c>
      <c r="K45" s="13">
        <f>IF(VLOOKUP(B45,'Data World'!$A:$AL,MATCH(World!$K$1,'Data World'!$A$1:$AL$1,))=0,#N/A,VLOOKUP(B45,'Data World'!$A:$AL,MATCH(World!$K$1,'Data World'!$A$1:$AL$1,)))</f>
        <v/>
      </c>
      <c r="L45" s="13">
        <f>IF(VLOOKUP(B45,'Data World'!$A:$AL,MATCH(World!$L$1,'Data World'!$A$1:$AL$1,))=0,#N/A,VLOOKUP(B45,'Data World'!$A:$AL,MATCH(World!$L$1,'Data World'!$A$1:$AL$1,)))</f>
        <v/>
      </c>
      <c r="M45" s="13">
        <f>IF(VLOOKUP(B45,'Data World'!$A:$AL,MATCH(World!$M$1,'Data World'!$A$1:$AL$1,))=0,#N/A,VLOOKUP(B45,'Data World'!$A:$AL,MATCH(World!$M$1,'Data World'!$A$1:$AL$1,)))</f>
        <v/>
      </c>
      <c r="N45" s="13">
        <f>IF(VLOOKUP(B45,'Data World'!$A:$AL,MATCH(World!$N$1,'Data World'!$A$1:$AL$1,))=0,#N/A,VLOOKUP(B45,'Data World'!$A:$AL,MATCH(World!$N$1,'Data World'!$A$1:$AL$1,)))</f>
        <v/>
      </c>
      <c r="O45" s="13">
        <f>IF(VLOOKUP(B45,'Data World'!$A:$AL,MATCH(World!$O$1,'Data World'!$A$1:$AL$1,))=0,#N/A,VLOOKUP(B45,'Data World'!$A:$AL,MATCH(World!$O$1,'Data World'!$A$1:$AL$1,)))</f>
        <v/>
      </c>
      <c r="P45" s="13">
        <f>IF(VLOOKUP(B45,'Data World'!$A:$AL,MATCH(World!$P$1,'Data World'!$A$1:$AL$1,))=0,#N/A,VLOOKUP(B45,'Data World'!$A:$AL,MATCH(World!$P$1,'Data World'!$A$1:$AL$1,)))</f>
        <v/>
      </c>
      <c r="Q45" s="13">
        <f>IF(VLOOKUP(B45,'Data World'!$A:$AL,MATCH(World!$Q$1,'Data World'!$A$1:$AL$1,))=0,#N/A,VLOOKUP(B45,'Data World'!$A:$AL,MATCH(World!$Q$1,'Data World'!$A$1:$AL$1,)))</f>
        <v/>
      </c>
      <c r="R45" s="13">
        <f>IF(VLOOKUP(B45,'Data World'!$A:$AL,MATCH(World!$R$1,'Data World'!$A$1:$AL$1,))=0,#N/A,VLOOKUP(B45,'Data World'!$A:$AL,MATCH(World!$R$1,'Data World'!$A$1:$AL$1,)))</f>
        <v/>
      </c>
      <c r="S45" s="13">
        <f>IF(VLOOKUP(B45,'Data World'!$A:$AL,MATCH(World!$S$1,'Data World'!$A$1:$AL$1,))=0,#N/A,VLOOKUP(B45,'Data World'!$A:$AL,MATCH(World!$S$1,'Data World'!$A$1:$AL$1,)))</f>
        <v/>
      </c>
      <c r="T45" s="13">
        <f>IF(VLOOKUP(B45,'Data World'!$A:$AL,MATCH(World!$T$1,'Data World'!$A$1:$AL$1,))=0,#N/A,VLOOKUP(B45,'Data World'!$A:$AL,MATCH(World!$T$1,'Data World'!$A$1:$AL$1,)))</f>
        <v/>
      </c>
    </row>
    <row r="46" customFormat="1" s="63">
      <c r="B46" s="12" t="n">
        <v>43343</v>
      </c>
      <c r="C46" s="13">
        <f>IF(VLOOKUP(B46,'Data World'!$A:$AL,MATCH(World!$C$1,'Data World'!$A$1:$AL$1,))=0,#N/A,VLOOKUP(B46,'Data World'!$A:$AL,MATCH(World!$C$1,'Data World'!$A$1:$AL$1,)))</f>
        <v/>
      </c>
      <c r="D46" s="13">
        <f>IF(VLOOKUP(B46,'Data World'!$A:$AL,MATCH(World!$D$1,'Data World'!$A$1:$AL$1,))=0,#N/A,VLOOKUP(B46,'Data World'!$A:$AL,MATCH(World!$D$1,'Data World'!$A$1:$AL$1,)))</f>
        <v/>
      </c>
      <c r="E46" s="13">
        <f>IF(VLOOKUP(B46,'Data World'!$A:$AL,MATCH(World!$E$1,'Data World'!$A$1:$AL$1,))=0,#N/A,VLOOKUP(B46,'Data World'!$A:$AL,MATCH(World!$E$1,'Data World'!$A$1:$AL$1,)))</f>
        <v/>
      </c>
      <c r="F46" s="13">
        <f>IF(VLOOKUP(B46,'Data World'!$A:$AL,MATCH(World!$F$1,'Data World'!$A$1:$AL$1,))=0,#N/A,VLOOKUP(B46,'Data World'!$A:$AL,MATCH(World!$F$1,'Data World'!$A$1:$AL$1,)))</f>
        <v/>
      </c>
      <c r="G46" s="13">
        <f>IF(VLOOKUP(B46,'Data World'!$A:$AL,MATCH(World!$G$1,'Data World'!$A$1:$AL$1,))=0,#N/A,VLOOKUP(B46,'Data World'!$A:$AL,MATCH(World!$G$1,'Data World'!$A$1:$AL$1,)))</f>
        <v/>
      </c>
      <c r="H46" s="13">
        <f>IF(VLOOKUP(B46,'Data World'!$A:$AL,MATCH(World!$H$1,'Data World'!$A$1:$AL$1,))=0,#N/A,VLOOKUP(B46,'Data World'!$A:$AL,MATCH(World!$H$1,'Data World'!$A$1:$AL$1,)))</f>
        <v/>
      </c>
      <c r="I46" s="13">
        <f>IF(VLOOKUP(B46,'Data World'!$A:$AL,MATCH(World!$I$1,'Data World'!$A$1:$AL$1,))=0,#N/A,VLOOKUP(B46,'Data World'!$A:$AL,MATCH(World!$I$1,'Data World'!$A$1:$AL$1,)))</f>
        <v/>
      </c>
      <c r="J46" s="13">
        <f>IF(VLOOKUP(B46,'Data World'!$A:$AL,MATCH(World!$J$1,'Data World'!$A$1:$AL$1,))=0,#N/A,VLOOKUP(B46,'Data World'!$A:$AL,MATCH(World!$J$1,'Data World'!$A$1:$AL$1,)))</f>
        <v/>
      </c>
      <c r="K46" s="13">
        <f>IF(VLOOKUP(B46,'Data World'!$A:$AL,MATCH(World!$K$1,'Data World'!$A$1:$AL$1,))=0,#N/A,VLOOKUP(B46,'Data World'!$A:$AL,MATCH(World!$K$1,'Data World'!$A$1:$AL$1,)))</f>
        <v/>
      </c>
      <c r="L46" s="13">
        <f>IF(VLOOKUP(B46,'Data World'!$A:$AL,MATCH(World!$L$1,'Data World'!$A$1:$AL$1,))=0,#N/A,VLOOKUP(B46,'Data World'!$A:$AL,MATCH(World!$L$1,'Data World'!$A$1:$AL$1,)))</f>
        <v/>
      </c>
      <c r="M46" s="13">
        <f>IF(VLOOKUP(B46,'Data World'!$A:$AL,MATCH(World!$M$1,'Data World'!$A$1:$AL$1,))=0,#N/A,VLOOKUP(B46,'Data World'!$A:$AL,MATCH(World!$M$1,'Data World'!$A$1:$AL$1,)))</f>
        <v/>
      </c>
      <c r="N46" s="13">
        <f>IF(VLOOKUP(B46,'Data World'!$A:$AL,MATCH(World!$N$1,'Data World'!$A$1:$AL$1,))=0,#N/A,VLOOKUP(B46,'Data World'!$A:$AL,MATCH(World!$N$1,'Data World'!$A$1:$AL$1,)))</f>
        <v/>
      </c>
      <c r="O46" s="13">
        <f>IF(VLOOKUP(B46,'Data World'!$A:$AL,MATCH(World!$O$1,'Data World'!$A$1:$AL$1,))=0,#N/A,VLOOKUP(B46,'Data World'!$A:$AL,MATCH(World!$O$1,'Data World'!$A$1:$AL$1,)))</f>
        <v/>
      </c>
      <c r="P46" s="13">
        <f>IF(VLOOKUP(B46,'Data World'!$A:$AL,MATCH(World!$P$1,'Data World'!$A$1:$AL$1,))=0,#N/A,VLOOKUP(B46,'Data World'!$A:$AL,MATCH(World!$P$1,'Data World'!$A$1:$AL$1,)))</f>
        <v/>
      </c>
      <c r="Q46" s="13">
        <f>IF(VLOOKUP(B46,'Data World'!$A:$AL,MATCH(World!$Q$1,'Data World'!$A$1:$AL$1,))=0,#N/A,VLOOKUP(B46,'Data World'!$A:$AL,MATCH(World!$Q$1,'Data World'!$A$1:$AL$1,)))</f>
        <v/>
      </c>
      <c r="R46" s="13">
        <f>IF(VLOOKUP(B46,'Data World'!$A:$AL,MATCH(World!$R$1,'Data World'!$A$1:$AL$1,))=0,#N/A,VLOOKUP(B46,'Data World'!$A:$AL,MATCH(World!$R$1,'Data World'!$A$1:$AL$1,)))</f>
        <v/>
      </c>
      <c r="S46" s="13">
        <f>IF(VLOOKUP(B46,'Data World'!$A:$AL,MATCH(World!$S$1,'Data World'!$A$1:$AL$1,))=0,#N/A,VLOOKUP(B46,'Data World'!$A:$AL,MATCH(World!$S$1,'Data World'!$A$1:$AL$1,)))</f>
        <v/>
      </c>
      <c r="T46" s="13">
        <f>IF(VLOOKUP(B46,'Data World'!$A:$AL,MATCH(World!$T$1,'Data World'!$A$1:$AL$1,))=0,#N/A,VLOOKUP(B46,'Data World'!$A:$AL,MATCH(World!$T$1,'Data World'!$A$1:$AL$1,)))</f>
        <v/>
      </c>
    </row>
    <row r="47" customFormat="1" s="63">
      <c r="B47" s="12" t="n">
        <v>43373</v>
      </c>
      <c r="C47" s="13">
        <f>IF(VLOOKUP(B47,'Data World'!$A:$AL,MATCH(World!$C$1,'Data World'!$A$1:$AL$1,))=0,#N/A,VLOOKUP(B47,'Data World'!$A:$AL,MATCH(World!$C$1,'Data World'!$A$1:$AL$1,)))</f>
        <v/>
      </c>
      <c r="D47" s="13">
        <f>IF(VLOOKUP(B47,'Data World'!$A:$AL,MATCH(World!$D$1,'Data World'!$A$1:$AL$1,))=0,#N/A,VLOOKUP(B47,'Data World'!$A:$AL,MATCH(World!$D$1,'Data World'!$A$1:$AL$1,)))</f>
        <v/>
      </c>
      <c r="E47" s="13">
        <f>IF(VLOOKUP(B47,'Data World'!$A:$AL,MATCH(World!$E$1,'Data World'!$A$1:$AL$1,))=0,#N/A,VLOOKUP(B47,'Data World'!$A:$AL,MATCH(World!$E$1,'Data World'!$A$1:$AL$1,)))</f>
        <v/>
      </c>
      <c r="F47" s="13">
        <f>IF(VLOOKUP(B47,'Data World'!$A:$AL,MATCH(World!$F$1,'Data World'!$A$1:$AL$1,))=0,#N/A,VLOOKUP(B47,'Data World'!$A:$AL,MATCH(World!$F$1,'Data World'!$A$1:$AL$1,)))</f>
        <v/>
      </c>
      <c r="G47" s="13">
        <f>IF(VLOOKUP(B47,'Data World'!$A:$AL,MATCH(World!$G$1,'Data World'!$A$1:$AL$1,))=0,#N/A,VLOOKUP(B47,'Data World'!$A:$AL,MATCH(World!$G$1,'Data World'!$A$1:$AL$1,)))</f>
        <v/>
      </c>
      <c r="H47" s="13">
        <f>IF(VLOOKUP(B47,'Data World'!$A:$AL,MATCH(World!$H$1,'Data World'!$A$1:$AL$1,))=0,#N/A,VLOOKUP(B47,'Data World'!$A:$AL,MATCH(World!$H$1,'Data World'!$A$1:$AL$1,)))</f>
        <v/>
      </c>
      <c r="I47" s="13">
        <f>IF(VLOOKUP(B47,'Data World'!$A:$AL,MATCH(World!$I$1,'Data World'!$A$1:$AL$1,))=0,#N/A,VLOOKUP(B47,'Data World'!$A:$AL,MATCH(World!$I$1,'Data World'!$A$1:$AL$1,)))</f>
        <v/>
      </c>
      <c r="J47" s="13">
        <f>IF(VLOOKUP(B47,'Data World'!$A:$AL,MATCH(World!$J$1,'Data World'!$A$1:$AL$1,))=0,#N/A,VLOOKUP(B47,'Data World'!$A:$AL,MATCH(World!$J$1,'Data World'!$A$1:$AL$1,)))</f>
        <v/>
      </c>
      <c r="K47" s="13">
        <f>IF(VLOOKUP(B47,'Data World'!$A:$AL,MATCH(World!$K$1,'Data World'!$A$1:$AL$1,))=0,#N/A,VLOOKUP(B47,'Data World'!$A:$AL,MATCH(World!$K$1,'Data World'!$A$1:$AL$1,)))</f>
        <v/>
      </c>
      <c r="L47" s="13">
        <f>IF(VLOOKUP(B47,'Data World'!$A:$AL,MATCH(World!$L$1,'Data World'!$A$1:$AL$1,))=0,#N/A,VLOOKUP(B47,'Data World'!$A:$AL,MATCH(World!$L$1,'Data World'!$A$1:$AL$1,)))</f>
        <v/>
      </c>
      <c r="M47" s="13">
        <f>IF(VLOOKUP(B47,'Data World'!$A:$AL,MATCH(World!$M$1,'Data World'!$A$1:$AL$1,))=0,#N/A,VLOOKUP(B47,'Data World'!$A:$AL,MATCH(World!$M$1,'Data World'!$A$1:$AL$1,)))</f>
        <v/>
      </c>
      <c r="N47" s="13">
        <f>IF(VLOOKUP(B47,'Data World'!$A:$AL,MATCH(World!$N$1,'Data World'!$A$1:$AL$1,))=0,#N/A,VLOOKUP(B47,'Data World'!$A:$AL,MATCH(World!$N$1,'Data World'!$A$1:$AL$1,)))</f>
        <v/>
      </c>
      <c r="O47" s="13">
        <f>IF(VLOOKUP(B47,'Data World'!$A:$AL,MATCH(World!$O$1,'Data World'!$A$1:$AL$1,))=0,#N/A,VLOOKUP(B47,'Data World'!$A:$AL,MATCH(World!$O$1,'Data World'!$A$1:$AL$1,)))</f>
        <v/>
      </c>
      <c r="P47" s="13">
        <f>IF(VLOOKUP(B47,'Data World'!$A:$AL,MATCH(World!$P$1,'Data World'!$A$1:$AL$1,))=0,#N/A,VLOOKUP(B47,'Data World'!$A:$AL,MATCH(World!$P$1,'Data World'!$A$1:$AL$1,)))</f>
        <v/>
      </c>
      <c r="Q47" s="13">
        <f>IF(VLOOKUP(B47,'Data World'!$A:$AL,MATCH(World!$Q$1,'Data World'!$A$1:$AL$1,))=0,#N/A,VLOOKUP(B47,'Data World'!$A:$AL,MATCH(World!$Q$1,'Data World'!$A$1:$AL$1,)))</f>
        <v/>
      </c>
      <c r="R47" s="13">
        <f>IF(VLOOKUP(B47,'Data World'!$A:$AL,MATCH(World!$R$1,'Data World'!$A$1:$AL$1,))=0,#N/A,VLOOKUP(B47,'Data World'!$A:$AL,MATCH(World!$R$1,'Data World'!$A$1:$AL$1,)))</f>
        <v/>
      </c>
      <c r="S47" s="13">
        <f>IF(VLOOKUP(B47,'Data World'!$A:$AL,MATCH(World!$S$1,'Data World'!$A$1:$AL$1,))=0,#N/A,VLOOKUP(B47,'Data World'!$A:$AL,MATCH(World!$S$1,'Data World'!$A$1:$AL$1,)))</f>
        <v/>
      </c>
      <c r="T47" s="13">
        <f>IF(VLOOKUP(B47,'Data World'!$A:$AL,MATCH(World!$T$1,'Data World'!$A$1:$AL$1,))=0,#N/A,VLOOKUP(B47,'Data World'!$A:$AL,MATCH(World!$T$1,'Data World'!$A$1:$AL$1,)))</f>
        <v/>
      </c>
    </row>
    <row r="48" customFormat="1" s="63">
      <c r="B48" s="12" t="n">
        <v>43404</v>
      </c>
      <c r="C48" s="13">
        <f>IF(VLOOKUP(B48,'Data World'!$A:$AL,MATCH(World!$C$1,'Data World'!$A$1:$AL$1,))=0,#N/A,VLOOKUP(B48,'Data World'!$A:$AL,MATCH(World!$C$1,'Data World'!$A$1:$AL$1,)))</f>
        <v/>
      </c>
      <c r="D48" s="13">
        <f>IF(VLOOKUP(B48,'Data World'!$A:$AL,MATCH(World!$D$1,'Data World'!$A$1:$AL$1,))=0,#N/A,VLOOKUP(B48,'Data World'!$A:$AL,MATCH(World!$D$1,'Data World'!$A$1:$AL$1,)))</f>
        <v/>
      </c>
      <c r="E48" s="13">
        <f>IF(VLOOKUP(B48,'Data World'!$A:$AL,MATCH(World!$E$1,'Data World'!$A$1:$AL$1,))=0,#N/A,VLOOKUP(B48,'Data World'!$A:$AL,MATCH(World!$E$1,'Data World'!$A$1:$AL$1,)))</f>
        <v/>
      </c>
      <c r="F48" s="13">
        <f>IF(VLOOKUP(B48,'Data World'!$A:$AL,MATCH(World!$F$1,'Data World'!$A$1:$AL$1,))=0,#N/A,VLOOKUP(B48,'Data World'!$A:$AL,MATCH(World!$F$1,'Data World'!$A$1:$AL$1,)))</f>
        <v/>
      </c>
      <c r="G48" s="13">
        <f>IF(VLOOKUP(B48,'Data World'!$A:$AL,MATCH(World!$G$1,'Data World'!$A$1:$AL$1,))=0,#N/A,VLOOKUP(B48,'Data World'!$A:$AL,MATCH(World!$G$1,'Data World'!$A$1:$AL$1,)))</f>
        <v/>
      </c>
      <c r="H48" s="13">
        <f>IF(VLOOKUP(B48,'Data World'!$A:$AL,MATCH(World!$H$1,'Data World'!$A$1:$AL$1,))=0,#N/A,VLOOKUP(B48,'Data World'!$A:$AL,MATCH(World!$H$1,'Data World'!$A$1:$AL$1,)))</f>
        <v/>
      </c>
      <c r="I48" s="13">
        <f>IF(VLOOKUP(B48,'Data World'!$A:$AL,MATCH(World!$I$1,'Data World'!$A$1:$AL$1,))=0,#N/A,VLOOKUP(B48,'Data World'!$A:$AL,MATCH(World!$I$1,'Data World'!$A$1:$AL$1,)))</f>
        <v/>
      </c>
      <c r="J48" s="13">
        <f>IF(VLOOKUP(B48,'Data World'!$A:$AL,MATCH(World!$J$1,'Data World'!$A$1:$AL$1,))=0,#N/A,VLOOKUP(B48,'Data World'!$A:$AL,MATCH(World!$J$1,'Data World'!$A$1:$AL$1,)))</f>
        <v/>
      </c>
      <c r="K48" s="13">
        <f>IF(VLOOKUP(B48,'Data World'!$A:$AL,MATCH(World!$K$1,'Data World'!$A$1:$AL$1,))=0,#N/A,VLOOKUP(B48,'Data World'!$A:$AL,MATCH(World!$K$1,'Data World'!$A$1:$AL$1,)))</f>
        <v/>
      </c>
      <c r="L48" s="13">
        <f>IF(VLOOKUP(B48,'Data World'!$A:$AL,MATCH(World!$L$1,'Data World'!$A$1:$AL$1,))=0,#N/A,VLOOKUP(B48,'Data World'!$A:$AL,MATCH(World!$L$1,'Data World'!$A$1:$AL$1,)))</f>
        <v/>
      </c>
      <c r="M48" s="13">
        <f>IF(VLOOKUP(B48,'Data World'!$A:$AL,MATCH(World!$M$1,'Data World'!$A$1:$AL$1,))=0,#N/A,VLOOKUP(B48,'Data World'!$A:$AL,MATCH(World!$M$1,'Data World'!$A$1:$AL$1,)))</f>
        <v/>
      </c>
      <c r="N48" s="13">
        <f>IF(VLOOKUP(B48,'Data World'!$A:$AL,MATCH(World!$N$1,'Data World'!$A$1:$AL$1,))=0,#N/A,VLOOKUP(B48,'Data World'!$A:$AL,MATCH(World!$N$1,'Data World'!$A$1:$AL$1,)))</f>
        <v/>
      </c>
      <c r="O48" s="13">
        <f>IF(VLOOKUP(B48,'Data World'!$A:$AL,MATCH(World!$O$1,'Data World'!$A$1:$AL$1,))=0,#N/A,VLOOKUP(B48,'Data World'!$A:$AL,MATCH(World!$O$1,'Data World'!$A$1:$AL$1,)))</f>
        <v/>
      </c>
      <c r="P48" s="13">
        <f>IF(VLOOKUP(B48,'Data World'!$A:$AL,MATCH(World!$P$1,'Data World'!$A$1:$AL$1,))=0,#N/A,VLOOKUP(B48,'Data World'!$A:$AL,MATCH(World!$P$1,'Data World'!$A$1:$AL$1,)))</f>
        <v/>
      </c>
      <c r="Q48" s="13">
        <f>IF(VLOOKUP(B48,'Data World'!$A:$AL,MATCH(World!$Q$1,'Data World'!$A$1:$AL$1,))=0,#N/A,VLOOKUP(B48,'Data World'!$A:$AL,MATCH(World!$Q$1,'Data World'!$A$1:$AL$1,)))</f>
        <v/>
      </c>
      <c r="R48" s="13">
        <f>IF(VLOOKUP(B48,'Data World'!$A:$AL,MATCH(World!$R$1,'Data World'!$A$1:$AL$1,))=0,#N/A,VLOOKUP(B48,'Data World'!$A:$AL,MATCH(World!$R$1,'Data World'!$A$1:$AL$1,)))</f>
        <v/>
      </c>
      <c r="S48" s="13">
        <f>IF(VLOOKUP(B48,'Data World'!$A:$AL,MATCH(World!$S$1,'Data World'!$A$1:$AL$1,))=0,#N/A,VLOOKUP(B48,'Data World'!$A:$AL,MATCH(World!$S$1,'Data World'!$A$1:$AL$1,)))</f>
        <v/>
      </c>
      <c r="T48" s="13">
        <f>IF(VLOOKUP(B48,'Data World'!$A:$AL,MATCH(World!$T$1,'Data World'!$A$1:$AL$1,))=0,#N/A,VLOOKUP(B48,'Data World'!$A:$AL,MATCH(World!$T$1,'Data World'!$A$1:$AL$1,)))</f>
        <v/>
      </c>
    </row>
    <row r="49" customFormat="1" s="63">
      <c r="B49" s="12" t="n">
        <v>43434</v>
      </c>
      <c r="C49" s="13">
        <f>IF(VLOOKUP(B49,'Data World'!$A:$AL,MATCH(World!$C$1,'Data World'!$A$1:$AL$1,))=0,#N/A,VLOOKUP(B49,'Data World'!$A:$AL,MATCH(World!$C$1,'Data World'!$A$1:$AL$1,)))</f>
        <v/>
      </c>
      <c r="D49" s="13">
        <f>IF(VLOOKUP(B49,'Data World'!$A:$AL,MATCH(World!$D$1,'Data World'!$A$1:$AL$1,))=0,#N/A,VLOOKUP(B49,'Data World'!$A:$AL,MATCH(World!$D$1,'Data World'!$A$1:$AL$1,)))</f>
        <v/>
      </c>
      <c r="E49" s="13">
        <f>IF(VLOOKUP(B49,'Data World'!$A:$AL,MATCH(World!$E$1,'Data World'!$A$1:$AL$1,))=0,#N/A,VLOOKUP(B49,'Data World'!$A:$AL,MATCH(World!$E$1,'Data World'!$A$1:$AL$1,)))</f>
        <v/>
      </c>
      <c r="F49" s="13">
        <f>IF(VLOOKUP(B49,'Data World'!$A:$AL,MATCH(World!$F$1,'Data World'!$A$1:$AL$1,))=0,#N/A,VLOOKUP(B49,'Data World'!$A:$AL,MATCH(World!$F$1,'Data World'!$A$1:$AL$1,)))</f>
        <v/>
      </c>
      <c r="G49" s="13">
        <f>IF(VLOOKUP(B49,'Data World'!$A:$AL,MATCH(World!$G$1,'Data World'!$A$1:$AL$1,))=0,#N/A,VLOOKUP(B49,'Data World'!$A:$AL,MATCH(World!$G$1,'Data World'!$A$1:$AL$1,)))</f>
        <v/>
      </c>
      <c r="H49" s="13">
        <f>IF(VLOOKUP(B49,'Data World'!$A:$AL,MATCH(World!$H$1,'Data World'!$A$1:$AL$1,))=0,#N/A,VLOOKUP(B49,'Data World'!$A:$AL,MATCH(World!$H$1,'Data World'!$A$1:$AL$1,)))</f>
        <v/>
      </c>
      <c r="I49" s="13">
        <f>IF(VLOOKUP(B49,'Data World'!$A:$AL,MATCH(World!$I$1,'Data World'!$A$1:$AL$1,))=0,#N/A,VLOOKUP(B49,'Data World'!$A:$AL,MATCH(World!$I$1,'Data World'!$A$1:$AL$1,)))</f>
        <v/>
      </c>
      <c r="J49" s="13">
        <f>IF(VLOOKUP(B49,'Data World'!$A:$AL,MATCH(World!$J$1,'Data World'!$A$1:$AL$1,))=0,#N/A,VLOOKUP(B49,'Data World'!$A:$AL,MATCH(World!$J$1,'Data World'!$A$1:$AL$1,)))</f>
        <v/>
      </c>
      <c r="K49" s="13">
        <f>IF(VLOOKUP(B49,'Data World'!$A:$AL,MATCH(World!$K$1,'Data World'!$A$1:$AL$1,))=0,#N/A,VLOOKUP(B49,'Data World'!$A:$AL,MATCH(World!$K$1,'Data World'!$A$1:$AL$1,)))</f>
        <v/>
      </c>
      <c r="L49" s="13">
        <f>IF(VLOOKUP(B49,'Data World'!$A:$AL,MATCH(World!$L$1,'Data World'!$A$1:$AL$1,))=0,#N/A,VLOOKUP(B49,'Data World'!$A:$AL,MATCH(World!$L$1,'Data World'!$A$1:$AL$1,)))</f>
        <v/>
      </c>
      <c r="M49" s="13">
        <f>IF(VLOOKUP(B49,'Data World'!$A:$AL,MATCH(World!$M$1,'Data World'!$A$1:$AL$1,))=0,#N/A,VLOOKUP(B49,'Data World'!$A:$AL,MATCH(World!$M$1,'Data World'!$A$1:$AL$1,)))</f>
        <v/>
      </c>
      <c r="N49" s="13">
        <f>IF(VLOOKUP(B49,'Data World'!$A:$AL,MATCH(World!$N$1,'Data World'!$A$1:$AL$1,))=0,#N/A,VLOOKUP(B49,'Data World'!$A:$AL,MATCH(World!$N$1,'Data World'!$A$1:$AL$1,)))</f>
        <v/>
      </c>
      <c r="O49" s="13">
        <f>IF(VLOOKUP(B49,'Data World'!$A:$AL,MATCH(World!$O$1,'Data World'!$A$1:$AL$1,))=0,#N/A,VLOOKUP(B49,'Data World'!$A:$AL,MATCH(World!$O$1,'Data World'!$A$1:$AL$1,)))</f>
        <v/>
      </c>
      <c r="P49" s="13">
        <f>IF(VLOOKUP(B49,'Data World'!$A:$AL,MATCH(World!$P$1,'Data World'!$A$1:$AL$1,))=0,#N/A,VLOOKUP(B49,'Data World'!$A:$AL,MATCH(World!$P$1,'Data World'!$A$1:$AL$1,)))</f>
        <v/>
      </c>
      <c r="Q49" s="13">
        <f>IF(VLOOKUP(B49,'Data World'!$A:$AL,MATCH(World!$Q$1,'Data World'!$A$1:$AL$1,))=0,#N/A,VLOOKUP(B49,'Data World'!$A:$AL,MATCH(World!$Q$1,'Data World'!$A$1:$AL$1,)))</f>
        <v/>
      </c>
      <c r="R49" s="13">
        <f>IF(VLOOKUP(B49,'Data World'!$A:$AL,MATCH(World!$R$1,'Data World'!$A$1:$AL$1,))=0,#N/A,VLOOKUP(B49,'Data World'!$A:$AL,MATCH(World!$R$1,'Data World'!$A$1:$AL$1,)))</f>
        <v/>
      </c>
      <c r="S49" s="13">
        <f>IF(VLOOKUP(B49,'Data World'!$A:$AL,MATCH(World!$S$1,'Data World'!$A$1:$AL$1,))=0,#N/A,VLOOKUP(B49,'Data World'!$A:$AL,MATCH(World!$S$1,'Data World'!$A$1:$AL$1,)))</f>
        <v/>
      </c>
      <c r="T49" s="13">
        <f>IF(VLOOKUP(B49,'Data World'!$A:$AL,MATCH(World!$T$1,'Data World'!$A$1:$AL$1,))=0,#N/A,VLOOKUP(B49,'Data World'!$A:$AL,MATCH(World!$T$1,'Data World'!$A$1:$AL$1,)))</f>
        <v/>
      </c>
    </row>
    <row r="50" customFormat="1" s="63">
      <c r="B50" s="12" t="n">
        <v>43465</v>
      </c>
      <c r="C50" s="13">
        <f>IF(VLOOKUP(B50,'Data World'!$A:$AL,MATCH(World!$C$1,'Data World'!$A$1:$AL$1,))=0,#N/A,VLOOKUP(B50,'Data World'!$A:$AL,MATCH(World!$C$1,'Data World'!$A$1:$AL$1,)))</f>
        <v/>
      </c>
      <c r="D50" s="13">
        <f>IF(VLOOKUP(B50,'Data World'!$A:$AL,MATCH(World!$D$1,'Data World'!$A$1:$AL$1,))=0,#N/A,VLOOKUP(B50,'Data World'!$A:$AL,MATCH(World!$D$1,'Data World'!$A$1:$AL$1,)))</f>
        <v/>
      </c>
      <c r="E50" s="13">
        <f>IF(VLOOKUP(B50,'Data World'!$A:$AL,MATCH(World!$E$1,'Data World'!$A$1:$AL$1,))=0,#N/A,VLOOKUP(B50,'Data World'!$A:$AL,MATCH(World!$E$1,'Data World'!$A$1:$AL$1,)))</f>
        <v/>
      </c>
      <c r="F50" s="13">
        <f>IF(VLOOKUP(B50,'Data World'!$A:$AL,MATCH(World!$F$1,'Data World'!$A$1:$AL$1,))=0,#N/A,VLOOKUP(B50,'Data World'!$A:$AL,MATCH(World!$F$1,'Data World'!$A$1:$AL$1,)))</f>
        <v/>
      </c>
      <c r="G50" s="13">
        <f>IF(VLOOKUP(B50,'Data World'!$A:$AL,MATCH(World!$G$1,'Data World'!$A$1:$AL$1,))=0,#N/A,VLOOKUP(B50,'Data World'!$A:$AL,MATCH(World!$G$1,'Data World'!$A$1:$AL$1,)))</f>
        <v/>
      </c>
      <c r="H50" s="13">
        <f>IF(VLOOKUP(B50,'Data World'!$A:$AL,MATCH(World!$H$1,'Data World'!$A$1:$AL$1,))=0,#N/A,VLOOKUP(B50,'Data World'!$A:$AL,MATCH(World!$H$1,'Data World'!$A$1:$AL$1,)))</f>
        <v/>
      </c>
      <c r="I50" s="13">
        <f>IF(VLOOKUP(B50,'Data World'!$A:$AL,MATCH(World!$I$1,'Data World'!$A$1:$AL$1,))=0,#N/A,VLOOKUP(B50,'Data World'!$A:$AL,MATCH(World!$I$1,'Data World'!$A$1:$AL$1,)))</f>
        <v/>
      </c>
      <c r="J50" s="13">
        <f>IF(VLOOKUP(B50,'Data World'!$A:$AL,MATCH(World!$J$1,'Data World'!$A$1:$AL$1,))=0,#N/A,VLOOKUP(B50,'Data World'!$A:$AL,MATCH(World!$J$1,'Data World'!$A$1:$AL$1,)))</f>
        <v/>
      </c>
      <c r="K50" s="13">
        <f>IF(VLOOKUP(B50,'Data World'!$A:$AL,MATCH(World!$K$1,'Data World'!$A$1:$AL$1,))=0,#N/A,VLOOKUP(B50,'Data World'!$A:$AL,MATCH(World!$K$1,'Data World'!$A$1:$AL$1,)))</f>
        <v/>
      </c>
      <c r="L50" s="13">
        <f>IF(VLOOKUP(B50,'Data World'!$A:$AL,MATCH(World!$L$1,'Data World'!$A$1:$AL$1,))=0,#N/A,VLOOKUP(B50,'Data World'!$A:$AL,MATCH(World!$L$1,'Data World'!$A$1:$AL$1,)))</f>
        <v/>
      </c>
      <c r="M50" s="13">
        <f>IF(VLOOKUP(B50,'Data World'!$A:$AL,MATCH(World!$M$1,'Data World'!$A$1:$AL$1,))=0,#N/A,VLOOKUP(B50,'Data World'!$A:$AL,MATCH(World!$M$1,'Data World'!$A$1:$AL$1,)))</f>
        <v/>
      </c>
      <c r="N50" s="13">
        <f>IF(VLOOKUP(B50,'Data World'!$A:$AL,MATCH(World!$N$1,'Data World'!$A$1:$AL$1,))=0,#N/A,VLOOKUP(B50,'Data World'!$A:$AL,MATCH(World!$N$1,'Data World'!$A$1:$AL$1,)))</f>
        <v/>
      </c>
      <c r="O50" s="13">
        <f>IF(VLOOKUP(B50,'Data World'!$A:$AL,MATCH(World!$O$1,'Data World'!$A$1:$AL$1,))=0,#N/A,VLOOKUP(B50,'Data World'!$A:$AL,MATCH(World!$O$1,'Data World'!$A$1:$AL$1,)))</f>
        <v/>
      </c>
      <c r="P50" s="13">
        <f>IF(VLOOKUP(B50,'Data World'!$A:$AL,MATCH(World!$P$1,'Data World'!$A$1:$AL$1,))=0,#N/A,VLOOKUP(B50,'Data World'!$A:$AL,MATCH(World!$P$1,'Data World'!$A$1:$AL$1,)))</f>
        <v/>
      </c>
      <c r="Q50" s="13">
        <f>IF(VLOOKUP(B50,'Data World'!$A:$AL,MATCH(World!$Q$1,'Data World'!$A$1:$AL$1,))=0,#N/A,VLOOKUP(B50,'Data World'!$A:$AL,MATCH(World!$Q$1,'Data World'!$A$1:$AL$1,)))</f>
        <v/>
      </c>
      <c r="R50" s="13">
        <f>IF(VLOOKUP(B50,'Data World'!$A:$AL,MATCH(World!$R$1,'Data World'!$A$1:$AL$1,))=0,#N/A,VLOOKUP(B50,'Data World'!$A:$AL,MATCH(World!$R$1,'Data World'!$A$1:$AL$1,)))</f>
        <v/>
      </c>
      <c r="S50" s="13">
        <f>IF(VLOOKUP(B50,'Data World'!$A:$AL,MATCH(World!$S$1,'Data World'!$A$1:$AL$1,))=0,#N/A,VLOOKUP(B50,'Data World'!$A:$AL,MATCH(World!$S$1,'Data World'!$A$1:$AL$1,)))</f>
        <v/>
      </c>
      <c r="T50" s="13">
        <f>IF(VLOOKUP(B50,'Data World'!$A:$AL,MATCH(World!$T$1,'Data World'!$A$1:$AL$1,))=0,#N/A,VLOOKUP(B50,'Data World'!$A:$AL,MATCH(World!$T$1,'Data World'!$A$1:$AL$1,)))</f>
        <v/>
      </c>
    </row>
    <row r="51" customFormat="1" s="63">
      <c r="B51" s="12" t="n">
        <v>43496</v>
      </c>
      <c r="C51" s="13">
        <f>IF(VLOOKUP(B51,'Data World'!$A:$AL,MATCH(World!$C$1,'Data World'!$A$1:$AL$1,))=0,#N/A,VLOOKUP(B51,'Data World'!$A:$AL,MATCH(World!$C$1,'Data World'!$A$1:$AL$1,)))</f>
        <v/>
      </c>
      <c r="D51" s="13">
        <f>IF(VLOOKUP(B51,'Data World'!$A:$AL,MATCH(World!$D$1,'Data World'!$A$1:$AL$1,))=0,#N/A,VLOOKUP(B51,'Data World'!$A:$AL,MATCH(World!$D$1,'Data World'!$A$1:$AL$1,)))</f>
        <v/>
      </c>
      <c r="E51" s="13">
        <f>IF(VLOOKUP(B51,'Data World'!$A:$AL,MATCH(World!$E$1,'Data World'!$A$1:$AL$1,))=0,#N/A,VLOOKUP(B51,'Data World'!$A:$AL,MATCH(World!$E$1,'Data World'!$A$1:$AL$1,)))</f>
        <v/>
      </c>
      <c r="F51" s="13">
        <f>IF(VLOOKUP(B51,'Data World'!$A:$AL,MATCH(World!$F$1,'Data World'!$A$1:$AL$1,))=0,#N/A,VLOOKUP(B51,'Data World'!$A:$AL,MATCH(World!$F$1,'Data World'!$A$1:$AL$1,)))</f>
        <v/>
      </c>
      <c r="G51" s="13">
        <f>IF(VLOOKUP(B51,'Data World'!$A:$AL,MATCH(World!$G$1,'Data World'!$A$1:$AL$1,))=0,#N/A,VLOOKUP(B51,'Data World'!$A:$AL,MATCH(World!$G$1,'Data World'!$A$1:$AL$1,)))</f>
        <v/>
      </c>
      <c r="H51" s="13">
        <f>IF(VLOOKUP(B51,'Data World'!$A:$AL,MATCH(World!$H$1,'Data World'!$A$1:$AL$1,))=0,#N/A,VLOOKUP(B51,'Data World'!$A:$AL,MATCH(World!$H$1,'Data World'!$A$1:$AL$1,)))</f>
        <v/>
      </c>
      <c r="I51" s="13">
        <f>IF(VLOOKUP(B51,'Data World'!$A:$AL,MATCH(World!$I$1,'Data World'!$A$1:$AL$1,))=0,#N/A,VLOOKUP(B51,'Data World'!$A:$AL,MATCH(World!$I$1,'Data World'!$A$1:$AL$1,)))</f>
        <v/>
      </c>
      <c r="J51" s="13">
        <f>IF(VLOOKUP(B51,'Data World'!$A:$AL,MATCH(World!$J$1,'Data World'!$A$1:$AL$1,))=0,#N/A,VLOOKUP(B51,'Data World'!$A:$AL,MATCH(World!$J$1,'Data World'!$A$1:$AL$1,)))</f>
        <v/>
      </c>
      <c r="K51" s="13">
        <f>IF(VLOOKUP(B51,'Data World'!$A:$AL,MATCH(World!$K$1,'Data World'!$A$1:$AL$1,))=0,#N/A,VLOOKUP(B51,'Data World'!$A:$AL,MATCH(World!$K$1,'Data World'!$A$1:$AL$1,)))</f>
        <v/>
      </c>
      <c r="L51" s="13">
        <f>IF(VLOOKUP(B51,'Data World'!$A:$AL,MATCH(World!$L$1,'Data World'!$A$1:$AL$1,))=0,#N/A,VLOOKUP(B51,'Data World'!$A:$AL,MATCH(World!$L$1,'Data World'!$A$1:$AL$1,)))</f>
        <v/>
      </c>
      <c r="M51" s="13">
        <f>IF(VLOOKUP(B51,'Data World'!$A:$AL,MATCH(World!$M$1,'Data World'!$A$1:$AL$1,))=0,#N/A,VLOOKUP(B51,'Data World'!$A:$AL,MATCH(World!$M$1,'Data World'!$A$1:$AL$1,)))</f>
        <v/>
      </c>
      <c r="N51" s="13">
        <f>IF(VLOOKUP(B51,'Data World'!$A:$AL,MATCH(World!$N$1,'Data World'!$A$1:$AL$1,))=0,#N/A,VLOOKUP(B51,'Data World'!$A:$AL,MATCH(World!$N$1,'Data World'!$A$1:$AL$1,)))</f>
        <v/>
      </c>
      <c r="O51" s="13">
        <f>IF(VLOOKUP(B51,'Data World'!$A:$AL,MATCH(World!$O$1,'Data World'!$A$1:$AL$1,))=0,#N/A,VLOOKUP(B51,'Data World'!$A:$AL,MATCH(World!$O$1,'Data World'!$A$1:$AL$1,)))</f>
        <v/>
      </c>
      <c r="P51" s="13">
        <f>IF(VLOOKUP(B51,'Data World'!$A:$AL,MATCH(World!$P$1,'Data World'!$A$1:$AL$1,))=0,#N/A,VLOOKUP(B51,'Data World'!$A:$AL,MATCH(World!$P$1,'Data World'!$A$1:$AL$1,)))</f>
        <v/>
      </c>
      <c r="Q51" s="13">
        <f>IF(VLOOKUP(B51,'Data World'!$A:$AL,MATCH(World!$Q$1,'Data World'!$A$1:$AL$1,))=0,#N/A,VLOOKUP(B51,'Data World'!$A:$AL,MATCH(World!$Q$1,'Data World'!$A$1:$AL$1,)))</f>
        <v/>
      </c>
      <c r="R51" s="13">
        <f>IF(VLOOKUP(B51,'Data World'!$A:$AL,MATCH(World!$R$1,'Data World'!$A$1:$AL$1,))=0,#N/A,VLOOKUP(B51,'Data World'!$A:$AL,MATCH(World!$R$1,'Data World'!$A$1:$AL$1,)))</f>
        <v/>
      </c>
      <c r="S51" s="13">
        <f>IF(VLOOKUP(B51,'Data World'!$A:$AL,MATCH(World!$S$1,'Data World'!$A$1:$AL$1,))=0,#N/A,VLOOKUP(B51,'Data World'!$A:$AL,MATCH(World!$S$1,'Data World'!$A$1:$AL$1,)))</f>
        <v/>
      </c>
      <c r="T51" s="13">
        <f>IF(VLOOKUP(B51,'Data World'!$A:$AL,MATCH(World!$T$1,'Data World'!$A$1:$AL$1,))=0,#N/A,VLOOKUP(B51,'Data World'!$A:$AL,MATCH(World!$T$1,'Data World'!$A$1:$AL$1,)))</f>
        <v/>
      </c>
    </row>
    <row r="52" customFormat="1" s="63">
      <c r="B52" s="12" t="n">
        <v>43524</v>
      </c>
      <c r="C52" s="13">
        <f>IF(VLOOKUP(B52,'Data World'!$A:$AL,MATCH(World!$C$1,'Data World'!$A$1:$AL$1,))=0,#N/A,VLOOKUP(B52,'Data World'!$A:$AL,MATCH(World!$C$1,'Data World'!$A$1:$AL$1,)))</f>
        <v/>
      </c>
      <c r="D52" s="13">
        <f>IF(VLOOKUP(B52,'Data World'!$A:$AL,MATCH(World!$D$1,'Data World'!$A$1:$AL$1,))=0,#N/A,VLOOKUP(B52,'Data World'!$A:$AL,MATCH(World!$D$1,'Data World'!$A$1:$AL$1,)))</f>
        <v/>
      </c>
      <c r="E52" s="13">
        <f>IF(VLOOKUP(B52,'Data World'!$A:$AL,MATCH(World!$E$1,'Data World'!$A$1:$AL$1,))=0,#N/A,VLOOKUP(B52,'Data World'!$A:$AL,MATCH(World!$E$1,'Data World'!$A$1:$AL$1,)))</f>
        <v/>
      </c>
      <c r="F52" s="13">
        <f>IF(VLOOKUP(B52,'Data World'!$A:$AL,MATCH(World!$F$1,'Data World'!$A$1:$AL$1,))=0,#N/A,VLOOKUP(B52,'Data World'!$A:$AL,MATCH(World!$F$1,'Data World'!$A$1:$AL$1,)))</f>
        <v/>
      </c>
      <c r="G52" s="13">
        <f>IF(VLOOKUP(B52,'Data World'!$A:$AL,MATCH(World!$G$1,'Data World'!$A$1:$AL$1,))=0,#N/A,VLOOKUP(B52,'Data World'!$A:$AL,MATCH(World!$G$1,'Data World'!$A$1:$AL$1,)))</f>
        <v/>
      </c>
      <c r="H52" s="13">
        <f>IF(VLOOKUP(B52,'Data World'!$A:$AL,MATCH(World!$H$1,'Data World'!$A$1:$AL$1,))=0,#N/A,VLOOKUP(B52,'Data World'!$A:$AL,MATCH(World!$H$1,'Data World'!$A$1:$AL$1,)))</f>
        <v/>
      </c>
      <c r="I52" s="13">
        <f>IF(VLOOKUP(B52,'Data World'!$A:$AL,MATCH(World!$I$1,'Data World'!$A$1:$AL$1,))=0,#N/A,VLOOKUP(B52,'Data World'!$A:$AL,MATCH(World!$I$1,'Data World'!$A$1:$AL$1,)))</f>
        <v/>
      </c>
      <c r="J52" s="13">
        <f>IF(VLOOKUP(B52,'Data World'!$A:$AL,MATCH(World!$J$1,'Data World'!$A$1:$AL$1,))=0,#N/A,VLOOKUP(B52,'Data World'!$A:$AL,MATCH(World!$J$1,'Data World'!$A$1:$AL$1,)))</f>
        <v/>
      </c>
      <c r="K52" s="13">
        <f>IF(VLOOKUP(B52,'Data World'!$A:$AL,MATCH(World!$K$1,'Data World'!$A$1:$AL$1,))=0,#N/A,VLOOKUP(B52,'Data World'!$A:$AL,MATCH(World!$K$1,'Data World'!$A$1:$AL$1,)))</f>
        <v/>
      </c>
      <c r="L52" s="13">
        <f>IF(VLOOKUP(B52,'Data World'!$A:$AL,MATCH(World!$L$1,'Data World'!$A$1:$AL$1,))=0,#N/A,VLOOKUP(B52,'Data World'!$A:$AL,MATCH(World!$L$1,'Data World'!$A$1:$AL$1,)))</f>
        <v/>
      </c>
      <c r="M52" s="13">
        <f>IF(VLOOKUP(B52,'Data World'!$A:$AL,MATCH(World!$M$1,'Data World'!$A$1:$AL$1,))=0,#N/A,VLOOKUP(B52,'Data World'!$A:$AL,MATCH(World!$M$1,'Data World'!$A$1:$AL$1,)))</f>
        <v/>
      </c>
      <c r="N52" s="13">
        <f>IF(VLOOKUP(B52,'Data World'!$A:$AL,MATCH(World!$N$1,'Data World'!$A$1:$AL$1,))=0,#N/A,VLOOKUP(B52,'Data World'!$A:$AL,MATCH(World!$N$1,'Data World'!$A$1:$AL$1,)))</f>
        <v/>
      </c>
      <c r="O52" s="13">
        <f>IF(VLOOKUP(B52,'Data World'!$A:$AL,MATCH(World!$O$1,'Data World'!$A$1:$AL$1,))=0,#N/A,VLOOKUP(B52,'Data World'!$A:$AL,MATCH(World!$O$1,'Data World'!$A$1:$AL$1,)))</f>
        <v/>
      </c>
      <c r="P52" s="13">
        <f>IF(VLOOKUP(B52,'Data World'!$A:$AL,MATCH(World!$P$1,'Data World'!$A$1:$AL$1,))=0,#N/A,VLOOKUP(B52,'Data World'!$A:$AL,MATCH(World!$P$1,'Data World'!$A$1:$AL$1,)))</f>
        <v/>
      </c>
      <c r="Q52" s="13">
        <f>IF(VLOOKUP(B52,'Data World'!$A:$AL,MATCH(World!$Q$1,'Data World'!$A$1:$AL$1,))=0,#N/A,VLOOKUP(B52,'Data World'!$A:$AL,MATCH(World!$Q$1,'Data World'!$A$1:$AL$1,)))</f>
        <v/>
      </c>
      <c r="R52" s="13">
        <f>IF(VLOOKUP(B52,'Data World'!$A:$AL,MATCH(World!$R$1,'Data World'!$A$1:$AL$1,))=0,#N/A,VLOOKUP(B52,'Data World'!$A:$AL,MATCH(World!$R$1,'Data World'!$A$1:$AL$1,)))</f>
        <v/>
      </c>
      <c r="S52" s="13">
        <f>IF(VLOOKUP(B52,'Data World'!$A:$AL,MATCH(World!$S$1,'Data World'!$A$1:$AL$1,))=0,#N/A,VLOOKUP(B52,'Data World'!$A:$AL,MATCH(World!$S$1,'Data World'!$A$1:$AL$1,)))</f>
        <v/>
      </c>
      <c r="T52" s="13">
        <f>IF(VLOOKUP(B52,'Data World'!$A:$AL,MATCH(World!$T$1,'Data World'!$A$1:$AL$1,))=0,#N/A,VLOOKUP(B52,'Data World'!$A:$AL,MATCH(World!$T$1,'Data World'!$A$1:$AL$1,)))</f>
        <v/>
      </c>
    </row>
    <row r="53" customFormat="1" s="63">
      <c r="B53" s="12" t="n">
        <v>43555</v>
      </c>
      <c r="C53" s="13">
        <f>IF(VLOOKUP(B53,'Data World'!$A:$AL,MATCH(World!$C$1,'Data World'!$A$1:$AL$1,))=0,#N/A,VLOOKUP(B53,'Data World'!$A:$AL,MATCH(World!$C$1,'Data World'!$A$1:$AL$1,)))</f>
        <v/>
      </c>
      <c r="D53" s="13">
        <f>IF(VLOOKUP(B53,'Data World'!$A:$AL,MATCH(World!$D$1,'Data World'!$A$1:$AL$1,))=0,#N/A,VLOOKUP(B53,'Data World'!$A:$AL,MATCH(World!$D$1,'Data World'!$A$1:$AL$1,)))</f>
        <v/>
      </c>
      <c r="E53" s="13">
        <f>IF(VLOOKUP(B53,'Data World'!$A:$AL,MATCH(World!$E$1,'Data World'!$A$1:$AL$1,))=0,#N/A,VLOOKUP(B53,'Data World'!$A:$AL,MATCH(World!$E$1,'Data World'!$A$1:$AL$1,)))</f>
        <v/>
      </c>
      <c r="F53" s="13">
        <f>IF(VLOOKUP(B53,'Data World'!$A:$AL,MATCH(World!$F$1,'Data World'!$A$1:$AL$1,))=0,#N/A,VLOOKUP(B53,'Data World'!$A:$AL,MATCH(World!$F$1,'Data World'!$A$1:$AL$1,)))</f>
        <v/>
      </c>
      <c r="G53" s="13">
        <f>IF(VLOOKUP(B53,'Data World'!$A:$AL,MATCH(World!$G$1,'Data World'!$A$1:$AL$1,))=0,#N/A,VLOOKUP(B53,'Data World'!$A:$AL,MATCH(World!$G$1,'Data World'!$A$1:$AL$1,)))</f>
        <v/>
      </c>
      <c r="H53" s="13">
        <f>IF(VLOOKUP(B53,'Data World'!$A:$AL,MATCH(World!$H$1,'Data World'!$A$1:$AL$1,))=0,#N/A,VLOOKUP(B53,'Data World'!$A:$AL,MATCH(World!$H$1,'Data World'!$A$1:$AL$1,)))</f>
        <v/>
      </c>
      <c r="I53" s="13">
        <f>IF(VLOOKUP(B53,'Data World'!$A:$AL,MATCH(World!$I$1,'Data World'!$A$1:$AL$1,))=0,#N/A,VLOOKUP(B53,'Data World'!$A:$AL,MATCH(World!$I$1,'Data World'!$A$1:$AL$1,)))</f>
        <v/>
      </c>
      <c r="J53" s="13">
        <f>IF(VLOOKUP(B53,'Data World'!$A:$AL,MATCH(World!$J$1,'Data World'!$A$1:$AL$1,))=0,#N/A,VLOOKUP(B53,'Data World'!$A:$AL,MATCH(World!$J$1,'Data World'!$A$1:$AL$1,)))</f>
        <v/>
      </c>
      <c r="K53" s="13">
        <f>IF(VLOOKUP(B53,'Data World'!$A:$AL,MATCH(World!$K$1,'Data World'!$A$1:$AL$1,))=0,#N/A,VLOOKUP(B53,'Data World'!$A:$AL,MATCH(World!$K$1,'Data World'!$A$1:$AL$1,)))</f>
        <v/>
      </c>
      <c r="L53" s="13">
        <f>IF(VLOOKUP(B53,'Data World'!$A:$AL,MATCH(World!$L$1,'Data World'!$A$1:$AL$1,))=0,#N/A,VLOOKUP(B53,'Data World'!$A:$AL,MATCH(World!$L$1,'Data World'!$A$1:$AL$1,)))</f>
        <v/>
      </c>
      <c r="M53" s="13">
        <f>IF(VLOOKUP(B53,'Data World'!$A:$AL,MATCH(World!$M$1,'Data World'!$A$1:$AL$1,))=0,#N/A,VLOOKUP(B53,'Data World'!$A:$AL,MATCH(World!$M$1,'Data World'!$A$1:$AL$1,)))</f>
        <v/>
      </c>
      <c r="N53" s="13">
        <f>IF(VLOOKUP(B53,'Data World'!$A:$AL,MATCH(World!$N$1,'Data World'!$A$1:$AL$1,))=0,#N/A,VLOOKUP(B53,'Data World'!$A:$AL,MATCH(World!$N$1,'Data World'!$A$1:$AL$1,)))</f>
        <v/>
      </c>
      <c r="O53" s="13">
        <f>IF(VLOOKUP(B53,'Data World'!$A:$AL,MATCH(World!$O$1,'Data World'!$A$1:$AL$1,))=0,#N/A,VLOOKUP(B53,'Data World'!$A:$AL,MATCH(World!$O$1,'Data World'!$A$1:$AL$1,)))</f>
        <v/>
      </c>
      <c r="P53" s="13">
        <f>IF(VLOOKUP(B53,'Data World'!$A:$AL,MATCH(World!$P$1,'Data World'!$A$1:$AL$1,))=0,#N/A,VLOOKUP(B53,'Data World'!$A:$AL,MATCH(World!$P$1,'Data World'!$A$1:$AL$1,)))</f>
        <v/>
      </c>
      <c r="Q53" s="13">
        <f>IF(VLOOKUP(B53,'Data World'!$A:$AL,MATCH(World!$Q$1,'Data World'!$A$1:$AL$1,))=0,#N/A,VLOOKUP(B53,'Data World'!$A:$AL,MATCH(World!$Q$1,'Data World'!$A$1:$AL$1,)))</f>
        <v/>
      </c>
      <c r="R53" s="13">
        <f>IF(VLOOKUP(B53,'Data World'!$A:$AL,MATCH(World!$R$1,'Data World'!$A$1:$AL$1,))=0,#N/A,VLOOKUP(B53,'Data World'!$A:$AL,MATCH(World!$R$1,'Data World'!$A$1:$AL$1,)))</f>
        <v/>
      </c>
      <c r="S53" s="13">
        <f>IF(VLOOKUP(B53,'Data World'!$A:$AL,MATCH(World!$S$1,'Data World'!$A$1:$AL$1,))=0,#N/A,VLOOKUP(B53,'Data World'!$A:$AL,MATCH(World!$S$1,'Data World'!$A$1:$AL$1,)))</f>
        <v/>
      </c>
      <c r="T53" s="13">
        <f>IF(VLOOKUP(B53,'Data World'!$A:$AL,MATCH(World!$T$1,'Data World'!$A$1:$AL$1,))=0,#N/A,VLOOKUP(B53,'Data World'!$A:$AL,MATCH(World!$T$1,'Data World'!$A$1:$AL$1,)))</f>
        <v/>
      </c>
    </row>
    <row r="54" customFormat="1" s="63">
      <c r="B54" s="12" t="n">
        <v>43585</v>
      </c>
      <c r="C54" s="13">
        <f>IF(VLOOKUP(B54,'Data World'!$A:$AL,MATCH(World!$C$1,'Data World'!$A$1:$AL$1,))=0,#N/A,VLOOKUP(B54,'Data World'!$A:$AL,MATCH(World!$C$1,'Data World'!$A$1:$AL$1,)))</f>
        <v/>
      </c>
      <c r="D54" s="13">
        <f>IF(VLOOKUP(B54,'Data World'!$A:$AL,MATCH(World!$D$1,'Data World'!$A$1:$AL$1,))=0,#N/A,VLOOKUP(B54,'Data World'!$A:$AL,MATCH(World!$D$1,'Data World'!$A$1:$AL$1,)))</f>
        <v/>
      </c>
      <c r="E54" s="13">
        <f>IF(VLOOKUP(B54,'Data World'!$A:$AL,MATCH(World!$E$1,'Data World'!$A$1:$AL$1,))=0,#N/A,VLOOKUP(B54,'Data World'!$A:$AL,MATCH(World!$E$1,'Data World'!$A$1:$AL$1,)))</f>
        <v/>
      </c>
      <c r="F54" s="13">
        <f>IF(VLOOKUP(B54,'Data World'!$A:$AL,MATCH(World!$F$1,'Data World'!$A$1:$AL$1,))=0,#N/A,VLOOKUP(B54,'Data World'!$A:$AL,MATCH(World!$F$1,'Data World'!$A$1:$AL$1,)))</f>
        <v/>
      </c>
      <c r="G54" s="13">
        <f>IF(VLOOKUP(B54,'Data World'!$A:$AL,MATCH(World!$G$1,'Data World'!$A$1:$AL$1,))=0,#N/A,VLOOKUP(B54,'Data World'!$A:$AL,MATCH(World!$G$1,'Data World'!$A$1:$AL$1,)))</f>
        <v/>
      </c>
      <c r="H54" s="13">
        <f>IF(VLOOKUP(B54,'Data World'!$A:$AL,MATCH(World!$H$1,'Data World'!$A$1:$AL$1,))=0,#N/A,VLOOKUP(B54,'Data World'!$A:$AL,MATCH(World!$H$1,'Data World'!$A$1:$AL$1,)))</f>
        <v/>
      </c>
      <c r="I54" s="13">
        <f>IF(VLOOKUP(B54,'Data World'!$A:$AL,MATCH(World!$I$1,'Data World'!$A$1:$AL$1,))=0,#N/A,VLOOKUP(B54,'Data World'!$A:$AL,MATCH(World!$I$1,'Data World'!$A$1:$AL$1,)))</f>
        <v/>
      </c>
      <c r="J54" s="13">
        <f>IF(VLOOKUP(B54,'Data World'!$A:$AL,MATCH(World!$J$1,'Data World'!$A$1:$AL$1,))=0,#N/A,VLOOKUP(B54,'Data World'!$A:$AL,MATCH(World!$J$1,'Data World'!$A$1:$AL$1,)))</f>
        <v/>
      </c>
      <c r="K54" s="13">
        <f>IF(VLOOKUP(B54,'Data World'!$A:$AL,MATCH(World!$K$1,'Data World'!$A$1:$AL$1,))=0,#N/A,VLOOKUP(B54,'Data World'!$A:$AL,MATCH(World!$K$1,'Data World'!$A$1:$AL$1,)))</f>
        <v/>
      </c>
      <c r="L54" s="13">
        <f>IF(VLOOKUP(B54,'Data World'!$A:$AL,MATCH(World!$L$1,'Data World'!$A$1:$AL$1,))=0,#N/A,VLOOKUP(B54,'Data World'!$A:$AL,MATCH(World!$L$1,'Data World'!$A$1:$AL$1,)))</f>
        <v/>
      </c>
      <c r="M54" s="13">
        <f>IF(VLOOKUP(B54,'Data World'!$A:$AL,MATCH(World!$M$1,'Data World'!$A$1:$AL$1,))=0,#N/A,VLOOKUP(B54,'Data World'!$A:$AL,MATCH(World!$M$1,'Data World'!$A$1:$AL$1,)))</f>
        <v/>
      </c>
      <c r="N54" s="13">
        <f>IF(VLOOKUP(B54,'Data World'!$A:$AL,MATCH(World!$N$1,'Data World'!$A$1:$AL$1,))=0,#N/A,VLOOKUP(B54,'Data World'!$A:$AL,MATCH(World!$N$1,'Data World'!$A$1:$AL$1,)))</f>
        <v/>
      </c>
      <c r="O54" s="13">
        <f>IF(VLOOKUP(B54,'Data World'!$A:$AL,MATCH(World!$O$1,'Data World'!$A$1:$AL$1,))=0,#N/A,VLOOKUP(B54,'Data World'!$A:$AL,MATCH(World!$O$1,'Data World'!$A$1:$AL$1,)))</f>
        <v/>
      </c>
      <c r="P54" s="13">
        <f>IF(VLOOKUP(B54,'Data World'!$A:$AL,MATCH(World!$P$1,'Data World'!$A$1:$AL$1,))=0,#N/A,VLOOKUP(B54,'Data World'!$A:$AL,MATCH(World!$P$1,'Data World'!$A$1:$AL$1,)))</f>
        <v/>
      </c>
      <c r="Q54" s="13">
        <f>IF(VLOOKUP(B54,'Data World'!$A:$AL,MATCH(World!$Q$1,'Data World'!$A$1:$AL$1,))=0,#N/A,VLOOKUP(B54,'Data World'!$A:$AL,MATCH(World!$Q$1,'Data World'!$A$1:$AL$1,)))</f>
        <v/>
      </c>
      <c r="R54" s="13">
        <f>IF(VLOOKUP(B54,'Data World'!$A:$AL,MATCH(World!$R$1,'Data World'!$A$1:$AL$1,))=0,#N/A,VLOOKUP(B54,'Data World'!$A:$AL,MATCH(World!$R$1,'Data World'!$A$1:$AL$1,)))</f>
        <v/>
      </c>
      <c r="S54" s="13">
        <f>IF(VLOOKUP(B54,'Data World'!$A:$AL,MATCH(World!$S$1,'Data World'!$A$1:$AL$1,))=0,#N/A,VLOOKUP(B54,'Data World'!$A:$AL,MATCH(World!$S$1,'Data World'!$A$1:$AL$1,)))</f>
        <v/>
      </c>
      <c r="T54" s="13">
        <f>IF(VLOOKUP(B54,'Data World'!$A:$AL,MATCH(World!$T$1,'Data World'!$A$1:$AL$1,))=0,#N/A,VLOOKUP(B54,'Data World'!$A:$AL,MATCH(World!$T$1,'Data World'!$A$1:$AL$1,)))</f>
        <v/>
      </c>
    </row>
    <row r="55" customFormat="1" s="63">
      <c r="B55" s="12" t="n">
        <v>43616</v>
      </c>
      <c r="C55" s="13">
        <f>IF(VLOOKUP(B55,'Data World'!$A:$AL,MATCH(World!$C$1,'Data World'!$A$1:$AL$1,))=0,#N/A,VLOOKUP(B55,'Data World'!$A:$AL,MATCH(World!$C$1,'Data World'!$A$1:$AL$1,)))</f>
        <v/>
      </c>
      <c r="D55" s="13">
        <f>IF(VLOOKUP(B55,'Data World'!$A:$AL,MATCH(World!$D$1,'Data World'!$A$1:$AL$1,))=0,#N/A,VLOOKUP(B55,'Data World'!$A:$AL,MATCH(World!$D$1,'Data World'!$A$1:$AL$1,)))</f>
        <v/>
      </c>
      <c r="E55" s="13">
        <f>IF(VLOOKUP(B55,'Data World'!$A:$AL,MATCH(World!$E$1,'Data World'!$A$1:$AL$1,))=0,#N/A,VLOOKUP(B55,'Data World'!$A:$AL,MATCH(World!$E$1,'Data World'!$A$1:$AL$1,)))</f>
        <v/>
      </c>
      <c r="F55" s="13">
        <f>IF(VLOOKUP(B55,'Data World'!$A:$AL,MATCH(World!$F$1,'Data World'!$A$1:$AL$1,))=0,#N/A,VLOOKUP(B55,'Data World'!$A:$AL,MATCH(World!$F$1,'Data World'!$A$1:$AL$1,)))</f>
        <v/>
      </c>
      <c r="G55" s="13">
        <f>IF(VLOOKUP(B55,'Data World'!$A:$AL,MATCH(World!$G$1,'Data World'!$A$1:$AL$1,))=0,#N/A,VLOOKUP(B55,'Data World'!$A:$AL,MATCH(World!$G$1,'Data World'!$A$1:$AL$1,)))</f>
        <v/>
      </c>
      <c r="H55" s="13">
        <f>IF(VLOOKUP(B55,'Data World'!$A:$AL,MATCH(World!$H$1,'Data World'!$A$1:$AL$1,))=0,#N/A,VLOOKUP(B55,'Data World'!$A:$AL,MATCH(World!$H$1,'Data World'!$A$1:$AL$1,)))</f>
        <v/>
      </c>
      <c r="I55" s="13">
        <f>IF(VLOOKUP(B55,'Data World'!$A:$AL,MATCH(World!$I$1,'Data World'!$A$1:$AL$1,))=0,#N/A,VLOOKUP(B55,'Data World'!$A:$AL,MATCH(World!$I$1,'Data World'!$A$1:$AL$1,)))</f>
        <v/>
      </c>
      <c r="J55" s="13">
        <f>IF(VLOOKUP(B55,'Data World'!$A:$AL,MATCH(World!$J$1,'Data World'!$A$1:$AL$1,))=0,#N/A,VLOOKUP(B55,'Data World'!$A:$AL,MATCH(World!$J$1,'Data World'!$A$1:$AL$1,)))</f>
        <v/>
      </c>
      <c r="K55" s="13">
        <f>IF(VLOOKUP(B55,'Data World'!$A:$AL,MATCH(World!$K$1,'Data World'!$A$1:$AL$1,))=0,#N/A,VLOOKUP(B55,'Data World'!$A:$AL,MATCH(World!$K$1,'Data World'!$A$1:$AL$1,)))</f>
        <v/>
      </c>
      <c r="L55" s="13">
        <f>IF(VLOOKUP(B55,'Data World'!$A:$AL,MATCH(World!$L$1,'Data World'!$A$1:$AL$1,))=0,#N/A,VLOOKUP(B55,'Data World'!$A:$AL,MATCH(World!$L$1,'Data World'!$A$1:$AL$1,)))</f>
        <v/>
      </c>
      <c r="M55" s="13">
        <f>IF(VLOOKUP(B55,'Data World'!$A:$AL,MATCH(World!$M$1,'Data World'!$A$1:$AL$1,))=0,#N/A,VLOOKUP(B55,'Data World'!$A:$AL,MATCH(World!$M$1,'Data World'!$A$1:$AL$1,)))</f>
        <v/>
      </c>
      <c r="N55" s="13">
        <f>IF(VLOOKUP(B55,'Data World'!$A:$AL,MATCH(World!$N$1,'Data World'!$A$1:$AL$1,))=0,#N/A,VLOOKUP(B55,'Data World'!$A:$AL,MATCH(World!$N$1,'Data World'!$A$1:$AL$1,)))</f>
        <v/>
      </c>
      <c r="O55" s="13">
        <f>IF(VLOOKUP(B55,'Data World'!$A:$AL,MATCH(World!$O$1,'Data World'!$A$1:$AL$1,))=0,#N/A,VLOOKUP(B55,'Data World'!$A:$AL,MATCH(World!$O$1,'Data World'!$A$1:$AL$1,)))</f>
        <v/>
      </c>
      <c r="P55" s="13">
        <f>IF(VLOOKUP(B55,'Data World'!$A:$AL,MATCH(World!$P$1,'Data World'!$A$1:$AL$1,))=0,#N/A,VLOOKUP(B55,'Data World'!$A:$AL,MATCH(World!$P$1,'Data World'!$A$1:$AL$1,)))</f>
        <v/>
      </c>
      <c r="Q55" s="13">
        <f>IF(VLOOKUP(B55,'Data World'!$A:$AL,MATCH(World!$Q$1,'Data World'!$A$1:$AL$1,))=0,#N/A,VLOOKUP(B55,'Data World'!$A:$AL,MATCH(World!$Q$1,'Data World'!$A$1:$AL$1,)))</f>
        <v/>
      </c>
      <c r="R55" s="13">
        <f>IF(VLOOKUP(B55,'Data World'!$A:$AL,MATCH(World!$R$1,'Data World'!$A$1:$AL$1,))=0,#N/A,VLOOKUP(B55,'Data World'!$A:$AL,MATCH(World!$R$1,'Data World'!$A$1:$AL$1,)))</f>
        <v/>
      </c>
      <c r="S55" s="13">
        <f>IF(VLOOKUP(B55,'Data World'!$A:$AL,MATCH(World!$S$1,'Data World'!$A$1:$AL$1,))=0,#N/A,VLOOKUP(B55,'Data World'!$A:$AL,MATCH(World!$S$1,'Data World'!$A$1:$AL$1,)))</f>
        <v/>
      </c>
      <c r="T55" s="13">
        <f>IF(VLOOKUP(B55,'Data World'!$A:$AL,MATCH(World!$T$1,'Data World'!$A$1:$AL$1,))=0,#N/A,VLOOKUP(B55,'Data World'!$A:$AL,MATCH(World!$T$1,'Data World'!$A$1:$AL$1,)))</f>
        <v/>
      </c>
    </row>
    <row r="56" customFormat="1" s="63">
      <c r="B56" s="12" t="n">
        <v>43646</v>
      </c>
      <c r="C56" s="13">
        <f>IF(VLOOKUP(B56,'Data World'!$A:$AL,MATCH(World!$C$1,'Data World'!$A$1:$AL$1,))=0,#N/A,VLOOKUP(B56,'Data World'!$A:$AL,MATCH(World!$C$1,'Data World'!$A$1:$AL$1,)))</f>
        <v/>
      </c>
      <c r="D56" s="13">
        <f>IF(VLOOKUP(B56,'Data World'!$A:$AL,MATCH(World!$D$1,'Data World'!$A$1:$AL$1,))=0,#N/A,VLOOKUP(B56,'Data World'!$A:$AL,MATCH(World!$D$1,'Data World'!$A$1:$AL$1,)))</f>
        <v/>
      </c>
      <c r="E56" s="13">
        <f>IF(VLOOKUP(B56,'Data World'!$A:$AL,MATCH(World!$E$1,'Data World'!$A$1:$AL$1,))=0,#N/A,VLOOKUP(B56,'Data World'!$A:$AL,MATCH(World!$E$1,'Data World'!$A$1:$AL$1,)))</f>
        <v/>
      </c>
      <c r="F56" s="13">
        <f>IF(VLOOKUP(B56,'Data World'!$A:$AL,MATCH(World!$F$1,'Data World'!$A$1:$AL$1,))=0,#N/A,VLOOKUP(B56,'Data World'!$A:$AL,MATCH(World!$F$1,'Data World'!$A$1:$AL$1,)))</f>
        <v/>
      </c>
      <c r="G56" s="13">
        <f>IF(VLOOKUP(B56,'Data World'!$A:$AL,MATCH(World!$G$1,'Data World'!$A$1:$AL$1,))=0,#N/A,VLOOKUP(B56,'Data World'!$A:$AL,MATCH(World!$G$1,'Data World'!$A$1:$AL$1,)))</f>
        <v/>
      </c>
      <c r="H56" s="13">
        <f>IF(VLOOKUP(B56,'Data World'!$A:$AL,MATCH(World!$H$1,'Data World'!$A$1:$AL$1,))=0,#N/A,VLOOKUP(B56,'Data World'!$A:$AL,MATCH(World!$H$1,'Data World'!$A$1:$AL$1,)))</f>
        <v/>
      </c>
      <c r="I56" s="13">
        <f>IF(VLOOKUP(B56,'Data World'!$A:$AL,MATCH(World!$I$1,'Data World'!$A$1:$AL$1,))=0,#N/A,VLOOKUP(B56,'Data World'!$A:$AL,MATCH(World!$I$1,'Data World'!$A$1:$AL$1,)))</f>
        <v/>
      </c>
      <c r="J56" s="13">
        <f>IF(VLOOKUP(B56,'Data World'!$A:$AL,MATCH(World!$J$1,'Data World'!$A$1:$AL$1,))=0,#N/A,VLOOKUP(B56,'Data World'!$A:$AL,MATCH(World!$J$1,'Data World'!$A$1:$AL$1,)))</f>
        <v/>
      </c>
      <c r="K56" s="13">
        <f>IF(VLOOKUP(B56,'Data World'!$A:$AL,MATCH(World!$K$1,'Data World'!$A$1:$AL$1,))=0,#N/A,VLOOKUP(B56,'Data World'!$A:$AL,MATCH(World!$K$1,'Data World'!$A$1:$AL$1,)))</f>
        <v/>
      </c>
      <c r="L56" s="13">
        <f>IF(VLOOKUP(B56,'Data World'!$A:$AL,MATCH(World!$L$1,'Data World'!$A$1:$AL$1,))=0,#N/A,VLOOKUP(B56,'Data World'!$A:$AL,MATCH(World!$L$1,'Data World'!$A$1:$AL$1,)))</f>
        <v/>
      </c>
      <c r="M56" s="13">
        <f>IF(VLOOKUP(B56,'Data World'!$A:$AL,MATCH(World!$M$1,'Data World'!$A$1:$AL$1,))=0,#N/A,VLOOKUP(B56,'Data World'!$A:$AL,MATCH(World!$M$1,'Data World'!$A$1:$AL$1,)))</f>
        <v/>
      </c>
      <c r="N56" s="13">
        <f>IF(VLOOKUP(B56,'Data World'!$A:$AL,MATCH(World!$N$1,'Data World'!$A$1:$AL$1,))=0,#N/A,VLOOKUP(B56,'Data World'!$A:$AL,MATCH(World!$N$1,'Data World'!$A$1:$AL$1,)))</f>
        <v/>
      </c>
      <c r="O56" s="13">
        <f>IF(VLOOKUP(B56,'Data World'!$A:$AL,MATCH(World!$O$1,'Data World'!$A$1:$AL$1,))=0,#N/A,VLOOKUP(B56,'Data World'!$A:$AL,MATCH(World!$O$1,'Data World'!$A$1:$AL$1,)))</f>
        <v/>
      </c>
      <c r="P56" s="13">
        <f>IF(VLOOKUP(B56,'Data World'!$A:$AL,MATCH(World!$P$1,'Data World'!$A$1:$AL$1,))=0,#N/A,VLOOKUP(B56,'Data World'!$A:$AL,MATCH(World!$P$1,'Data World'!$A$1:$AL$1,)))</f>
        <v/>
      </c>
      <c r="Q56" s="13">
        <f>IF(VLOOKUP(B56,'Data World'!$A:$AL,MATCH(World!$Q$1,'Data World'!$A$1:$AL$1,))=0,#N/A,VLOOKUP(B56,'Data World'!$A:$AL,MATCH(World!$Q$1,'Data World'!$A$1:$AL$1,)))</f>
        <v/>
      </c>
      <c r="R56" s="13">
        <f>IF(VLOOKUP(B56,'Data World'!$A:$AL,MATCH(World!$R$1,'Data World'!$A$1:$AL$1,))=0,#N/A,VLOOKUP(B56,'Data World'!$A:$AL,MATCH(World!$R$1,'Data World'!$A$1:$AL$1,)))</f>
        <v/>
      </c>
      <c r="S56" s="13">
        <f>IF(VLOOKUP(B56,'Data World'!$A:$AL,MATCH(World!$S$1,'Data World'!$A$1:$AL$1,))=0,#N/A,VLOOKUP(B56,'Data World'!$A:$AL,MATCH(World!$S$1,'Data World'!$A$1:$AL$1,)))</f>
        <v/>
      </c>
      <c r="T56" s="13">
        <f>IF(VLOOKUP(B56,'Data World'!$A:$AL,MATCH(World!$T$1,'Data World'!$A$1:$AL$1,))=0,#N/A,VLOOKUP(B56,'Data World'!$A:$AL,MATCH(World!$T$1,'Data World'!$A$1:$AL$1,)))</f>
        <v/>
      </c>
    </row>
    <row r="57" customFormat="1" s="63">
      <c r="B57" s="12" t="n">
        <v>43677</v>
      </c>
      <c r="C57" s="13">
        <f>IF(VLOOKUP(B57,'Data World'!$A:$AL,MATCH(World!$C$1,'Data World'!$A$1:$AL$1,))=0,#N/A,VLOOKUP(B57,'Data World'!$A:$AL,MATCH(World!$C$1,'Data World'!$A$1:$AL$1,)))</f>
        <v/>
      </c>
      <c r="D57" s="13">
        <f>IF(VLOOKUP(B57,'Data World'!$A:$AL,MATCH(World!$D$1,'Data World'!$A$1:$AL$1,))=0,#N/A,VLOOKUP(B57,'Data World'!$A:$AL,MATCH(World!$D$1,'Data World'!$A$1:$AL$1,)))</f>
        <v/>
      </c>
      <c r="E57" s="13">
        <f>IF(VLOOKUP(B57,'Data World'!$A:$AL,MATCH(World!$E$1,'Data World'!$A$1:$AL$1,))=0,#N/A,VLOOKUP(B57,'Data World'!$A:$AL,MATCH(World!$E$1,'Data World'!$A$1:$AL$1,)))</f>
        <v/>
      </c>
      <c r="F57" s="13">
        <f>IF(VLOOKUP(B57,'Data World'!$A:$AL,MATCH(World!$F$1,'Data World'!$A$1:$AL$1,))=0,#N/A,VLOOKUP(B57,'Data World'!$A:$AL,MATCH(World!$F$1,'Data World'!$A$1:$AL$1,)))</f>
        <v/>
      </c>
      <c r="G57" s="13">
        <f>IF(VLOOKUP(B57,'Data World'!$A:$AL,MATCH(World!$G$1,'Data World'!$A$1:$AL$1,))=0,#N/A,VLOOKUP(B57,'Data World'!$A:$AL,MATCH(World!$G$1,'Data World'!$A$1:$AL$1,)))</f>
        <v/>
      </c>
      <c r="H57" s="13">
        <f>IF(VLOOKUP(B57,'Data World'!$A:$AL,MATCH(World!$H$1,'Data World'!$A$1:$AL$1,))=0,#N/A,VLOOKUP(B57,'Data World'!$A:$AL,MATCH(World!$H$1,'Data World'!$A$1:$AL$1,)))</f>
        <v/>
      </c>
      <c r="I57" s="13">
        <f>IF(VLOOKUP(B57,'Data World'!$A:$AL,MATCH(World!$I$1,'Data World'!$A$1:$AL$1,))=0,#N/A,VLOOKUP(B57,'Data World'!$A:$AL,MATCH(World!$I$1,'Data World'!$A$1:$AL$1,)))</f>
        <v/>
      </c>
      <c r="J57" s="13">
        <f>IF(VLOOKUP(B57,'Data World'!$A:$AL,MATCH(World!$J$1,'Data World'!$A$1:$AL$1,))=0,#N/A,VLOOKUP(B57,'Data World'!$A:$AL,MATCH(World!$J$1,'Data World'!$A$1:$AL$1,)))</f>
        <v/>
      </c>
      <c r="K57" s="13">
        <f>IF(VLOOKUP(B57,'Data World'!$A:$AL,MATCH(World!$K$1,'Data World'!$A$1:$AL$1,))=0,#N/A,VLOOKUP(B57,'Data World'!$A:$AL,MATCH(World!$K$1,'Data World'!$A$1:$AL$1,)))</f>
        <v/>
      </c>
      <c r="L57" s="13">
        <f>IF(VLOOKUP(B57,'Data World'!$A:$AL,MATCH(World!$L$1,'Data World'!$A$1:$AL$1,))=0,#N/A,VLOOKUP(B57,'Data World'!$A:$AL,MATCH(World!$L$1,'Data World'!$A$1:$AL$1,)))</f>
        <v/>
      </c>
      <c r="M57" s="13">
        <f>IF(VLOOKUP(B57,'Data World'!$A:$AL,MATCH(World!$M$1,'Data World'!$A$1:$AL$1,))=0,#N/A,VLOOKUP(B57,'Data World'!$A:$AL,MATCH(World!$M$1,'Data World'!$A$1:$AL$1,)))</f>
        <v/>
      </c>
      <c r="N57" s="13">
        <f>IF(VLOOKUP(B57,'Data World'!$A:$AL,MATCH(World!$N$1,'Data World'!$A$1:$AL$1,))=0,#N/A,VLOOKUP(B57,'Data World'!$A:$AL,MATCH(World!$N$1,'Data World'!$A$1:$AL$1,)))</f>
        <v/>
      </c>
      <c r="O57" s="13">
        <f>IF(VLOOKUP(B57,'Data World'!$A:$AL,MATCH(World!$O$1,'Data World'!$A$1:$AL$1,))=0,#N/A,VLOOKUP(B57,'Data World'!$A:$AL,MATCH(World!$O$1,'Data World'!$A$1:$AL$1,)))</f>
        <v/>
      </c>
      <c r="P57" s="13">
        <f>IF(VLOOKUP(B57,'Data World'!$A:$AL,MATCH(World!$P$1,'Data World'!$A$1:$AL$1,))=0,#N/A,VLOOKUP(B57,'Data World'!$A:$AL,MATCH(World!$P$1,'Data World'!$A$1:$AL$1,)))</f>
        <v/>
      </c>
      <c r="Q57" s="13">
        <f>IF(VLOOKUP(B57,'Data World'!$A:$AL,MATCH(World!$Q$1,'Data World'!$A$1:$AL$1,))=0,#N/A,VLOOKUP(B57,'Data World'!$A:$AL,MATCH(World!$Q$1,'Data World'!$A$1:$AL$1,)))</f>
        <v/>
      </c>
      <c r="R57" s="13">
        <f>IF(VLOOKUP(B57,'Data World'!$A:$AL,MATCH(World!$R$1,'Data World'!$A$1:$AL$1,))=0,#N/A,VLOOKUP(B57,'Data World'!$A:$AL,MATCH(World!$R$1,'Data World'!$A$1:$AL$1,)))</f>
        <v/>
      </c>
      <c r="S57" s="13">
        <f>IF(VLOOKUP(B57,'Data World'!$A:$AL,MATCH(World!$S$1,'Data World'!$A$1:$AL$1,))=0,#N/A,VLOOKUP(B57,'Data World'!$A:$AL,MATCH(World!$S$1,'Data World'!$A$1:$AL$1,)))</f>
        <v/>
      </c>
      <c r="T57" s="13">
        <f>IF(VLOOKUP(B57,'Data World'!$A:$AL,MATCH(World!$T$1,'Data World'!$A$1:$AL$1,))=0,#N/A,VLOOKUP(B57,'Data World'!$A:$AL,MATCH(World!$T$1,'Data World'!$A$1:$AL$1,)))</f>
        <v/>
      </c>
    </row>
    <row r="58" customFormat="1" s="63">
      <c r="B58" s="12" t="n">
        <v>43708</v>
      </c>
      <c r="C58" s="13">
        <f>IF(VLOOKUP(B58,'Data World'!$A:$AL,MATCH(World!$C$1,'Data World'!$A$1:$AL$1,))=0,#N/A,VLOOKUP(B58,'Data World'!$A:$AL,MATCH(World!$C$1,'Data World'!$A$1:$AL$1,)))</f>
        <v/>
      </c>
      <c r="D58" s="13">
        <f>IF(VLOOKUP(B58,'Data World'!$A:$AL,MATCH(World!$D$1,'Data World'!$A$1:$AL$1,))=0,#N/A,VLOOKUP(B58,'Data World'!$A:$AL,MATCH(World!$D$1,'Data World'!$A$1:$AL$1,)))</f>
        <v/>
      </c>
      <c r="E58" s="13">
        <f>IF(VLOOKUP(B58,'Data World'!$A:$AL,MATCH(World!$E$1,'Data World'!$A$1:$AL$1,))=0,#N/A,VLOOKUP(B58,'Data World'!$A:$AL,MATCH(World!$E$1,'Data World'!$A$1:$AL$1,)))</f>
        <v/>
      </c>
      <c r="F58" s="13">
        <f>IF(VLOOKUP(B58,'Data World'!$A:$AL,MATCH(World!$F$1,'Data World'!$A$1:$AL$1,))=0,#N/A,VLOOKUP(B58,'Data World'!$A:$AL,MATCH(World!$F$1,'Data World'!$A$1:$AL$1,)))</f>
        <v/>
      </c>
      <c r="G58" s="13">
        <f>IF(VLOOKUP(B58,'Data World'!$A:$AL,MATCH(World!$G$1,'Data World'!$A$1:$AL$1,))=0,#N/A,VLOOKUP(B58,'Data World'!$A:$AL,MATCH(World!$G$1,'Data World'!$A$1:$AL$1,)))</f>
        <v/>
      </c>
      <c r="H58" s="13">
        <f>IF(VLOOKUP(B58,'Data World'!$A:$AL,MATCH(World!$H$1,'Data World'!$A$1:$AL$1,))=0,#N/A,VLOOKUP(B58,'Data World'!$A:$AL,MATCH(World!$H$1,'Data World'!$A$1:$AL$1,)))</f>
        <v/>
      </c>
      <c r="I58" s="13">
        <f>IF(VLOOKUP(B58,'Data World'!$A:$AL,MATCH(World!$I$1,'Data World'!$A$1:$AL$1,))=0,#N/A,VLOOKUP(B58,'Data World'!$A:$AL,MATCH(World!$I$1,'Data World'!$A$1:$AL$1,)))</f>
        <v/>
      </c>
      <c r="J58" s="13">
        <f>IF(VLOOKUP(B58,'Data World'!$A:$AL,MATCH(World!$J$1,'Data World'!$A$1:$AL$1,))=0,#N/A,VLOOKUP(B58,'Data World'!$A:$AL,MATCH(World!$J$1,'Data World'!$A$1:$AL$1,)))</f>
        <v/>
      </c>
      <c r="K58" s="13">
        <f>IF(VLOOKUP(B58,'Data World'!$A:$AL,MATCH(World!$K$1,'Data World'!$A$1:$AL$1,))=0,#N/A,VLOOKUP(B58,'Data World'!$A:$AL,MATCH(World!$K$1,'Data World'!$A$1:$AL$1,)))</f>
        <v/>
      </c>
      <c r="L58" s="13">
        <f>IF(VLOOKUP(B58,'Data World'!$A:$AL,MATCH(World!$L$1,'Data World'!$A$1:$AL$1,))=0,#N/A,VLOOKUP(B58,'Data World'!$A:$AL,MATCH(World!$L$1,'Data World'!$A$1:$AL$1,)))</f>
        <v/>
      </c>
      <c r="M58" s="13">
        <f>IF(VLOOKUP(B58,'Data World'!$A:$AL,MATCH(World!$M$1,'Data World'!$A$1:$AL$1,))=0,#N/A,VLOOKUP(B58,'Data World'!$A:$AL,MATCH(World!$M$1,'Data World'!$A$1:$AL$1,)))</f>
        <v/>
      </c>
      <c r="N58" s="13">
        <f>IF(VLOOKUP(B58,'Data World'!$A:$AL,MATCH(World!$N$1,'Data World'!$A$1:$AL$1,))=0,#N/A,VLOOKUP(B58,'Data World'!$A:$AL,MATCH(World!$N$1,'Data World'!$A$1:$AL$1,)))</f>
        <v/>
      </c>
      <c r="O58" s="13">
        <f>IF(VLOOKUP(B58,'Data World'!$A:$AL,MATCH(World!$O$1,'Data World'!$A$1:$AL$1,))=0,#N/A,VLOOKUP(B58,'Data World'!$A:$AL,MATCH(World!$O$1,'Data World'!$A$1:$AL$1,)))</f>
        <v/>
      </c>
      <c r="P58" s="13">
        <f>IF(VLOOKUP(B58,'Data World'!$A:$AL,MATCH(World!$P$1,'Data World'!$A$1:$AL$1,))=0,#N/A,VLOOKUP(B58,'Data World'!$A:$AL,MATCH(World!$P$1,'Data World'!$A$1:$AL$1,)))</f>
        <v/>
      </c>
      <c r="Q58" s="13">
        <f>IF(VLOOKUP(B58,'Data World'!$A:$AL,MATCH(World!$Q$1,'Data World'!$A$1:$AL$1,))=0,#N/A,VLOOKUP(B58,'Data World'!$A:$AL,MATCH(World!$Q$1,'Data World'!$A$1:$AL$1,)))</f>
        <v/>
      </c>
      <c r="R58" s="13">
        <f>IF(VLOOKUP(B58,'Data World'!$A:$AL,MATCH(World!$R$1,'Data World'!$A$1:$AL$1,))=0,#N/A,VLOOKUP(B58,'Data World'!$A:$AL,MATCH(World!$R$1,'Data World'!$A$1:$AL$1,)))</f>
        <v/>
      </c>
      <c r="S58" s="13">
        <f>IF(VLOOKUP(B58,'Data World'!$A:$AL,MATCH(World!$S$1,'Data World'!$A$1:$AL$1,))=0,#N/A,VLOOKUP(B58,'Data World'!$A:$AL,MATCH(World!$S$1,'Data World'!$A$1:$AL$1,)))</f>
        <v/>
      </c>
      <c r="T58" s="13">
        <f>IF(VLOOKUP(B58,'Data World'!$A:$AL,MATCH(World!$T$1,'Data World'!$A$1:$AL$1,))=0,#N/A,VLOOKUP(B58,'Data World'!$A:$AL,MATCH(World!$T$1,'Data World'!$A$1:$AL$1,)))</f>
        <v/>
      </c>
    </row>
    <row r="59" customFormat="1" s="63">
      <c r="B59" s="12" t="n">
        <v>43738</v>
      </c>
      <c r="C59" s="13">
        <f>IF(VLOOKUP(B59,'Data World'!$A:$AL,MATCH(World!$C$1,'Data World'!$A$1:$AL$1,))=0,#N/A,VLOOKUP(B59,'Data World'!$A:$AL,MATCH(World!$C$1,'Data World'!$A$1:$AL$1,)))</f>
        <v/>
      </c>
      <c r="D59" s="13">
        <f>IF(VLOOKUP(B59,'Data World'!$A:$AL,MATCH(World!$D$1,'Data World'!$A$1:$AL$1,))=0,#N/A,VLOOKUP(B59,'Data World'!$A:$AL,MATCH(World!$D$1,'Data World'!$A$1:$AL$1,)))</f>
        <v/>
      </c>
      <c r="E59" s="13">
        <f>IF(VLOOKUP(B59,'Data World'!$A:$AL,MATCH(World!$E$1,'Data World'!$A$1:$AL$1,))=0,#N/A,VLOOKUP(B59,'Data World'!$A:$AL,MATCH(World!$E$1,'Data World'!$A$1:$AL$1,)))</f>
        <v/>
      </c>
      <c r="F59" s="13">
        <f>IF(VLOOKUP(B59,'Data World'!$A:$AL,MATCH(World!$F$1,'Data World'!$A$1:$AL$1,))=0,#N/A,VLOOKUP(B59,'Data World'!$A:$AL,MATCH(World!$F$1,'Data World'!$A$1:$AL$1,)))</f>
        <v/>
      </c>
      <c r="G59" s="13">
        <f>IF(VLOOKUP(B59,'Data World'!$A:$AL,MATCH(World!$G$1,'Data World'!$A$1:$AL$1,))=0,#N/A,VLOOKUP(B59,'Data World'!$A:$AL,MATCH(World!$G$1,'Data World'!$A$1:$AL$1,)))</f>
        <v/>
      </c>
      <c r="H59" s="13">
        <f>IF(VLOOKUP(B59,'Data World'!$A:$AL,MATCH(World!$H$1,'Data World'!$A$1:$AL$1,))=0,#N/A,VLOOKUP(B59,'Data World'!$A:$AL,MATCH(World!$H$1,'Data World'!$A$1:$AL$1,)))</f>
        <v/>
      </c>
      <c r="I59" s="13">
        <f>IF(VLOOKUP(B59,'Data World'!$A:$AL,MATCH(World!$I$1,'Data World'!$A$1:$AL$1,))=0,#N/A,VLOOKUP(B59,'Data World'!$A:$AL,MATCH(World!$I$1,'Data World'!$A$1:$AL$1,)))</f>
        <v/>
      </c>
      <c r="J59" s="13">
        <f>IF(VLOOKUP(B59,'Data World'!$A:$AL,MATCH(World!$J$1,'Data World'!$A$1:$AL$1,))=0,#N/A,VLOOKUP(B59,'Data World'!$A:$AL,MATCH(World!$J$1,'Data World'!$A$1:$AL$1,)))</f>
        <v/>
      </c>
      <c r="K59" s="13">
        <f>IF(VLOOKUP(B59,'Data World'!$A:$AL,MATCH(World!$K$1,'Data World'!$A$1:$AL$1,))=0,#N/A,VLOOKUP(B59,'Data World'!$A:$AL,MATCH(World!$K$1,'Data World'!$A$1:$AL$1,)))</f>
        <v/>
      </c>
      <c r="L59" s="13">
        <f>IF(VLOOKUP(B59,'Data World'!$A:$AL,MATCH(World!$L$1,'Data World'!$A$1:$AL$1,))=0,#N/A,VLOOKUP(B59,'Data World'!$A:$AL,MATCH(World!$L$1,'Data World'!$A$1:$AL$1,)))</f>
        <v/>
      </c>
      <c r="M59" s="13">
        <f>IF(VLOOKUP(B59,'Data World'!$A:$AL,MATCH(World!$M$1,'Data World'!$A$1:$AL$1,))=0,#N/A,VLOOKUP(B59,'Data World'!$A:$AL,MATCH(World!$M$1,'Data World'!$A$1:$AL$1,)))</f>
        <v/>
      </c>
      <c r="N59" s="13">
        <f>IF(VLOOKUP(B59,'Data World'!$A:$AL,MATCH(World!$N$1,'Data World'!$A$1:$AL$1,))=0,#N/A,VLOOKUP(B59,'Data World'!$A:$AL,MATCH(World!$N$1,'Data World'!$A$1:$AL$1,)))</f>
        <v/>
      </c>
      <c r="O59" s="13">
        <f>IF(VLOOKUP(B59,'Data World'!$A:$AL,MATCH(World!$O$1,'Data World'!$A$1:$AL$1,))=0,#N/A,VLOOKUP(B59,'Data World'!$A:$AL,MATCH(World!$O$1,'Data World'!$A$1:$AL$1,)))</f>
        <v/>
      </c>
      <c r="P59" s="13">
        <f>IF(VLOOKUP(B59,'Data World'!$A:$AL,MATCH(World!$P$1,'Data World'!$A$1:$AL$1,))=0,#N/A,VLOOKUP(B59,'Data World'!$A:$AL,MATCH(World!$P$1,'Data World'!$A$1:$AL$1,)))</f>
        <v/>
      </c>
      <c r="Q59" s="13">
        <f>IF(VLOOKUP(B59,'Data World'!$A:$AL,MATCH(World!$Q$1,'Data World'!$A$1:$AL$1,))=0,#N/A,VLOOKUP(B59,'Data World'!$A:$AL,MATCH(World!$Q$1,'Data World'!$A$1:$AL$1,)))</f>
        <v/>
      </c>
      <c r="R59" s="13">
        <f>IF(VLOOKUP(B59,'Data World'!$A:$AL,MATCH(World!$R$1,'Data World'!$A$1:$AL$1,))=0,#N/A,VLOOKUP(B59,'Data World'!$A:$AL,MATCH(World!$R$1,'Data World'!$A$1:$AL$1,)))</f>
        <v/>
      </c>
      <c r="S59" s="13">
        <f>IF(VLOOKUP(B59,'Data World'!$A:$AL,MATCH(World!$S$1,'Data World'!$A$1:$AL$1,))=0,#N/A,VLOOKUP(B59,'Data World'!$A:$AL,MATCH(World!$S$1,'Data World'!$A$1:$AL$1,)))</f>
        <v/>
      </c>
      <c r="T59" s="13">
        <f>IF(VLOOKUP(B59,'Data World'!$A:$AL,MATCH(World!$T$1,'Data World'!$A$1:$AL$1,))=0,#N/A,VLOOKUP(B59,'Data World'!$A:$AL,MATCH(World!$T$1,'Data World'!$A$1:$AL$1,)))</f>
        <v/>
      </c>
    </row>
    <row r="60" customFormat="1" s="63">
      <c r="B60" s="12" t="n">
        <v>43769</v>
      </c>
      <c r="C60" s="13">
        <f>IF(VLOOKUP(B60,'Data World'!$A:$AL,MATCH(World!$C$1,'Data World'!$A$1:$AL$1,))=0,#N/A,VLOOKUP(B60,'Data World'!$A:$AL,MATCH(World!$C$1,'Data World'!$A$1:$AL$1,)))</f>
        <v/>
      </c>
      <c r="D60" s="13">
        <f>IF(VLOOKUP(B60,'Data World'!$A:$AL,MATCH(World!$D$1,'Data World'!$A$1:$AL$1,))=0,#N/A,VLOOKUP(B60,'Data World'!$A:$AL,MATCH(World!$D$1,'Data World'!$A$1:$AL$1,)))</f>
        <v/>
      </c>
      <c r="E60" s="13">
        <f>IF(VLOOKUP(B60,'Data World'!$A:$AL,MATCH(World!$E$1,'Data World'!$A$1:$AL$1,))=0,#N/A,VLOOKUP(B60,'Data World'!$A:$AL,MATCH(World!$E$1,'Data World'!$A$1:$AL$1,)))</f>
        <v/>
      </c>
      <c r="F60" s="13">
        <f>IF(VLOOKUP(B60,'Data World'!$A:$AL,MATCH(World!$F$1,'Data World'!$A$1:$AL$1,))=0,#N/A,VLOOKUP(B60,'Data World'!$A:$AL,MATCH(World!$F$1,'Data World'!$A$1:$AL$1,)))</f>
        <v/>
      </c>
      <c r="G60" s="13">
        <f>IF(VLOOKUP(B60,'Data World'!$A:$AL,MATCH(World!$G$1,'Data World'!$A$1:$AL$1,))=0,#N/A,VLOOKUP(B60,'Data World'!$A:$AL,MATCH(World!$G$1,'Data World'!$A$1:$AL$1,)))</f>
        <v/>
      </c>
      <c r="H60" s="13">
        <f>IF(VLOOKUP(B60,'Data World'!$A:$AL,MATCH(World!$H$1,'Data World'!$A$1:$AL$1,))=0,#N/A,VLOOKUP(B60,'Data World'!$A:$AL,MATCH(World!$H$1,'Data World'!$A$1:$AL$1,)))</f>
        <v/>
      </c>
      <c r="I60" s="13">
        <f>IF(VLOOKUP(B60,'Data World'!$A:$AL,MATCH(World!$I$1,'Data World'!$A$1:$AL$1,))=0,#N/A,VLOOKUP(B60,'Data World'!$A:$AL,MATCH(World!$I$1,'Data World'!$A$1:$AL$1,)))</f>
        <v/>
      </c>
      <c r="J60" s="13">
        <f>IF(VLOOKUP(B60,'Data World'!$A:$AL,MATCH(World!$J$1,'Data World'!$A$1:$AL$1,))=0,#N/A,VLOOKUP(B60,'Data World'!$A:$AL,MATCH(World!$J$1,'Data World'!$A$1:$AL$1,)))</f>
        <v/>
      </c>
      <c r="K60" s="13">
        <f>IF(VLOOKUP(B60,'Data World'!$A:$AL,MATCH(World!$K$1,'Data World'!$A$1:$AL$1,))=0,#N/A,VLOOKUP(B60,'Data World'!$A:$AL,MATCH(World!$K$1,'Data World'!$A$1:$AL$1,)))</f>
        <v/>
      </c>
      <c r="L60" s="13">
        <f>IF(VLOOKUP(B60,'Data World'!$A:$AL,MATCH(World!$L$1,'Data World'!$A$1:$AL$1,))=0,#N/A,VLOOKUP(B60,'Data World'!$A:$AL,MATCH(World!$L$1,'Data World'!$A$1:$AL$1,)))</f>
        <v/>
      </c>
      <c r="M60" s="13">
        <f>IF(VLOOKUP(B60,'Data World'!$A:$AL,MATCH(World!$M$1,'Data World'!$A$1:$AL$1,))=0,#N/A,VLOOKUP(B60,'Data World'!$A:$AL,MATCH(World!$M$1,'Data World'!$A$1:$AL$1,)))</f>
        <v/>
      </c>
      <c r="N60" s="13">
        <f>IF(VLOOKUP(B60,'Data World'!$A:$AL,MATCH(World!$N$1,'Data World'!$A$1:$AL$1,))=0,#N/A,VLOOKUP(B60,'Data World'!$A:$AL,MATCH(World!$N$1,'Data World'!$A$1:$AL$1,)))</f>
        <v/>
      </c>
      <c r="O60" s="13">
        <f>IF(VLOOKUP(B60,'Data World'!$A:$AL,MATCH(World!$O$1,'Data World'!$A$1:$AL$1,))=0,#N/A,VLOOKUP(B60,'Data World'!$A:$AL,MATCH(World!$O$1,'Data World'!$A$1:$AL$1,)))</f>
        <v/>
      </c>
      <c r="P60" s="13">
        <f>IF(VLOOKUP(B60,'Data World'!$A:$AL,MATCH(World!$P$1,'Data World'!$A$1:$AL$1,))=0,#N/A,VLOOKUP(B60,'Data World'!$A:$AL,MATCH(World!$P$1,'Data World'!$A$1:$AL$1,)))</f>
        <v/>
      </c>
      <c r="Q60" s="13">
        <f>IF(VLOOKUP(B60,'Data World'!$A:$AL,MATCH(World!$Q$1,'Data World'!$A$1:$AL$1,))=0,#N/A,VLOOKUP(B60,'Data World'!$A:$AL,MATCH(World!$Q$1,'Data World'!$A$1:$AL$1,)))</f>
        <v/>
      </c>
      <c r="R60" s="13">
        <f>IF(VLOOKUP(B60,'Data World'!$A:$AL,MATCH(World!$R$1,'Data World'!$A$1:$AL$1,))=0,#N/A,VLOOKUP(B60,'Data World'!$A:$AL,MATCH(World!$R$1,'Data World'!$A$1:$AL$1,)))</f>
        <v/>
      </c>
      <c r="S60" s="13">
        <f>IF(VLOOKUP(B60,'Data World'!$A:$AL,MATCH(World!$S$1,'Data World'!$A$1:$AL$1,))=0,#N/A,VLOOKUP(B60,'Data World'!$A:$AL,MATCH(World!$S$1,'Data World'!$A$1:$AL$1,)))</f>
        <v/>
      </c>
      <c r="T60" s="13">
        <f>IF(VLOOKUP(B60,'Data World'!$A:$AL,MATCH(World!$T$1,'Data World'!$A$1:$AL$1,))=0,#N/A,VLOOKUP(B60,'Data World'!$A:$AL,MATCH(World!$T$1,'Data World'!$A$1:$AL$1,)))</f>
        <v/>
      </c>
    </row>
    <row r="61" customFormat="1" s="63">
      <c r="B61" s="12" t="n">
        <v>43799</v>
      </c>
      <c r="C61" s="13">
        <f>IF(VLOOKUP(B61,'Data World'!$A:$AL,MATCH(World!$C$1,'Data World'!$A$1:$AL$1,))=0,#N/A,VLOOKUP(B61,'Data World'!$A:$AL,MATCH(World!$C$1,'Data World'!$A$1:$AL$1,)))</f>
        <v/>
      </c>
      <c r="D61" s="13">
        <f>IF(VLOOKUP(B61,'Data World'!$A:$AL,MATCH(World!$D$1,'Data World'!$A$1:$AL$1,))=0,#N/A,VLOOKUP(B61,'Data World'!$A:$AL,MATCH(World!$D$1,'Data World'!$A$1:$AL$1,)))</f>
        <v/>
      </c>
      <c r="E61" s="13">
        <f>IF(VLOOKUP(B61,'Data World'!$A:$AL,MATCH(World!$E$1,'Data World'!$A$1:$AL$1,))=0,#N/A,VLOOKUP(B61,'Data World'!$A:$AL,MATCH(World!$E$1,'Data World'!$A$1:$AL$1,)))</f>
        <v/>
      </c>
      <c r="F61" s="13">
        <f>IF(VLOOKUP(B61,'Data World'!$A:$AL,MATCH(World!$F$1,'Data World'!$A$1:$AL$1,))=0,#N/A,VLOOKUP(B61,'Data World'!$A:$AL,MATCH(World!$F$1,'Data World'!$A$1:$AL$1,)))</f>
        <v/>
      </c>
      <c r="G61" s="13">
        <f>IF(VLOOKUP(B61,'Data World'!$A:$AL,MATCH(World!$G$1,'Data World'!$A$1:$AL$1,))=0,#N/A,VLOOKUP(B61,'Data World'!$A:$AL,MATCH(World!$G$1,'Data World'!$A$1:$AL$1,)))</f>
        <v/>
      </c>
      <c r="H61" s="13">
        <f>IF(VLOOKUP(B61,'Data World'!$A:$AL,MATCH(World!$H$1,'Data World'!$A$1:$AL$1,))=0,#N/A,VLOOKUP(B61,'Data World'!$A:$AL,MATCH(World!$H$1,'Data World'!$A$1:$AL$1,)))</f>
        <v/>
      </c>
      <c r="I61" s="13">
        <f>IF(VLOOKUP(B61,'Data World'!$A:$AL,MATCH(World!$I$1,'Data World'!$A$1:$AL$1,))=0,#N/A,VLOOKUP(B61,'Data World'!$A:$AL,MATCH(World!$I$1,'Data World'!$A$1:$AL$1,)))</f>
        <v/>
      </c>
      <c r="J61" s="13">
        <f>IF(VLOOKUP(B61,'Data World'!$A:$AL,MATCH(World!$J$1,'Data World'!$A$1:$AL$1,))=0,#N/A,VLOOKUP(B61,'Data World'!$A:$AL,MATCH(World!$J$1,'Data World'!$A$1:$AL$1,)))</f>
        <v/>
      </c>
      <c r="K61" s="13">
        <f>IF(VLOOKUP(B61,'Data World'!$A:$AL,MATCH(World!$K$1,'Data World'!$A$1:$AL$1,))=0,#N/A,VLOOKUP(B61,'Data World'!$A:$AL,MATCH(World!$K$1,'Data World'!$A$1:$AL$1,)))</f>
        <v/>
      </c>
      <c r="L61" s="13">
        <f>IF(VLOOKUP(B61,'Data World'!$A:$AL,MATCH(World!$L$1,'Data World'!$A$1:$AL$1,))=0,#N/A,VLOOKUP(B61,'Data World'!$A:$AL,MATCH(World!$L$1,'Data World'!$A$1:$AL$1,)))</f>
        <v/>
      </c>
      <c r="M61" s="13">
        <f>IF(VLOOKUP(B61,'Data World'!$A:$AL,MATCH(World!$M$1,'Data World'!$A$1:$AL$1,))=0,#N/A,VLOOKUP(B61,'Data World'!$A:$AL,MATCH(World!$M$1,'Data World'!$A$1:$AL$1,)))</f>
        <v/>
      </c>
      <c r="N61" s="13">
        <f>IF(VLOOKUP(B61,'Data World'!$A:$AL,MATCH(World!$N$1,'Data World'!$A$1:$AL$1,))=0,#N/A,VLOOKUP(B61,'Data World'!$A:$AL,MATCH(World!$N$1,'Data World'!$A$1:$AL$1,)))</f>
        <v/>
      </c>
      <c r="O61" s="13">
        <f>IF(VLOOKUP(B61,'Data World'!$A:$AL,MATCH(World!$O$1,'Data World'!$A$1:$AL$1,))=0,#N/A,VLOOKUP(B61,'Data World'!$A:$AL,MATCH(World!$O$1,'Data World'!$A$1:$AL$1,)))</f>
        <v/>
      </c>
      <c r="P61" s="13">
        <f>IF(VLOOKUP(B61,'Data World'!$A:$AL,MATCH(World!$P$1,'Data World'!$A$1:$AL$1,))=0,#N/A,VLOOKUP(B61,'Data World'!$A:$AL,MATCH(World!$P$1,'Data World'!$A$1:$AL$1,)))</f>
        <v/>
      </c>
      <c r="Q61" s="13">
        <f>IF(VLOOKUP(B61,'Data World'!$A:$AL,MATCH(World!$Q$1,'Data World'!$A$1:$AL$1,))=0,#N/A,VLOOKUP(B61,'Data World'!$A:$AL,MATCH(World!$Q$1,'Data World'!$A$1:$AL$1,)))</f>
        <v/>
      </c>
      <c r="R61" s="13">
        <f>IF(VLOOKUP(B61,'Data World'!$A:$AL,MATCH(World!$R$1,'Data World'!$A$1:$AL$1,))=0,#N/A,VLOOKUP(B61,'Data World'!$A:$AL,MATCH(World!$R$1,'Data World'!$A$1:$AL$1,)))</f>
        <v/>
      </c>
      <c r="S61" s="13">
        <f>IF(VLOOKUP(B61,'Data World'!$A:$AL,MATCH(World!$S$1,'Data World'!$A$1:$AL$1,))=0,#N/A,VLOOKUP(B61,'Data World'!$A:$AL,MATCH(World!$S$1,'Data World'!$A$1:$AL$1,)))</f>
        <v/>
      </c>
      <c r="T61" s="13">
        <f>IF(VLOOKUP(B61,'Data World'!$A:$AL,MATCH(World!$T$1,'Data World'!$A$1:$AL$1,))=0,#N/A,VLOOKUP(B61,'Data World'!$A:$AL,MATCH(World!$T$1,'Data World'!$A$1:$AL$1,)))</f>
        <v/>
      </c>
    </row>
    <row r="62" customFormat="1" s="63">
      <c r="B62" s="12" t="n">
        <v>43830</v>
      </c>
      <c r="C62" s="13">
        <f>IF(VLOOKUP(B62,'Data World'!$A:$AL,MATCH(World!$C$1,'Data World'!$A$1:$AL$1,))=0,#N/A,VLOOKUP(B62,'Data World'!$A:$AL,MATCH(World!$C$1,'Data World'!$A$1:$AL$1,)))</f>
        <v/>
      </c>
      <c r="D62" s="13">
        <f>IF(VLOOKUP(B62,'Data World'!$A:$AL,MATCH(World!$D$1,'Data World'!$A$1:$AL$1,))=0,#N/A,VLOOKUP(B62,'Data World'!$A:$AL,MATCH(World!$D$1,'Data World'!$A$1:$AL$1,)))</f>
        <v/>
      </c>
      <c r="E62" s="13">
        <f>IF(VLOOKUP(B62,'Data World'!$A:$AL,MATCH(World!$E$1,'Data World'!$A$1:$AL$1,))=0,#N/A,VLOOKUP(B62,'Data World'!$A:$AL,MATCH(World!$E$1,'Data World'!$A$1:$AL$1,)))</f>
        <v/>
      </c>
      <c r="F62" s="13">
        <f>IF(VLOOKUP(B62,'Data World'!$A:$AL,MATCH(World!$F$1,'Data World'!$A$1:$AL$1,))=0,#N/A,VLOOKUP(B62,'Data World'!$A:$AL,MATCH(World!$F$1,'Data World'!$A$1:$AL$1,)))</f>
        <v/>
      </c>
      <c r="G62" s="13">
        <f>IF(VLOOKUP(B62,'Data World'!$A:$AL,MATCH(World!$G$1,'Data World'!$A$1:$AL$1,))=0,#N/A,VLOOKUP(B62,'Data World'!$A:$AL,MATCH(World!$G$1,'Data World'!$A$1:$AL$1,)))</f>
        <v/>
      </c>
      <c r="H62" s="13">
        <f>IF(VLOOKUP(B62,'Data World'!$A:$AL,MATCH(World!$H$1,'Data World'!$A$1:$AL$1,))=0,#N/A,VLOOKUP(B62,'Data World'!$A:$AL,MATCH(World!$H$1,'Data World'!$A$1:$AL$1,)))</f>
        <v/>
      </c>
      <c r="I62" s="13">
        <f>IF(VLOOKUP(B62,'Data World'!$A:$AL,MATCH(World!$I$1,'Data World'!$A$1:$AL$1,))=0,#N/A,VLOOKUP(B62,'Data World'!$A:$AL,MATCH(World!$I$1,'Data World'!$A$1:$AL$1,)))</f>
        <v/>
      </c>
      <c r="J62" s="13">
        <f>IF(VLOOKUP(B62,'Data World'!$A:$AL,MATCH(World!$J$1,'Data World'!$A$1:$AL$1,))=0,#N/A,VLOOKUP(B62,'Data World'!$A:$AL,MATCH(World!$J$1,'Data World'!$A$1:$AL$1,)))</f>
        <v/>
      </c>
      <c r="K62" s="13">
        <f>IF(VLOOKUP(B62,'Data World'!$A:$AL,MATCH(World!$K$1,'Data World'!$A$1:$AL$1,))=0,#N/A,VLOOKUP(B62,'Data World'!$A:$AL,MATCH(World!$K$1,'Data World'!$A$1:$AL$1,)))</f>
        <v/>
      </c>
      <c r="L62" s="13">
        <f>IF(VLOOKUP(B62,'Data World'!$A:$AL,MATCH(World!$L$1,'Data World'!$A$1:$AL$1,))=0,#N/A,VLOOKUP(B62,'Data World'!$A:$AL,MATCH(World!$L$1,'Data World'!$A$1:$AL$1,)))</f>
        <v/>
      </c>
      <c r="M62" s="13">
        <f>IF(VLOOKUP(B62,'Data World'!$A:$AL,MATCH(World!$M$1,'Data World'!$A$1:$AL$1,))=0,#N/A,VLOOKUP(B62,'Data World'!$A:$AL,MATCH(World!$M$1,'Data World'!$A$1:$AL$1,)))</f>
        <v/>
      </c>
      <c r="N62" s="13">
        <f>IF(VLOOKUP(B62,'Data World'!$A:$AL,MATCH(World!$N$1,'Data World'!$A$1:$AL$1,))=0,#N/A,VLOOKUP(B62,'Data World'!$A:$AL,MATCH(World!$N$1,'Data World'!$A$1:$AL$1,)))</f>
        <v/>
      </c>
      <c r="O62" s="13">
        <f>IF(VLOOKUP(B62,'Data World'!$A:$AL,MATCH(World!$O$1,'Data World'!$A$1:$AL$1,))=0,#N/A,VLOOKUP(B62,'Data World'!$A:$AL,MATCH(World!$O$1,'Data World'!$A$1:$AL$1,)))</f>
        <v/>
      </c>
      <c r="P62" s="13">
        <f>IF(VLOOKUP(B62,'Data World'!$A:$AL,MATCH(World!$P$1,'Data World'!$A$1:$AL$1,))=0,#N/A,VLOOKUP(B62,'Data World'!$A:$AL,MATCH(World!$P$1,'Data World'!$A$1:$AL$1,)))</f>
        <v/>
      </c>
      <c r="Q62" s="13">
        <f>IF(VLOOKUP(B62,'Data World'!$A:$AL,MATCH(World!$Q$1,'Data World'!$A$1:$AL$1,))=0,#N/A,VLOOKUP(B62,'Data World'!$A:$AL,MATCH(World!$Q$1,'Data World'!$A$1:$AL$1,)))</f>
        <v/>
      </c>
      <c r="R62" s="13">
        <f>IF(VLOOKUP(B62,'Data World'!$A:$AL,MATCH(World!$R$1,'Data World'!$A$1:$AL$1,))=0,#N/A,VLOOKUP(B62,'Data World'!$A:$AL,MATCH(World!$R$1,'Data World'!$A$1:$AL$1,)))</f>
        <v/>
      </c>
      <c r="S62" s="13">
        <f>IF(VLOOKUP(B62,'Data World'!$A:$AL,MATCH(World!$S$1,'Data World'!$A$1:$AL$1,))=0,#N/A,VLOOKUP(B62,'Data World'!$A:$AL,MATCH(World!$S$1,'Data World'!$A$1:$AL$1,)))</f>
        <v/>
      </c>
      <c r="T62" s="13">
        <f>IF(VLOOKUP(B62,'Data World'!$A:$AL,MATCH(World!$T$1,'Data World'!$A$1:$AL$1,))=0,#N/A,VLOOKUP(B62,'Data World'!$A:$AL,MATCH(World!$T$1,'Data World'!$A$1:$AL$1,)))</f>
        <v/>
      </c>
    </row>
    <row r="63" customFormat="1" s="63">
      <c r="B63" s="12" t="n">
        <v>43861</v>
      </c>
      <c r="C63" s="13">
        <f>IF(VLOOKUP(B63,'Data World'!$A:$AL,MATCH(World!$C$1,'Data World'!$A$1:$AL$1,))=0,#N/A,VLOOKUP(B63,'Data World'!$A:$AL,MATCH(World!$C$1,'Data World'!$A$1:$AL$1,)))</f>
        <v/>
      </c>
      <c r="D63" s="13">
        <f>IF(VLOOKUP(B63,'Data World'!$A:$AL,MATCH(World!$D$1,'Data World'!$A$1:$AL$1,))=0,#N/A,VLOOKUP(B63,'Data World'!$A:$AL,MATCH(World!$D$1,'Data World'!$A$1:$AL$1,)))</f>
        <v/>
      </c>
      <c r="E63" s="13">
        <f>IF(VLOOKUP(B63,'Data World'!$A:$AL,MATCH(World!$E$1,'Data World'!$A$1:$AL$1,))=0,#N/A,VLOOKUP(B63,'Data World'!$A:$AL,MATCH(World!$E$1,'Data World'!$A$1:$AL$1,)))</f>
        <v/>
      </c>
      <c r="F63" s="13">
        <f>IF(VLOOKUP(B63,'Data World'!$A:$AL,MATCH(World!$F$1,'Data World'!$A$1:$AL$1,))=0,#N/A,VLOOKUP(B63,'Data World'!$A:$AL,MATCH(World!$F$1,'Data World'!$A$1:$AL$1,)))</f>
        <v/>
      </c>
      <c r="G63" s="13">
        <f>IF(VLOOKUP(B63,'Data World'!$A:$AL,MATCH(World!$G$1,'Data World'!$A$1:$AL$1,))=0,#N/A,VLOOKUP(B63,'Data World'!$A:$AL,MATCH(World!$G$1,'Data World'!$A$1:$AL$1,)))</f>
        <v/>
      </c>
      <c r="H63" s="13">
        <f>IF(VLOOKUP(B63,'Data World'!$A:$AL,MATCH(World!$H$1,'Data World'!$A$1:$AL$1,))=0,#N/A,VLOOKUP(B63,'Data World'!$A:$AL,MATCH(World!$H$1,'Data World'!$A$1:$AL$1,)))</f>
        <v/>
      </c>
      <c r="I63" s="13">
        <f>IF(VLOOKUP(B63,'Data World'!$A:$AL,MATCH(World!$I$1,'Data World'!$A$1:$AL$1,))=0,#N/A,VLOOKUP(B63,'Data World'!$A:$AL,MATCH(World!$I$1,'Data World'!$A$1:$AL$1,)))</f>
        <v/>
      </c>
      <c r="J63" s="13">
        <f>IF(VLOOKUP(B63,'Data World'!$A:$AL,MATCH(World!$J$1,'Data World'!$A$1:$AL$1,))=0,#N/A,VLOOKUP(B63,'Data World'!$A:$AL,MATCH(World!$J$1,'Data World'!$A$1:$AL$1,)))</f>
        <v/>
      </c>
      <c r="K63" s="13">
        <f>IF(VLOOKUP(B63,'Data World'!$A:$AL,MATCH(World!$K$1,'Data World'!$A$1:$AL$1,))=0,#N/A,VLOOKUP(B63,'Data World'!$A:$AL,MATCH(World!$K$1,'Data World'!$A$1:$AL$1,)))</f>
        <v/>
      </c>
      <c r="L63" s="13">
        <f>IF(VLOOKUP(B63,'Data World'!$A:$AL,MATCH(World!$L$1,'Data World'!$A$1:$AL$1,))=0,#N/A,VLOOKUP(B63,'Data World'!$A:$AL,MATCH(World!$L$1,'Data World'!$A$1:$AL$1,)))</f>
        <v/>
      </c>
      <c r="M63" s="13">
        <f>IF(VLOOKUP(B63,'Data World'!$A:$AL,MATCH(World!$M$1,'Data World'!$A$1:$AL$1,))=0,#N/A,VLOOKUP(B63,'Data World'!$A:$AL,MATCH(World!$M$1,'Data World'!$A$1:$AL$1,)))</f>
        <v/>
      </c>
      <c r="N63" s="13">
        <f>IF(VLOOKUP(B63,'Data World'!$A:$AL,MATCH(World!$N$1,'Data World'!$A$1:$AL$1,))=0,#N/A,VLOOKUP(B63,'Data World'!$A:$AL,MATCH(World!$N$1,'Data World'!$A$1:$AL$1,)))</f>
        <v/>
      </c>
      <c r="O63" s="13">
        <f>IF(VLOOKUP(B63,'Data World'!$A:$AL,MATCH(World!$O$1,'Data World'!$A$1:$AL$1,))=0,#N/A,VLOOKUP(B63,'Data World'!$A:$AL,MATCH(World!$O$1,'Data World'!$A$1:$AL$1,)))</f>
        <v/>
      </c>
      <c r="P63" s="13">
        <f>IF(VLOOKUP(B63,'Data World'!$A:$AL,MATCH(World!$P$1,'Data World'!$A$1:$AL$1,))=0,#N/A,VLOOKUP(B63,'Data World'!$A:$AL,MATCH(World!$P$1,'Data World'!$A$1:$AL$1,)))</f>
        <v/>
      </c>
      <c r="Q63" s="13">
        <f>IF(VLOOKUP(B63,'Data World'!$A:$AL,MATCH(World!$Q$1,'Data World'!$A$1:$AL$1,))=0,#N/A,VLOOKUP(B63,'Data World'!$A:$AL,MATCH(World!$Q$1,'Data World'!$A$1:$AL$1,)))</f>
        <v/>
      </c>
      <c r="R63" s="13">
        <f>IF(VLOOKUP(B63,'Data World'!$A:$AL,MATCH(World!$R$1,'Data World'!$A$1:$AL$1,))=0,#N/A,VLOOKUP(B63,'Data World'!$A:$AL,MATCH(World!$R$1,'Data World'!$A$1:$AL$1,)))</f>
        <v/>
      </c>
      <c r="S63" s="13">
        <f>IF(VLOOKUP(B63,'Data World'!$A:$AL,MATCH(World!$S$1,'Data World'!$A$1:$AL$1,))=0,#N/A,VLOOKUP(B63,'Data World'!$A:$AL,MATCH(World!$S$1,'Data World'!$A$1:$AL$1,)))</f>
        <v/>
      </c>
      <c r="T63" s="13">
        <f>IF(VLOOKUP(B63,'Data World'!$A:$AL,MATCH(World!$T$1,'Data World'!$A$1:$AL$1,))=0,#N/A,VLOOKUP(B63,'Data World'!$A:$AL,MATCH(World!$T$1,'Data World'!$A$1:$AL$1,)))</f>
        <v/>
      </c>
    </row>
    <row r="64" customFormat="1" s="63">
      <c r="B64" s="12" t="n">
        <v>43890</v>
      </c>
      <c r="C64" s="13">
        <f>IF(VLOOKUP(B64,'Data World'!$A:$AL,MATCH(World!$C$1,'Data World'!$A$1:$AL$1,))=0,#N/A,VLOOKUP(B64,'Data World'!$A:$AL,MATCH(World!$C$1,'Data World'!$A$1:$AL$1,)))</f>
        <v/>
      </c>
      <c r="D64" s="13">
        <f>IF(VLOOKUP(B64,'Data World'!$A:$AL,MATCH(World!$D$1,'Data World'!$A$1:$AL$1,))=0,#N/A,VLOOKUP(B64,'Data World'!$A:$AL,MATCH(World!$D$1,'Data World'!$A$1:$AL$1,)))</f>
        <v/>
      </c>
      <c r="E64" s="13">
        <f>IF(VLOOKUP(B64,'Data World'!$A:$AL,MATCH(World!$E$1,'Data World'!$A$1:$AL$1,))=0,#N/A,VLOOKUP(B64,'Data World'!$A:$AL,MATCH(World!$E$1,'Data World'!$A$1:$AL$1,)))</f>
        <v/>
      </c>
      <c r="F64" s="13">
        <f>IF(VLOOKUP(B64,'Data World'!$A:$AL,MATCH(World!$F$1,'Data World'!$A$1:$AL$1,))=0,#N/A,VLOOKUP(B64,'Data World'!$A:$AL,MATCH(World!$F$1,'Data World'!$A$1:$AL$1,)))</f>
        <v/>
      </c>
      <c r="G64" s="13">
        <f>IF(VLOOKUP(B64,'Data World'!$A:$AL,MATCH(World!$G$1,'Data World'!$A$1:$AL$1,))=0,#N/A,VLOOKUP(B64,'Data World'!$A:$AL,MATCH(World!$G$1,'Data World'!$A$1:$AL$1,)))</f>
        <v/>
      </c>
      <c r="H64" s="13">
        <f>IF(VLOOKUP(B64,'Data World'!$A:$AL,MATCH(World!$H$1,'Data World'!$A$1:$AL$1,))=0,#N/A,VLOOKUP(B64,'Data World'!$A:$AL,MATCH(World!$H$1,'Data World'!$A$1:$AL$1,)))</f>
        <v/>
      </c>
      <c r="I64" s="13">
        <f>IF(VLOOKUP(B64,'Data World'!$A:$AL,MATCH(World!$I$1,'Data World'!$A$1:$AL$1,))=0,#N/A,VLOOKUP(B64,'Data World'!$A:$AL,MATCH(World!$I$1,'Data World'!$A$1:$AL$1,)))</f>
        <v/>
      </c>
      <c r="J64" s="13">
        <f>IF(VLOOKUP(B64,'Data World'!$A:$AL,MATCH(World!$J$1,'Data World'!$A$1:$AL$1,))=0,#N/A,VLOOKUP(B64,'Data World'!$A:$AL,MATCH(World!$J$1,'Data World'!$A$1:$AL$1,)))</f>
        <v/>
      </c>
      <c r="K64" s="13">
        <f>IF(VLOOKUP(B64,'Data World'!$A:$AL,MATCH(World!$K$1,'Data World'!$A$1:$AL$1,))=0,#N/A,VLOOKUP(B64,'Data World'!$A:$AL,MATCH(World!$K$1,'Data World'!$A$1:$AL$1,)))</f>
        <v/>
      </c>
      <c r="L64" s="13">
        <f>IF(VLOOKUP(B64,'Data World'!$A:$AL,MATCH(World!$L$1,'Data World'!$A$1:$AL$1,))=0,#N/A,VLOOKUP(B64,'Data World'!$A:$AL,MATCH(World!$L$1,'Data World'!$A$1:$AL$1,)))</f>
        <v/>
      </c>
      <c r="M64" s="13">
        <f>IF(VLOOKUP(B64,'Data World'!$A:$AL,MATCH(World!$M$1,'Data World'!$A$1:$AL$1,))=0,#N/A,VLOOKUP(B64,'Data World'!$A:$AL,MATCH(World!$M$1,'Data World'!$A$1:$AL$1,)))</f>
        <v/>
      </c>
      <c r="N64" s="13">
        <f>IF(VLOOKUP(B64,'Data World'!$A:$AL,MATCH(World!$N$1,'Data World'!$A$1:$AL$1,))=0,#N/A,VLOOKUP(B64,'Data World'!$A:$AL,MATCH(World!$N$1,'Data World'!$A$1:$AL$1,)))</f>
        <v/>
      </c>
      <c r="O64" s="13">
        <f>IF(VLOOKUP(B64,'Data World'!$A:$AL,MATCH(World!$O$1,'Data World'!$A$1:$AL$1,))=0,#N/A,VLOOKUP(B64,'Data World'!$A:$AL,MATCH(World!$O$1,'Data World'!$A$1:$AL$1,)))</f>
        <v/>
      </c>
      <c r="P64" s="13">
        <f>IF(VLOOKUP(B64,'Data World'!$A:$AL,MATCH(World!$P$1,'Data World'!$A$1:$AL$1,))=0,#N/A,VLOOKUP(B64,'Data World'!$A:$AL,MATCH(World!$P$1,'Data World'!$A$1:$AL$1,)))</f>
        <v/>
      </c>
      <c r="Q64" s="13">
        <f>IF(VLOOKUP(B64,'Data World'!$A:$AL,MATCH(World!$Q$1,'Data World'!$A$1:$AL$1,))=0,#N/A,VLOOKUP(B64,'Data World'!$A:$AL,MATCH(World!$Q$1,'Data World'!$A$1:$AL$1,)))</f>
        <v/>
      </c>
      <c r="R64" s="13">
        <f>IF(VLOOKUP(B64,'Data World'!$A:$AL,MATCH(World!$R$1,'Data World'!$A$1:$AL$1,))=0,#N/A,VLOOKUP(B64,'Data World'!$A:$AL,MATCH(World!$R$1,'Data World'!$A$1:$AL$1,)))</f>
        <v/>
      </c>
      <c r="S64" s="13">
        <f>IF(VLOOKUP(B64,'Data World'!$A:$AL,MATCH(World!$S$1,'Data World'!$A$1:$AL$1,))=0,#N/A,VLOOKUP(B64,'Data World'!$A:$AL,MATCH(World!$S$1,'Data World'!$A$1:$AL$1,)))</f>
        <v/>
      </c>
      <c r="T64" s="13">
        <f>IF(VLOOKUP(B64,'Data World'!$A:$AL,MATCH(World!$T$1,'Data World'!$A$1:$AL$1,))=0,#N/A,VLOOKUP(B64,'Data World'!$A:$AL,MATCH(World!$T$1,'Data World'!$A$1:$AL$1,)))</f>
        <v/>
      </c>
    </row>
    <row r="65" customFormat="1" s="63">
      <c r="B65" s="12" t="n">
        <v>43921</v>
      </c>
      <c r="C65" s="13">
        <f>IF(VLOOKUP(B65,'Data World'!$A:$AL,MATCH(World!$C$1,'Data World'!$A$1:$AL$1,))=0,#N/A,VLOOKUP(B65,'Data World'!$A:$AL,MATCH(World!$C$1,'Data World'!$A$1:$AL$1,)))</f>
        <v/>
      </c>
      <c r="D65" s="13">
        <f>IF(VLOOKUP(B65,'Data World'!$A:$AL,MATCH(World!$D$1,'Data World'!$A$1:$AL$1,))=0,#N/A,VLOOKUP(B65,'Data World'!$A:$AL,MATCH(World!$D$1,'Data World'!$A$1:$AL$1,)))</f>
        <v/>
      </c>
      <c r="E65" s="13">
        <f>IF(VLOOKUP(B65,'Data World'!$A:$AL,MATCH(World!$E$1,'Data World'!$A$1:$AL$1,))=0,#N/A,VLOOKUP(B65,'Data World'!$A:$AL,MATCH(World!$E$1,'Data World'!$A$1:$AL$1,)))</f>
        <v/>
      </c>
      <c r="F65" s="13">
        <f>IF(VLOOKUP(B65,'Data World'!$A:$AL,MATCH(World!$F$1,'Data World'!$A$1:$AL$1,))=0,#N/A,VLOOKUP(B65,'Data World'!$A:$AL,MATCH(World!$F$1,'Data World'!$A$1:$AL$1,)))</f>
        <v/>
      </c>
      <c r="G65" s="13">
        <f>IF(VLOOKUP(B65,'Data World'!$A:$AL,MATCH(World!$G$1,'Data World'!$A$1:$AL$1,))=0,#N/A,VLOOKUP(B65,'Data World'!$A:$AL,MATCH(World!$G$1,'Data World'!$A$1:$AL$1,)))</f>
        <v/>
      </c>
      <c r="H65" s="13">
        <f>IF(VLOOKUP(B65,'Data World'!$A:$AL,MATCH(World!$H$1,'Data World'!$A$1:$AL$1,))=0,#N/A,VLOOKUP(B65,'Data World'!$A:$AL,MATCH(World!$H$1,'Data World'!$A$1:$AL$1,)))</f>
        <v/>
      </c>
      <c r="I65" s="13">
        <f>IF(VLOOKUP(B65,'Data World'!$A:$AL,MATCH(World!$I$1,'Data World'!$A$1:$AL$1,))=0,#N/A,VLOOKUP(B65,'Data World'!$A:$AL,MATCH(World!$I$1,'Data World'!$A$1:$AL$1,)))</f>
        <v/>
      </c>
      <c r="J65" s="13">
        <f>IF(VLOOKUP(B65,'Data World'!$A:$AL,MATCH(World!$J$1,'Data World'!$A$1:$AL$1,))=0,#N/A,VLOOKUP(B65,'Data World'!$A:$AL,MATCH(World!$J$1,'Data World'!$A$1:$AL$1,)))</f>
        <v/>
      </c>
      <c r="K65" s="13">
        <f>IF(VLOOKUP(B65,'Data World'!$A:$AL,MATCH(World!$K$1,'Data World'!$A$1:$AL$1,))=0,#N/A,VLOOKUP(B65,'Data World'!$A:$AL,MATCH(World!$K$1,'Data World'!$A$1:$AL$1,)))</f>
        <v/>
      </c>
      <c r="L65" s="13">
        <f>IF(VLOOKUP(B65,'Data World'!$A:$AL,MATCH(World!$L$1,'Data World'!$A$1:$AL$1,))=0,#N/A,VLOOKUP(B65,'Data World'!$A:$AL,MATCH(World!$L$1,'Data World'!$A$1:$AL$1,)))</f>
        <v/>
      </c>
      <c r="M65" s="13">
        <f>IF(VLOOKUP(B65,'Data World'!$A:$AL,MATCH(World!$M$1,'Data World'!$A$1:$AL$1,))=0,#N/A,VLOOKUP(B65,'Data World'!$A:$AL,MATCH(World!$M$1,'Data World'!$A$1:$AL$1,)))</f>
        <v/>
      </c>
      <c r="N65" s="13">
        <f>IF(VLOOKUP(B65,'Data World'!$A:$AL,MATCH(World!$N$1,'Data World'!$A$1:$AL$1,))=0,#N/A,VLOOKUP(B65,'Data World'!$A:$AL,MATCH(World!$N$1,'Data World'!$A$1:$AL$1,)))</f>
        <v/>
      </c>
      <c r="O65" s="13">
        <f>IF(VLOOKUP(B65,'Data World'!$A:$AL,MATCH(World!$O$1,'Data World'!$A$1:$AL$1,))=0,#N/A,VLOOKUP(B65,'Data World'!$A:$AL,MATCH(World!$O$1,'Data World'!$A$1:$AL$1,)))</f>
        <v/>
      </c>
      <c r="P65" s="13">
        <f>IF(VLOOKUP(B65,'Data World'!$A:$AL,MATCH(World!$P$1,'Data World'!$A$1:$AL$1,))=0,#N/A,VLOOKUP(B65,'Data World'!$A:$AL,MATCH(World!$P$1,'Data World'!$A$1:$AL$1,)))</f>
        <v/>
      </c>
      <c r="Q65" s="13">
        <f>IF(VLOOKUP(B65,'Data World'!$A:$AL,MATCH(World!$Q$1,'Data World'!$A$1:$AL$1,))=0,#N/A,VLOOKUP(B65,'Data World'!$A:$AL,MATCH(World!$Q$1,'Data World'!$A$1:$AL$1,)))</f>
        <v/>
      </c>
      <c r="R65" s="13">
        <f>IF(VLOOKUP(B65,'Data World'!$A:$AL,MATCH(World!$R$1,'Data World'!$A$1:$AL$1,))=0,#N/A,VLOOKUP(B65,'Data World'!$A:$AL,MATCH(World!$R$1,'Data World'!$A$1:$AL$1,)))</f>
        <v/>
      </c>
      <c r="S65" s="13">
        <f>IF(VLOOKUP(B65,'Data World'!$A:$AL,MATCH(World!$S$1,'Data World'!$A$1:$AL$1,))=0,#N/A,VLOOKUP(B65,'Data World'!$A:$AL,MATCH(World!$S$1,'Data World'!$A$1:$AL$1,)))</f>
        <v/>
      </c>
      <c r="T65" s="13">
        <f>IF(VLOOKUP(B65,'Data World'!$A:$AL,MATCH(World!$T$1,'Data World'!$A$1:$AL$1,))=0,#N/A,VLOOKUP(B65,'Data World'!$A:$AL,MATCH(World!$T$1,'Data World'!$A$1:$AL$1,)))</f>
        <v/>
      </c>
    </row>
    <row r="66" customFormat="1" s="63">
      <c r="B66" s="12" t="n">
        <v>43951</v>
      </c>
      <c r="C66" s="13">
        <f>IF(VLOOKUP(B66,'Data World'!$A:$AL,MATCH(World!$C$1,'Data World'!$A$1:$AL$1,))=0,#N/A,VLOOKUP(B66,'Data World'!$A:$AL,MATCH(World!$C$1,'Data World'!$A$1:$AL$1,)))</f>
        <v/>
      </c>
      <c r="D66" s="13">
        <f>IF(VLOOKUP(B66,'Data World'!$A:$AL,MATCH(World!$D$1,'Data World'!$A$1:$AL$1,))=0,#N/A,VLOOKUP(B66,'Data World'!$A:$AL,MATCH(World!$D$1,'Data World'!$A$1:$AL$1,)))</f>
        <v/>
      </c>
      <c r="E66" s="13">
        <f>IF(VLOOKUP(B66,'Data World'!$A:$AL,MATCH(World!$E$1,'Data World'!$A$1:$AL$1,))=0,#N/A,VLOOKUP(B66,'Data World'!$A:$AL,MATCH(World!$E$1,'Data World'!$A$1:$AL$1,)))</f>
        <v/>
      </c>
      <c r="F66" s="13">
        <f>IF(VLOOKUP(B66,'Data World'!$A:$AL,MATCH(World!$F$1,'Data World'!$A$1:$AL$1,))=0,#N/A,VLOOKUP(B66,'Data World'!$A:$AL,MATCH(World!$F$1,'Data World'!$A$1:$AL$1,)))</f>
        <v/>
      </c>
      <c r="G66" s="13">
        <f>IF(VLOOKUP(B66,'Data World'!$A:$AL,MATCH(World!$G$1,'Data World'!$A$1:$AL$1,))=0,#N/A,VLOOKUP(B66,'Data World'!$A:$AL,MATCH(World!$G$1,'Data World'!$A$1:$AL$1,)))</f>
        <v/>
      </c>
      <c r="H66" s="13">
        <f>IF(VLOOKUP(B66,'Data World'!$A:$AL,MATCH(World!$H$1,'Data World'!$A$1:$AL$1,))=0,#N/A,VLOOKUP(B66,'Data World'!$A:$AL,MATCH(World!$H$1,'Data World'!$A$1:$AL$1,)))</f>
        <v/>
      </c>
      <c r="I66" s="13">
        <f>IF(VLOOKUP(B66,'Data World'!$A:$AL,MATCH(World!$I$1,'Data World'!$A$1:$AL$1,))=0,#N/A,VLOOKUP(B66,'Data World'!$A:$AL,MATCH(World!$I$1,'Data World'!$A$1:$AL$1,)))</f>
        <v/>
      </c>
      <c r="J66" s="13">
        <f>IF(VLOOKUP(B66,'Data World'!$A:$AL,MATCH(World!$J$1,'Data World'!$A$1:$AL$1,))=0,#N/A,VLOOKUP(B66,'Data World'!$A:$AL,MATCH(World!$J$1,'Data World'!$A$1:$AL$1,)))</f>
        <v/>
      </c>
      <c r="K66" s="13">
        <f>IF(VLOOKUP(B66,'Data World'!$A:$AL,MATCH(World!$K$1,'Data World'!$A$1:$AL$1,))=0,#N/A,VLOOKUP(B66,'Data World'!$A:$AL,MATCH(World!$K$1,'Data World'!$A$1:$AL$1,)))</f>
        <v/>
      </c>
      <c r="L66" s="13">
        <f>IF(VLOOKUP(B66,'Data World'!$A:$AL,MATCH(World!$L$1,'Data World'!$A$1:$AL$1,))=0,#N/A,VLOOKUP(B66,'Data World'!$A:$AL,MATCH(World!$L$1,'Data World'!$A$1:$AL$1,)))</f>
        <v/>
      </c>
      <c r="M66" s="13">
        <f>IF(VLOOKUP(B66,'Data World'!$A:$AL,MATCH(World!$M$1,'Data World'!$A$1:$AL$1,))=0,#N/A,VLOOKUP(B66,'Data World'!$A:$AL,MATCH(World!$M$1,'Data World'!$A$1:$AL$1,)))</f>
        <v/>
      </c>
      <c r="N66" s="13">
        <f>IF(VLOOKUP(B66,'Data World'!$A:$AL,MATCH(World!$N$1,'Data World'!$A$1:$AL$1,))=0,#N/A,VLOOKUP(B66,'Data World'!$A:$AL,MATCH(World!$N$1,'Data World'!$A$1:$AL$1,)))</f>
        <v/>
      </c>
      <c r="O66" s="13">
        <f>IF(VLOOKUP(B66,'Data World'!$A:$AL,MATCH(World!$O$1,'Data World'!$A$1:$AL$1,))=0,#N/A,VLOOKUP(B66,'Data World'!$A:$AL,MATCH(World!$O$1,'Data World'!$A$1:$AL$1,)))</f>
        <v/>
      </c>
      <c r="P66" s="13">
        <f>IF(VLOOKUP(B66,'Data World'!$A:$AL,MATCH(World!$P$1,'Data World'!$A$1:$AL$1,))=0,#N/A,VLOOKUP(B66,'Data World'!$A:$AL,MATCH(World!$P$1,'Data World'!$A$1:$AL$1,)))</f>
        <v/>
      </c>
      <c r="Q66" s="13">
        <f>IF(VLOOKUP(B66,'Data World'!$A:$AL,MATCH(World!$Q$1,'Data World'!$A$1:$AL$1,))=0,#N/A,VLOOKUP(B66,'Data World'!$A:$AL,MATCH(World!$Q$1,'Data World'!$A$1:$AL$1,)))</f>
        <v/>
      </c>
      <c r="R66" s="13">
        <f>IF(VLOOKUP(B66,'Data World'!$A:$AL,MATCH(World!$R$1,'Data World'!$A$1:$AL$1,))=0,#N/A,VLOOKUP(B66,'Data World'!$A:$AL,MATCH(World!$R$1,'Data World'!$A$1:$AL$1,)))</f>
        <v/>
      </c>
      <c r="S66" s="13">
        <f>IF(VLOOKUP(B66,'Data World'!$A:$AL,MATCH(World!$S$1,'Data World'!$A$1:$AL$1,))=0,#N/A,VLOOKUP(B66,'Data World'!$A:$AL,MATCH(World!$S$1,'Data World'!$A$1:$AL$1,)))</f>
        <v/>
      </c>
      <c r="T66" s="13">
        <f>IF(VLOOKUP(B66,'Data World'!$A:$AL,MATCH(World!$T$1,'Data World'!$A$1:$AL$1,))=0,#N/A,VLOOKUP(B66,'Data World'!$A:$AL,MATCH(World!$T$1,'Data World'!$A$1:$AL$1,)))</f>
        <v/>
      </c>
    </row>
    <row r="67" customFormat="1" s="63">
      <c r="B67" s="12" t="n">
        <v>43982</v>
      </c>
      <c r="C67" s="13">
        <f>IF(VLOOKUP(B67,'Data World'!$A:$AL,MATCH(World!$C$1,'Data World'!$A$1:$AL$1,))=0,#N/A,VLOOKUP(B67,'Data World'!$A:$AL,MATCH(World!$C$1,'Data World'!$A$1:$AL$1,)))</f>
        <v/>
      </c>
      <c r="D67" s="13">
        <f>IF(VLOOKUP(B67,'Data World'!$A:$AL,MATCH(World!$D$1,'Data World'!$A$1:$AL$1,))=0,#N/A,VLOOKUP(B67,'Data World'!$A:$AL,MATCH(World!$D$1,'Data World'!$A$1:$AL$1,)))</f>
        <v/>
      </c>
      <c r="E67" s="13">
        <f>IF(VLOOKUP(B67,'Data World'!$A:$AL,MATCH(World!$E$1,'Data World'!$A$1:$AL$1,))=0,#N/A,VLOOKUP(B67,'Data World'!$A:$AL,MATCH(World!$E$1,'Data World'!$A$1:$AL$1,)))</f>
        <v/>
      </c>
      <c r="F67" s="13">
        <f>IF(VLOOKUP(B67,'Data World'!$A:$AL,MATCH(World!$F$1,'Data World'!$A$1:$AL$1,))=0,#N/A,VLOOKUP(B67,'Data World'!$A:$AL,MATCH(World!$F$1,'Data World'!$A$1:$AL$1,)))</f>
        <v/>
      </c>
      <c r="G67" s="13">
        <f>IF(VLOOKUP(B67,'Data World'!$A:$AL,MATCH(World!$G$1,'Data World'!$A$1:$AL$1,))=0,#N/A,VLOOKUP(B67,'Data World'!$A:$AL,MATCH(World!$G$1,'Data World'!$A$1:$AL$1,)))</f>
        <v/>
      </c>
      <c r="H67" s="13">
        <f>IF(VLOOKUP(B67,'Data World'!$A:$AL,MATCH(World!$H$1,'Data World'!$A$1:$AL$1,))=0,#N/A,VLOOKUP(B67,'Data World'!$A:$AL,MATCH(World!$H$1,'Data World'!$A$1:$AL$1,)))</f>
        <v/>
      </c>
      <c r="I67" s="13">
        <f>IF(VLOOKUP(B67,'Data World'!$A:$AL,MATCH(World!$I$1,'Data World'!$A$1:$AL$1,))=0,#N/A,VLOOKUP(B67,'Data World'!$A:$AL,MATCH(World!$I$1,'Data World'!$A$1:$AL$1,)))</f>
        <v/>
      </c>
      <c r="J67" s="13">
        <f>IF(VLOOKUP(B67,'Data World'!$A:$AL,MATCH(World!$J$1,'Data World'!$A$1:$AL$1,))=0,#N/A,VLOOKUP(B67,'Data World'!$A:$AL,MATCH(World!$J$1,'Data World'!$A$1:$AL$1,)))</f>
        <v/>
      </c>
      <c r="K67" s="13">
        <f>IF(VLOOKUP(B67,'Data World'!$A:$AL,MATCH(World!$K$1,'Data World'!$A$1:$AL$1,))=0,#N/A,VLOOKUP(B67,'Data World'!$A:$AL,MATCH(World!$K$1,'Data World'!$A$1:$AL$1,)))</f>
        <v/>
      </c>
      <c r="L67" s="13">
        <f>IF(VLOOKUP(B67,'Data World'!$A:$AL,MATCH(World!$L$1,'Data World'!$A$1:$AL$1,))=0,#N/A,VLOOKUP(B67,'Data World'!$A:$AL,MATCH(World!$L$1,'Data World'!$A$1:$AL$1,)))</f>
        <v/>
      </c>
      <c r="M67" s="13">
        <f>IF(VLOOKUP(B67,'Data World'!$A:$AL,MATCH(World!$M$1,'Data World'!$A$1:$AL$1,))=0,#N/A,VLOOKUP(B67,'Data World'!$A:$AL,MATCH(World!$M$1,'Data World'!$A$1:$AL$1,)))</f>
        <v/>
      </c>
      <c r="N67" s="13">
        <f>IF(VLOOKUP(B67,'Data World'!$A:$AL,MATCH(World!$N$1,'Data World'!$A$1:$AL$1,))=0,#N/A,VLOOKUP(B67,'Data World'!$A:$AL,MATCH(World!$N$1,'Data World'!$A$1:$AL$1,)))</f>
        <v/>
      </c>
      <c r="O67" s="13">
        <f>IF(VLOOKUP(B67,'Data World'!$A:$AL,MATCH(World!$O$1,'Data World'!$A$1:$AL$1,))=0,#N/A,VLOOKUP(B67,'Data World'!$A:$AL,MATCH(World!$O$1,'Data World'!$A$1:$AL$1,)))</f>
        <v/>
      </c>
      <c r="P67" s="13">
        <f>IF(VLOOKUP(B67,'Data World'!$A:$AL,MATCH(World!$P$1,'Data World'!$A$1:$AL$1,))=0,#N/A,VLOOKUP(B67,'Data World'!$A:$AL,MATCH(World!$P$1,'Data World'!$A$1:$AL$1,)))</f>
        <v/>
      </c>
      <c r="Q67" s="13">
        <f>IF(VLOOKUP(B67,'Data World'!$A:$AL,MATCH(World!$Q$1,'Data World'!$A$1:$AL$1,))=0,#N/A,VLOOKUP(B67,'Data World'!$A:$AL,MATCH(World!$Q$1,'Data World'!$A$1:$AL$1,)))</f>
        <v/>
      </c>
      <c r="R67" s="13">
        <f>IF(VLOOKUP(B67,'Data World'!$A:$AL,MATCH(World!$R$1,'Data World'!$A$1:$AL$1,))=0,#N/A,VLOOKUP(B67,'Data World'!$A:$AL,MATCH(World!$R$1,'Data World'!$A$1:$AL$1,)))</f>
        <v/>
      </c>
      <c r="S67" s="13">
        <f>IF(VLOOKUP(B67,'Data World'!$A:$AL,MATCH(World!$S$1,'Data World'!$A$1:$AL$1,))=0,#N/A,VLOOKUP(B67,'Data World'!$A:$AL,MATCH(World!$S$1,'Data World'!$A$1:$AL$1,)))</f>
        <v/>
      </c>
      <c r="T67" s="13">
        <f>IF(VLOOKUP(B67,'Data World'!$A:$AL,MATCH(World!$T$1,'Data World'!$A$1:$AL$1,))=0,#N/A,VLOOKUP(B67,'Data World'!$A:$AL,MATCH(World!$T$1,'Data World'!$A$1:$AL$1,)))</f>
        <v/>
      </c>
    </row>
    <row r="68" customFormat="1" s="63">
      <c r="B68" s="12" t="n">
        <v>44012</v>
      </c>
      <c r="C68" s="13">
        <f>IF(VLOOKUP(B68,'Data World'!$A:$AL,MATCH(World!$C$1,'Data World'!$A$1:$AL$1,))=0,#N/A,VLOOKUP(B68,'Data World'!$A:$AL,MATCH(World!$C$1,'Data World'!$A$1:$AL$1,)))</f>
        <v/>
      </c>
      <c r="D68" s="13">
        <f>IF(VLOOKUP(B68,'Data World'!$A:$AL,MATCH(World!$D$1,'Data World'!$A$1:$AL$1,))=0,#N/A,VLOOKUP(B68,'Data World'!$A:$AL,MATCH(World!$D$1,'Data World'!$A$1:$AL$1,)))</f>
        <v/>
      </c>
      <c r="E68" s="13">
        <f>IF(VLOOKUP(B68,'Data World'!$A:$AL,MATCH(World!$E$1,'Data World'!$A$1:$AL$1,))=0,#N/A,VLOOKUP(B68,'Data World'!$A:$AL,MATCH(World!$E$1,'Data World'!$A$1:$AL$1,)))</f>
        <v/>
      </c>
      <c r="F68" s="13">
        <f>IF(VLOOKUP(B68,'Data World'!$A:$AL,MATCH(World!$F$1,'Data World'!$A$1:$AL$1,))=0,#N/A,VLOOKUP(B68,'Data World'!$A:$AL,MATCH(World!$F$1,'Data World'!$A$1:$AL$1,)))</f>
        <v/>
      </c>
      <c r="G68" s="13">
        <f>IF(VLOOKUP(B68,'Data World'!$A:$AL,MATCH(World!$G$1,'Data World'!$A$1:$AL$1,))=0,#N/A,VLOOKUP(B68,'Data World'!$A:$AL,MATCH(World!$G$1,'Data World'!$A$1:$AL$1,)))</f>
        <v/>
      </c>
      <c r="H68" s="13">
        <f>IF(VLOOKUP(B68,'Data World'!$A:$AL,MATCH(World!$H$1,'Data World'!$A$1:$AL$1,))=0,#N/A,VLOOKUP(B68,'Data World'!$A:$AL,MATCH(World!$H$1,'Data World'!$A$1:$AL$1,)))</f>
        <v/>
      </c>
      <c r="I68" s="13">
        <f>IF(VLOOKUP(B68,'Data World'!$A:$AL,MATCH(World!$I$1,'Data World'!$A$1:$AL$1,))=0,#N/A,VLOOKUP(B68,'Data World'!$A:$AL,MATCH(World!$I$1,'Data World'!$A$1:$AL$1,)))</f>
        <v/>
      </c>
      <c r="J68" s="13">
        <f>IF(VLOOKUP(B68,'Data World'!$A:$AL,MATCH(World!$J$1,'Data World'!$A$1:$AL$1,))=0,#N/A,VLOOKUP(B68,'Data World'!$A:$AL,MATCH(World!$J$1,'Data World'!$A$1:$AL$1,)))</f>
        <v/>
      </c>
      <c r="K68" s="13">
        <f>IF(VLOOKUP(B68,'Data World'!$A:$AL,MATCH(World!$K$1,'Data World'!$A$1:$AL$1,))=0,#N/A,VLOOKUP(B68,'Data World'!$A:$AL,MATCH(World!$K$1,'Data World'!$A$1:$AL$1,)))</f>
        <v/>
      </c>
      <c r="L68" s="13">
        <f>IF(VLOOKUP(B68,'Data World'!$A:$AL,MATCH(World!$L$1,'Data World'!$A$1:$AL$1,))=0,#N/A,VLOOKUP(B68,'Data World'!$A:$AL,MATCH(World!$L$1,'Data World'!$A$1:$AL$1,)))</f>
        <v/>
      </c>
      <c r="M68" s="13">
        <f>IF(VLOOKUP(B68,'Data World'!$A:$AL,MATCH(World!$M$1,'Data World'!$A$1:$AL$1,))=0,#N/A,VLOOKUP(B68,'Data World'!$A:$AL,MATCH(World!$M$1,'Data World'!$A$1:$AL$1,)))</f>
        <v/>
      </c>
      <c r="N68" s="13">
        <f>IF(VLOOKUP(B68,'Data World'!$A:$AL,MATCH(World!$N$1,'Data World'!$A$1:$AL$1,))=0,#N/A,VLOOKUP(B68,'Data World'!$A:$AL,MATCH(World!$N$1,'Data World'!$A$1:$AL$1,)))</f>
        <v/>
      </c>
      <c r="O68" s="13">
        <f>IF(VLOOKUP(B68,'Data World'!$A:$AL,MATCH(World!$O$1,'Data World'!$A$1:$AL$1,))=0,#N/A,VLOOKUP(B68,'Data World'!$A:$AL,MATCH(World!$O$1,'Data World'!$A$1:$AL$1,)))</f>
        <v/>
      </c>
      <c r="P68" s="13">
        <f>IF(VLOOKUP(B68,'Data World'!$A:$AL,MATCH(World!$P$1,'Data World'!$A$1:$AL$1,))=0,#N/A,VLOOKUP(B68,'Data World'!$A:$AL,MATCH(World!$P$1,'Data World'!$A$1:$AL$1,)))</f>
        <v/>
      </c>
      <c r="Q68" s="13">
        <f>IF(VLOOKUP(B68,'Data World'!$A:$AL,MATCH(World!$Q$1,'Data World'!$A$1:$AL$1,))=0,#N/A,VLOOKUP(B68,'Data World'!$A:$AL,MATCH(World!$Q$1,'Data World'!$A$1:$AL$1,)))</f>
        <v/>
      </c>
      <c r="R68" s="13">
        <f>IF(VLOOKUP(B68,'Data World'!$A:$AL,MATCH(World!$R$1,'Data World'!$A$1:$AL$1,))=0,#N/A,VLOOKUP(B68,'Data World'!$A:$AL,MATCH(World!$R$1,'Data World'!$A$1:$AL$1,)))</f>
        <v/>
      </c>
      <c r="S68" s="13">
        <f>IF(VLOOKUP(B68,'Data World'!$A:$AL,MATCH(World!$S$1,'Data World'!$A$1:$AL$1,))=0,#N/A,VLOOKUP(B68,'Data World'!$A:$AL,MATCH(World!$S$1,'Data World'!$A$1:$AL$1,)))</f>
        <v/>
      </c>
      <c r="T68" s="13">
        <f>IF(VLOOKUP(B68,'Data World'!$A:$AL,MATCH(World!$T$1,'Data World'!$A$1:$AL$1,))=0,#N/A,VLOOKUP(B68,'Data World'!$A:$AL,MATCH(World!$T$1,'Data World'!$A$1:$AL$1,)))</f>
        <v/>
      </c>
    </row>
    <row r="69" customFormat="1" s="63">
      <c r="B69" s="12" t="n">
        <v>44043</v>
      </c>
      <c r="C69" s="13">
        <f>IF(VLOOKUP(B69,'Data World'!$A:$AL,MATCH(World!$C$1,'Data World'!$A$1:$AL$1,))=0,#N/A,VLOOKUP(B69,'Data World'!$A:$AL,MATCH(World!$C$1,'Data World'!$A$1:$AL$1,)))</f>
        <v/>
      </c>
      <c r="D69" s="13">
        <f>IF(VLOOKUP(B69,'Data World'!$A:$AL,MATCH(World!$D$1,'Data World'!$A$1:$AL$1,))=0,#N/A,VLOOKUP(B69,'Data World'!$A:$AL,MATCH(World!$D$1,'Data World'!$A$1:$AL$1,)))</f>
        <v/>
      </c>
      <c r="E69" s="13">
        <f>IF(VLOOKUP(B69,'Data World'!$A:$AL,MATCH(World!$E$1,'Data World'!$A$1:$AL$1,))=0,#N/A,VLOOKUP(B69,'Data World'!$A:$AL,MATCH(World!$E$1,'Data World'!$A$1:$AL$1,)))</f>
        <v/>
      </c>
      <c r="F69" s="13">
        <f>IF(VLOOKUP(B69,'Data World'!$A:$AL,MATCH(World!$F$1,'Data World'!$A$1:$AL$1,))=0,#N/A,VLOOKUP(B69,'Data World'!$A:$AL,MATCH(World!$F$1,'Data World'!$A$1:$AL$1,)))</f>
        <v/>
      </c>
      <c r="G69" s="13">
        <f>IF(VLOOKUP(B69,'Data World'!$A:$AL,MATCH(World!$G$1,'Data World'!$A$1:$AL$1,))=0,#N/A,VLOOKUP(B69,'Data World'!$A:$AL,MATCH(World!$G$1,'Data World'!$A$1:$AL$1,)))</f>
        <v/>
      </c>
      <c r="H69" s="13">
        <f>IF(VLOOKUP(B69,'Data World'!$A:$AL,MATCH(World!$H$1,'Data World'!$A$1:$AL$1,))=0,#N/A,VLOOKUP(B69,'Data World'!$A:$AL,MATCH(World!$H$1,'Data World'!$A$1:$AL$1,)))</f>
        <v/>
      </c>
      <c r="I69" s="13">
        <f>IF(VLOOKUP(B69,'Data World'!$A:$AL,MATCH(World!$I$1,'Data World'!$A$1:$AL$1,))=0,#N/A,VLOOKUP(B69,'Data World'!$A:$AL,MATCH(World!$I$1,'Data World'!$A$1:$AL$1,)))</f>
        <v/>
      </c>
      <c r="J69" s="13">
        <f>IF(VLOOKUP(B69,'Data World'!$A:$AL,MATCH(World!$J$1,'Data World'!$A$1:$AL$1,))=0,#N/A,VLOOKUP(B69,'Data World'!$A:$AL,MATCH(World!$J$1,'Data World'!$A$1:$AL$1,)))</f>
        <v/>
      </c>
      <c r="K69" s="13">
        <f>IF(VLOOKUP(B69,'Data World'!$A:$AL,MATCH(World!$K$1,'Data World'!$A$1:$AL$1,))=0,#N/A,VLOOKUP(B69,'Data World'!$A:$AL,MATCH(World!$K$1,'Data World'!$A$1:$AL$1,)))</f>
        <v/>
      </c>
      <c r="L69" s="13">
        <f>IF(VLOOKUP(B69,'Data World'!$A:$AL,MATCH(World!$L$1,'Data World'!$A$1:$AL$1,))=0,#N/A,VLOOKUP(B69,'Data World'!$A:$AL,MATCH(World!$L$1,'Data World'!$A$1:$AL$1,)))</f>
        <v/>
      </c>
      <c r="M69" s="13">
        <f>IF(VLOOKUP(B69,'Data World'!$A:$AL,MATCH(World!$M$1,'Data World'!$A$1:$AL$1,))=0,#N/A,VLOOKUP(B69,'Data World'!$A:$AL,MATCH(World!$M$1,'Data World'!$A$1:$AL$1,)))</f>
        <v/>
      </c>
      <c r="N69" s="13">
        <f>IF(VLOOKUP(B69,'Data World'!$A:$AL,MATCH(World!$N$1,'Data World'!$A$1:$AL$1,))=0,#N/A,VLOOKUP(B69,'Data World'!$A:$AL,MATCH(World!$N$1,'Data World'!$A$1:$AL$1,)))</f>
        <v/>
      </c>
      <c r="O69" s="13">
        <f>IF(VLOOKUP(B69,'Data World'!$A:$AL,MATCH(World!$O$1,'Data World'!$A$1:$AL$1,))=0,#N/A,VLOOKUP(B69,'Data World'!$A:$AL,MATCH(World!$O$1,'Data World'!$A$1:$AL$1,)))</f>
        <v/>
      </c>
      <c r="P69" s="13">
        <f>IF(VLOOKUP(B69,'Data World'!$A:$AL,MATCH(World!$P$1,'Data World'!$A$1:$AL$1,))=0,#N/A,VLOOKUP(B69,'Data World'!$A:$AL,MATCH(World!$P$1,'Data World'!$A$1:$AL$1,)))</f>
        <v/>
      </c>
      <c r="Q69" s="13">
        <f>IF(VLOOKUP(B69,'Data World'!$A:$AL,MATCH(World!$Q$1,'Data World'!$A$1:$AL$1,))=0,#N/A,VLOOKUP(B69,'Data World'!$A:$AL,MATCH(World!$Q$1,'Data World'!$A$1:$AL$1,)))</f>
        <v/>
      </c>
      <c r="R69" s="13">
        <f>IF(VLOOKUP(B69,'Data World'!$A:$AL,MATCH(World!$R$1,'Data World'!$A$1:$AL$1,))=0,#N/A,VLOOKUP(B69,'Data World'!$A:$AL,MATCH(World!$R$1,'Data World'!$A$1:$AL$1,)))</f>
        <v/>
      </c>
      <c r="S69" s="13">
        <f>IF(VLOOKUP(B69,'Data World'!$A:$AL,MATCH(World!$S$1,'Data World'!$A$1:$AL$1,))=0,#N/A,VLOOKUP(B69,'Data World'!$A:$AL,MATCH(World!$S$1,'Data World'!$A$1:$AL$1,)))</f>
        <v/>
      </c>
      <c r="T69" s="13">
        <f>IF(VLOOKUP(B69,'Data World'!$A:$AL,MATCH(World!$T$1,'Data World'!$A$1:$AL$1,))=0,#N/A,VLOOKUP(B69,'Data World'!$A:$AL,MATCH(World!$T$1,'Data World'!$A$1:$AL$1,)))</f>
        <v/>
      </c>
    </row>
    <row r="70" customFormat="1" s="63">
      <c r="B70" s="12" t="n">
        <v>44074</v>
      </c>
      <c r="C70" s="13">
        <f>IF(VLOOKUP(B70,'Data World'!$A:$AL,MATCH(World!$C$1,'Data World'!$A$1:$AL$1,))=0,#N/A,VLOOKUP(B70,'Data World'!$A:$AL,MATCH(World!$C$1,'Data World'!$A$1:$AL$1,)))</f>
        <v/>
      </c>
      <c r="D70" s="13">
        <f>IF(VLOOKUP(B70,'Data World'!$A:$AL,MATCH(World!$D$1,'Data World'!$A$1:$AL$1,))=0,#N/A,VLOOKUP(B70,'Data World'!$A:$AL,MATCH(World!$D$1,'Data World'!$A$1:$AL$1,)))</f>
        <v/>
      </c>
      <c r="E70" s="13">
        <f>IF(VLOOKUP(B70,'Data World'!$A:$AL,MATCH(World!$E$1,'Data World'!$A$1:$AL$1,))=0,#N/A,VLOOKUP(B70,'Data World'!$A:$AL,MATCH(World!$E$1,'Data World'!$A$1:$AL$1,)))</f>
        <v/>
      </c>
      <c r="F70" s="13">
        <f>IF(VLOOKUP(B70,'Data World'!$A:$AL,MATCH(World!$F$1,'Data World'!$A$1:$AL$1,))=0,#N/A,VLOOKUP(B70,'Data World'!$A:$AL,MATCH(World!$F$1,'Data World'!$A$1:$AL$1,)))</f>
        <v/>
      </c>
      <c r="G70" s="13">
        <f>IF(VLOOKUP(B70,'Data World'!$A:$AL,MATCH(World!$G$1,'Data World'!$A$1:$AL$1,))=0,#N/A,VLOOKUP(B70,'Data World'!$A:$AL,MATCH(World!$G$1,'Data World'!$A$1:$AL$1,)))</f>
        <v/>
      </c>
      <c r="H70" s="13">
        <f>IF(VLOOKUP(B70,'Data World'!$A:$AL,MATCH(World!$H$1,'Data World'!$A$1:$AL$1,))=0,#N/A,VLOOKUP(B70,'Data World'!$A:$AL,MATCH(World!$H$1,'Data World'!$A$1:$AL$1,)))</f>
        <v/>
      </c>
      <c r="I70" s="13">
        <f>IF(VLOOKUP(B70,'Data World'!$A:$AL,MATCH(World!$I$1,'Data World'!$A$1:$AL$1,))=0,#N/A,VLOOKUP(B70,'Data World'!$A:$AL,MATCH(World!$I$1,'Data World'!$A$1:$AL$1,)))</f>
        <v/>
      </c>
      <c r="J70" s="13">
        <f>IF(VLOOKUP(B70,'Data World'!$A:$AL,MATCH(World!$J$1,'Data World'!$A$1:$AL$1,))=0,#N/A,VLOOKUP(B70,'Data World'!$A:$AL,MATCH(World!$J$1,'Data World'!$A$1:$AL$1,)))</f>
        <v/>
      </c>
      <c r="K70" s="13">
        <f>IF(VLOOKUP(B70,'Data World'!$A:$AL,MATCH(World!$K$1,'Data World'!$A$1:$AL$1,))=0,#N/A,VLOOKUP(B70,'Data World'!$A:$AL,MATCH(World!$K$1,'Data World'!$A$1:$AL$1,)))</f>
        <v/>
      </c>
      <c r="L70" s="13">
        <f>IF(VLOOKUP(B70,'Data World'!$A:$AL,MATCH(World!$L$1,'Data World'!$A$1:$AL$1,))=0,#N/A,VLOOKUP(B70,'Data World'!$A:$AL,MATCH(World!$L$1,'Data World'!$A$1:$AL$1,)))</f>
        <v/>
      </c>
      <c r="M70" s="13">
        <f>IF(VLOOKUP(B70,'Data World'!$A:$AL,MATCH(World!$M$1,'Data World'!$A$1:$AL$1,))=0,#N/A,VLOOKUP(B70,'Data World'!$A:$AL,MATCH(World!$M$1,'Data World'!$A$1:$AL$1,)))</f>
        <v/>
      </c>
      <c r="N70" s="13">
        <f>IF(VLOOKUP(B70,'Data World'!$A:$AL,MATCH(World!$N$1,'Data World'!$A$1:$AL$1,))=0,#N/A,VLOOKUP(B70,'Data World'!$A:$AL,MATCH(World!$N$1,'Data World'!$A$1:$AL$1,)))</f>
        <v/>
      </c>
      <c r="O70" s="13">
        <f>IF(VLOOKUP(B70,'Data World'!$A:$AL,MATCH(World!$O$1,'Data World'!$A$1:$AL$1,))=0,#N/A,VLOOKUP(B70,'Data World'!$A:$AL,MATCH(World!$O$1,'Data World'!$A$1:$AL$1,)))</f>
        <v/>
      </c>
      <c r="P70" s="13">
        <f>IF(VLOOKUP(B70,'Data World'!$A:$AL,MATCH(World!$P$1,'Data World'!$A$1:$AL$1,))=0,#N/A,VLOOKUP(B70,'Data World'!$A:$AL,MATCH(World!$P$1,'Data World'!$A$1:$AL$1,)))</f>
        <v/>
      </c>
      <c r="Q70" s="13">
        <f>IF(VLOOKUP(B70,'Data World'!$A:$AL,MATCH(World!$Q$1,'Data World'!$A$1:$AL$1,))=0,#N/A,VLOOKUP(B70,'Data World'!$A:$AL,MATCH(World!$Q$1,'Data World'!$A$1:$AL$1,)))</f>
        <v/>
      </c>
      <c r="R70" s="13">
        <f>IF(VLOOKUP(B70,'Data World'!$A:$AL,MATCH(World!$R$1,'Data World'!$A$1:$AL$1,))=0,#N/A,VLOOKUP(B70,'Data World'!$A:$AL,MATCH(World!$R$1,'Data World'!$A$1:$AL$1,)))</f>
        <v/>
      </c>
      <c r="S70" s="13">
        <f>IF(VLOOKUP(B70,'Data World'!$A:$AL,MATCH(World!$S$1,'Data World'!$A$1:$AL$1,))=0,#N/A,VLOOKUP(B70,'Data World'!$A:$AL,MATCH(World!$S$1,'Data World'!$A$1:$AL$1,)))</f>
        <v/>
      </c>
      <c r="T70" s="13">
        <f>IF(VLOOKUP(B70,'Data World'!$A:$AL,MATCH(World!$T$1,'Data World'!$A$1:$AL$1,))=0,#N/A,VLOOKUP(B70,'Data World'!$A:$AL,MATCH(World!$T$1,'Data World'!$A$1:$AL$1,)))</f>
        <v/>
      </c>
    </row>
    <row r="71" customFormat="1" s="63">
      <c r="B71" s="12" t="n">
        <v>44104</v>
      </c>
      <c r="C71" s="13">
        <f>IF(VLOOKUP(B71,'Data World'!$A:$AL,MATCH(World!$C$1,'Data World'!$A$1:$AL$1,))=0,#N/A,VLOOKUP(B71,'Data World'!$A:$AL,MATCH(World!$C$1,'Data World'!$A$1:$AL$1,)))</f>
        <v/>
      </c>
      <c r="D71" s="13">
        <f>IF(VLOOKUP(B71,'Data World'!$A:$AL,MATCH(World!$D$1,'Data World'!$A$1:$AL$1,))=0,#N/A,VLOOKUP(B71,'Data World'!$A:$AL,MATCH(World!$D$1,'Data World'!$A$1:$AL$1,)))</f>
        <v/>
      </c>
      <c r="E71" s="13">
        <f>IF(VLOOKUP(B71,'Data World'!$A:$AL,MATCH(World!$E$1,'Data World'!$A$1:$AL$1,))=0,#N/A,VLOOKUP(B71,'Data World'!$A:$AL,MATCH(World!$E$1,'Data World'!$A$1:$AL$1,)))</f>
        <v/>
      </c>
      <c r="F71" s="13">
        <f>IF(VLOOKUP(B71,'Data World'!$A:$AL,MATCH(World!$F$1,'Data World'!$A$1:$AL$1,))=0,#N/A,VLOOKUP(B71,'Data World'!$A:$AL,MATCH(World!$F$1,'Data World'!$A$1:$AL$1,)))</f>
        <v/>
      </c>
      <c r="G71" s="13">
        <f>IF(VLOOKUP(B71,'Data World'!$A:$AL,MATCH(World!$G$1,'Data World'!$A$1:$AL$1,))=0,#N/A,VLOOKUP(B71,'Data World'!$A:$AL,MATCH(World!$G$1,'Data World'!$A$1:$AL$1,)))</f>
        <v/>
      </c>
      <c r="H71" s="13">
        <f>IF(VLOOKUP(B71,'Data World'!$A:$AL,MATCH(World!$H$1,'Data World'!$A$1:$AL$1,))=0,#N/A,VLOOKUP(B71,'Data World'!$A:$AL,MATCH(World!$H$1,'Data World'!$A$1:$AL$1,)))</f>
        <v/>
      </c>
      <c r="I71" s="13">
        <f>IF(VLOOKUP(B71,'Data World'!$A:$AL,MATCH(World!$I$1,'Data World'!$A$1:$AL$1,))=0,#N/A,VLOOKUP(B71,'Data World'!$A:$AL,MATCH(World!$I$1,'Data World'!$A$1:$AL$1,)))</f>
        <v/>
      </c>
      <c r="J71" s="13">
        <f>IF(VLOOKUP(B71,'Data World'!$A:$AL,MATCH(World!$J$1,'Data World'!$A$1:$AL$1,))=0,#N/A,VLOOKUP(B71,'Data World'!$A:$AL,MATCH(World!$J$1,'Data World'!$A$1:$AL$1,)))</f>
        <v/>
      </c>
      <c r="K71" s="13">
        <f>IF(VLOOKUP(B71,'Data World'!$A:$AL,MATCH(World!$K$1,'Data World'!$A$1:$AL$1,))=0,#N/A,VLOOKUP(B71,'Data World'!$A:$AL,MATCH(World!$K$1,'Data World'!$A$1:$AL$1,)))</f>
        <v/>
      </c>
      <c r="L71" s="13">
        <f>IF(VLOOKUP(B71,'Data World'!$A:$AL,MATCH(World!$L$1,'Data World'!$A$1:$AL$1,))=0,#N/A,VLOOKUP(B71,'Data World'!$A:$AL,MATCH(World!$L$1,'Data World'!$A$1:$AL$1,)))</f>
        <v/>
      </c>
      <c r="M71" s="13">
        <f>IF(VLOOKUP(B71,'Data World'!$A:$AL,MATCH(World!$M$1,'Data World'!$A$1:$AL$1,))=0,#N/A,VLOOKUP(B71,'Data World'!$A:$AL,MATCH(World!$M$1,'Data World'!$A$1:$AL$1,)))</f>
        <v/>
      </c>
      <c r="N71" s="13">
        <f>IF(VLOOKUP(B71,'Data World'!$A:$AL,MATCH(World!$N$1,'Data World'!$A$1:$AL$1,))=0,#N/A,VLOOKUP(B71,'Data World'!$A:$AL,MATCH(World!$N$1,'Data World'!$A$1:$AL$1,)))</f>
        <v/>
      </c>
      <c r="O71" s="13">
        <f>IF(VLOOKUP(B71,'Data World'!$A:$AL,MATCH(World!$O$1,'Data World'!$A$1:$AL$1,))=0,#N/A,VLOOKUP(B71,'Data World'!$A:$AL,MATCH(World!$O$1,'Data World'!$A$1:$AL$1,)))</f>
        <v/>
      </c>
      <c r="P71" s="13">
        <f>IF(VLOOKUP(B71,'Data World'!$A:$AL,MATCH(World!$P$1,'Data World'!$A$1:$AL$1,))=0,#N/A,VLOOKUP(B71,'Data World'!$A:$AL,MATCH(World!$P$1,'Data World'!$A$1:$AL$1,)))</f>
        <v/>
      </c>
      <c r="Q71" s="13">
        <f>IF(VLOOKUP(B71,'Data World'!$A:$AL,MATCH(World!$Q$1,'Data World'!$A$1:$AL$1,))=0,#N/A,VLOOKUP(B71,'Data World'!$A:$AL,MATCH(World!$Q$1,'Data World'!$A$1:$AL$1,)))</f>
        <v/>
      </c>
      <c r="R71" s="13">
        <f>IF(VLOOKUP(B71,'Data World'!$A:$AL,MATCH(World!$R$1,'Data World'!$A$1:$AL$1,))=0,#N/A,VLOOKUP(B71,'Data World'!$A:$AL,MATCH(World!$R$1,'Data World'!$A$1:$AL$1,)))</f>
        <v/>
      </c>
      <c r="S71" s="13">
        <f>IF(VLOOKUP(B71,'Data World'!$A:$AL,MATCH(World!$S$1,'Data World'!$A$1:$AL$1,))=0,#N/A,VLOOKUP(B71,'Data World'!$A:$AL,MATCH(World!$S$1,'Data World'!$A$1:$AL$1,)))</f>
        <v/>
      </c>
      <c r="T71" s="13">
        <f>IF(VLOOKUP(B71,'Data World'!$A:$AL,MATCH(World!$T$1,'Data World'!$A$1:$AL$1,))=0,#N/A,VLOOKUP(B71,'Data World'!$A:$AL,MATCH(World!$T$1,'Data World'!$A$1:$AL$1,)))</f>
        <v/>
      </c>
    </row>
    <row r="72" customFormat="1" s="63">
      <c r="B72" s="12" t="n">
        <v>44135</v>
      </c>
      <c r="C72" s="13">
        <f>IF(VLOOKUP(B72,'Data World'!$A:$AL,MATCH(World!$C$1,'Data World'!$A$1:$AL$1,))=0,#N/A,VLOOKUP(B72,'Data World'!$A:$AL,MATCH(World!$C$1,'Data World'!$A$1:$AL$1,)))</f>
        <v/>
      </c>
      <c r="D72" s="13">
        <f>IF(VLOOKUP(B72,'Data World'!$A:$AL,MATCH(World!$D$1,'Data World'!$A$1:$AL$1,))=0,#N/A,VLOOKUP(B72,'Data World'!$A:$AL,MATCH(World!$D$1,'Data World'!$A$1:$AL$1,)))</f>
        <v/>
      </c>
      <c r="E72" s="13">
        <f>IF(VLOOKUP(B72,'Data World'!$A:$AL,MATCH(World!$E$1,'Data World'!$A$1:$AL$1,))=0,#N/A,VLOOKUP(B72,'Data World'!$A:$AL,MATCH(World!$E$1,'Data World'!$A$1:$AL$1,)))</f>
        <v/>
      </c>
      <c r="F72" s="13">
        <f>IF(VLOOKUP(B72,'Data World'!$A:$AL,MATCH(World!$F$1,'Data World'!$A$1:$AL$1,))=0,#N/A,VLOOKUP(B72,'Data World'!$A:$AL,MATCH(World!$F$1,'Data World'!$A$1:$AL$1,)))</f>
        <v/>
      </c>
      <c r="G72" s="13">
        <f>IF(VLOOKUP(B72,'Data World'!$A:$AL,MATCH(World!$G$1,'Data World'!$A$1:$AL$1,))=0,#N/A,VLOOKUP(B72,'Data World'!$A:$AL,MATCH(World!$G$1,'Data World'!$A$1:$AL$1,)))</f>
        <v/>
      </c>
      <c r="H72" s="13">
        <f>IF(VLOOKUP(B72,'Data World'!$A:$AL,MATCH(World!$H$1,'Data World'!$A$1:$AL$1,))=0,#N/A,VLOOKUP(B72,'Data World'!$A:$AL,MATCH(World!$H$1,'Data World'!$A$1:$AL$1,)))</f>
        <v/>
      </c>
      <c r="I72" s="13">
        <f>IF(VLOOKUP(B72,'Data World'!$A:$AL,MATCH(World!$I$1,'Data World'!$A$1:$AL$1,))=0,#N/A,VLOOKUP(B72,'Data World'!$A:$AL,MATCH(World!$I$1,'Data World'!$A$1:$AL$1,)))</f>
        <v/>
      </c>
      <c r="J72" s="13">
        <f>IF(VLOOKUP(B72,'Data World'!$A:$AL,MATCH(World!$J$1,'Data World'!$A$1:$AL$1,))=0,#N/A,VLOOKUP(B72,'Data World'!$A:$AL,MATCH(World!$J$1,'Data World'!$A$1:$AL$1,)))</f>
        <v/>
      </c>
      <c r="K72" s="13">
        <f>IF(VLOOKUP(B72,'Data World'!$A:$AL,MATCH(World!$K$1,'Data World'!$A$1:$AL$1,))=0,#N/A,VLOOKUP(B72,'Data World'!$A:$AL,MATCH(World!$K$1,'Data World'!$A$1:$AL$1,)))</f>
        <v/>
      </c>
      <c r="L72" s="13">
        <f>IF(VLOOKUP(B72,'Data World'!$A:$AL,MATCH(World!$L$1,'Data World'!$A$1:$AL$1,))=0,#N/A,VLOOKUP(B72,'Data World'!$A:$AL,MATCH(World!$L$1,'Data World'!$A$1:$AL$1,)))</f>
        <v/>
      </c>
      <c r="M72" s="13">
        <f>IF(VLOOKUP(B72,'Data World'!$A:$AL,MATCH(World!$M$1,'Data World'!$A$1:$AL$1,))=0,#N/A,VLOOKUP(B72,'Data World'!$A:$AL,MATCH(World!$M$1,'Data World'!$A$1:$AL$1,)))</f>
        <v/>
      </c>
      <c r="N72" s="13">
        <f>IF(VLOOKUP(B72,'Data World'!$A:$AL,MATCH(World!$N$1,'Data World'!$A$1:$AL$1,))=0,#N/A,VLOOKUP(B72,'Data World'!$A:$AL,MATCH(World!$N$1,'Data World'!$A$1:$AL$1,)))</f>
        <v/>
      </c>
      <c r="O72" s="13">
        <f>IF(VLOOKUP(B72,'Data World'!$A:$AL,MATCH(World!$O$1,'Data World'!$A$1:$AL$1,))=0,#N/A,VLOOKUP(B72,'Data World'!$A:$AL,MATCH(World!$O$1,'Data World'!$A$1:$AL$1,)))</f>
        <v/>
      </c>
      <c r="P72" s="13">
        <f>IF(VLOOKUP(B72,'Data World'!$A:$AL,MATCH(World!$P$1,'Data World'!$A$1:$AL$1,))=0,#N/A,VLOOKUP(B72,'Data World'!$A:$AL,MATCH(World!$P$1,'Data World'!$A$1:$AL$1,)))</f>
        <v/>
      </c>
      <c r="Q72" s="13">
        <f>IF(VLOOKUP(B72,'Data World'!$A:$AL,MATCH(World!$Q$1,'Data World'!$A$1:$AL$1,))=0,#N/A,VLOOKUP(B72,'Data World'!$A:$AL,MATCH(World!$Q$1,'Data World'!$A$1:$AL$1,)))</f>
        <v/>
      </c>
      <c r="R72" s="13">
        <f>IF(VLOOKUP(B72,'Data World'!$A:$AL,MATCH(World!$R$1,'Data World'!$A$1:$AL$1,))=0,#N/A,VLOOKUP(B72,'Data World'!$A:$AL,MATCH(World!$R$1,'Data World'!$A$1:$AL$1,)))</f>
        <v/>
      </c>
      <c r="S72" s="13">
        <f>IF(VLOOKUP(B72,'Data World'!$A:$AL,MATCH(World!$S$1,'Data World'!$A$1:$AL$1,))=0,#N/A,VLOOKUP(B72,'Data World'!$A:$AL,MATCH(World!$S$1,'Data World'!$A$1:$AL$1,)))</f>
        <v/>
      </c>
      <c r="T72" s="13">
        <f>IF(VLOOKUP(B72,'Data World'!$A:$AL,MATCH(World!$T$1,'Data World'!$A$1:$AL$1,))=0,#N/A,VLOOKUP(B72,'Data World'!$A:$AL,MATCH(World!$T$1,'Data World'!$A$1:$AL$1,)))</f>
        <v/>
      </c>
    </row>
    <row r="73" customFormat="1" s="63">
      <c r="B73" s="12" t="n">
        <v>44165</v>
      </c>
      <c r="C73" s="13">
        <f>IF(VLOOKUP(B73,'Data World'!$A:$AL,MATCH(World!$C$1,'Data World'!$A$1:$AL$1,))=0,#N/A,VLOOKUP(B73,'Data World'!$A:$AL,MATCH(World!$C$1,'Data World'!$A$1:$AL$1,)))</f>
        <v/>
      </c>
      <c r="D73" s="13">
        <f>IF(VLOOKUP(B73,'Data World'!$A:$AL,MATCH(World!$D$1,'Data World'!$A$1:$AL$1,))=0,#N/A,VLOOKUP(B73,'Data World'!$A:$AL,MATCH(World!$D$1,'Data World'!$A$1:$AL$1,)))</f>
        <v/>
      </c>
      <c r="E73" s="13">
        <f>IF(VLOOKUP(B73,'Data World'!$A:$AL,MATCH(World!$E$1,'Data World'!$A$1:$AL$1,))=0,#N/A,VLOOKUP(B73,'Data World'!$A:$AL,MATCH(World!$E$1,'Data World'!$A$1:$AL$1,)))</f>
        <v/>
      </c>
      <c r="F73" s="13">
        <f>IF(VLOOKUP(B73,'Data World'!$A:$AL,MATCH(World!$F$1,'Data World'!$A$1:$AL$1,))=0,#N/A,VLOOKUP(B73,'Data World'!$A:$AL,MATCH(World!$F$1,'Data World'!$A$1:$AL$1,)))</f>
        <v/>
      </c>
      <c r="G73" s="13">
        <f>IF(VLOOKUP(B73,'Data World'!$A:$AL,MATCH(World!$G$1,'Data World'!$A$1:$AL$1,))=0,#N/A,VLOOKUP(B73,'Data World'!$A:$AL,MATCH(World!$G$1,'Data World'!$A$1:$AL$1,)))</f>
        <v/>
      </c>
      <c r="H73" s="13">
        <f>IF(VLOOKUP(B73,'Data World'!$A:$AL,MATCH(World!$H$1,'Data World'!$A$1:$AL$1,))=0,#N/A,VLOOKUP(B73,'Data World'!$A:$AL,MATCH(World!$H$1,'Data World'!$A$1:$AL$1,)))</f>
        <v/>
      </c>
      <c r="I73" s="13">
        <f>IF(VLOOKUP(B73,'Data World'!$A:$AL,MATCH(World!$I$1,'Data World'!$A$1:$AL$1,))=0,#N/A,VLOOKUP(B73,'Data World'!$A:$AL,MATCH(World!$I$1,'Data World'!$A$1:$AL$1,)))</f>
        <v/>
      </c>
      <c r="J73" s="13">
        <f>IF(VLOOKUP(B73,'Data World'!$A:$AL,MATCH(World!$J$1,'Data World'!$A$1:$AL$1,))=0,#N/A,VLOOKUP(B73,'Data World'!$A:$AL,MATCH(World!$J$1,'Data World'!$A$1:$AL$1,)))</f>
        <v/>
      </c>
      <c r="K73" s="13">
        <f>IF(VLOOKUP(B73,'Data World'!$A:$AL,MATCH(World!$K$1,'Data World'!$A$1:$AL$1,))=0,#N/A,VLOOKUP(B73,'Data World'!$A:$AL,MATCH(World!$K$1,'Data World'!$A$1:$AL$1,)))</f>
        <v/>
      </c>
      <c r="L73" s="13">
        <f>IF(VLOOKUP(B73,'Data World'!$A:$AL,MATCH(World!$L$1,'Data World'!$A$1:$AL$1,))=0,#N/A,VLOOKUP(B73,'Data World'!$A:$AL,MATCH(World!$L$1,'Data World'!$A$1:$AL$1,)))</f>
        <v/>
      </c>
      <c r="M73" s="13">
        <f>IF(VLOOKUP(B73,'Data World'!$A:$AL,MATCH(World!$M$1,'Data World'!$A$1:$AL$1,))=0,#N/A,VLOOKUP(B73,'Data World'!$A:$AL,MATCH(World!$M$1,'Data World'!$A$1:$AL$1,)))</f>
        <v/>
      </c>
      <c r="N73" s="13">
        <f>IF(VLOOKUP(B73,'Data World'!$A:$AL,MATCH(World!$N$1,'Data World'!$A$1:$AL$1,))=0,#N/A,VLOOKUP(B73,'Data World'!$A:$AL,MATCH(World!$N$1,'Data World'!$A$1:$AL$1,)))</f>
        <v/>
      </c>
      <c r="O73" s="13">
        <f>IF(VLOOKUP(B73,'Data World'!$A:$AL,MATCH(World!$O$1,'Data World'!$A$1:$AL$1,))=0,#N/A,VLOOKUP(B73,'Data World'!$A:$AL,MATCH(World!$O$1,'Data World'!$A$1:$AL$1,)))</f>
        <v/>
      </c>
      <c r="P73" s="13">
        <f>IF(VLOOKUP(B73,'Data World'!$A:$AL,MATCH(World!$P$1,'Data World'!$A$1:$AL$1,))=0,#N/A,VLOOKUP(B73,'Data World'!$A:$AL,MATCH(World!$P$1,'Data World'!$A$1:$AL$1,)))</f>
        <v/>
      </c>
      <c r="Q73" s="13">
        <f>IF(VLOOKUP(B73,'Data World'!$A:$AL,MATCH(World!$Q$1,'Data World'!$A$1:$AL$1,))=0,#N/A,VLOOKUP(B73,'Data World'!$A:$AL,MATCH(World!$Q$1,'Data World'!$A$1:$AL$1,)))</f>
        <v/>
      </c>
      <c r="R73" s="13">
        <f>IF(VLOOKUP(B73,'Data World'!$A:$AL,MATCH(World!$R$1,'Data World'!$A$1:$AL$1,))=0,#N/A,VLOOKUP(B73,'Data World'!$A:$AL,MATCH(World!$R$1,'Data World'!$A$1:$AL$1,)))</f>
        <v/>
      </c>
      <c r="S73" s="13">
        <f>IF(VLOOKUP(B73,'Data World'!$A:$AL,MATCH(World!$S$1,'Data World'!$A$1:$AL$1,))=0,#N/A,VLOOKUP(B73,'Data World'!$A:$AL,MATCH(World!$S$1,'Data World'!$A$1:$AL$1,)))</f>
        <v/>
      </c>
      <c r="T73" s="13">
        <f>IF(VLOOKUP(B73,'Data World'!$A:$AL,MATCH(World!$T$1,'Data World'!$A$1:$AL$1,))=0,#N/A,VLOOKUP(B73,'Data World'!$A:$AL,MATCH(World!$T$1,'Data World'!$A$1:$AL$1,)))</f>
        <v/>
      </c>
    </row>
    <row r="74" customFormat="1" s="63">
      <c r="B74" s="12" t="n">
        <v>44196</v>
      </c>
      <c r="C74" s="13">
        <f>IF(VLOOKUP(B74,'Data World'!$A:$AL,MATCH(World!$C$1,'Data World'!$A$1:$AL$1,))=0,#N/A,VLOOKUP(B74,'Data World'!$A:$AL,MATCH(World!$C$1,'Data World'!$A$1:$AL$1,)))</f>
        <v/>
      </c>
      <c r="D74" s="13">
        <f>IF(VLOOKUP(B74,'Data World'!$A:$AL,MATCH(World!$D$1,'Data World'!$A$1:$AL$1,))=0,#N/A,VLOOKUP(B74,'Data World'!$A:$AL,MATCH(World!$D$1,'Data World'!$A$1:$AL$1,)))</f>
        <v/>
      </c>
      <c r="E74" s="13">
        <f>IF(VLOOKUP(B74,'Data World'!$A:$AL,MATCH(World!$E$1,'Data World'!$A$1:$AL$1,))=0,#N/A,VLOOKUP(B74,'Data World'!$A:$AL,MATCH(World!$E$1,'Data World'!$A$1:$AL$1,)))</f>
        <v/>
      </c>
      <c r="F74" s="13">
        <f>IF(VLOOKUP(B74,'Data World'!$A:$AL,MATCH(World!$F$1,'Data World'!$A$1:$AL$1,))=0,#N/A,VLOOKUP(B74,'Data World'!$A:$AL,MATCH(World!$F$1,'Data World'!$A$1:$AL$1,)))</f>
        <v/>
      </c>
      <c r="G74" s="13">
        <f>IF(VLOOKUP(B74,'Data World'!$A:$AL,MATCH(World!$G$1,'Data World'!$A$1:$AL$1,))=0,#N/A,VLOOKUP(B74,'Data World'!$A:$AL,MATCH(World!$G$1,'Data World'!$A$1:$AL$1,)))</f>
        <v/>
      </c>
      <c r="H74" s="13">
        <f>IF(VLOOKUP(B74,'Data World'!$A:$AL,MATCH(World!$H$1,'Data World'!$A$1:$AL$1,))=0,#N/A,VLOOKUP(B74,'Data World'!$A:$AL,MATCH(World!$H$1,'Data World'!$A$1:$AL$1,)))</f>
        <v/>
      </c>
      <c r="I74" s="13">
        <f>IF(VLOOKUP(B74,'Data World'!$A:$AL,MATCH(World!$I$1,'Data World'!$A$1:$AL$1,))=0,#N/A,VLOOKUP(B74,'Data World'!$A:$AL,MATCH(World!$I$1,'Data World'!$A$1:$AL$1,)))</f>
        <v/>
      </c>
      <c r="J74" s="13">
        <f>IF(VLOOKUP(B74,'Data World'!$A:$AL,MATCH(World!$J$1,'Data World'!$A$1:$AL$1,))=0,#N/A,VLOOKUP(B74,'Data World'!$A:$AL,MATCH(World!$J$1,'Data World'!$A$1:$AL$1,)))</f>
        <v/>
      </c>
      <c r="K74" s="13">
        <f>IF(VLOOKUP(B74,'Data World'!$A:$AL,MATCH(World!$K$1,'Data World'!$A$1:$AL$1,))=0,#N/A,VLOOKUP(B74,'Data World'!$A:$AL,MATCH(World!$K$1,'Data World'!$A$1:$AL$1,)))</f>
        <v/>
      </c>
      <c r="L74" s="13">
        <f>IF(VLOOKUP(B74,'Data World'!$A:$AL,MATCH(World!$L$1,'Data World'!$A$1:$AL$1,))=0,#N/A,VLOOKUP(B74,'Data World'!$A:$AL,MATCH(World!$L$1,'Data World'!$A$1:$AL$1,)))</f>
        <v/>
      </c>
      <c r="M74" s="13">
        <f>IF(VLOOKUP(B74,'Data World'!$A:$AL,MATCH(World!$M$1,'Data World'!$A$1:$AL$1,))=0,#N/A,VLOOKUP(B74,'Data World'!$A:$AL,MATCH(World!$M$1,'Data World'!$A$1:$AL$1,)))</f>
        <v/>
      </c>
      <c r="N74" s="13">
        <f>IF(VLOOKUP(B74,'Data World'!$A:$AL,MATCH(World!$N$1,'Data World'!$A$1:$AL$1,))=0,#N/A,VLOOKUP(B74,'Data World'!$A:$AL,MATCH(World!$N$1,'Data World'!$A$1:$AL$1,)))</f>
        <v/>
      </c>
      <c r="O74" s="13">
        <f>IF(VLOOKUP(B74,'Data World'!$A:$AL,MATCH(World!$O$1,'Data World'!$A$1:$AL$1,))=0,#N/A,VLOOKUP(B74,'Data World'!$A:$AL,MATCH(World!$O$1,'Data World'!$A$1:$AL$1,)))</f>
        <v/>
      </c>
      <c r="P74" s="13">
        <f>IF(VLOOKUP(B74,'Data World'!$A:$AL,MATCH(World!$P$1,'Data World'!$A$1:$AL$1,))=0,#N/A,VLOOKUP(B74,'Data World'!$A:$AL,MATCH(World!$P$1,'Data World'!$A$1:$AL$1,)))</f>
        <v/>
      </c>
      <c r="Q74" s="13">
        <f>IF(VLOOKUP(B74,'Data World'!$A:$AL,MATCH(World!$Q$1,'Data World'!$A$1:$AL$1,))=0,#N/A,VLOOKUP(B74,'Data World'!$A:$AL,MATCH(World!$Q$1,'Data World'!$A$1:$AL$1,)))</f>
        <v/>
      </c>
      <c r="R74" s="13">
        <f>IF(VLOOKUP(B74,'Data World'!$A:$AL,MATCH(World!$R$1,'Data World'!$A$1:$AL$1,))=0,#N/A,VLOOKUP(B74,'Data World'!$A:$AL,MATCH(World!$R$1,'Data World'!$A$1:$AL$1,)))</f>
        <v/>
      </c>
      <c r="S74" s="13">
        <f>IF(VLOOKUP(B74,'Data World'!$A:$AL,MATCH(World!$S$1,'Data World'!$A$1:$AL$1,))=0,#N/A,VLOOKUP(B74,'Data World'!$A:$AL,MATCH(World!$S$1,'Data World'!$A$1:$AL$1,)))</f>
        <v/>
      </c>
      <c r="T74" s="13">
        <f>IF(VLOOKUP(B74,'Data World'!$A:$AL,MATCH(World!$T$1,'Data World'!$A$1:$AL$1,))=0,#N/A,VLOOKUP(B74,'Data World'!$A:$AL,MATCH(World!$T$1,'Data World'!$A$1:$AL$1,)))</f>
        <v/>
      </c>
    </row>
    <row r="75" customFormat="1" s="63">
      <c r="B75" s="12" t="n">
        <v>44227</v>
      </c>
      <c r="C75" s="13">
        <f>IF(VLOOKUP(B75,'Data World'!$A:$AL,MATCH(World!$C$1,'Data World'!$A$1:$AL$1,))=0,#N/A,VLOOKUP(B75,'Data World'!$A:$AL,MATCH(World!$C$1,'Data World'!$A$1:$AL$1,)))</f>
        <v/>
      </c>
      <c r="D75" s="13">
        <f>IF(VLOOKUP(B75,'Data World'!$A:$AL,MATCH(World!$D$1,'Data World'!$A$1:$AL$1,))=0,#N/A,VLOOKUP(B75,'Data World'!$A:$AL,MATCH(World!$D$1,'Data World'!$A$1:$AL$1,)))</f>
        <v/>
      </c>
      <c r="E75" s="13">
        <f>IF(VLOOKUP(B75,'Data World'!$A:$AL,MATCH(World!$E$1,'Data World'!$A$1:$AL$1,))=0,#N/A,VLOOKUP(B75,'Data World'!$A:$AL,MATCH(World!$E$1,'Data World'!$A$1:$AL$1,)))</f>
        <v/>
      </c>
      <c r="F75" s="13">
        <f>IF(VLOOKUP(B75,'Data World'!$A:$AL,MATCH(World!$F$1,'Data World'!$A$1:$AL$1,))=0,#N/A,VLOOKUP(B75,'Data World'!$A:$AL,MATCH(World!$F$1,'Data World'!$A$1:$AL$1,)))</f>
        <v/>
      </c>
      <c r="G75" s="13">
        <f>IF(VLOOKUP(B75,'Data World'!$A:$AL,MATCH(World!$G$1,'Data World'!$A$1:$AL$1,))=0,#N/A,VLOOKUP(B75,'Data World'!$A:$AL,MATCH(World!$G$1,'Data World'!$A$1:$AL$1,)))</f>
        <v/>
      </c>
      <c r="H75" s="13">
        <f>IF(VLOOKUP(B75,'Data World'!$A:$AL,MATCH(World!$H$1,'Data World'!$A$1:$AL$1,))=0,#N/A,VLOOKUP(B75,'Data World'!$A:$AL,MATCH(World!$H$1,'Data World'!$A$1:$AL$1,)))</f>
        <v/>
      </c>
      <c r="I75" s="13">
        <f>IF(VLOOKUP(B75,'Data World'!$A:$AL,MATCH(World!$I$1,'Data World'!$A$1:$AL$1,))=0,#N/A,VLOOKUP(B75,'Data World'!$A:$AL,MATCH(World!$I$1,'Data World'!$A$1:$AL$1,)))</f>
        <v/>
      </c>
      <c r="J75" s="13">
        <f>IF(VLOOKUP(B75,'Data World'!$A:$AL,MATCH(World!$J$1,'Data World'!$A$1:$AL$1,))=0,#N/A,VLOOKUP(B75,'Data World'!$A:$AL,MATCH(World!$J$1,'Data World'!$A$1:$AL$1,)))</f>
        <v/>
      </c>
      <c r="K75" s="13">
        <f>IF(VLOOKUP(B75,'Data World'!$A:$AL,MATCH(World!$K$1,'Data World'!$A$1:$AL$1,))=0,#N/A,VLOOKUP(B75,'Data World'!$A:$AL,MATCH(World!$K$1,'Data World'!$A$1:$AL$1,)))</f>
        <v/>
      </c>
      <c r="L75" s="13">
        <f>IF(VLOOKUP(B75,'Data World'!$A:$AL,MATCH(World!$L$1,'Data World'!$A$1:$AL$1,))=0,#N/A,VLOOKUP(B75,'Data World'!$A:$AL,MATCH(World!$L$1,'Data World'!$A$1:$AL$1,)))</f>
        <v/>
      </c>
      <c r="M75" s="13">
        <f>IF(VLOOKUP(B75,'Data World'!$A:$AL,MATCH(World!$M$1,'Data World'!$A$1:$AL$1,))=0,#N/A,VLOOKUP(B75,'Data World'!$A:$AL,MATCH(World!$M$1,'Data World'!$A$1:$AL$1,)))</f>
        <v/>
      </c>
      <c r="N75" s="13">
        <f>IF(VLOOKUP(B75,'Data World'!$A:$AL,MATCH(World!$N$1,'Data World'!$A$1:$AL$1,))=0,#N/A,VLOOKUP(B75,'Data World'!$A:$AL,MATCH(World!$N$1,'Data World'!$A$1:$AL$1,)))</f>
        <v/>
      </c>
      <c r="O75" s="13">
        <f>IF(VLOOKUP(B75,'Data World'!$A:$AL,MATCH(World!$O$1,'Data World'!$A$1:$AL$1,))=0,#N/A,VLOOKUP(B75,'Data World'!$A:$AL,MATCH(World!$O$1,'Data World'!$A$1:$AL$1,)))</f>
        <v/>
      </c>
      <c r="P75" s="13">
        <f>IF(VLOOKUP(B75,'Data World'!$A:$AL,MATCH(World!$P$1,'Data World'!$A$1:$AL$1,))=0,#N/A,VLOOKUP(B75,'Data World'!$A:$AL,MATCH(World!$P$1,'Data World'!$A$1:$AL$1,)))</f>
        <v/>
      </c>
      <c r="Q75" s="13">
        <f>IF(VLOOKUP(B75,'Data World'!$A:$AL,MATCH(World!$Q$1,'Data World'!$A$1:$AL$1,))=0,#N/A,VLOOKUP(B75,'Data World'!$A:$AL,MATCH(World!$Q$1,'Data World'!$A$1:$AL$1,)))</f>
        <v/>
      </c>
      <c r="R75" s="13">
        <f>IF(VLOOKUP(B75,'Data World'!$A:$AL,MATCH(World!$R$1,'Data World'!$A$1:$AL$1,))=0,#N/A,VLOOKUP(B75,'Data World'!$A:$AL,MATCH(World!$R$1,'Data World'!$A$1:$AL$1,)))</f>
        <v/>
      </c>
      <c r="S75" s="13">
        <f>IF(VLOOKUP(B75,'Data World'!$A:$AL,MATCH(World!$S$1,'Data World'!$A$1:$AL$1,))=0,#N/A,VLOOKUP(B75,'Data World'!$A:$AL,MATCH(World!$S$1,'Data World'!$A$1:$AL$1,)))</f>
        <v/>
      </c>
      <c r="T75" s="13">
        <f>IF(VLOOKUP(B75,'Data World'!$A:$AL,MATCH(World!$T$1,'Data World'!$A$1:$AL$1,))=0,#N/A,VLOOKUP(B75,'Data World'!$A:$AL,MATCH(World!$T$1,'Data World'!$A$1:$AL$1,)))</f>
        <v/>
      </c>
    </row>
    <row r="76" customFormat="1" s="63">
      <c r="B76" s="12" t="n">
        <v>44255</v>
      </c>
      <c r="C76" s="13">
        <f>IF(VLOOKUP(B76,'Data World'!$A:$AL,MATCH(World!$C$1,'Data World'!$A$1:$AL$1,))=0,#N/A,VLOOKUP(B76,'Data World'!$A:$AL,MATCH(World!$C$1,'Data World'!$A$1:$AL$1,)))</f>
        <v/>
      </c>
      <c r="D76" s="13">
        <f>IF(VLOOKUP(B76,'Data World'!$A:$AL,MATCH(World!$D$1,'Data World'!$A$1:$AL$1,))=0,#N/A,VLOOKUP(B76,'Data World'!$A:$AL,MATCH(World!$D$1,'Data World'!$A$1:$AL$1,)))</f>
        <v/>
      </c>
      <c r="E76" s="13">
        <f>IF(VLOOKUP(B76,'Data World'!$A:$AL,MATCH(World!$E$1,'Data World'!$A$1:$AL$1,))=0,#N/A,VLOOKUP(B76,'Data World'!$A:$AL,MATCH(World!$E$1,'Data World'!$A$1:$AL$1,)))</f>
        <v/>
      </c>
      <c r="F76" s="13">
        <f>IF(VLOOKUP(B76,'Data World'!$A:$AL,MATCH(World!$F$1,'Data World'!$A$1:$AL$1,))=0,#N/A,VLOOKUP(B76,'Data World'!$A:$AL,MATCH(World!$F$1,'Data World'!$A$1:$AL$1,)))</f>
        <v/>
      </c>
      <c r="G76" s="13">
        <f>IF(VLOOKUP(B76,'Data World'!$A:$AL,MATCH(World!$G$1,'Data World'!$A$1:$AL$1,))=0,#N/A,VLOOKUP(B76,'Data World'!$A:$AL,MATCH(World!$G$1,'Data World'!$A$1:$AL$1,)))</f>
        <v/>
      </c>
      <c r="H76" s="13">
        <f>IF(VLOOKUP(B76,'Data World'!$A:$AL,MATCH(World!$H$1,'Data World'!$A$1:$AL$1,))=0,#N/A,VLOOKUP(B76,'Data World'!$A:$AL,MATCH(World!$H$1,'Data World'!$A$1:$AL$1,)))</f>
        <v/>
      </c>
      <c r="I76" s="13">
        <f>IF(VLOOKUP(B76,'Data World'!$A:$AL,MATCH(World!$I$1,'Data World'!$A$1:$AL$1,))=0,#N/A,VLOOKUP(B76,'Data World'!$A:$AL,MATCH(World!$I$1,'Data World'!$A$1:$AL$1,)))</f>
        <v/>
      </c>
      <c r="J76" s="13">
        <f>IF(VLOOKUP(B76,'Data World'!$A:$AL,MATCH(World!$J$1,'Data World'!$A$1:$AL$1,))=0,#N/A,VLOOKUP(B76,'Data World'!$A:$AL,MATCH(World!$J$1,'Data World'!$A$1:$AL$1,)))</f>
        <v/>
      </c>
      <c r="K76" s="13">
        <f>IF(VLOOKUP(B76,'Data World'!$A:$AL,MATCH(World!$K$1,'Data World'!$A$1:$AL$1,))=0,#N/A,VLOOKUP(B76,'Data World'!$A:$AL,MATCH(World!$K$1,'Data World'!$A$1:$AL$1,)))</f>
        <v/>
      </c>
      <c r="L76" s="13">
        <f>IF(VLOOKUP(B76,'Data World'!$A:$AL,MATCH(World!$L$1,'Data World'!$A$1:$AL$1,))=0,#N/A,VLOOKUP(B76,'Data World'!$A:$AL,MATCH(World!$L$1,'Data World'!$A$1:$AL$1,)))</f>
        <v/>
      </c>
      <c r="M76" s="13">
        <f>IF(VLOOKUP(B76,'Data World'!$A:$AL,MATCH(World!$M$1,'Data World'!$A$1:$AL$1,))=0,#N/A,VLOOKUP(B76,'Data World'!$A:$AL,MATCH(World!$M$1,'Data World'!$A$1:$AL$1,)))</f>
        <v/>
      </c>
      <c r="N76" s="13">
        <f>IF(VLOOKUP(B76,'Data World'!$A:$AL,MATCH(World!$N$1,'Data World'!$A$1:$AL$1,))=0,#N/A,VLOOKUP(B76,'Data World'!$A:$AL,MATCH(World!$N$1,'Data World'!$A$1:$AL$1,)))</f>
        <v/>
      </c>
      <c r="O76" s="13">
        <f>IF(VLOOKUP(B76,'Data World'!$A:$AL,MATCH(World!$O$1,'Data World'!$A$1:$AL$1,))=0,#N/A,VLOOKUP(B76,'Data World'!$A:$AL,MATCH(World!$O$1,'Data World'!$A$1:$AL$1,)))</f>
        <v/>
      </c>
      <c r="P76" s="13">
        <f>IF(VLOOKUP(B76,'Data World'!$A:$AL,MATCH(World!$P$1,'Data World'!$A$1:$AL$1,))=0,#N/A,VLOOKUP(B76,'Data World'!$A:$AL,MATCH(World!$P$1,'Data World'!$A$1:$AL$1,)))</f>
        <v/>
      </c>
      <c r="Q76" s="13">
        <f>IF(VLOOKUP(B76,'Data World'!$A:$AL,MATCH(World!$Q$1,'Data World'!$A$1:$AL$1,))=0,#N/A,VLOOKUP(B76,'Data World'!$A:$AL,MATCH(World!$Q$1,'Data World'!$A$1:$AL$1,)))</f>
        <v/>
      </c>
      <c r="R76" s="13">
        <f>IF(VLOOKUP(B76,'Data World'!$A:$AL,MATCH(World!$R$1,'Data World'!$A$1:$AL$1,))=0,#N/A,VLOOKUP(B76,'Data World'!$A:$AL,MATCH(World!$R$1,'Data World'!$A$1:$AL$1,)))</f>
        <v/>
      </c>
      <c r="S76" s="13">
        <f>IF(VLOOKUP(B76,'Data World'!$A:$AL,MATCH(World!$S$1,'Data World'!$A$1:$AL$1,))=0,#N/A,VLOOKUP(B76,'Data World'!$A:$AL,MATCH(World!$S$1,'Data World'!$A$1:$AL$1,)))</f>
        <v/>
      </c>
      <c r="T76" s="13">
        <f>IF(VLOOKUP(B76,'Data World'!$A:$AL,MATCH(World!$T$1,'Data World'!$A$1:$AL$1,))=0,#N/A,VLOOKUP(B76,'Data World'!$A:$AL,MATCH(World!$T$1,'Data World'!$A$1:$AL$1,)))</f>
        <v/>
      </c>
    </row>
    <row r="77" customFormat="1" s="63">
      <c r="B77" s="12" t="n">
        <v>44286</v>
      </c>
      <c r="C77" s="13">
        <f>IF(VLOOKUP(B77,'Data World'!$A:$AL,MATCH(World!$C$1,'Data World'!$A$1:$AL$1,))=0,#N/A,VLOOKUP(B77,'Data World'!$A:$AL,MATCH(World!$C$1,'Data World'!$A$1:$AL$1,)))</f>
        <v/>
      </c>
      <c r="D77" s="13">
        <f>IF(VLOOKUP(B77,'Data World'!$A:$AL,MATCH(World!$D$1,'Data World'!$A$1:$AL$1,))=0,#N/A,VLOOKUP(B77,'Data World'!$A:$AL,MATCH(World!$D$1,'Data World'!$A$1:$AL$1,)))</f>
        <v/>
      </c>
      <c r="E77" s="13">
        <f>IF(VLOOKUP(B77,'Data World'!$A:$AL,MATCH(World!$E$1,'Data World'!$A$1:$AL$1,))=0,#N/A,VLOOKUP(B77,'Data World'!$A:$AL,MATCH(World!$E$1,'Data World'!$A$1:$AL$1,)))</f>
        <v/>
      </c>
      <c r="F77" s="13">
        <f>IF(VLOOKUP(B77,'Data World'!$A:$AL,MATCH(World!$F$1,'Data World'!$A$1:$AL$1,))=0,#N/A,VLOOKUP(B77,'Data World'!$A:$AL,MATCH(World!$F$1,'Data World'!$A$1:$AL$1,)))</f>
        <v/>
      </c>
      <c r="G77" s="13">
        <f>IF(VLOOKUP(B77,'Data World'!$A:$AL,MATCH(World!$G$1,'Data World'!$A$1:$AL$1,))=0,#N/A,VLOOKUP(B77,'Data World'!$A:$AL,MATCH(World!$G$1,'Data World'!$A$1:$AL$1,)))</f>
        <v/>
      </c>
      <c r="H77" s="13">
        <f>IF(VLOOKUP(B77,'Data World'!$A:$AL,MATCH(World!$H$1,'Data World'!$A$1:$AL$1,))=0,#N/A,VLOOKUP(B77,'Data World'!$A:$AL,MATCH(World!$H$1,'Data World'!$A$1:$AL$1,)))</f>
        <v/>
      </c>
      <c r="I77" s="13">
        <f>IF(VLOOKUP(B77,'Data World'!$A:$AL,MATCH(World!$I$1,'Data World'!$A$1:$AL$1,))=0,#N/A,VLOOKUP(B77,'Data World'!$A:$AL,MATCH(World!$I$1,'Data World'!$A$1:$AL$1,)))</f>
        <v/>
      </c>
      <c r="J77" s="13">
        <f>IF(VLOOKUP(B77,'Data World'!$A:$AL,MATCH(World!$J$1,'Data World'!$A$1:$AL$1,))=0,#N/A,VLOOKUP(B77,'Data World'!$A:$AL,MATCH(World!$J$1,'Data World'!$A$1:$AL$1,)))</f>
        <v/>
      </c>
      <c r="K77" s="13">
        <f>IF(VLOOKUP(B77,'Data World'!$A:$AL,MATCH(World!$K$1,'Data World'!$A$1:$AL$1,))=0,#N/A,VLOOKUP(B77,'Data World'!$A:$AL,MATCH(World!$K$1,'Data World'!$A$1:$AL$1,)))</f>
        <v/>
      </c>
      <c r="L77" s="13">
        <f>IF(VLOOKUP(B77,'Data World'!$A:$AL,MATCH(World!$L$1,'Data World'!$A$1:$AL$1,))=0,#N/A,VLOOKUP(B77,'Data World'!$A:$AL,MATCH(World!$L$1,'Data World'!$A$1:$AL$1,)))</f>
        <v/>
      </c>
      <c r="M77" s="13">
        <f>IF(VLOOKUP(B77,'Data World'!$A:$AL,MATCH(World!$M$1,'Data World'!$A$1:$AL$1,))=0,#N/A,VLOOKUP(B77,'Data World'!$A:$AL,MATCH(World!$M$1,'Data World'!$A$1:$AL$1,)))</f>
        <v/>
      </c>
      <c r="N77" s="13">
        <f>IF(VLOOKUP(B77,'Data World'!$A:$AL,MATCH(World!$N$1,'Data World'!$A$1:$AL$1,))=0,#N/A,VLOOKUP(B77,'Data World'!$A:$AL,MATCH(World!$N$1,'Data World'!$A$1:$AL$1,)))</f>
        <v/>
      </c>
      <c r="O77" s="13">
        <f>IF(VLOOKUP(B77,'Data World'!$A:$AL,MATCH(World!$O$1,'Data World'!$A$1:$AL$1,))=0,#N/A,VLOOKUP(B77,'Data World'!$A:$AL,MATCH(World!$O$1,'Data World'!$A$1:$AL$1,)))</f>
        <v/>
      </c>
      <c r="P77" s="13">
        <f>IF(VLOOKUP(B77,'Data World'!$A:$AL,MATCH(World!$P$1,'Data World'!$A$1:$AL$1,))=0,#N/A,VLOOKUP(B77,'Data World'!$A:$AL,MATCH(World!$P$1,'Data World'!$A$1:$AL$1,)))</f>
        <v/>
      </c>
      <c r="Q77" s="13">
        <f>IF(VLOOKUP(B77,'Data World'!$A:$AL,MATCH(World!$Q$1,'Data World'!$A$1:$AL$1,))=0,#N/A,VLOOKUP(B77,'Data World'!$A:$AL,MATCH(World!$Q$1,'Data World'!$A$1:$AL$1,)))</f>
        <v/>
      </c>
      <c r="R77" s="13">
        <f>IF(VLOOKUP(B77,'Data World'!$A:$AL,MATCH(World!$R$1,'Data World'!$A$1:$AL$1,))=0,#N/A,VLOOKUP(B77,'Data World'!$A:$AL,MATCH(World!$R$1,'Data World'!$A$1:$AL$1,)))</f>
        <v/>
      </c>
      <c r="S77" s="13">
        <f>IF(VLOOKUP(B77,'Data World'!$A:$AL,MATCH(World!$S$1,'Data World'!$A$1:$AL$1,))=0,#N/A,VLOOKUP(B77,'Data World'!$A:$AL,MATCH(World!$S$1,'Data World'!$A$1:$AL$1,)))</f>
        <v/>
      </c>
      <c r="T77" s="13">
        <f>IF(VLOOKUP(B77,'Data World'!$A:$AL,MATCH(World!$T$1,'Data World'!$A$1:$AL$1,))=0,#N/A,VLOOKUP(B77,'Data World'!$A:$AL,MATCH(World!$T$1,'Data World'!$A$1:$AL$1,)))</f>
        <v/>
      </c>
    </row>
    <row r="78" customFormat="1" s="63">
      <c r="B78" s="12" t="n">
        <v>44316</v>
      </c>
      <c r="C78" s="13">
        <f>IF(VLOOKUP(B78,'Data World'!$A:$AL,MATCH(World!$C$1,'Data World'!$A$1:$AL$1,))=0,#N/A,VLOOKUP(B78,'Data World'!$A:$AL,MATCH(World!$C$1,'Data World'!$A$1:$AL$1,)))</f>
        <v/>
      </c>
      <c r="D78" s="13">
        <f>IF(VLOOKUP(B78,'Data World'!$A:$AL,MATCH(World!$D$1,'Data World'!$A$1:$AL$1,))=0,#N/A,VLOOKUP(B78,'Data World'!$A:$AL,MATCH(World!$D$1,'Data World'!$A$1:$AL$1,)))</f>
        <v/>
      </c>
      <c r="E78" s="13">
        <f>IF(VLOOKUP(B78,'Data World'!$A:$AL,MATCH(World!$E$1,'Data World'!$A$1:$AL$1,))=0,#N/A,VLOOKUP(B78,'Data World'!$A:$AL,MATCH(World!$E$1,'Data World'!$A$1:$AL$1,)))</f>
        <v/>
      </c>
      <c r="F78" s="13">
        <f>IF(VLOOKUP(B78,'Data World'!$A:$AL,MATCH(World!$F$1,'Data World'!$A$1:$AL$1,))=0,#N/A,VLOOKUP(B78,'Data World'!$A:$AL,MATCH(World!$F$1,'Data World'!$A$1:$AL$1,)))</f>
        <v/>
      </c>
      <c r="G78" s="13">
        <f>IF(VLOOKUP(B78,'Data World'!$A:$AL,MATCH(World!$G$1,'Data World'!$A$1:$AL$1,))=0,#N/A,VLOOKUP(B78,'Data World'!$A:$AL,MATCH(World!$G$1,'Data World'!$A$1:$AL$1,)))</f>
        <v/>
      </c>
      <c r="H78" s="13">
        <f>IF(VLOOKUP(B78,'Data World'!$A:$AL,MATCH(World!$H$1,'Data World'!$A$1:$AL$1,))=0,#N/A,VLOOKUP(B78,'Data World'!$A:$AL,MATCH(World!$H$1,'Data World'!$A$1:$AL$1,)))</f>
        <v/>
      </c>
      <c r="I78" s="13">
        <f>IF(VLOOKUP(B78,'Data World'!$A:$AL,MATCH(World!$I$1,'Data World'!$A$1:$AL$1,))=0,#N/A,VLOOKUP(B78,'Data World'!$A:$AL,MATCH(World!$I$1,'Data World'!$A$1:$AL$1,)))</f>
        <v/>
      </c>
      <c r="J78" s="13">
        <f>IF(VLOOKUP(B78,'Data World'!$A:$AL,MATCH(World!$J$1,'Data World'!$A$1:$AL$1,))=0,#N/A,VLOOKUP(B78,'Data World'!$A:$AL,MATCH(World!$J$1,'Data World'!$A$1:$AL$1,)))</f>
        <v/>
      </c>
      <c r="K78" s="13">
        <f>IF(VLOOKUP(B78,'Data World'!$A:$AL,MATCH(World!$K$1,'Data World'!$A$1:$AL$1,))=0,#N/A,VLOOKUP(B78,'Data World'!$A:$AL,MATCH(World!$K$1,'Data World'!$A$1:$AL$1,)))</f>
        <v/>
      </c>
      <c r="L78" s="13">
        <f>IF(VLOOKUP(B78,'Data World'!$A:$AL,MATCH(World!$L$1,'Data World'!$A$1:$AL$1,))=0,#N/A,VLOOKUP(B78,'Data World'!$A:$AL,MATCH(World!$L$1,'Data World'!$A$1:$AL$1,)))</f>
        <v/>
      </c>
      <c r="M78" s="13">
        <f>IF(VLOOKUP(B78,'Data World'!$A:$AL,MATCH(World!$M$1,'Data World'!$A$1:$AL$1,))=0,#N/A,VLOOKUP(B78,'Data World'!$A:$AL,MATCH(World!$M$1,'Data World'!$A$1:$AL$1,)))</f>
        <v/>
      </c>
      <c r="N78" s="13">
        <f>IF(VLOOKUP(B78,'Data World'!$A:$AL,MATCH(World!$N$1,'Data World'!$A$1:$AL$1,))=0,#N/A,VLOOKUP(B78,'Data World'!$A:$AL,MATCH(World!$N$1,'Data World'!$A$1:$AL$1,)))</f>
        <v/>
      </c>
      <c r="O78" s="13">
        <f>IF(VLOOKUP(B78,'Data World'!$A:$AL,MATCH(World!$O$1,'Data World'!$A$1:$AL$1,))=0,#N/A,VLOOKUP(B78,'Data World'!$A:$AL,MATCH(World!$O$1,'Data World'!$A$1:$AL$1,)))</f>
        <v/>
      </c>
      <c r="P78" s="13">
        <f>IF(VLOOKUP(B78,'Data World'!$A:$AL,MATCH(World!$P$1,'Data World'!$A$1:$AL$1,))=0,#N/A,VLOOKUP(B78,'Data World'!$A:$AL,MATCH(World!$P$1,'Data World'!$A$1:$AL$1,)))</f>
        <v/>
      </c>
      <c r="Q78" s="13">
        <f>IF(VLOOKUP(B78,'Data World'!$A:$AL,MATCH(World!$Q$1,'Data World'!$A$1:$AL$1,))=0,#N/A,VLOOKUP(B78,'Data World'!$A:$AL,MATCH(World!$Q$1,'Data World'!$A$1:$AL$1,)))</f>
        <v/>
      </c>
      <c r="R78" s="13">
        <f>IF(VLOOKUP(B78,'Data World'!$A:$AL,MATCH(World!$R$1,'Data World'!$A$1:$AL$1,))=0,#N/A,VLOOKUP(B78,'Data World'!$A:$AL,MATCH(World!$R$1,'Data World'!$A$1:$AL$1,)))</f>
        <v/>
      </c>
      <c r="S78" s="13">
        <f>IF(VLOOKUP(B78,'Data World'!$A:$AL,MATCH(World!$S$1,'Data World'!$A$1:$AL$1,))=0,#N/A,VLOOKUP(B78,'Data World'!$A:$AL,MATCH(World!$S$1,'Data World'!$A$1:$AL$1,)))</f>
        <v/>
      </c>
      <c r="T78" s="13">
        <f>IF(VLOOKUP(B78,'Data World'!$A:$AL,MATCH(World!$T$1,'Data World'!$A$1:$AL$1,))=0,#N/A,VLOOKUP(B78,'Data World'!$A:$AL,MATCH(World!$T$1,'Data World'!$A$1:$AL$1,)))</f>
        <v/>
      </c>
    </row>
    <row r="79" customFormat="1" s="63">
      <c r="B79" s="12" t="n">
        <v>44347</v>
      </c>
      <c r="C79" s="13">
        <f>IF(VLOOKUP(B79,'Data World'!$A:$AL,MATCH(World!$C$1,'Data World'!$A$1:$AL$1,))=0,#N/A,VLOOKUP(B79,'Data World'!$A:$AL,MATCH(World!$C$1,'Data World'!$A$1:$AL$1,)))</f>
        <v/>
      </c>
      <c r="D79" s="13">
        <f>IF(VLOOKUP(B79,'Data World'!$A:$AL,MATCH(World!$D$1,'Data World'!$A$1:$AL$1,))=0,#N/A,VLOOKUP(B79,'Data World'!$A:$AL,MATCH(World!$D$1,'Data World'!$A$1:$AL$1,)))</f>
        <v/>
      </c>
      <c r="E79" s="13">
        <f>IF(VLOOKUP(B79,'Data World'!$A:$AL,MATCH(World!$E$1,'Data World'!$A$1:$AL$1,))=0,#N/A,VLOOKUP(B79,'Data World'!$A:$AL,MATCH(World!$E$1,'Data World'!$A$1:$AL$1,)))</f>
        <v/>
      </c>
      <c r="F79" s="13">
        <f>IF(VLOOKUP(B79,'Data World'!$A:$AL,MATCH(World!$F$1,'Data World'!$A$1:$AL$1,))=0,#N/A,VLOOKUP(B79,'Data World'!$A:$AL,MATCH(World!$F$1,'Data World'!$A$1:$AL$1,)))</f>
        <v/>
      </c>
      <c r="G79" s="13">
        <f>IF(VLOOKUP(B79,'Data World'!$A:$AL,MATCH(World!$G$1,'Data World'!$A$1:$AL$1,))=0,#N/A,VLOOKUP(B79,'Data World'!$A:$AL,MATCH(World!$G$1,'Data World'!$A$1:$AL$1,)))</f>
        <v/>
      </c>
      <c r="H79" s="13">
        <f>IF(VLOOKUP(B79,'Data World'!$A:$AL,MATCH(World!$H$1,'Data World'!$A$1:$AL$1,))=0,#N/A,VLOOKUP(B79,'Data World'!$A:$AL,MATCH(World!$H$1,'Data World'!$A$1:$AL$1,)))</f>
        <v/>
      </c>
      <c r="I79" s="13">
        <f>IF(VLOOKUP(B79,'Data World'!$A:$AL,MATCH(World!$I$1,'Data World'!$A$1:$AL$1,))=0,#N/A,VLOOKUP(B79,'Data World'!$A:$AL,MATCH(World!$I$1,'Data World'!$A$1:$AL$1,)))</f>
        <v/>
      </c>
      <c r="J79" s="13">
        <f>IF(VLOOKUP(B79,'Data World'!$A:$AL,MATCH(World!$J$1,'Data World'!$A$1:$AL$1,))=0,#N/A,VLOOKUP(B79,'Data World'!$A:$AL,MATCH(World!$J$1,'Data World'!$A$1:$AL$1,)))</f>
        <v/>
      </c>
      <c r="K79" s="13">
        <f>IF(VLOOKUP(B79,'Data World'!$A:$AL,MATCH(World!$K$1,'Data World'!$A$1:$AL$1,))=0,#N/A,VLOOKUP(B79,'Data World'!$A:$AL,MATCH(World!$K$1,'Data World'!$A$1:$AL$1,)))</f>
        <v/>
      </c>
      <c r="L79" s="13">
        <f>IF(VLOOKUP(B79,'Data World'!$A:$AL,MATCH(World!$L$1,'Data World'!$A$1:$AL$1,))=0,#N/A,VLOOKUP(B79,'Data World'!$A:$AL,MATCH(World!$L$1,'Data World'!$A$1:$AL$1,)))</f>
        <v/>
      </c>
      <c r="M79" s="13">
        <f>IF(VLOOKUP(B79,'Data World'!$A:$AL,MATCH(World!$M$1,'Data World'!$A$1:$AL$1,))=0,#N/A,VLOOKUP(B79,'Data World'!$A:$AL,MATCH(World!$M$1,'Data World'!$A$1:$AL$1,)))</f>
        <v/>
      </c>
      <c r="N79" s="13">
        <f>IF(VLOOKUP(B79,'Data World'!$A:$AL,MATCH(World!$N$1,'Data World'!$A$1:$AL$1,))=0,#N/A,VLOOKUP(B79,'Data World'!$A:$AL,MATCH(World!$N$1,'Data World'!$A$1:$AL$1,)))</f>
        <v/>
      </c>
      <c r="O79" s="13">
        <f>IF(VLOOKUP(B79,'Data World'!$A:$AL,MATCH(World!$O$1,'Data World'!$A$1:$AL$1,))=0,#N/A,VLOOKUP(B79,'Data World'!$A:$AL,MATCH(World!$O$1,'Data World'!$A$1:$AL$1,)))</f>
        <v/>
      </c>
      <c r="P79" s="13">
        <f>IF(VLOOKUP(B79,'Data World'!$A:$AL,MATCH(World!$P$1,'Data World'!$A$1:$AL$1,))=0,#N/A,VLOOKUP(B79,'Data World'!$A:$AL,MATCH(World!$P$1,'Data World'!$A$1:$AL$1,)))</f>
        <v/>
      </c>
      <c r="Q79" s="13">
        <f>IF(VLOOKUP(B79,'Data World'!$A:$AL,MATCH(World!$Q$1,'Data World'!$A$1:$AL$1,))=0,#N/A,VLOOKUP(B79,'Data World'!$A:$AL,MATCH(World!$Q$1,'Data World'!$A$1:$AL$1,)))</f>
        <v/>
      </c>
      <c r="R79" s="13">
        <f>IF(VLOOKUP(B79,'Data World'!$A:$AL,MATCH(World!$R$1,'Data World'!$A$1:$AL$1,))=0,#N/A,VLOOKUP(B79,'Data World'!$A:$AL,MATCH(World!$R$1,'Data World'!$A$1:$AL$1,)))</f>
        <v/>
      </c>
      <c r="S79" s="13">
        <f>IF(VLOOKUP(B79,'Data World'!$A:$AL,MATCH(World!$S$1,'Data World'!$A$1:$AL$1,))=0,#N/A,VLOOKUP(B79,'Data World'!$A:$AL,MATCH(World!$S$1,'Data World'!$A$1:$AL$1,)))</f>
        <v/>
      </c>
      <c r="T79" s="13">
        <f>IF(VLOOKUP(B79,'Data World'!$A:$AL,MATCH(World!$T$1,'Data World'!$A$1:$AL$1,))=0,#N/A,VLOOKUP(B79,'Data World'!$A:$AL,MATCH(World!$T$1,'Data World'!$A$1:$AL$1,)))</f>
        <v/>
      </c>
    </row>
    <row r="80" customFormat="1" s="63">
      <c r="B80" s="12" t="n">
        <v>44377</v>
      </c>
      <c r="C80" s="13">
        <f>IF(VLOOKUP(B80,'Data World'!$A:$AL,MATCH(World!$C$1,'Data World'!$A$1:$AL$1,))=0,#N/A,VLOOKUP(B80,'Data World'!$A:$AL,MATCH(World!$C$1,'Data World'!$A$1:$AL$1,)))</f>
        <v/>
      </c>
      <c r="D80" s="13">
        <f>IF(VLOOKUP(B80,'Data World'!$A:$AL,MATCH(World!$D$1,'Data World'!$A$1:$AL$1,))=0,#N/A,VLOOKUP(B80,'Data World'!$A:$AL,MATCH(World!$D$1,'Data World'!$A$1:$AL$1,)))</f>
        <v/>
      </c>
      <c r="E80" s="13">
        <f>IF(VLOOKUP(B80,'Data World'!$A:$AL,MATCH(World!$E$1,'Data World'!$A$1:$AL$1,))=0,#N/A,VLOOKUP(B80,'Data World'!$A:$AL,MATCH(World!$E$1,'Data World'!$A$1:$AL$1,)))</f>
        <v/>
      </c>
      <c r="F80" s="13">
        <f>IF(VLOOKUP(B80,'Data World'!$A:$AL,MATCH(World!$F$1,'Data World'!$A$1:$AL$1,))=0,#N/A,VLOOKUP(B80,'Data World'!$A:$AL,MATCH(World!$F$1,'Data World'!$A$1:$AL$1,)))</f>
        <v/>
      </c>
      <c r="G80" s="13">
        <f>IF(VLOOKUP(B80,'Data World'!$A:$AL,MATCH(World!$G$1,'Data World'!$A$1:$AL$1,))=0,#N/A,VLOOKUP(B80,'Data World'!$A:$AL,MATCH(World!$G$1,'Data World'!$A$1:$AL$1,)))</f>
        <v/>
      </c>
      <c r="H80" s="13">
        <f>IF(VLOOKUP(B80,'Data World'!$A:$AL,MATCH(World!$H$1,'Data World'!$A$1:$AL$1,))=0,#N/A,VLOOKUP(B80,'Data World'!$A:$AL,MATCH(World!$H$1,'Data World'!$A$1:$AL$1,)))</f>
        <v/>
      </c>
      <c r="I80" s="13">
        <f>IF(VLOOKUP(B80,'Data World'!$A:$AL,MATCH(World!$I$1,'Data World'!$A$1:$AL$1,))=0,#N/A,VLOOKUP(B80,'Data World'!$A:$AL,MATCH(World!$I$1,'Data World'!$A$1:$AL$1,)))</f>
        <v/>
      </c>
      <c r="J80" s="13">
        <f>IF(VLOOKUP(B80,'Data World'!$A:$AL,MATCH(World!$J$1,'Data World'!$A$1:$AL$1,))=0,#N/A,VLOOKUP(B80,'Data World'!$A:$AL,MATCH(World!$J$1,'Data World'!$A$1:$AL$1,)))</f>
        <v/>
      </c>
      <c r="K80" s="13">
        <f>IF(VLOOKUP(B80,'Data World'!$A:$AL,MATCH(World!$K$1,'Data World'!$A$1:$AL$1,))=0,#N/A,VLOOKUP(B80,'Data World'!$A:$AL,MATCH(World!$K$1,'Data World'!$A$1:$AL$1,)))</f>
        <v/>
      </c>
      <c r="L80" s="13">
        <f>IF(VLOOKUP(B80,'Data World'!$A:$AL,MATCH(World!$L$1,'Data World'!$A$1:$AL$1,))=0,#N/A,VLOOKUP(B80,'Data World'!$A:$AL,MATCH(World!$L$1,'Data World'!$A$1:$AL$1,)))</f>
        <v/>
      </c>
      <c r="M80" s="13">
        <f>IF(VLOOKUP(B80,'Data World'!$A:$AL,MATCH(World!$M$1,'Data World'!$A$1:$AL$1,))=0,#N/A,VLOOKUP(B80,'Data World'!$A:$AL,MATCH(World!$M$1,'Data World'!$A$1:$AL$1,)))</f>
        <v/>
      </c>
      <c r="N80" s="13">
        <f>IF(VLOOKUP(B80,'Data World'!$A:$AL,MATCH(World!$N$1,'Data World'!$A$1:$AL$1,))=0,#N/A,VLOOKUP(B80,'Data World'!$A:$AL,MATCH(World!$N$1,'Data World'!$A$1:$AL$1,)))</f>
        <v/>
      </c>
      <c r="O80" s="13">
        <f>IF(VLOOKUP(B80,'Data World'!$A:$AL,MATCH(World!$O$1,'Data World'!$A$1:$AL$1,))=0,#N/A,VLOOKUP(B80,'Data World'!$A:$AL,MATCH(World!$O$1,'Data World'!$A$1:$AL$1,)))</f>
        <v/>
      </c>
      <c r="P80" s="13">
        <f>IF(VLOOKUP(B80,'Data World'!$A:$AL,MATCH(World!$P$1,'Data World'!$A$1:$AL$1,))=0,#N/A,VLOOKUP(B80,'Data World'!$A:$AL,MATCH(World!$P$1,'Data World'!$A$1:$AL$1,)))</f>
        <v/>
      </c>
      <c r="Q80" s="13">
        <f>IF(VLOOKUP(B80,'Data World'!$A:$AL,MATCH(World!$Q$1,'Data World'!$A$1:$AL$1,))=0,#N/A,VLOOKUP(B80,'Data World'!$A:$AL,MATCH(World!$Q$1,'Data World'!$A$1:$AL$1,)))</f>
        <v/>
      </c>
      <c r="R80" s="13">
        <f>IF(VLOOKUP(B80,'Data World'!$A:$AL,MATCH(World!$R$1,'Data World'!$A$1:$AL$1,))=0,#N/A,VLOOKUP(B80,'Data World'!$A:$AL,MATCH(World!$R$1,'Data World'!$A$1:$AL$1,)))</f>
        <v/>
      </c>
      <c r="S80" s="13">
        <f>IF(VLOOKUP(B80,'Data World'!$A:$AL,MATCH(World!$S$1,'Data World'!$A$1:$AL$1,))=0,#N/A,VLOOKUP(B80,'Data World'!$A:$AL,MATCH(World!$S$1,'Data World'!$A$1:$AL$1,)))</f>
        <v/>
      </c>
      <c r="T80" s="13">
        <f>IF(VLOOKUP(B80,'Data World'!$A:$AL,MATCH(World!$T$1,'Data World'!$A$1:$AL$1,))=0,#N/A,VLOOKUP(B80,'Data World'!$A:$AL,MATCH(World!$T$1,'Data World'!$A$1:$AL$1,)))</f>
        <v/>
      </c>
    </row>
    <row r="81" customFormat="1" s="63">
      <c r="B81" s="12" t="n">
        <v>44408</v>
      </c>
      <c r="C81" s="13">
        <f>IF(VLOOKUP(B81,'Data World'!$A:$AL,MATCH(World!$C$1,'Data World'!$A$1:$AL$1,))=0,#N/A,VLOOKUP(B81,'Data World'!$A:$AL,MATCH(World!$C$1,'Data World'!$A$1:$AL$1,)))</f>
        <v/>
      </c>
      <c r="D81" s="13">
        <f>IF(VLOOKUP(B81,'Data World'!$A:$AL,MATCH(World!$D$1,'Data World'!$A$1:$AL$1,))=0,#N/A,VLOOKUP(B81,'Data World'!$A:$AL,MATCH(World!$D$1,'Data World'!$A$1:$AL$1,)))</f>
        <v/>
      </c>
      <c r="E81" s="13">
        <f>IF(VLOOKUP(B81,'Data World'!$A:$AL,MATCH(World!$E$1,'Data World'!$A$1:$AL$1,))=0,#N/A,VLOOKUP(B81,'Data World'!$A:$AL,MATCH(World!$E$1,'Data World'!$A$1:$AL$1,)))</f>
        <v/>
      </c>
      <c r="F81" s="13">
        <f>IF(VLOOKUP(B81,'Data World'!$A:$AL,MATCH(World!$F$1,'Data World'!$A$1:$AL$1,))=0,#N/A,VLOOKUP(B81,'Data World'!$A:$AL,MATCH(World!$F$1,'Data World'!$A$1:$AL$1,)))</f>
        <v/>
      </c>
      <c r="G81" s="13">
        <f>IF(VLOOKUP(B81,'Data World'!$A:$AL,MATCH(World!$G$1,'Data World'!$A$1:$AL$1,))=0,#N/A,VLOOKUP(B81,'Data World'!$A:$AL,MATCH(World!$G$1,'Data World'!$A$1:$AL$1,)))</f>
        <v/>
      </c>
      <c r="H81" s="13">
        <f>IF(VLOOKUP(B81,'Data World'!$A:$AL,MATCH(World!$H$1,'Data World'!$A$1:$AL$1,))=0,#N/A,VLOOKUP(B81,'Data World'!$A:$AL,MATCH(World!$H$1,'Data World'!$A$1:$AL$1,)))</f>
        <v/>
      </c>
      <c r="I81" s="13">
        <f>IF(VLOOKUP(B81,'Data World'!$A:$AL,MATCH(World!$I$1,'Data World'!$A$1:$AL$1,))=0,#N/A,VLOOKUP(B81,'Data World'!$A:$AL,MATCH(World!$I$1,'Data World'!$A$1:$AL$1,)))</f>
        <v/>
      </c>
      <c r="J81" s="13">
        <f>IF(VLOOKUP(B81,'Data World'!$A:$AL,MATCH(World!$J$1,'Data World'!$A$1:$AL$1,))=0,#N/A,VLOOKUP(B81,'Data World'!$A:$AL,MATCH(World!$J$1,'Data World'!$A$1:$AL$1,)))</f>
        <v/>
      </c>
      <c r="K81" s="13">
        <f>IF(VLOOKUP(B81,'Data World'!$A:$AL,MATCH(World!$K$1,'Data World'!$A$1:$AL$1,))=0,#N/A,VLOOKUP(B81,'Data World'!$A:$AL,MATCH(World!$K$1,'Data World'!$A$1:$AL$1,)))</f>
        <v/>
      </c>
      <c r="L81" s="13">
        <f>IF(VLOOKUP(B81,'Data World'!$A:$AL,MATCH(World!$L$1,'Data World'!$A$1:$AL$1,))=0,#N/A,VLOOKUP(B81,'Data World'!$A:$AL,MATCH(World!$L$1,'Data World'!$A$1:$AL$1,)))</f>
        <v/>
      </c>
      <c r="M81" s="13">
        <f>IF(VLOOKUP(B81,'Data World'!$A:$AL,MATCH(World!$M$1,'Data World'!$A$1:$AL$1,))=0,#N/A,VLOOKUP(B81,'Data World'!$A:$AL,MATCH(World!$M$1,'Data World'!$A$1:$AL$1,)))</f>
        <v/>
      </c>
      <c r="N81" s="13">
        <f>IF(VLOOKUP(B81,'Data World'!$A:$AL,MATCH(World!$N$1,'Data World'!$A$1:$AL$1,))=0,#N/A,VLOOKUP(B81,'Data World'!$A:$AL,MATCH(World!$N$1,'Data World'!$A$1:$AL$1,)))</f>
        <v/>
      </c>
      <c r="O81" s="13">
        <f>IF(VLOOKUP(B81,'Data World'!$A:$AL,MATCH(World!$O$1,'Data World'!$A$1:$AL$1,))=0,#N/A,VLOOKUP(B81,'Data World'!$A:$AL,MATCH(World!$O$1,'Data World'!$A$1:$AL$1,)))</f>
        <v/>
      </c>
      <c r="P81" s="13">
        <f>IF(VLOOKUP(B81,'Data World'!$A:$AL,MATCH(World!$P$1,'Data World'!$A$1:$AL$1,))=0,#N/A,VLOOKUP(B81,'Data World'!$A:$AL,MATCH(World!$P$1,'Data World'!$A$1:$AL$1,)))</f>
        <v/>
      </c>
      <c r="Q81" s="13">
        <f>IF(VLOOKUP(B81,'Data World'!$A:$AL,MATCH(World!$Q$1,'Data World'!$A$1:$AL$1,))=0,#N/A,VLOOKUP(B81,'Data World'!$A:$AL,MATCH(World!$Q$1,'Data World'!$A$1:$AL$1,)))</f>
        <v/>
      </c>
      <c r="R81" s="13">
        <f>IF(VLOOKUP(B81,'Data World'!$A:$AL,MATCH(World!$R$1,'Data World'!$A$1:$AL$1,))=0,#N/A,VLOOKUP(B81,'Data World'!$A:$AL,MATCH(World!$R$1,'Data World'!$A$1:$AL$1,)))</f>
        <v/>
      </c>
      <c r="S81" s="13">
        <f>IF(VLOOKUP(B81,'Data World'!$A:$AL,MATCH(World!$S$1,'Data World'!$A$1:$AL$1,))=0,#N/A,VLOOKUP(B81,'Data World'!$A:$AL,MATCH(World!$S$1,'Data World'!$A$1:$AL$1,)))</f>
        <v/>
      </c>
      <c r="T81" s="13">
        <f>IF(VLOOKUP(B81,'Data World'!$A:$AL,MATCH(World!$T$1,'Data World'!$A$1:$AL$1,))=0,#N/A,VLOOKUP(B81,'Data World'!$A:$AL,MATCH(World!$T$1,'Data World'!$A$1:$AL$1,)))</f>
        <v/>
      </c>
    </row>
    <row r="82" customFormat="1" s="63">
      <c r="B82" s="12" t="n">
        <v>44439</v>
      </c>
      <c r="C82" s="13">
        <f>IF(VLOOKUP(B82,'Data World'!$A:$AL,MATCH(World!$C$1,'Data World'!$A$1:$AL$1,))=0,#N/A,VLOOKUP(B82,'Data World'!$A:$AL,MATCH(World!$C$1,'Data World'!$A$1:$AL$1,)))</f>
        <v/>
      </c>
      <c r="D82" s="13">
        <f>IF(VLOOKUP(B82,'Data World'!$A:$AL,MATCH(World!$D$1,'Data World'!$A$1:$AL$1,))=0,#N/A,VLOOKUP(B82,'Data World'!$A:$AL,MATCH(World!$D$1,'Data World'!$A$1:$AL$1,)))</f>
        <v/>
      </c>
      <c r="E82" s="13">
        <f>IF(VLOOKUP(B82,'Data World'!$A:$AL,MATCH(World!$E$1,'Data World'!$A$1:$AL$1,))=0,#N/A,VLOOKUP(B82,'Data World'!$A:$AL,MATCH(World!$E$1,'Data World'!$A$1:$AL$1,)))</f>
        <v/>
      </c>
      <c r="F82" s="13">
        <f>IF(VLOOKUP(B82,'Data World'!$A:$AL,MATCH(World!$F$1,'Data World'!$A$1:$AL$1,))=0,#N/A,VLOOKUP(B82,'Data World'!$A:$AL,MATCH(World!$F$1,'Data World'!$A$1:$AL$1,)))</f>
        <v/>
      </c>
      <c r="G82" s="13">
        <f>IF(VLOOKUP(B82,'Data World'!$A:$AL,MATCH(World!$G$1,'Data World'!$A$1:$AL$1,))=0,#N/A,VLOOKUP(B82,'Data World'!$A:$AL,MATCH(World!$G$1,'Data World'!$A$1:$AL$1,)))</f>
        <v/>
      </c>
      <c r="H82" s="13">
        <f>IF(VLOOKUP(B82,'Data World'!$A:$AL,MATCH(World!$H$1,'Data World'!$A$1:$AL$1,))=0,#N/A,VLOOKUP(B82,'Data World'!$A:$AL,MATCH(World!$H$1,'Data World'!$A$1:$AL$1,)))</f>
        <v/>
      </c>
      <c r="I82" s="13">
        <f>IF(VLOOKUP(B82,'Data World'!$A:$AL,MATCH(World!$I$1,'Data World'!$A$1:$AL$1,))=0,#N/A,VLOOKUP(B82,'Data World'!$A:$AL,MATCH(World!$I$1,'Data World'!$A$1:$AL$1,)))</f>
        <v/>
      </c>
      <c r="J82" s="13">
        <f>IF(VLOOKUP(B82,'Data World'!$A:$AL,MATCH(World!$J$1,'Data World'!$A$1:$AL$1,))=0,#N/A,VLOOKUP(B82,'Data World'!$A:$AL,MATCH(World!$J$1,'Data World'!$A$1:$AL$1,)))</f>
        <v/>
      </c>
      <c r="K82" s="13">
        <f>IF(VLOOKUP(B82,'Data World'!$A:$AL,MATCH(World!$K$1,'Data World'!$A$1:$AL$1,))=0,#N/A,VLOOKUP(B82,'Data World'!$A:$AL,MATCH(World!$K$1,'Data World'!$A$1:$AL$1,)))</f>
        <v/>
      </c>
      <c r="L82" s="13">
        <f>IF(VLOOKUP(B82,'Data World'!$A:$AL,MATCH(World!$L$1,'Data World'!$A$1:$AL$1,))=0,#N/A,VLOOKUP(B82,'Data World'!$A:$AL,MATCH(World!$L$1,'Data World'!$A$1:$AL$1,)))</f>
        <v/>
      </c>
      <c r="M82" s="13">
        <f>IF(VLOOKUP(B82,'Data World'!$A:$AL,MATCH(World!$M$1,'Data World'!$A$1:$AL$1,))=0,#N/A,VLOOKUP(B82,'Data World'!$A:$AL,MATCH(World!$M$1,'Data World'!$A$1:$AL$1,)))</f>
        <v/>
      </c>
      <c r="N82" s="13">
        <f>IF(VLOOKUP(B82,'Data World'!$A:$AL,MATCH(World!$N$1,'Data World'!$A$1:$AL$1,))=0,#N/A,VLOOKUP(B82,'Data World'!$A:$AL,MATCH(World!$N$1,'Data World'!$A$1:$AL$1,)))</f>
        <v/>
      </c>
      <c r="O82" s="13">
        <f>IF(VLOOKUP(B82,'Data World'!$A:$AL,MATCH(World!$O$1,'Data World'!$A$1:$AL$1,))=0,#N/A,VLOOKUP(B82,'Data World'!$A:$AL,MATCH(World!$O$1,'Data World'!$A$1:$AL$1,)))</f>
        <v/>
      </c>
      <c r="P82" s="13">
        <f>IF(VLOOKUP(B82,'Data World'!$A:$AL,MATCH(World!$P$1,'Data World'!$A$1:$AL$1,))=0,#N/A,VLOOKUP(B82,'Data World'!$A:$AL,MATCH(World!$P$1,'Data World'!$A$1:$AL$1,)))</f>
        <v/>
      </c>
      <c r="Q82" s="13">
        <f>IF(VLOOKUP(B82,'Data World'!$A:$AL,MATCH(World!$Q$1,'Data World'!$A$1:$AL$1,))=0,#N/A,VLOOKUP(B82,'Data World'!$A:$AL,MATCH(World!$Q$1,'Data World'!$A$1:$AL$1,)))</f>
        <v/>
      </c>
      <c r="R82" s="13">
        <f>IF(VLOOKUP(B82,'Data World'!$A:$AL,MATCH(World!$R$1,'Data World'!$A$1:$AL$1,))=0,#N/A,VLOOKUP(B82,'Data World'!$A:$AL,MATCH(World!$R$1,'Data World'!$A$1:$AL$1,)))</f>
        <v/>
      </c>
      <c r="S82" s="13">
        <f>IF(VLOOKUP(B82,'Data World'!$A:$AL,MATCH(World!$S$1,'Data World'!$A$1:$AL$1,))=0,#N/A,VLOOKUP(B82,'Data World'!$A:$AL,MATCH(World!$S$1,'Data World'!$A$1:$AL$1,)))</f>
        <v/>
      </c>
      <c r="T82" s="13">
        <f>IF(VLOOKUP(B82,'Data World'!$A:$AL,MATCH(World!$T$1,'Data World'!$A$1:$AL$1,))=0,#N/A,VLOOKUP(B82,'Data World'!$A:$AL,MATCH(World!$T$1,'Data World'!$A$1:$AL$1,)))</f>
        <v/>
      </c>
    </row>
    <row r="83" customFormat="1" s="63">
      <c r="B83" s="12" t="n">
        <v>44469</v>
      </c>
      <c r="C83" s="13">
        <f>IF(VLOOKUP(B83,'Data World'!$A:$AL,MATCH(World!$C$1,'Data World'!$A$1:$AL$1,))=0,#N/A,VLOOKUP(B83,'Data World'!$A:$AL,MATCH(World!$C$1,'Data World'!$A$1:$AL$1,)))</f>
        <v/>
      </c>
      <c r="D83" s="13">
        <f>IF(VLOOKUP(B83,'Data World'!$A:$AL,MATCH(World!$D$1,'Data World'!$A$1:$AL$1,))=0,#N/A,VLOOKUP(B83,'Data World'!$A:$AL,MATCH(World!$D$1,'Data World'!$A$1:$AL$1,)))</f>
        <v/>
      </c>
      <c r="E83" s="13">
        <f>IF(VLOOKUP(B83,'Data World'!$A:$AL,MATCH(World!$E$1,'Data World'!$A$1:$AL$1,))=0,#N/A,VLOOKUP(B83,'Data World'!$A:$AL,MATCH(World!$E$1,'Data World'!$A$1:$AL$1,)))</f>
        <v/>
      </c>
      <c r="F83" s="13">
        <f>IF(VLOOKUP(B83,'Data World'!$A:$AL,MATCH(World!$F$1,'Data World'!$A$1:$AL$1,))=0,#N/A,VLOOKUP(B83,'Data World'!$A:$AL,MATCH(World!$F$1,'Data World'!$A$1:$AL$1,)))</f>
        <v/>
      </c>
      <c r="G83" s="13">
        <f>IF(VLOOKUP(B83,'Data World'!$A:$AL,MATCH(World!$G$1,'Data World'!$A$1:$AL$1,))=0,#N/A,VLOOKUP(B83,'Data World'!$A:$AL,MATCH(World!$G$1,'Data World'!$A$1:$AL$1,)))</f>
        <v/>
      </c>
      <c r="H83" s="13">
        <f>IF(VLOOKUP(B83,'Data World'!$A:$AL,MATCH(World!$H$1,'Data World'!$A$1:$AL$1,))=0,#N/A,VLOOKUP(B83,'Data World'!$A:$AL,MATCH(World!$H$1,'Data World'!$A$1:$AL$1,)))</f>
        <v/>
      </c>
      <c r="I83" s="13">
        <f>IF(VLOOKUP(B83,'Data World'!$A:$AL,MATCH(World!$I$1,'Data World'!$A$1:$AL$1,))=0,#N/A,VLOOKUP(B83,'Data World'!$A:$AL,MATCH(World!$I$1,'Data World'!$A$1:$AL$1,)))</f>
        <v/>
      </c>
      <c r="J83" s="13">
        <f>IF(VLOOKUP(B83,'Data World'!$A:$AL,MATCH(World!$J$1,'Data World'!$A$1:$AL$1,))=0,#N/A,VLOOKUP(B83,'Data World'!$A:$AL,MATCH(World!$J$1,'Data World'!$A$1:$AL$1,)))</f>
        <v/>
      </c>
      <c r="K83" s="13">
        <f>IF(VLOOKUP(B83,'Data World'!$A:$AL,MATCH(World!$K$1,'Data World'!$A$1:$AL$1,))=0,#N/A,VLOOKUP(B83,'Data World'!$A:$AL,MATCH(World!$K$1,'Data World'!$A$1:$AL$1,)))</f>
        <v/>
      </c>
      <c r="L83" s="13">
        <f>IF(VLOOKUP(B83,'Data World'!$A:$AL,MATCH(World!$L$1,'Data World'!$A$1:$AL$1,))=0,#N/A,VLOOKUP(B83,'Data World'!$A:$AL,MATCH(World!$L$1,'Data World'!$A$1:$AL$1,)))</f>
        <v/>
      </c>
      <c r="M83" s="13">
        <f>IF(VLOOKUP(B83,'Data World'!$A:$AL,MATCH(World!$M$1,'Data World'!$A$1:$AL$1,))=0,#N/A,VLOOKUP(B83,'Data World'!$A:$AL,MATCH(World!$M$1,'Data World'!$A$1:$AL$1,)))</f>
        <v/>
      </c>
      <c r="N83" s="13">
        <f>IF(VLOOKUP(B83,'Data World'!$A:$AL,MATCH(World!$N$1,'Data World'!$A$1:$AL$1,))=0,#N/A,VLOOKUP(B83,'Data World'!$A:$AL,MATCH(World!$N$1,'Data World'!$A$1:$AL$1,)))</f>
        <v/>
      </c>
      <c r="O83" s="13">
        <f>IF(VLOOKUP(B83,'Data World'!$A:$AL,MATCH(World!$O$1,'Data World'!$A$1:$AL$1,))=0,#N/A,VLOOKUP(B83,'Data World'!$A:$AL,MATCH(World!$O$1,'Data World'!$A$1:$AL$1,)))</f>
        <v/>
      </c>
      <c r="P83" s="13">
        <f>IF(VLOOKUP(B83,'Data World'!$A:$AL,MATCH(World!$P$1,'Data World'!$A$1:$AL$1,))=0,#N/A,VLOOKUP(B83,'Data World'!$A:$AL,MATCH(World!$P$1,'Data World'!$A$1:$AL$1,)))</f>
        <v/>
      </c>
      <c r="Q83" s="13">
        <f>IF(VLOOKUP(B83,'Data World'!$A:$AL,MATCH(World!$Q$1,'Data World'!$A$1:$AL$1,))=0,#N/A,VLOOKUP(B83,'Data World'!$A:$AL,MATCH(World!$Q$1,'Data World'!$A$1:$AL$1,)))</f>
        <v/>
      </c>
      <c r="R83" s="13">
        <f>IF(VLOOKUP(B83,'Data World'!$A:$AL,MATCH(World!$R$1,'Data World'!$A$1:$AL$1,))=0,#N/A,VLOOKUP(B83,'Data World'!$A:$AL,MATCH(World!$R$1,'Data World'!$A$1:$AL$1,)))</f>
        <v/>
      </c>
      <c r="S83" s="13">
        <f>IF(VLOOKUP(B83,'Data World'!$A:$AL,MATCH(World!$S$1,'Data World'!$A$1:$AL$1,))=0,#N/A,VLOOKUP(B83,'Data World'!$A:$AL,MATCH(World!$S$1,'Data World'!$A$1:$AL$1,)))</f>
        <v/>
      </c>
      <c r="T83" s="13">
        <f>IF(VLOOKUP(B83,'Data World'!$A:$AL,MATCH(World!$T$1,'Data World'!$A$1:$AL$1,))=0,#N/A,VLOOKUP(B83,'Data World'!$A:$AL,MATCH(World!$T$1,'Data World'!$A$1:$AL$1,)))</f>
        <v/>
      </c>
    </row>
    <row r="84" customFormat="1" s="63">
      <c r="B84" s="12" t="n">
        <v>44500</v>
      </c>
      <c r="C84" s="13">
        <f>IF(VLOOKUP(B84,'Data World'!$A:$AL,MATCH(World!$C$1,'Data World'!$A$1:$AL$1,))=0,#N/A,VLOOKUP(B84,'Data World'!$A:$AL,MATCH(World!$C$1,'Data World'!$A$1:$AL$1,)))</f>
        <v/>
      </c>
      <c r="D84" s="13">
        <f>IF(VLOOKUP(B84,'Data World'!$A:$AL,MATCH(World!$D$1,'Data World'!$A$1:$AL$1,))=0,#N/A,VLOOKUP(B84,'Data World'!$A:$AL,MATCH(World!$D$1,'Data World'!$A$1:$AL$1,)))</f>
        <v/>
      </c>
      <c r="E84" s="13">
        <f>IF(VLOOKUP(B84,'Data World'!$A:$AL,MATCH(World!$E$1,'Data World'!$A$1:$AL$1,))=0,#N/A,VLOOKUP(B84,'Data World'!$A:$AL,MATCH(World!$E$1,'Data World'!$A$1:$AL$1,)))</f>
        <v/>
      </c>
      <c r="F84" s="13">
        <f>IF(VLOOKUP(B84,'Data World'!$A:$AL,MATCH(World!$F$1,'Data World'!$A$1:$AL$1,))=0,#N/A,VLOOKUP(B84,'Data World'!$A:$AL,MATCH(World!$F$1,'Data World'!$A$1:$AL$1,)))</f>
        <v/>
      </c>
      <c r="G84" s="13">
        <f>IF(VLOOKUP(B84,'Data World'!$A:$AL,MATCH(World!$G$1,'Data World'!$A$1:$AL$1,))=0,#N/A,VLOOKUP(B84,'Data World'!$A:$AL,MATCH(World!$G$1,'Data World'!$A$1:$AL$1,)))</f>
        <v/>
      </c>
      <c r="H84" s="13">
        <f>IF(VLOOKUP(B84,'Data World'!$A:$AL,MATCH(World!$H$1,'Data World'!$A$1:$AL$1,))=0,#N/A,VLOOKUP(B84,'Data World'!$A:$AL,MATCH(World!$H$1,'Data World'!$A$1:$AL$1,)))</f>
        <v/>
      </c>
      <c r="I84" s="13">
        <f>IF(VLOOKUP(B84,'Data World'!$A:$AL,MATCH(World!$I$1,'Data World'!$A$1:$AL$1,))=0,#N/A,VLOOKUP(B84,'Data World'!$A:$AL,MATCH(World!$I$1,'Data World'!$A$1:$AL$1,)))</f>
        <v/>
      </c>
      <c r="J84" s="13">
        <f>IF(VLOOKUP(B84,'Data World'!$A:$AL,MATCH(World!$J$1,'Data World'!$A$1:$AL$1,))=0,#N/A,VLOOKUP(B84,'Data World'!$A:$AL,MATCH(World!$J$1,'Data World'!$A$1:$AL$1,)))</f>
        <v/>
      </c>
      <c r="K84" s="13">
        <f>IF(VLOOKUP(B84,'Data World'!$A:$AL,MATCH(World!$K$1,'Data World'!$A$1:$AL$1,))=0,#N/A,VLOOKUP(B84,'Data World'!$A:$AL,MATCH(World!$K$1,'Data World'!$A$1:$AL$1,)))</f>
        <v/>
      </c>
      <c r="L84" s="13">
        <f>IF(VLOOKUP(B84,'Data World'!$A:$AL,MATCH(World!$L$1,'Data World'!$A$1:$AL$1,))=0,#N/A,VLOOKUP(B84,'Data World'!$A:$AL,MATCH(World!$L$1,'Data World'!$A$1:$AL$1,)))</f>
        <v/>
      </c>
      <c r="M84" s="13">
        <f>IF(VLOOKUP(B84,'Data World'!$A:$AL,MATCH(World!$M$1,'Data World'!$A$1:$AL$1,))=0,#N/A,VLOOKUP(B84,'Data World'!$A:$AL,MATCH(World!$M$1,'Data World'!$A$1:$AL$1,)))</f>
        <v/>
      </c>
      <c r="N84" s="13">
        <f>IF(VLOOKUP(B84,'Data World'!$A:$AL,MATCH(World!$N$1,'Data World'!$A$1:$AL$1,))=0,#N/A,VLOOKUP(B84,'Data World'!$A:$AL,MATCH(World!$N$1,'Data World'!$A$1:$AL$1,)))</f>
        <v/>
      </c>
      <c r="O84" s="13">
        <f>IF(VLOOKUP(B84,'Data World'!$A:$AL,MATCH(World!$O$1,'Data World'!$A$1:$AL$1,))=0,#N/A,VLOOKUP(B84,'Data World'!$A:$AL,MATCH(World!$O$1,'Data World'!$A$1:$AL$1,)))</f>
        <v/>
      </c>
      <c r="P84" s="13">
        <f>IF(VLOOKUP(B84,'Data World'!$A:$AL,MATCH(World!$P$1,'Data World'!$A$1:$AL$1,))=0,#N/A,VLOOKUP(B84,'Data World'!$A:$AL,MATCH(World!$P$1,'Data World'!$A$1:$AL$1,)))</f>
        <v/>
      </c>
      <c r="Q84" s="13">
        <f>IF(VLOOKUP(B84,'Data World'!$A:$AL,MATCH(World!$Q$1,'Data World'!$A$1:$AL$1,))=0,#N/A,VLOOKUP(B84,'Data World'!$A:$AL,MATCH(World!$Q$1,'Data World'!$A$1:$AL$1,)))</f>
        <v/>
      </c>
      <c r="R84" s="13">
        <f>IF(VLOOKUP(B84,'Data World'!$A:$AL,MATCH(World!$R$1,'Data World'!$A$1:$AL$1,))=0,#N/A,VLOOKUP(B84,'Data World'!$A:$AL,MATCH(World!$R$1,'Data World'!$A$1:$AL$1,)))</f>
        <v/>
      </c>
      <c r="S84" s="13">
        <f>IF(VLOOKUP(B84,'Data World'!$A:$AL,MATCH(World!$S$1,'Data World'!$A$1:$AL$1,))=0,#N/A,VLOOKUP(B84,'Data World'!$A:$AL,MATCH(World!$S$1,'Data World'!$A$1:$AL$1,)))</f>
        <v/>
      </c>
      <c r="T84" s="13">
        <f>IF(VLOOKUP(B84,'Data World'!$A:$AL,MATCH(World!$T$1,'Data World'!$A$1:$AL$1,))=0,#N/A,VLOOKUP(B84,'Data World'!$A:$AL,MATCH(World!$T$1,'Data World'!$A$1:$AL$1,)))</f>
        <v/>
      </c>
    </row>
    <row r="85" customFormat="1" s="63">
      <c r="B85" s="12" t="n">
        <v>44530</v>
      </c>
      <c r="C85" s="13">
        <f>IF(VLOOKUP(B85,'Data World'!$A:$AL,MATCH(World!$C$1,'Data World'!$A$1:$AL$1,))=0,#N/A,VLOOKUP(B85,'Data World'!$A:$AL,MATCH(World!$C$1,'Data World'!$A$1:$AL$1,)))</f>
        <v/>
      </c>
      <c r="D85" s="13">
        <f>IF(VLOOKUP(B85,'Data World'!$A:$AL,MATCH(World!$D$1,'Data World'!$A$1:$AL$1,))=0,#N/A,VLOOKUP(B85,'Data World'!$A:$AL,MATCH(World!$D$1,'Data World'!$A$1:$AL$1,)))</f>
        <v/>
      </c>
      <c r="E85" s="13">
        <f>IF(VLOOKUP(B85,'Data World'!$A:$AL,MATCH(World!$E$1,'Data World'!$A$1:$AL$1,))=0,#N/A,VLOOKUP(B85,'Data World'!$A:$AL,MATCH(World!$E$1,'Data World'!$A$1:$AL$1,)))</f>
        <v/>
      </c>
      <c r="F85" s="13">
        <f>IF(VLOOKUP(B85,'Data World'!$A:$AL,MATCH(World!$F$1,'Data World'!$A$1:$AL$1,))=0,#N/A,VLOOKUP(B85,'Data World'!$A:$AL,MATCH(World!$F$1,'Data World'!$A$1:$AL$1,)))</f>
        <v/>
      </c>
      <c r="G85" s="13">
        <f>IF(VLOOKUP(B85,'Data World'!$A:$AL,MATCH(World!$G$1,'Data World'!$A$1:$AL$1,))=0,#N/A,VLOOKUP(B85,'Data World'!$A:$AL,MATCH(World!$G$1,'Data World'!$A$1:$AL$1,)))</f>
        <v/>
      </c>
      <c r="H85" s="13">
        <f>IF(VLOOKUP(B85,'Data World'!$A:$AL,MATCH(World!$H$1,'Data World'!$A$1:$AL$1,))=0,#N/A,VLOOKUP(B85,'Data World'!$A:$AL,MATCH(World!$H$1,'Data World'!$A$1:$AL$1,)))</f>
        <v/>
      </c>
      <c r="I85" s="13">
        <f>IF(VLOOKUP(B85,'Data World'!$A:$AL,MATCH(World!$I$1,'Data World'!$A$1:$AL$1,))=0,#N/A,VLOOKUP(B85,'Data World'!$A:$AL,MATCH(World!$I$1,'Data World'!$A$1:$AL$1,)))</f>
        <v/>
      </c>
      <c r="J85" s="13">
        <f>IF(VLOOKUP(B85,'Data World'!$A:$AL,MATCH(World!$J$1,'Data World'!$A$1:$AL$1,))=0,#N/A,VLOOKUP(B85,'Data World'!$A:$AL,MATCH(World!$J$1,'Data World'!$A$1:$AL$1,)))</f>
        <v/>
      </c>
      <c r="K85" s="13">
        <f>IF(VLOOKUP(B85,'Data World'!$A:$AL,MATCH(World!$K$1,'Data World'!$A$1:$AL$1,))=0,#N/A,VLOOKUP(B85,'Data World'!$A:$AL,MATCH(World!$K$1,'Data World'!$A$1:$AL$1,)))</f>
        <v/>
      </c>
      <c r="L85" s="13">
        <f>IF(VLOOKUP(B85,'Data World'!$A:$AL,MATCH(World!$L$1,'Data World'!$A$1:$AL$1,))=0,#N/A,VLOOKUP(B85,'Data World'!$A:$AL,MATCH(World!$L$1,'Data World'!$A$1:$AL$1,)))</f>
        <v/>
      </c>
      <c r="M85" s="13">
        <f>IF(VLOOKUP(B85,'Data World'!$A:$AL,MATCH(World!$M$1,'Data World'!$A$1:$AL$1,))=0,#N/A,VLOOKUP(B85,'Data World'!$A:$AL,MATCH(World!$M$1,'Data World'!$A$1:$AL$1,)))</f>
        <v/>
      </c>
      <c r="N85" s="13">
        <f>IF(VLOOKUP(B85,'Data World'!$A:$AL,MATCH(World!$N$1,'Data World'!$A$1:$AL$1,))=0,#N/A,VLOOKUP(B85,'Data World'!$A:$AL,MATCH(World!$N$1,'Data World'!$A$1:$AL$1,)))</f>
        <v/>
      </c>
      <c r="O85" s="13">
        <f>IF(VLOOKUP(B85,'Data World'!$A:$AL,MATCH(World!$O$1,'Data World'!$A$1:$AL$1,))=0,#N/A,VLOOKUP(B85,'Data World'!$A:$AL,MATCH(World!$O$1,'Data World'!$A$1:$AL$1,)))</f>
        <v/>
      </c>
      <c r="P85" s="13">
        <f>IF(VLOOKUP(B85,'Data World'!$A:$AL,MATCH(World!$P$1,'Data World'!$A$1:$AL$1,))=0,#N/A,VLOOKUP(B85,'Data World'!$A:$AL,MATCH(World!$P$1,'Data World'!$A$1:$AL$1,)))</f>
        <v/>
      </c>
      <c r="Q85" s="13">
        <f>IF(VLOOKUP(B85,'Data World'!$A:$AL,MATCH(World!$Q$1,'Data World'!$A$1:$AL$1,))=0,#N/A,VLOOKUP(B85,'Data World'!$A:$AL,MATCH(World!$Q$1,'Data World'!$A$1:$AL$1,)))</f>
        <v/>
      </c>
      <c r="R85" s="13">
        <f>IF(VLOOKUP(B85,'Data World'!$A:$AL,MATCH(World!$R$1,'Data World'!$A$1:$AL$1,))=0,#N/A,VLOOKUP(B85,'Data World'!$A:$AL,MATCH(World!$R$1,'Data World'!$A$1:$AL$1,)))</f>
        <v/>
      </c>
      <c r="S85" s="13">
        <f>IF(VLOOKUP(B85,'Data World'!$A:$AL,MATCH(World!$S$1,'Data World'!$A$1:$AL$1,))=0,#N/A,VLOOKUP(B85,'Data World'!$A:$AL,MATCH(World!$S$1,'Data World'!$A$1:$AL$1,)))</f>
        <v/>
      </c>
      <c r="T85" s="13">
        <f>IF(VLOOKUP(B85,'Data World'!$A:$AL,MATCH(World!$T$1,'Data World'!$A$1:$AL$1,))=0,#N/A,VLOOKUP(B85,'Data World'!$A:$AL,MATCH(World!$T$1,'Data World'!$A$1:$AL$1,)))</f>
        <v/>
      </c>
    </row>
    <row r="86" customFormat="1" s="63">
      <c r="B86" s="12" t="n">
        <v>44561</v>
      </c>
      <c r="C86" s="13">
        <f>IF(VLOOKUP(B86,'Data World'!$A:$AL,MATCH(World!$C$1,'Data World'!$A$1:$AL$1,))=0,#N/A,VLOOKUP(B86,'Data World'!$A:$AL,MATCH(World!$C$1,'Data World'!$A$1:$AL$1,)))</f>
        <v/>
      </c>
      <c r="D86" s="13">
        <f>IF(VLOOKUP(B86,'Data World'!$A:$AL,MATCH(World!$D$1,'Data World'!$A$1:$AL$1,))=0,#N/A,VLOOKUP(B86,'Data World'!$A:$AL,MATCH(World!$D$1,'Data World'!$A$1:$AL$1,)))</f>
        <v/>
      </c>
      <c r="E86" s="13">
        <f>IF(VLOOKUP(B86,'Data World'!$A:$AL,MATCH(World!$E$1,'Data World'!$A$1:$AL$1,))=0,#N/A,VLOOKUP(B86,'Data World'!$A:$AL,MATCH(World!$E$1,'Data World'!$A$1:$AL$1,)))</f>
        <v/>
      </c>
      <c r="F86" s="13">
        <f>IF(VLOOKUP(B86,'Data World'!$A:$AL,MATCH(World!$F$1,'Data World'!$A$1:$AL$1,))=0,#N/A,VLOOKUP(B86,'Data World'!$A:$AL,MATCH(World!$F$1,'Data World'!$A$1:$AL$1,)))</f>
        <v/>
      </c>
      <c r="G86" s="13">
        <f>IF(VLOOKUP(B86,'Data World'!$A:$AL,MATCH(World!$G$1,'Data World'!$A$1:$AL$1,))=0,#N/A,VLOOKUP(B86,'Data World'!$A:$AL,MATCH(World!$G$1,'Data World'!$A$1:$AL$1,)))</f>
        <v/>
      </c>
      <c r="H86" s="13">
        <f>IF(VLOOKUP(B86,'Data World'!$A:$AL,MATCH(World!$H$1,'Data World'!$A$1:$AL$1,))=0,#N/A,VLOOKUP(B86,'Data World'!$A:$AL,MATCH(World!$H$1,'Data World'!$A$1:$AL$1,)))</f>
        <v/>
      </c>
      <c r="I86" s="13">
        <f>IF(VLOOKUP(B86,'Data World'!$A:$AL,MATCH(World!$I$1,'Data World'!$A$1:$AL$1,))=0,#N/A,VLOOKUP(B86,'Data World'!$A:$AL,MATCH(World!$I$1,'Data World'!$A$1:$AL$1,)))</f>
        <v/>
      </c>
      <c r="J86" s="13">
        <f>IF(VLOOKUP(B86,'Data World'!$A:$AL,MATCH(World!$J$1,'Data World'!$A$1:$AL$1,))=0,#N/A,VLOOKUP(B86,'Data World'!$A:$AL,MATCH(World!$J$1,'Data World'!$A$1:$AL$1,)))</f>
        <v/>
      </c>
      <c r="K86" s="13">
        <f>IF(VLOOKUP(B86,'Data World'!$A:$AL,MATCH(World!$K$1,'Data World'!$A$1:$AL$1,))=0,#N/A,VLOOKUP(B86,'Data World'!$A:$AL,MATCH(World!$K$1,'Data World'!$A$1:$AL$1,)))</f>
        <v/>
      </c>
      <c r="L86" s="13">
        <f>IF(VLOOKUP(B86,'Data World'!$A:$AL,MATCH(World!$L$1,'Data World'!$A$1:$AL$1,))=0,#N/A,VLOOKUP(B86,'Data World'!$A:$AL,MATCH(World!$L$1,'Data World'!$A$1:$AL$1,)))</f>
        <v/>
      </c>
      <c r="M86" s="13">
        <f>IF(VLOOKUP(B86,'Data World'!$A:$AL,MATCH(World!$M$1,'Data World'!$A$1:$AL$1,))=0,#N/A,VLOOKUP(B86,'Data World'!$A:$AL,MATCH(World!$M$1,'Data World'!$A$1:$AL$1,)))</f>
        <v/>
      </c>
      <c r="N86" s="13">
        <f>IF(VLOOKUP(B86,'Data World'!$A:$AL,MATCH(World!$N$1,'Data World'!$A$1:$AL$1,))=0,#N/A,VLOOKUP(B86,'Data World'!$A:$AL,MATCH(World!$N$1,'Data World'!$A$1:$AL$1,)))</f>
        <v/>
      </c>
      <c r="O86" s="13">
        <f>IF(VLOOKUP(B86,'Data World'!$A:$AL,MATCH(World!$O$1,'Data World'!$A$1:$AL$1,))=0,#N/A,VLOOKUP(B86,'Data World'!$A:$AL,MATCH(World!$O$1,'Data World'!$A$1:$AL$1,)))</f>
        <v/>
      </c>
      <c r="P86" s="13">
        <f>IF(VLOOKUP(B86,'Data World'!$A:$AL,MATCH(World!$P$1,'Data World'!$A$1:$AL$1,))=0,#N/A,VLOOKUP(B86,'Data World'!$A:$AL,MATCH(World!$P$1,'Data World'!$A$1:$AL$1,)))</f>
        <v/>
      </c>
      <c r="Q86" s="13">
        <f>IF(VLOOKUP(B86,'Data World'!$A:$AL,MATCH(World!$Q$1,'Data World'!$A$1:$AL$1,))=0,#N/A,VLOOKUP(B86,'Data World'!$A:$AL,MATCH(World!$Q$1,'Data World'!$A$1:$AL$1,)))</f>
        <v/>
      </c>
      <c r="R86" s="13">
        <f>IF(VLOOKUP(B86,'Data World'!$A:$AL,MATCH(World!$R$1,'Data World'!$A$1:$AL$1,))=0,#N/A,VLOOKUP(B86,'Data World'!$A:$AL,MATCH(World!$R$1,'Data World'!$A$1:$AL$1,)))</f>
        <v/>
      </c>
      <c r="S86" s="13">
        <f>IF(VLOOKUP(B86,'Data World'!$A:$AL,MATCH(World!$S$1,'Data World'!$A$1:$AL$1,))=0,#N/A,VLOOKUP(B86,'Data World'!$A:$AL,MATCH(World!$S$1,'Data World'!$A$1:$AL$1,)))</f>
        <v/>
      </c>
      <c r="T86" s="13">
        <f>IF(VLOOKUP(B86,'Data World'!$A:$AL,MATCH(World!$T$1,'Data World'!$A$1:$AL$1,))=0,#N/A,VLOOKUP(B86,'Data World'!$A:$AL,MATCH(World!$T$1,'Data World'!$A$1:$AL$1,)))</f>
        <v/>
      </c>
    </row>
    <row r="87" customFormat="1" s="63">
      <c r="B87" s="12" t="n">
        <v>44592</v>
      </c>
      <c r="C87" s="13">
        <f>IF(VLOOKUP(B87,'Data World'!$A:$AL,MATCH(World!$C$1,'Data World'!$A$1:$AL$1,))=0,#N/A,VLOOKUP(B87,'Data World'!$A:$AL,MATCH(World!$C$1,'Data World'!$A$1:$AL$1,)))</f>
        <v/>
      </c>
      <c r="D87" s="13">
        <f>IF(VLOOKUP(B87,'Data World'!$A:$AL,MATCH(World!$D$1,'Data World'!$A$1:$AL$1,))=0,#N/A,VLOOKUP(B87,'Data World'!$A:$AL,MATCH(World!$D$1,'Data World'!$A$1:$AL$1,)))</f>
        <v/>
      </c>
      <c r="E87" s="13">
        <f>IF(VLOOKUP(B87,'Data World'!$A:$AL,MATCH(World!$E$1,'Data World'!$A$1:$AL$1,))=0,#N/A,VLOOKUP(B87,'Data World'!$A:$AL,MATCH(World!$E$1,'Data World'!$A$1:$AL$1,)))</f>
        <v/>
      </c>
      <c r="F87" s="13">
        <f>IF(VLOOKUP(B87,'Data World'!$A:$AL,MATCH(World!$F$1,'Data World'!$A$1:$AL$1,))=0,#N/A,VLOOKUP(B87,'Data World'!$A:$AL,MATCH(World!$F$1,'Data World'!$A$1:$AL$1,)))</f>
        <v/>
      </c>
      <c r="G87" s="13">
        <f>IF(VLOOKUP(B87,'Data World'!$A:$AL,MATCH(World!$G$1,'Data World'!$A$1:$AL$1,))=0,#N/A,VLOOKUP(B87,'Data World'!$A:$AL,MATCH(World!$G$1,'Data World'!$A$1:$AL$1,)))</f>
        <v/>
      </c>
      <c r="H87" s="13">
        <f>IF(VLOOKUP(B87,'Data World'!$A:$AL,MATCH(World!$H$1,'Data World'!$A$1:$AL$1,))=0,#N/A,VLOOKUP(B87,'Data World'!$A:$AL,MATCH(World!$H$1,'Data World'!$A$1:$AL$1,)))</f>
        <v/>
      </c>
      <c r="I87" s="13">
        <f>IF(VLOOKUP(B87,'Data World'!$A:$AL,MATCH(World!$I$1,'Data World'!$A$1:$AL$1,))=0,#N/A,VLOOKUP(B87,'Data World'!$A:$AL,MATCH(World!$I$1,'Data World'!$A$1:$AL$1,)))</f>
        <v/>
      </c>
      <c r="J87" s="13">
        <f>IF(VLOOKUP(B87,'Data World'!$A:$AL,MATCH(World!$J$1,'Data World'!$A$1:$AL$1,))=0,#N/A,VLOOKUP(B87,'Data World'!$A:$AL,MATCH(World!$J$1,'Data World'!$A$1:$AL$1,)))</f>
        <v/>
      </c>
      <c r="K87" s="13">
        <f>IF(VLOOKUP(B87,'Data World'!$A:$AL,MATCH(World!$K$1,'Data World'!$A$1:$AL$1,))=0,#N/A,VLOOKUP(B87,'Data World'!$A:$AL,MATCH(World!$K$1,'Data World'!$A$1:$AL$1,)))</f>
        <v/>
      </c>
      <c r="L87" s="13">
        <f>IF(VLOOKUP(B87,'Data World'!$A:$AL,MATCH(World!$L$1,'Data World'!$A$1:$AL$1,))=0,#N/A,VLOOKUP(B87,'Data World'!$A:$AL,MATCH(World!$L$1,'Data World'!$A$1:$AL$1,)))</f>
        <v/>
      </c>
      <c r="M87" s="13">
        <f>IF(VLOOKUP(B87,'Data World'!$A:$AL,MATCH(World!$M$1,'Data World'!$A$1:$AL$1,))=0,#N/A,VLOOKUP(B87,'Data World'!$A:$AL,MATCH(World!$M$1,'Data World'!$A$1:$AL$1,)))</f>
        <v/>
      </c>
      <c r="N87" s="13">
        <f>IF(VLOOKUP(B87,'Data World'!$A:$AL,MATCH(World!$N$1,'Data World'!$A$1:$AL$1,))=0,#N/A,VLOOKUP(B87,'Data World'!$A:$AL,MATCH(World!$N$1,'Data World'!$A$1:$AL$1,)))</f>
        <v/>
      </c>
      <c r="O87" s="13">
        <f>IF(VLOOKUP(B87,'Data World'!$A:$AL,MATCH(World!$O$1,'Data World'!$A$1:$AL$1,))=0,#N/A,VLOOKUP(B87,'Data World'!$A:$AL,MATCH(World!$O$1,'Data World'!$A$1:$AL$1,)))</f>
        <v/>
      </c>
      <c r="P87" s="13">
        <f>IF(VLOOKUP(B87,'Data World'!$A:$AL,MATCH(World!$P$1,'Data World'!$A$1:$AL$1,))=0,#N/A,VLOOKUP(B87,'Data World'!$A:$AL,MATCH(World!$P$1,'Data World'!$A$1:$AL$1,)))</f>
        <v/>
      </c>
      <c r="Q87" s="13">
        <f>IF(VLOOKUP(B87,'Data World'!$A:$AL,MATCH(World!$Q$1,'Data World'!$A$1:$AL$1,))=0,#N/A,VLOOKUP(B87,'Data World'!$A:$AL,MATCH(World!$Q$1,'Data World'!$A$1:$AL$1,)))</f>
        <v/>
      </c>
      <c r="R87" s="13">
        <f>IF(VLOOKUP(B87,'Data World'!$A:$AL,MATCH(World!$R$1,'Data World'!$A$1:$AL$1,))=0,#N/A,VLOOKUP(B87,'Data World'!$A:$AL,MATCH(World!$R$1,'Data World'!$A$1:$AL$1,)))</f>
        <v/>
      </c>
      <c r="S87" s="13">
        <f>IF(VLOOKUP(B87,'Data World'!$A:$AL,MATCH(World!$S$1,'Data World'!$A$1:$AL$1,))=0,#N/A,VLOOKUP(B87,'Data World'!$A:$AL,MATCH(World!$S$1,'Data World'!$A$1:$AL$1,)))</f>
        <v/>
      </c>
      <c r="T87" s="13">
        <f>IF(VLOOKUP(B87,'Data World'!$A:$AL,MATCH(World!$T$1,'Data World'!$A$1:$AL$1,))=0,#N/A,VLOOKUP(B87,'Data World'!$A:$AL,MATCH(World!$T$1,'Data World'!$A$1:$AL$1,)))</f>
        <v/>
      </c>
    </row>
    <row r="88" customFormat="1" s="63">
      <c r="B88" s="12" t="n">
        <v>44620</v>
      </c>
      <c r="C88" s="13">
        <f>IF(VLOOKUP(B88,'Data World'!$A:$AL,MATCH(World!$C$1,'Data World'!$A$1:$AL$1,))=0,#N/A,VLOOKUP(B88,'Data World'!$A:$AL,MATCH(World!$C$1,'Data World'!$A$1:$AL$1,)))</f>
        <v/>
      </c>
      <c r="D88" s="13">
        <f>IF(VLOOKUP(B88,'Data World'!$A:$AL,MATCH(World!$D$1,'Data World'!$A$1:$AL$1,))=0,#N/A,VLOOKUP(B88,'Data World'!$A:$AL,MATCH(World!$D$1,'Data World'!$A$1:$AL$1,)))</f>
        <v/>
      </c>
      <c r="E88" s="13">
        <f>IF(VLOOKUP(B88,'Data World'!$A:$AL,MATCH(World!$E$1,'Data World'!$A$1:$AL$1,))=0,#N/A,VLOOKUP(B88,'Data World'!$A:$AL,MATCH(World!$E$1,'Data World'!$A$1:$AL$1,)))</f>
        <v/>
      </c>
      <c r="F88" s="13">
        <f>IF(VLOOKUP(B88,'Data World'!$A:$AL,MATCH(World!$F$1,'Data World'!$A$1:$AL$1,))=0,#N/A,VLOOKUP(B88,'Data World'!$A:$AL,MATCH(World!$F$1,'Data World'!$A$1:$AL$1,)))</f>
        <v/>
      </c>
      <c r="G88" s="13">
        <f>IF(VLOOKUP(B88,'Data World'!$A:$AL,MATCH(World!$G$1,'Data World'!$A$1:$AL$1,))=0,#N/A,VLOOKUP(B88,'Data World'!$A:$AL,MATCH(World!$G$1,'Data World'!$A$1:$AL$1,)))</f>
        <v/>
      </c>
      <c r="H88" s="13">
        <f>IF(VLOOKUP(B88,'Data World'!$A:$AL,MATCH(World!$H$1,'Data World'!$A$1:$AL$1,))=0,#N/A,VLOOKUP(B88,'Data World'!$A:$AL,MATCH(World!$H$1,'Data World'!$A$1:$AL$1,)))</f>
        <v/>
      </c>
      <c r="I88" s="13">
        <f>IF(VLOOKUP(B88,'Data World'!$A:$AL,MATCH(World!$I$1,'Data World'!$A$1:$AL$1,))=0,#N/A,VLOOKUP(B88,'Data World'!$A:$AL,MATCH(World!$I$1,'Data World'!$A$1:$AL$1,)))</f>
        <v/>
      </c>
      <c r="J88" s="13">
        <f>IF(VLOOKUP(B88,'Data World'!$A:$AL,MATCH(World!$J$1,'Data World'!$A$1:$AL$1,))=0,#N/A,VLOOKUP(B88,'Data World'!$A:$AL,MATCH(World!$J$1,'Data World'!$A$1:$AL$1,)))</f>
        <v/>
      </c>
      <c r="K88" s="13">
        <f>IF(VLOOKUP(B88,'Data World'!$A:$AL,MATCH(World!$K$1,'Data World'!$A$1:$AL$1,))=0,#N/A,VLOOKUP(B88,'Data World'!$A:$AL,MATCH(World!$K$1,'Data World'!$A$1:$AL$1,)))</f>
        <v/>
      </c>
      <c r="L88" s="13">
        <f>IF(VLOOKUP(B88,'Data World'!$A:$AL,MATCH(World!$L$1,'Data World'!$A$1:$AL$1,))=0,#N/A,VLOOKUP(B88,'Data World'!$A:$AL,MATCH(World!$L$1,'Data World'!$A$1:$AL$1,)))</f>
        <v/>
      </c>
      <c r="M88" s="13">
        <f>IF(VLOOKUP(B88,'Data World'!$A:$AL,MATCH(World!$M$1,'Data World'!$A$1:$AL$1,))=0,#N/A,VLOOKUP(B88,'Data World'!$A:$AL,MATCH(World!$M$1,'Data World'!$A$1:$AL$1,)))</f>
        <v/>
      </c>
      <c r="N88" s="13">
        <f>IF(VLOOKUP(B88,'Data World'!$A:$AL,MATCH(World!$N$1,'Data World'!$A$1:$AL$1,))=0,#N/A,VLOOKUP(B88,'Data World'!$A:$AL,MATCH(World!$N$1,'Data World'!$A$1:$AL$1,)))</f>
        <v/>
      </c>
      <c r="O88" s="13">
        <f>IF(VLOOKUP(B88,'Data World'!$A:$AL,MATCH(World!$O$1,'Data World'!$A$1:$AL$1,))=0,#N/A,VLOOKUP(B88,'Data World'!$A:$AL,MATCH(World!$O$1,'Data World'!$A$1:$AL$1,)))</f>
        <v/>
      </c>
      <c r="P88" s="13">
        <f>IF(VLOOKUP(B88,'Data World'!$A:$AL,MATCH(World!$P$1,'Data World'!$A$1:$AL$1,))=0,#N/A,VLOOKUP(B88,'Data World'!$A:$AL,MATCH(World!$P$1,'Data World'!$A$1:$AL$1,)))</f>
        <v/>
      </c>
      <c r="Q88" s="13">
        <f>IF(VLOOKUP(B88,'Data World'!$A:$AL,MATCH(World!$Q$1,'Data World'!$A$1:$AL$1,))=0,#N/A,VLOOKUP(B88,'Data World'!$A:$AL,MATCH(World!$Q$1,'Data World'!$A$1:$AL$1,)))</f>
        <v/>
      </c>
      <c r="R88" s="13">
        <f>IF(VLOOKUP(B88,'Data World'!$A:$AL,MATCH(World!$R$1,'Data World'!$A$1:$AL$1,))=0,#N/A,VLOOKUP(B88,'Data World'!$A:$AL,MATCH(World!$R$1,'Data World'!$A$1:$AL$1,)))</f>
        <v/>
      </c>
      <c r="S88" s="13">
        <f>IF(VLOOKUP(B88,'Data World'!$A:$AL,MATCH(World!$S$1,'Data World'!$A$1:$AL$1,))=0,#N/A,VLOOKUP(B88,'Data World'!$A:$AL,MATCH(World!$S$1,'Data World'!$A$1:$AL$1,)))</f>
        <v/>
      </c>
      <c r="T88" s="13">
        <f>IF(VLOOKUP(B88,'Data World'!$A:$AL,MATCH(World!$T$1,'Data World'!$A$1:$AL$1,))=0,#N/A,VLOOKUP(B88,'Data World'!$A:$AL,MATCH(World!$T$1,'Data World'!$A$1:$AL$1,)))</f>
        <v/>
      </c>
    </row>
    <row r="89" customFormat="1" s="63">
      <c r="B89" s="12" t="n">
        <v>44651</v>
      </c>
      <c r="C89" s="13">
        <f>IF(VLOOKUP(B89,'Data World'!$A:$AL,MATCH(World!$C$1,'Data World'!$A$1:$AL$1,))=0,#N/A,VLOOKUP(B89,'Data World'!$A:$AL,MATCH(World!$C$1,'Data World'!$A$1:$AL$1,)))</f>
        <v/>
      </c>
      <c r="D89" s="13">
        <f>IF(VLOOKUP(B89,'Data World'!$A:$AL,MATCH(World!$D$1,'Data World'!$A$1:$AL$1,))=0,#N/A,VLOOKUP(B89,'Data World'!$A:$AL,MATCH(World!$D$1,'Data World'!$A$1:$AL$1,)))</f>
        <v/>
      </c>
      <c r="E89" s="13">
        <f>IF(VLOOKUP(B89,'Data World'!$A:$AL,MATCH(World!$E$1,'Data World'!$A$1:$AL$1,))=0,#N/A,VLOOKUP(B89,'Data World'!$A:$AL,MATCH(World!$E$1,'Data World'!$A$1:$AL$1,)))</f>
        <v/>
      </c>
      <c r="F89" s="13">
        <f>IF(VLOOKUP(B89,'Data World'!$A:$AL,MATCH(World!$F$1,'Data World'!$A$1:$AL$1,))=0,#N/A,VLOOKUP(B89,'Data World'!$A:$AL,MATCH(World!$F$1,'Data World'!$A$1:$AL$1,)))</f>
        <v/>
      </c>
      <c r="G89" s="13">
        <f>IF(VLOOKUP(B89,'Data World'!$A:$AL,MATCH(World!$G$1,'Data World'!$A$1:$AL$1,))=0,#N/A,VLOOKUP(B89,'Data World'!$A:$AL,MATCH(World!$G$1,'Data World'!$A$1:$AL$1,)))</f>
        <v/>
      </c>
      <c r="H89" s="13">
        <f>IF(VLOOKUP(B89,'Data World'!$A:$AL,MATCH(World!$H$1,'Data World'!$A$1:$AL$1,))=0,#N/A,VLOOKUP(B89,'Data World'!$A:$AL,MATCH(World!$H$1,'Data World'!$A$1:$AL$1,)))</f>
        <v/>
      </c>
      <c r="I89" s="13">
        <f>IF(VLOOKUP(B89,'Data World'!$A:$AL,MATCH(World!$I$1,'Data World'!$A$1:$AL$1,))=0,#N/A,VLOOKUP(B89,'Data World'!$A:$AL,MATCH(World!$I$1,'Data World'!$A$1:$AL$1,)))</f>
        <v/>
      </c>
      <c r="J89" s="13">
        <f>IF(VLOOKUP(B89,'Data World'!$A:$AL,MATCH(World!$J$1,'Data World'!$A$1:$AL$1,))=0,#N/A,VLOOKUP(B89,'Data World'!$A:$AL,MATCH(World!$J$1,'Data World'!$A$1:$AL$1,)))</f>
        <v/>
      </c>
      <c r="K89" s="13">
        <f>IF(VLOOKUP(B89,'Data World'!$A:$AL,MATCH(World!$K$1,'Data World'!$A$1:$AL$1,))=0,#N/A,VLOOKUP(B89,'Data World'!$A:$AL,MATCH(World!$K$1,'Data World'!$A$1:$AL$1,)))</f>
        <v/>
      </c>
      <c r="L89" s="13">
        <f>IF(VLOOKUP(B89,'Data World'!$A:$AL,MATCH(World!$L$1,'Data World'!$A$1:$AL$1,))=0,#N/A,VLOOKUP(B89,'Data World'!$A:$AL,MATCH(World!$L$1,'Data World'!$A$1:$AL$1,)))</f>
        <v/>
      </c>
      <c r="M89" s="13">
        <f>IF(VLOOKUP(B89,'Data World'!$A:$AL,MATCH(World!$M$1,'Data World'!$A$1:$AL$1,))=0,#N/A,VLOOKUP(B89,'Data World'!$A:$AL,MATCH(World!$M$1,'Data World'!$A$1:$AL$1,)))</f>
        <v/>
      </c>
      <c r="N89" s="13">
        <f>IF(VLOOKUP(B89,'Data World'!$A:$AL,MATCH(World!$N$1,'Data World'!$A$1:$AL$1,))=0,#N/A,VLOOKUP(B89,'Data World'!$A:$AL,MATCH(World!$N$1,'Data World'!$A$1:$AL$1,)))</f>
        <v/>
      </c>
      <c r="O89" s="13">
        <f>IF(VLOOKUP(B89,'Data World'!$A:$AL,MATCH(World!$O$1,'Data World'!$A$1:$AL$1,))=0,#N/A,VLOOKUP(B89,'Data World'!$A:$AL,MATCH(World!$O$1,'Data World'!$A$1:$AL$1,)))</f>
        <v/>
      </c>
      <c r="P89" s="13">
        <f>IF(VLOOKUP(B89,'Data World'!$A:$AL,MATCH(World!$P$1,'Data World'!$A$1:$AL$1,))=0,#N/A,VLOOKUP(B89,'Data World'!$A:$AL,MATCH(World!$P$1,'Data World'!$A$1:$AL$1,)))</f>
        <v/>
      </c>
      <c r="Q89" s="13">
        <f>IF(VLOOKUP(B89,'Data World'!$A:$AL,MATCH(World!$Q$1,'Data World'!$A$1:$AL$1,))=0,#N/A,VLOOKUP(B89,'Data World'!$A:$AL,MATCH(World!$Q$1,'Data World'!$A$1:$AL$1,)))</f>
        <v/>
      </c>
      <c r="R89" s="13">
        <f>IF(VLOOKUP(B89,'Data World'!$A:$AL,MATCH(World!$R$1,'Data World'!$A$1:$AL$1,))=0,#N/A,VLOOKUP(B89,'Data World'!$A:$AL,MATCH(World!$R$1,'Data World'!$A$1:$AL$1,)))</f>
        <v/>
      </c>
      <c r="S89" s="13">
        <f>IF(VLOOKUP(B89,'Data World'!$A:$AL,MATCH(World!$S$1,'Data World'!$A$1:$AL$1,))=0,#N/A,VLOOKUP(B89,'Data World'!$A:$AL,MATCH(World!$S$1,'Data World'!$A$1:$AL$1,)))</f>
        <v/>
      </c>
      <c r="T89" s="13">
        <f>IF(VLOOKUP(B89,'Data World'!$A:$AL,MATCH(World!$T$1,'Data World'!$A$1:$AL$1,))=0,#N/A,VLOOKUP(B89,'Data World'!$A:$AL,MATCH(World!$T$1,'Data World'!$A$1:$AL$1,)))</f>
        <v/>
      </c>
    </row>
    <row r="90" customFormat="1" s="63">
      <c r="B90" s="12" t="n">
        <v>44681</v>
      </c>
      <c r="C90" s="13">
        <f>IF(VLOOKUP(B90,'Data World'!$A:$AL,MATCH(World!$C$1,'Data World'!$A$1:$AL$1,))=0,#N/A,VLOOKUP(B90,'Data World'!$A:$AL,MATCH(World!$C$1,'Data World'!$A$1:$AL$1,)))</f>
        <v/>
      </c>
      <c r="D90" s="13">
        <f>IF(VLOOKUP(B90,'Data World'!$A:$AL,MATCH(World!$D$1,'Data World'!$A$1:$AL$1,))=0,#N/A,VLOOKUP(B90,'Data World'!$A:$AL,MATCH(World!$D$1,'Data World'!$A$1:$AL$1,)))</f>
        <v/>
      </c>
      <c r="E90" s="13">
        <f>IF(VLOOKUP(B90,'Data World'!$A:$AL,MATCH(World!$E$1,'Data World'!$A$1:$AL$1,))=0,#N/A,VLOOKUP(B90,'Data World'!$A:$AL,MATCH(World!$E$1,'Data World'!$A$1:$AL$1,)))</f>
        <v/>
      </c>
      <c r="F90" s="13">
        <f>IF(VLOOKUP(B90,'Data World'!$A:$AL,MATCH(World!$F$1,'Data World'!$A$1:$AL$1,))=0,#N/A,VLOOKUP(B90,'Data World'!$A:$AL,MATCH(World!$F$1,'Data World'!$A$1:$AL$1,)))</f>
        <v/>
      </c>
      <c r="G90" s="13">
        <f>IF(VLOOKUP(B90,'Data World'!$A:$AL,MATCH(World!$G$1,'Data World'!$A$1:$AL$1,))=0,#N/A,VLOOKUP(B90,'Data World'!$A:$AL,MATCH(World!$G$1,'Data World'!$A$1:$AL$1,)))</f>
        <v/>
      </c>
      <c r="H90" s="13">
        <f>IF(VLOOKUP(B90,'Data World'!$A:$AL,MATCH(World!$H$1,'Data World'!$A$1:$AL$1,))=0,#N/A,VLOOKUP(B90,'Data World'!$A:$AL,MATCH(World!$H$1,'Data World'!$A$1:$AL$1,)))</f>
        <v/>
      </c>
      <c r="I90" s="13">
        <f>IF(VLOOKUP(B90,'Data World'!$A:$AL,MATCH(World!$I$1,'Data World'!$A$1:$AL$1,))=0,#N/A,VLOOKUP(B90,'Data World'!$A:$AL,MATCH(World!$I$1,'Data World'!$A$1:$AL$1,)))</f>
        <v/>
      </c>
      <c r="J90" s="13">
        <f>IF(VLOOKUP(B90,'Data World'!$A:$AL,MATCH(World!$J$1,'Data World'!$A$1:$AL$1,))=0,#N/A,VLOOKUP(B90,'Data World'!$A:$AL,MATCH(World!$J$1,'Data World'!$A$1:$AL$1,)))</f>
        <v/>
      </c>
      <c r="K90" s="13">
        <f>IF(VLOOKUP(B90,'Data World'!$A:$AL,MATCH(World!$K$1,'Data World'!$A$1:$AL$1,))=0,#N/A,VLOOKUP(B90,'Data World'!$A:$AL,MATCH(World!$K$1,'Data World'!$A$1:$AL$1,)))</f>
        <v/>
      </c>
      <c r="L90" s="13">
        <f>IF(VLOOKUP(B90,'Data World'!$A:$AL,MATCH(World!$L$1,'Data World'!$A$1:$AL$1,))=0,#N/A,VLOOKUP(B90,'Data World'!$A:$AL,MATCH(World!$L$1,'Data World'!$A$1:$AL$1,)))</f>
        <v/>
      </c>
      <c r="M90" s="13">
        <f>IF(VLOOKUP(B90,'Data World'!$A:$AL,MATCH(World!$M$1,'Data World'!$A$1:$AL$1,))=0,#N/A,VLOOKUP(B90,'Data World'!$A:$AL,MATCH(World!$M$1,'Data World'!$A$1:$AL$1,)))</f>
        <v/>
      </c>
      <c r="N90" s="13">
        <f>IF(VLOOKUP(B90,'Data World'!$A:$AL,MATCH(World!$N$1,'Data World'!$A$1:$AL$1,))=0,#N/A,VLOOKUP(B90,'Data World'!$A:$AL,MATCH(World!$N$1,'Data World'!$A$1:$AL$1,)))</f>
        <v/>
      </c>
      <c r="O90" s="13">
        <f>IF(VLOOKUP(B90,'Data World'!$A:$AL,MATCH(World!$O$1,'Data World'!$A$1:$AL$1,))=0,#N/A,VLOOKUP(B90,'Data World'!$A:$AL,MATCH(World!$O$1,'Data World'!$A$1:$AL$1,)))</f>
        <v/>
      </c>
      <c r="P90" s="13">
        <f>IF(VLOOKUP(B90,'Data World'!$A:$AL,MATCH(World!$P$1,'Data World'!$A$1:$AL$1,))=0,#N/A,VLOOKUP(B90,'Data World'!$A:$AL,MATCH(World!$P$1,'Data World'!$A$1:$AL$1,)))</f>
        <v/>
      </c>
      <c r="Q90" s="13">
        <f>IF(VLOOKUP(B90,'Data World'!$A:$AL,MATCH(World!$Q$1,'Data World'!$A$1:$AL$1,))=0,#N/A,VLOOKUP(B90,'Data World'!$A:$AL,MATCH(World!$Q$1,'Data World'!$A$1:$AL$1,)))</f>
        <v/>
      </c>
      <c r="R90" s="13">
        <f>IF(VLOOKUP(B90,'Data World'!$A:$AL,MATCH(World!$R$1,'Data World'!$A$1:$AL$1,))=0,#N/A,VLOOKUP(B90,'Data World'!$A:$AL,MATCH(World!$R$1,'Data World'!$A$1:$AL$1,)))</f>
        <v/>
      </c>
      <c r="S90" s="13">
        <f>IF(VLOOKUP(B90,'Data World'!$A:$AL,MATCH(World!$S$1,'Data World'!$A$1:$AL$1,))=0,#N/A,VLOOKUP(B90,'Data World'!$A:$AL,MATCH(World!$S$1,'Data World'!$A$1:$AL$1,)))</f>
        <v/>
      </c>
      <c r="T90" s="13">
        <f>IF(VLOOKUP(B90,'Data World'!$A:$AL,MATCH(World!$T$1,'Data World'!$A$1:$AL$1,))=0,#N/A,VLOOKUP(B90,'Data World'!$A:$AL,MATCH(World!$T$1,'Data World'!$A$1:$AL$1,)))</f>
        <v/>
      </c>
    </row>
    <row r="91" customFormat="1" s="63">
      <c r="B91" s="12" t="n">
        <v>44712</v>
      </c>
      <c r="C91" s="13">
        <f>IF(VLOOKUP(B91,'Data World'!$A:$AL,MATCH(World!$C$1,'Data World'!$A$1:$AL$1,))=0,#N/A,VLOOKUP(B91,'Data World'!$A:$AL,MATCH(World!$C$1,'Data World'!$A$1:$AL$1,)))</f>
        <v/>
      </c>
      <c r="D91" s="13">
        <f>IF(VLOOKUP(B91,'Data World'!$A:$AL,MATCH(World!$D$1,'Data World'!$A$1:$AL$1,))=0,#N/A,VLOOKUP(B91,'Data World'!$A:$AL,MATCH(World!$D$1,'Data World'!$A$1:$AL$1,)))</f>
        <v/>
      </c>
      <c r="E91" s="13">
        <f>IF(VLOOKUP(B91,'Data World'!$A:$AL,MATCH(World!$E$1,'Data World'!$A$1:$AL$1,))=0,#N/A,VLOOKUP(B91,'Data World'!$A:$AL,MATCH(World!$E$1,'Data World'!$A$1:$AL$1,)))</f>
        <v/>
      </c>
      <c r="F91" s="13">
        <f>IF(VLOOKUP(B91,'Data World'!$A:$AL,MATCH(World!$F$1,'Data World'!$A$1:$AL$1,))=0,#N/A,VLOOKUP(B91,'Data World'!$A:$AL,MATCH(World!$F$1,'Data World'!$A$1:$AL$1,)))</f>
        <v/>
      </c>
      <c r="G91" s="13">
        <f>IF(VLOOKUP(B91,'Data World'!$A:$AL,MATCH(World!$G$1,'Data World'!$A$1:$AL$1,))=0,#N/A,VLOOKUP(B91,'Data World'!$A:$AL,MATCH(World!$G$1,'Data World'!$A$1:$AL$1,)))</f>
        <v/>
      </c>
      <c r="H91" s="13">
        <f>IF(VLOOKUP(B91,'Data World'!$A:$AL,MATCH(World!$H$1,'Data World'!$A$1:$AL$1,))=0,#N/A,VLOOKUP(B91,'Data World'!$A:$AL,MATCH(World!$H$1,'Data World'!$A$1:$AL$1,)))</f>
        <v/>
      </c>
      <c r="I91" s="13">
        <f>IF(VLOOKUP(B91,'Data World'!$A:$AL,MATCH(World!$I$1,'Data World'!$A$1:$AL$1,))=0,#N/A,VLOOKUP(B91,'Data World'!$A:$AL,MATCH(World!$I$1,'Data World'!$A$1:$AL$1,)))</f>
        <v/>
      </c>
      <c r="J91" s="13">
        <f>IF(VLOOKUP(B91,'Data World'!$A:$AL,MATCH(World!$J$1,'Data World'!$A$1:$AL$1,))=0,#N/A,VLOOKUP(B91,'Data World'!$A:$AL,MATCH(World!$J$1,'Data World'!$A$1:$AL$1,)))</f>
        <v/>
      </c>
      <c r="K91" s="13">
        <f>IF(VLOOKUP(B91,'Data World'!$A:$AL,MATCH(World!$K$1,'Data World'!$A$1:$AL$1,))=0,#N/A,VLOOKUP(B91,'Data World'!$A:$AL,MATCH(World!$K$1,'Data World'!$A$1:$AL$1,)))</f>
        <v/>
      </c>
      <c r="L91" s="13">
        <f>IF(VLOOKUP(B91,'Data World'!$A:$AL,MATCH(World!$L$1,'Data World'!$A$1:$AL$1,))=0,#N/A,VLOOKUP(B91,'Data World'!$A:$AL,MATCH(World!$L$1,'Data World'!$A$1:$AL$1,)))</f>
        <v/>
      </c>
      <c r="M91" s="13">
        <f>IF(VLOOKUP(B91,'Data World'!$A:$AL,MATCH(World!$M$1,'Data World'!$A$1:$AL$1,))=0,#N/A,VLOOKUP(B91,'Data World'!$A:$AL,MATCH(World!$M$1,'Data World'!$A$1:$AL$1,)))</f>
        <v/>
      </c>
      <c r="N91" s="13">
        <f>IF(VLOOKUP(B91,'Data World'!$A:$AL,MATCH(World!$N$1,'Data World'!$A$1:$AL$1,))=0,#N/A,VLOOKUP(B91,'Data World'!$A:$AL,MATCH(World!$N$1,'Data World'!$A$1:$AL$1,)))</f>
        <v/>
      </c>
      <c r="O91" s="13">
        <f>IF(VLOOKUP(B91,'Data World'!$A:$AL,MATCH(World!$O$1,'Data World'!$A$1:$AL$1,))=0,#N/A,VLOOKUP(B91,'Data World'!$A:$AL,MATCH(World!$O$1,'Data World'!$A$1:$AL$1,)))</f>
        <v/>
      </c>
      <c r="P91" s="13">
        <f>IF(VLOOKUP(B91,'Data World'!$A:$AL,MATCH(World!$P$1,'Data World'!$A$1:$AL$1,))=0,#N/A,VLOOKUP(B91,'Data World'!$A:$AL,MATCH(World!$P$1,'Data World'!$A$1:$AL$1,)))</f>
        <v/>
      </c>
      <c r="Q91" s="13">
        <f>IF(VLOOKUP(B91,'Data World'!$A:$AL,MATCH(World!$Q$1,'Data World'!$A$1:$AL$1,))=0,#N/A,VLOOKUP(B91,'Data World'!$A:$AL,MATCH(World!$Q$1,'Data World'!$A$1:$AL$1,)))</f>
        <v/>
      </c>
      <c r="R91" s="13">
        <f>IF(VLOOKUP(B91,'Data World'!$A:$AL,MATCH(World!$R$1,'Data World'!$A$1:$AL$1,))=0,#N/A,VLOOKUP(B91,'Data World'!$A:$AL,MATCH(World!$R$1,'Data World'!$A$1:$AL$1,)))</f>
        <v/>
      </c>
      <c r="S91" s="13">
        <f>IF(VLOOKUP(B91,'Data World'!$A:$AL,MATCH(World!$S$1,'Data World'!$A$1:$AL$1,))=0,#N/A,VLOOKUP(B91,'Data World'!$A:$AL,MATCH(World!$S$1,'Data World'!$A$1:$AL$1,)))</f>
        <v/>
      </c>
      <c r="T91" s="13">
        <f>IF(VLOOKUP(B91,'Data World'!$A:$AL,MATCH(World!$T$1,'Data World'!$A$1:$AL$1,))=0,#N/A,VLOOKUP(B91,'Data World'!$A:$AL,MATCH(World!$T$1,'Data World'!$A$1:$AL$1,)))</f>
        <v/>
      </c>
    </row>
    <row r="92" customFormat="1" s="63">
      <c r="B92" s="12" t="n">
        <v>44742</v>
      </c>
      <c r="C92" s="13">
        <f>IF(VLOOKUP(B92,'Data World'!$A:$AL,MATCH(World!$C$1,'Data World'!$A$1:$AL$1,))=0,#N/A,VLOOKUP(B92,'Data World'!$A:$AL,MATCH(World!$C$1,'Data World'!$A$1:$AL$1,)))</f>
        <v/>
      </c>
      <c r="D92" s="13">
        <f>IF(VLOOKUP(B92,'Data World'!$A:$AL,MATCH(World!$D$1,'Data World'!$A$1:$AL$1,))=0,#N/A,VLOOKUP(B92,'Data World'!$A:$AL,MATCH(World!$D$1,'Data World'!$A$1:$AL$1,)))</f>
        <v/>
      </c>
      <c r="E92" s="13">
        <f>IF(VLOOKUP(B92,'Data World'!$A:$AL,MATCH(World!$E$1,'Data World'!$A$1:$AL$1,))=0,#N/A,VLOOKUP(B92,'Data World'!$A:$AL,MATCH(World!$E$1,'Data World'!$A$1:$AL$1,)))</f>
        <v/>
      </c>
      <c r="F92" s="13">
        <f>IF(VLOOKUP(B92,'Data World'!$A:$AL,MATCH(World!$F$1,'Data World'!$A$1:$AL$1,))=0,#N/A,VLOOKUP(B92,'Data World'!$A:$AL,MATCH(World!$F$1,'Data World'!$A$1:$AL$1,)))</f>
        <v/>
      </c>
      <c r="G92" s="13">
        <f>IF(VLOOKUP(B92,'Data World'!$A:$AL,MATCH(World!$G$1,'Data World'!$A$1:$AL$1,))=0,#N/A,VLOOKUP(B92,'Data World'!$A:$AL,MATCH(World!$G$1,'Data World'!$A$1:$AL$1,)))</f>
        <v/>
      </c>
      <c r="H92" s="13">
        <f>IF(VLOOKUP(B92,'Data World'!$A:$AL,MATCH(World!$H$1,'Data World'!$A$1:$AL$1,))=0,#N/A,VLOOKUP(B92,'Data World'!$A:$AL,MATCH(World!$H$1,'Data World'!$A$1:$AL$1,)))</f>
        <v/>
      </c>
      <c r="I92" s="13">
        <f>IF(VLOOKUP(B92,'Data World'!$A:$AL,MATCH(World!$I$1,'Data World'!$A$1:$AL$1,))=0,#N/A,VLOOKUP(B92,'Data World'!$A:$AL,MATCH(World!$I$1,'Data World'!$A$1:$AL$1,)))</f>
        <v/>
      </c>
      <c r="J92" s="13">
        <f>IF(VLOOKUP(B92,'Data World'!$A:$AL,MATCH(World!$J$1,'Data World'!$A$1:$AL$1,))=0,#N/A,VLOOKUP(B92,'Data World'!$A:$AL,MATCH(World!$J$1,'Data World'!$A$1:$AL$1,)))</f>
        <v/>
      </c>
      <c r="K92" s="13">
        <f>IF(VLOOKUP(B92,'Data World'!$A:$AL,MATCH(World!$K$1,'Data World'!$A$1:$AL$1,))=0,#N/A,VLOOKUP(B92,'Data World'!$A:$AL,MATCH(World!$K$1,'Data World'!$A$1:$AL$1,)))</f>
        <v/>
      </c>
      <c r="L92" s="13">
        <f>IF(VLOOKUP(B92,'Data World'!$A:$AL,MATCH(World!$L$1,'Data World'!$A$1:$AL$1,))=0,#N/A,VLOOKUP(B92,'Data World'!$A:$AL,MATCH(World!$L$1,'Data World'!$A$1:$AL$1,)))</f>
        <v/>
      </c>
      <c r="M92" s="13">
        <f>IF(VLOOKUP(B92,'Data World'!$A:$AL,MATCH(World!$M$1,'Data World'!$A$1:$AL$1,))=0,#N/A,VLOOKUP(B92,'Data World'!$A:$AL,MATCH(World!$M$1,'Data World'!$A$1:$AL$1,)))</f>
        <v/>
      </c>
      <c r="N92" s="13">
        <f>IF(VLOOKUP(B92,'Data World'!$A:$AL,MATCH(World!$N$1,'Data World'!$A$1:$AL$1,))=0,#N/A,VLOOKUP(B92,'Data World'!$A:$AL,MATCH(World!$N$1,'Data World'!$A$1:$AL$1,)))</f>
        <v/>
      </c>
      <c r="O92" s="13">
        <f>IF(VLOOKUP(B92,'Data World'!$A:$AL,MATCH(World!$O$1,'Data World'!$A$1:$AL$1,))=0,#N/A,VLOOKUP(B92,'Data World'!$A:$AL,MATCH(World!$O$1,'Data World'!$A$1:$AL$1,)))</f>
        <v/>
      </c>
      <c r="P92" s="13">
        <f>IF(VLOOKUP(B92,'Data World'!$A:$AL,MATCH(World!$P$1,'Data World'!$A$1:$AL$1,))=0,#N/A,VLOOKUP(B92,'Data World'!$A:$AL,MATCH(World!$P$1,'Data World'!$A$1:$AL$1,)))</f>
        <v/>
      </c>
      <c r="Q92" s="13">
        <f>IF(VLOOKUP(B92,'Data World'!$A:$AL,MATCH(World!$Q$1,'Data World'!$A$1:$AL$1,))=0,#N/A,VLOOKUP(B92,'Data World'!$A:$AL,MATCH(World!$Q$1,'Data World'!$A$1:$AL$1,)))</f>
        <v/>
      </c>
      <c r="R92" s="13">
        <f>IF(VLOOKUP(B92,'Data World'!$A:$AL,MATCH(World!$R$1,'Data World'!$A$1:$AL$1,))=0,#N/A,VLOOKUP(B92,'Data World'!$A:$AL,MATCH(World!$R$1,'Data World'!$A$1:$AL$1,)))</f>
        <v/>
      </c>
      <c r="S92" s="13">
        <f>IF(VLOOKUP(B92,'Data World'!$A:$AL,MATCH(World!$S$1,'Data World'!$A$1:$AL$1,))=0,#N/A,VLOOKUP(B92,'Data World'!$A:$AL,MATCH(World!$S$1,'Data World'!$A$1:$AL$1,)))</f>
        <v/>
      </c>
      <c r="T92" s="13">
        <f>IF(VLOOKUP(B92,'Data World'!$A:$AL,MATCH(World!$T$1,'Data World'!$A$1:$AL$1,))=0,#N/A,VLOOKUP(B92,'Data World'!$A:$AL,MATCH(World!$T$1,'Data World'!$A$1:$AL$1,)))</f>
        <v/>
      </c>
    </row>
    <row r="93" customFormat="1" s="63">
      <c r="B93" s="12" t="n">
        <v>44773</v>
      </c>
      <c r="C93" s="13">
        <f>IF(VLOOKUP(B93,'Data World'!$A:$AL,MATCH(World!$C$1,'Data World'!$A$1:$AL$1,))=0,#N/A,VLOOKUP(B93,'Data World'!$A:$AL,MATCH(World!$C$1,'Data World'!$A$1:$AL$1,)))</f>
        <v/>
      </c>
      <c r="D93" s="13">
        <f>IF(VLOOKUP(B93,'Data World'!$A:$AL,MATCH(World!$D$1,'Data World'!$A$1:$AL$1,))=0,#N/A,VLOOKUP(B93,'Data World'!$A:$AL,MATCH(World!$D$1,'Data World'!$A$1:$AL$1,)))</f>
        <v/>
      </c>
      <c r="E93" s="13">
        <f>IF(VLOOKUP(B93,'Data World'!$A:$AL,MATCH(World!$E$1,'Data World'!$A$1:$AL$1,))=0,#N/A,VLOOKUP(B93,'Data World'!$A:$AL,MATCH(World!$E$1,'Data World'!$A$1:$AL$1,)))</f>
        <v/>
      </c>
      <c r="F93" s="13">
        <f>IF(VLOOKUP(B93,'Data World'!$A:$AL,MATCH(World!$F$1,'Data World'!$A$1:$AL$1,))=0,#N/A,VLOOKUP(B93,'Data World'!$A:$AL,MATCH(World!$F$1,'Data World'!$A$1:$AL$1,)))</f>
        <v/>
      </c>
      <c r="G93" s="13">
        <f>IF(VLOOKUP(B93,'Data World'!$A:$AL,MATCH(World!$G$1,'Data World'!$A$1:$AL$1,))=0,#N/A,VLOOKUP(B93,'Data World'!$A:$AL,MATCH(World!$G$1,'Data World'!$A$1:$AL$1,)))</f>
        <v/>
      </c>
      <c r="H93" s="13">
        <f>IF(VLOOKUP(B93,'Data World'!$A:$AL,MATCH(World!$H$1,'Data World'!$A$1:$AL$1,))=0,#N/A,VLOOKUP(B93,'Data World'!$A:$AL,MATCH(World!$H$1,'Data World'!$A$1:$AL$1,)))</f>
        <v/>
      </c>
      <c r="I93" s="13">
        <f>IF(VLOOKUP(B93,'Data World'!$A:$AL,MATCH(World!$I$1,'Data World'!$A$1:$AL$1,))=0,#N/A,VLOOKUP(B93,'Data World'!$A:$AL,MATCH(World!$I$1,'Data World'!$A$1:$AL$1,)))</f>
        <v/>
      </c>
      <c r="J93" s="13">
        <f>IF(VLOOKUP(B93,'Data World'!$A:$AL,MATCH(World!$J$1,'Data World'!$A$1:$AL$1,))=0,#N/A,VLOOKUP(B93,'Data World'!$A:$AL,MATCH(World!$J$1,'Data World'!$A$1:$AL$1,)))</f>
        <v/>
      </c>
      <c r="K93" s="13">
        <f>IF(VLOOKUP(B93,'Data World'!$A:$AL,MATCH(World!$K$1,'Data World'!$A$1:$AL$1,))=0,#N/A,VLOOKUP(B93,'Data World'!$A:$AL,MATCH(World!$K$1,'Data World'!$A$1:$AL$1,)))</f>
        <v/>
      </c>
      <c r="L93" s="13">
        <f>IF(VLOOKUP(B93,'Data World'!$A:$AL,MATCH(World!$L$1,'Data World'!$A$1:$AL$1,))=0,#N/A,VLOOKUP(B93,'Data World'!$A:$AL,MATCH(World!$L$1,'Data World'!$A$1:$AL$1,)))</f>
        <v/>
      </c>
      <c r="M93" s="13">
        <f>IF(VLOOKUP(B93,'Data World'!$A:$AL,MATCH(World!$M$1,'Data World'!$A$1:$AL$1,))=0,#N/A,VLOOKUP(B93,'Data World'!$A:$AL,MATCH(World!$M$1,'Data World'!$A$1:$AL$1,)))</f>
        <v/>
      </c>
      <c r="N93" s="13">
        <f>IF(VLOOKUP(B93,'Data World'!$A:$AL,MATCH(World!$N$1,'Data World'!$A$1:$AL$1,))=0,#N/A,VLOOKUP(B93,'Data World'!$A:$AL,MATCH(World!$N$1,'Data World'!$A$1:$AL$1,)))</f>
        <v/>
      </c>
      <c r="O93" s="13">
        <f>IF(VLOOKUP(B93,'Data World'!$A:$AL,MATCH(World!$O$1,'Data World'!$A$1:$AL$1,))=0,#N/A,VLOOKUP(B93,'Data World'!$A:$AL,MATCH(World!$O$1,'Data World'!$A$1:$AL$1,)))</f>
        <v/>
      </c>
      <c r="P93" s="13">
        <f>IF(VLOOKUP(B93,'Data World'!$A:$AL,MATCH(World!$P$1,'Data World'!$A$1:$AL$1,))=0,#N/A,VLOOKUP(B93,'Data World'!$A:$AL,MATCH(World!$P$1,'Data World'!$A$1:$AL$1,)))</f>
        <v/>
      </c>
      <c r="Q93" s="13">
        <f>IF(VLOOKUP(B93,'Data World'!$A:$AL,MATCH(World!$Q$1,'Data World'!$A$1:$AL$1,))=0,#N/A,VLOOKUP(B93,'Data World'!$A:$AL,MATCH(World!$Q$1,'Data World'!$A$1:$AL$1,)))</f>
        <v/>
      </c>
      <c r="R93" s="13">
        <f>IF(VLOOKUP(B93,'Data World'!$A:$AL,MATCH(World!$R$1,'Data World'!$A$1:$AL$1,))=0,#N/A,VLOOKUP(B93,'Data World'!$A:$AL,MATCH(World!$R$1,'Data World'!$A$1:$AL$1,)))</f>
        <v/>
      </c>
      <c r="S93" s="13">
        <f>IF(VLOOKUP(B93,'Data World'!$A:$AL,MATCH(World!$S$1,'Data World'!$A$1:$AL$1,))=0,#N/A,VLOOKUP(B93,'Data World'!$A:$AL,MATCH(World!$S$1,'Data World'!$A$1:$AL$1,)))</f>
        <v/>
      </c>
      <c r="T93" s="13">
        <f>IF(VLOOKUP(B93,'Data World'!$A:$AL,MATCH(World!$T$1,'Data World'!$A$1:$AL$1,))=0,#N/A,VLOOKUP(B93,'Data World'!$A:$AL,MATCH(World!$T$1,'Data World'!$A$1:$AL$1,)))</f>
        <v/>
      </c>
    </row>
    <row r="94" customFormat="1" s="63">
      <c r="B94" s="12" t="n">
        <v>44804</v>
      </c>
      <c r="C94" s="13">
        <f>IF(VLOOKUP(B94,'Data World'!$A:$AL,MATCH(World!$C$1,'Data World'!$A$1:$AL$1,))=0,#N/A,VLOOKUP(B94,'Data World'!$A:$AL,MATCH(World!$C$1,'Data World'!$A$1:$AL$1,)))</f>
        <v/>
      </c>
      <c r="D94" s="13">
        <f>IF(VLOOKUP(B94,'Data World'!$A:$AL,MATCH(World!$D$1,'Data World'!$A$1:$AL$1,))=0,#N/A,VLOOKUP(B94,'Data World'!$A:$AL,MATCH(World!$D$1,'Data World'!$A$1:$AL$1,)))</f>
        <v/>
      </c>
      <c r="E94" s="13">
        <f>IF(VLOOKUP(B94,'Data World'!$A:$AL,MATCH(World!$E$1,'Data World'!$A$1:$AL$1,))=0,#N/A,VLOOKUP(B94,'Data World'!$A:$AL,MATCH(World!$E$1,'Data World'!$A$1:$AL$1,)))</f>
        <v/>
      </c>
      <c r="F94" s="13">
        <f>IF(VLOOKUP(B94,'Data World'!$A:$AL,MATCH(World!$F$1,'Data World'!$A$1:$AL$1,))=0,#N/A,VLOOKUP(B94,'Data World'!$A:$AL,MATCH(World!$F$1,'Data World'!$A$1:$AL$1,)))</f>
        <v/>
      </c>
      <c r="G94" s="13">
        <f>IF(VLOOKUP(B94,'Data World'!$A:$AL,MATCH(World!$G$1,'Data World'!$A$1:$AL$1,))=0,#N/A,VLOOKUP(B94,'Data World'!$A:$AL,MATCH(World!$G$1,'Data World'!$A$1:$AL$1,)))</f>
        <v/>
      </c>
      <c r="H94" s="13">
        <f>IF(VLOOKUP(B94,'Data World'!$A:$AL,MATCH(World!$H$1,'Data World'!$A$1:$AL$1,))=0,#N/A,VLOOKUP(B94,'Data World'!$A:$AL,MATCH(World!$H$1,'Data World'!$A$1:$AL$1,)))</f>
        <v/>
      </c>
      <c r="I94" s="13">
        <f>IF(VLOOKUP(B94,'Data World'!$A:$AL,MATCH(World!$I$1,'Data World'!$A$1:$AL$1,))=0,#N/A,VLOOKUP(B94,'Data World'!$A:$AL,MATCH(World!$I$1,'Data World'!$A$1:$AL$1,)))</f>
        <v/>
      </c>
      <c r="J94" s="13">
        <f>IF(VLOOKUP(B94,'Data World'!$A:$AL,MATCH(World!$J$1,'Data World'!$A$1:$AL$1,))=0,#N/A,VLOOKUP(B94,'Data World'!$A:$AL,MATCH(World!$J$1,'Data World'!$A$1:$AL$1,)))</f>
        <v/>
      </c>
      <c r="K94" s="13">
        <f>IF(VLOOKUP(B94,'Data World'!$A:$AL,MATCH(World!$K$1,'Data World'!$A$1:$AL$1,))=0,#N/A,VLOOKUP(B94,'Data World'!$A:$AL,MATCH(World!$K$1,'Data World'!$A$1:$AL$1,)))</f>
        <v/>
      </c>
      <c r="L94" s="13">
        <f>IF(VLOOKUP(B94,'Data World'!$A:$AL,MATCH(World!$L$1,'Data World'!$A$1:$AL$1,))=0,#N/A,VLOOKUP(B94,'Data World'!$A:$AL,MATCH(World!$L$1,'Data World'!$A$1:$AL$1,)))</f>
        <v/>
      </c>
      <c r="M94" s="13">
        <f>IF(VLOOKUP(B94,'Data World'!$A:$AL,MATCH(World!$M$1,'Data World'!$A$1:$AL$1,))=0,#N/A,VLOOKUP(B94,'Data World'!$A:$AL,MATCH(World!$M$1,'Data World'!$A$1:$AL$1,)))</f>
        <v/>
      </c>
      <c r="N94" s="13">
        <f>IF(VLOOKUP(B94,'Data World'!$A:$AL,MATCH(World!$N$1,'Data World'!$A$1:$AL$1,))=0,#N/A,VLOOKUP(B94,'Data World'!$A:$AL,MATCH(World!$N$1,'Data World'!$A$1:$AL$1,)))</f>
        <v/>
      </c>
      <c r="O94" s="13">
        <f>IF(VLOOKUP(B94,'Data World'!$A:$AL,MATCH(World!$O$1,'Data World'!$A$1:$AL$1,))=0,#N/A,VLOOKUP(B94,'Data World'!$A:$AL,MATCH(World!$O$1,'Data World'!$A$1:$AL$1,)))</f>
        <v/>
      </c>
      <c r="P94" s="13">
        <f>IF(VLOOKUP(B94,'Data World'!$A:$AL,MATCH(World!$P$1,'Data World'!$A$1:$AL$1,))=0,#N/A,VLOOKUP(B94,'Data World'!$A:$AL,MATCH(World!$P$1,'Data World'!$A$1:$AL$1,)))</f>
        <v/>
      </c>
      <c r="Q94" s="13">
        <f>IF(VLOOKUP(B94,'Data World'!$A:$AL,MATCH(World!$Q$1,'Data World'!$A$1:$AL$1,))=0,#N/A,VLOOKUP(B94,'Data World'!$A:$AL,MATCH(World!$Q$1,'Data World'!$A$1:$AL$1,)))</f>
        <v/>
      </c>
      <c r="R94" s="13">
        <f>IF(VLOOKUP(B94,'Data World'!$A:$AL,MATCH(World!$R$1,'Data World'!$A$1:$AL$1,))=0,#N/A,VLOOKUP(B94,'Data World'!$A:$AL,MATCH(World!$R$1,'Data World'!$A$1:$AL$1,)))</f>
        <v/>
      </c>
      <c r="S94" s="13">
        <f>IF(VLOOKUP(B94,'Data World'!$A:$AL,MATCH(World!$S$1,'Data World'!$A$1:$AL$1,))=0,#N/A,VLOOKUP(B94,'Data World'!$A:$AL,MATCH(World!$S$1,'Data World'!$A$1:$AL$1,)))</f>
        <v/>
      </c>
      <c r="T94" s="13">
        <f>IF(VLOOKUP(B94,'Data World'!$A:$AL,MATCH(World!$T$1,'Data World'!$A$1:$AL$1,))=0,#N/A,VLOOKUP(B94,'Data World'!$A:$AL,MATCH(World!$T$1,'Data World'!$A$1:$AL$1,)))</f>
        <v/>
      </c>
    </row>
    <row r="95" customFormat="1" s="63">
      <c r="B95" s="12" t="n">
        <v>44834</v>
      </c>
      <c r="C95" s="13">
        <f>IF(VLOOKUP(B95,'Data World'!$A:$AL,MATCH(World!$C$1,'Data World'!$A$1:$AL$1,))=0,#N/A,VLOOKUP(B95,'Data World'!$A:$AL,MATCH(World!$C$1,'Data World'!$A$1:$AL$1,)))</f>
        <v/>
      </c>
      <c r="D95" s="13">
        <f>IF(VLOOKUP(B95,'Data World'!$A:$AL,MATCH(World!$D$1,'Data World'!$A$1:$AL$1,))=0,#N/A,VLOOKUP(B95,'Data World'!$A:$AL,MATCH(World!$D$1,'Data World'!$A$1:$AL$1,)))</f>
        <v/>
      </c>
      <c r="E95" s="13">
        <f>IF(VLOOKUP(B95,'Data World'!$A:$AL,MATCH(World!$E$1,'Data World'!$A$1:$AL$1,))=0,#N/A,VLOOKUP(B95,'Data World'!$A:$AL,MATCH(World!$E$1,'Data World'!$A$1:$AL$1,)))</f>
        <v/>
      </c>
      <c r="F95" s="13">
        <f>IF(VLOOKUP(B95,'Data World'!$A:$AL,MATCH(World!$F$1,'Data World'!$A$1:$AL$1,))=0,#N/A,VLOOKUP(B95,'Data World'!$A:$AL,MATCH(World!$F$1,'Data World'!$A$1:$AL$1,)))</f>
        <v/>
      </c>
      <c r="G95" s="13">
        <f>IF(VLOOKUP(B95,'Data World'!$A:$AL,MATCH(World!$G$1,'Data World'!$A$1:$AL$1,))=0,#N/A,VLOOKUP(B95,'Data World'!$A:$AL,MATCH(World!$G$1,'Data World'!$A$1:$AL$1,)))</f>
        <v/>
      </c>
      <c r="H95" s="13">
        <f>IF(VLOOKUP(B95,'Data World'!$A:$AL,MATCH(World!$H$1,'Data World'!$A$1:$AL$1,))=0,#N/A,VLOOKUP(B95,'Data World'!$A:$AL,MATCH(World!$H$1,'Data World'!$A$1:$AL$1,)))</f>
        <v/>
      </c>
      <c r="I95" s="13">
        <f>IF(VLOOKUP(B95,'Data World'!$A:$AL,MATCH(World!$I$1,'Data World'!$A$1:$AL$1,))=0,#N/A,VLOOKUP(B95,'Data World'!$A:$AL,MATCH(World!$I$1,'Data World'!$A$1:$AL$1,)))</f>
        <v/>
      </c>
      <c r="J95" s="13">
        <f>IF(VLOOKUP(B95,'Data World'!$A:$AL,MATCH(World!$J$1,'Data World'!$A$1:$AL$1,))=0,#N/A,VLOOKUP(B95,'Data World'!$A:$AL,MATCH(World!$J$1,'Data World'!$A$1:$AL$1,)))</f>
        <v/>
      </c>
      <c r="K95" s="13">
        <f>IF(VLOOKUP(B95,'Data World'!$A:$AL,MATCH(World!$K$1,'Data World'!$A$1:$AL$1,))=0,#N/A,VLOOKUP(B95,'Data World'!$A:$AL,MATCH(World!$K$1,'Data World'!$A$1:$AL$1,)))</f>
        <v/>
      </c>
      <c r="L95" s="13">
        <f>IF(VLOOKUP(B95,'Data World'!$A:$AL,MATCH(World!$L$1,'Data World'!$A$1:$AL$1,))=0,#N/A,VLOOKUP(B95,'Data World'!$A:$AL,MATCH(World!$L$1,'Data World'!$A$1:$AL$1,)))</f>
        <v/>
      </c>
      <c r="M95" s="13">
        <f>IF(VLOOKUP(B95,'Data World'!$A:$AL,MATCH(World!$M$1,'Data World'!$A$1:$AL$1,))=0,#N/A,VLOOKUP(B95,'Data World'!$A:$AL,MATCH(World!$M$1,'Data World'!$A$1:$AL$1,)))</f>
        <v/>
      </c>
      <c r="N95" s="13">
        <f>IF(VLOOKUP(B95,'Data World'!$A:$AL,MATCH(World!$N$1,'Data World'!$A$1:$AL$1,))=0,#N/A,VLOOKUP(B95,'Data World'!$A:$AL,MATCH(World!$N$1,'Data World'!$A$1:$AL$1,)))</f>
        <v/>
      </c>
      <c r="O95" s="13">
        <f>IF(VLOOKUP(B95,'Data World'!$A:$AL,MATCH(World!$O$1,'Data World'!$A$1:$AL$1,))=0,#N/A,VLOOKUP(B95,'Data World'!$A:$AL,MATCH(World!$O$1,'Data World'!$A$1:$AL$1,)))</f>
        <v/>
      </c>
      <c r="P95" s="13">
        <f>IF(VLOOKUP(B95,'Data World'!$A:$AL,MATCH(World!$P$1,'Data World'!$A$1:$AL$1,))=0,#N/A,VLOOKUP(B95,'Data World'!$A:$AL,MATCH(World!$P$1,'Data World'!$A$1:$AL$1,)))</f>
        <v/>
      </c>
      <c r="Q95" s="13">
        <f>IF(VLOOKUP(B95,'Data World'!$A:$AL,MATCH(World!$Q$1,'Data World'!$A$1:$AL$1,))=0,#N/A,VLOOKUP(B95,'Data World'!$A:$AL,MATCH(World!$Q$1,'Data World'!$A$1:$AL$1,)))</f>
        <v/>
      </c>
      <c r="R95" s="13">
        <f>IF(VLOOKUP(B95,'Data World'!$A:$AL,MATCH(World!$R$1,'Data World'!$A$1:$AL$1,))=0,#N/A,VLOOKUP(B95,'Data World'!$A:$AL,MATCH(World!$R$1,'Data World'!$A$1:$AL$1,)))</f>
        <v/>
      </c>
      <c r="S95" s="13">
        <f>IF(VLOOKUP(B95,'Data World'!$A:$AL,MATCH(World!$S$1,'Data World'!$A$1:$AL$1,))=0,#N/A,VLOOKUP(B95,'Data World'!$A:$AL,MATCH(World!$S$1,'Data World'!$A$1:$AL$1,)))</f>
        <v/>
      </c>
      <c r="T95" s="13">
        <f>IF(VLOOKUP(B95,'Data World'!$A:$AL,MATCH(World!$T$1,'Data World'!$A$1:$AL$1,))=0,#N/A,VLOOKUP(B95,'Data World'!$A:$AL,MATCH(World!$T$1,'Data World'!$A$1:$AL$1,)))</f>
        <v/>
      </c>
    </row>
    <row r="96" customFormat="1" s="63">
      <c r="B96" s="12" t="n">
        <v>44865</v>
      </c>
      <c r="C96" s="13">
        <f>IF(VLOOKUP(B96,'Data World'!$A:$AL,MATCH(World!$C$1,'Data World'!$A$1:$AL$1,))=0,#N/A,VLOOKUP(B96,'Data World'!$A:$AL,MATCH(World!$C$1,'Data World'!$A$1:$AL$1,)))</f>
        <v/>
      </c>
      <c r="D96" s="13">
        <f>IF(VLOOKUP(B96,'Data World'!$A:$AL,MATCH(World!$D$1,'Data World'!$A$1:$AL$1,))=0,#N/A,VLOOKUP(B96,'Data World'!$A:$AL,MATCH(World!$D$1,'Data World'!$A$1:$AL$1,)))</f>
        <v/>
      </c>
      <c r="E96" s="13">
        <f>IF(VLOOKUP(B96,'Data World'!$A:$AL,MATCH(World!$E$1,'Data World'!$A$1:$AL$1,))=0,#N/A,VLOOKUP(B96,'Data World'!$A:$AL,MATCH(World!$E$1,'Data World'!$A$1:$AL$1,)))</f>
        <v/>
      </c>
      <c r="F96" s="13">
        <f>IF(VLOOKUP(B96,'Data World'!$A:$AL,MATCH(World!$F$1,'Data World'!$A$1:$AL$1,))=0,#N/A,VLOOKUP(B96,'Data World'!$A:$AL,MATCH(World!$F$1,'Data World'!$A$1:$AL$1,)))</f>
        <v/>
      </c>
      <c r="G96" s="13">
        <f>IF(VLOOKUP(B96,'Data World'!$A:$AL,MATCH(World!$G$1,'Data World'!$A$1:$AL$1,))=0,#N/A,VLOOKUP(B96,'Data World'!$A:$AL,MATCH(World!$G$1,'Data World'!$A$1:$AL$1,)))</f>
        <v/>
      </c>
      <c r="H96" s="13">
        <f>IF(VLOOKUP(B96,'Data World'!$A:$AL,MATCH(World!$H$1,'Data World'!$A$1:$AL$1,))=0,#N/A,VLOOKUP(B96,'Data World'!$A:$AL,MATCH(World!$H$1,'Data World'!$A$1:$AL$1,)))</f>
        <v/>
      </c>
      <c r="I96" s="13">
        <f>IF(VLOOKUP(B96,'Data World'!$A:$AL,MATCH(World!$I$1,'Data World'!$A$1:$AL$1,))=0,#N/A,VLOOKUP(B96,'Data World'!$A:$AL,MATCH(World!$I$1,'Data World'!$A$1:$AL$1,)))</f>
        <v/>
      </c>
      <c r="J96" s="13">
        <f>IF(VLOOKUP(B96,'Data World'!$A:$AL,MATCH(World!$J$1,'Data World'!$A$1:$AL$1,))=0,#N/A,VLOOKUP(B96,'Data World'!$A:$AL,MATCH(World!$J$1,'Data World'!$A$1:$AL$1,)))</f>
        <v/>
      </c>
      <c r="K96" s="13">
        <f>IF(VLOOKUP(B96,'Data World'!$A:$AL,MATCH(World!$K$1,'Data World'!$A$1:$AL$1,))=0,#N/A,VLOOKUP(B96,'Data World'!$A:$AL,MATCH(World!$K$1,'Data World'!$A$1:$AL$1,)))</f>
        <v/>
      </c>
      <c r="L96" s="13">
        <f>IF(VLOOKUP(B96,'Data World'!$A:$AL,MATCH(World!$L$1,'Data World'!$A$1:$AL$1,))=0,#N/A,VLOOKUP(B96,'Data World'!$A:$AL,MATCH(World!$L$1,'Data World'!$A$1:$AL$1,)))</f>
        <v/>
      </c>
      <c r="M96" s="13">
        <f>IF(VLOOKUP(B96,'Data World'!$A:$AL,MATCH(World!$M$1,'Data World'!$A$1:$AL$1,))=0,#N/A,VLOOKUP(B96,'Data World'!$A:$AL,MATCH(World!$M$1,'Data World'!$A$1:$AL$1,)))</f>
        <v/>
      </c>
      <c r="N96" s="13">
        <f>IF(VLOOKUP(B96,'Data World'!$A:$AL,MATCH(World!$N$1,'Data World'!$A$1:$AL$1,))=0,#N/A,VLOOKUP(B96,'Data World'!$A:$AL,MATCH(World!$N$1,'Data World'!$A$1:$AL$1,)))</f>
        <v/>
      </c>
      <c r="O96" s="13">
        <f>IF(VLOOKUP(B96,'Data World'!$A:$AL,MATCH(World!$O$1,'Data World'!$A$1:$AL$1,))=0,#N/A,VLOOKUP(B96,'Data World'!$A:$AL,MATCH(World!$O$1,'Data World'!$A$1:$AL$1,)))</f>
        <v/>
      </c>
      <c r="P96" s="13">
        <f>IF(VLOOKUP(B96,'Data World'!$A:$AL,MATCH(World!$P$1,'Data World'!$A$1:$AL$1,))=0,#N/A,VLOOKUP(B96,'Data World'!$A:$AL,MATCH(World!$P$1,'Data World'!$A$1:$AL$1,)))</f>
        <v/>
      </c>
      <c r="Q96" s="13">
        <f>IF(VLOOKUP(B96,'Data World'!$A:$AL,MATCH(World!$Q$1,'Data World'!$A$1:$AL$1,))=0,#N/A,VLOOKUP(B96,'Data World'!$A:$AL,MATCH(World!$Q$1,'Data World'!$A$1:$AL$1,)))</f>
        <v/>
      </c>
      <c r="R96" s="13">
        <f>IF(VLOOKUP(B96,'Data World'!$A:$AL,MATCH(World!$R$1,'Data World'!$A$1:$AL$1,))=0,#N/A,VLOOKUP(B96,'Data World'!$A:$AL,MATCH(World!$R$1,'Data World'!$A$1:$AL$1,)))</f>
        <v/>
      </c>
      <c r="S96" s="13">
        <f>IF(VLOOKUP(B96,'Data World'!$A:$AL,MATCH(World!$S$1,'Data World'!$A$1:$AL$1,))=0,#N/A,VLOOKUP(B96,'Data World'!$A:$AL,MATCH(World!$S$1,'Data World'!$A$1:$AL$1,)))</f>
        <v/>
      </c>
      <c r="T96" s="13">
        <f>IF(VLOOKUP(B96,'Data World'!$A:$AL,MATCH(World!$T$1,'Data World'!$A$1:$AL$1,))=0,#N/A,VLOOKUP(B96,'Data World'!$A:$AL,MATCH(World!$T$1,'Data World'!$A$1:$AL$1,)))</f>
        <v/>
      </c>
    </row>
    <row r="97" customFormat="1" s="63"/>
    <row r="98" customFormat="1" s="63"/>
    <row r="99" customFormat="1" s="63"/>
    <row r="100" customFormat="1" s="63"/>
    <row r="101" customFormat="1" s="63"/>
    <row r="102" customFormat="1" s="63"/>
    <row r="103" customFormat="1" s="63"/>
    <row r="104" customFormat="1" s="63"/>
    <row r="105" customFormat="1" s="63"/>
    <row r="106" customFormat="1" s="63"/>
    <row r="107" customFormat="1" s="63"/>
    <row r="108" customFormat="1" s="63"/>
    <row r="109" customFormat="1" s="63"/>
    <row r="110" customFormat="1" s="63"/>
    <row r="111" customFormat="1" s="63"/>
    <row r="112" customFormat="1" s="63"/>
    <row r="113" customFormat="1" s="63"/>
    <row r="114" customFormat="1" s="63"/>
    <row r="115" customFormat="1" s="63"/>
    <row r="116" customFormat="1" s="63"/>
    <row r="117" customFormat="1" s="63"/>
    <row r="118" customFormat="1" s="63"/>
    <row r="119" customFormat="1" s="63"/>
    <row r="120" customFormat="1" s="63"/>
    <row r="121" customFormat="1" s="63"/>
    <row r="122" customFormat="1" s="63"/>
    <row r="123" customFormat="1" s="63"/>
    <row r="124" customFormat="1" s="63"/>
    <row r="125" customFormat="1" s="63"/>
    <row r="126" customFormat="1" s="63"/>
    <row r="127" customFormat="1" s="63"/>
    <row r="128" customFormat="1" s="63"/>
    <row r="129" customFormat="1" s="63"/>
    <row r="130" customFormat="1" s="63"/>
    <row r="131" customFormat="1" s="63"/>
    <row r="132" customFormat="1" s="63"/>
    <row r="133" customFormat="1" s="63"/>
    <row r="134" customFormat="1" s="63"/>
    <row r="135" customFormat="1" s="63"/>
    <row r="136" customFormat="1" s="63"/>
    <row r="137" customFormat="1" s="63"/>
    <row r="138" customFormat="1" s="63"/>
    <row r="139" customFormat="1" s="63"/>
    <row r="140" customFormat="1" s="63"/>
    <row r="141" customFormat="1" s="63"/>
    <row r="142" customFormat="1" s="63"/>
    <row r="143" customFormat="1" s="63"/>
    <row r="144" customFormat="1" s="63"/>
    <row r="145" customFormat="1" s="63"/>
    <row r="146" customFormat="1" s="63"/>
    <row r="147" customFormat="1" s="63"/>
    <row r="148" customFormat="1" s="63"/>
    <row r="149" customFormat="1" s="63"/>
    <row r="150" customFormat="1" s="63"/>
    <row r="151" customFormat="1" s="63"/>
    <row r="152" customFormat="1" s="63"/>
    <row r="153" customFormat="1" s="63"/>
    <row r="154" customFormat="1" s="63"/>
    <row r="155" customFormat="1" s="63"/>
    <row r="156" customFormat="1" s="63"/>
    <row r="157" customFormat="1" s="63"/>
    <row r="158" customFormat="1" s="63"/>
    <row r="159" customFormat="1" s="63"/>
    <row r="160" customFormat="1" s="63"/>
    <row r="161" customFormat="1" s="63"/>
    <row r="162" customFormat="1" s="63"/>
    <row r="163" customFormat="1" s="63"/>
    <row r="164" customFormat="1" s="63"/>
    <row r="165" customFormat="1" s="63"/>
    <row r="166" customFormat="1" s="63"/>
    <row r="167" customFormat="1" s="63"/>
    <row r="168" customFormat="1" s="63"/>
    <row r="169" customFormat="1" s="63"/>
    <row r="170" customFormat="1" s="63"/>
    <row r="171" customFormat="1" s="63"/>
    <row r="172" customFormat="1" s="63"/>
    <row r="173" customFormat="1" s="63"/>
    <row r="174" customFormat="1" s="63"/>
    <row r="175" customFormat="1" s="63"/>
    <row r="176" customFormat="1" s="63"/>
    <row r="177" customFormat="1" s="63"/>
    <row r="178" customFormat="1" s="63"/>
    <row r="179" customFormat="1" s="63"/>
    <row r="180" customFormat="1" s="63"/>
    <row r="181" customFormat="1" s="63"/>
    <row r="182" customFormat="1" s="63"/>
    <row r="183" customFormat="1" s="63"/>
    <row r="184" customFormat="1" s="63"/>
    <row r="185" customFormat="1" s="63"/>
    <row r="186" customFormat="1" s="63"/>
    <row r="187" customFormat="1" s="63"/>
    <row r="188" customFormat="1" s="63"/>
    <row r="189" customFormat="1" s="63"/>
    <row r="190" customFormat="1" s="63"/>
    <row r="191" customFormat="1" s="63"/>
    <row r="192" customFormat="1" s="63"/>
    <row r="193" customFormat="1" s="63"/>
    <row r="194" customFormat="1" s="63"/>
    <row r="195" customFormat="1" s="63"/>
    <row r="196" customFormat="1" s="63"/>
    <row r="197" customFormat="1" s="63"/>
    <row r="198" customFormat="1" s="63"/>
    <row r="199" customFormat="1" s="63"/>
    <row r="200" customFormat="1" s="63"/>
    <row r="201" customFormat="1" s="63"/>
    <row r="202" customFormat="1" s="63"/>
    <row r="203" customFormat="1" s="63"/>
    <row r="204" customFormat="1" s="63"/>
    <row r="205" customFormat="1" s="63"/>
    <row r="206" customFormat="1" s="63"/>
    <row r="207" customFormat="1" s="63"/>
    <row r="208" customFormat="1" s="63"/>
    <row r="209" customFormat="1" s="63"/>
    <row r="210" customFormat="1" s="63"/>
    <row r="211" customFormat="1" s="63"/>
    <row r="212" customFormat="1" s="63"/>
    <row r="213" customFormat="1" s="63"/>
    <row r="214" customFormat="1" s="63"/>
    <row r="215" customFormat="1" s="63"/>
    <row r="216" customFormat="1" s="63"/>
    <row r="217" customFormat="1" s="63"/>
    <row r="218" customFormat="1" s="63"/>
    <row r="219" customFormat="1" s="63"/>
    <row r="220" customFormat="1" s="63"/>
    <row r="221" customFormat="1" s="63"/>
    <row r="222" customFormat="1" s="63"/>
    <row r="223" customFormat="1" s="63"/>
    <row r="224" customFormat="1" s="63"/>
    <row r="225" customFormat="1" s="63"/>
    <row r="226" customFormat="1" s="63"/>
    <row r="227" customFormat="1" s="63"/>
    <row r="228" customFormat="1" s="63"/>
    <row r="229" customFormat="1" s="63"/>
    <row r="230" customFormat="1" s="63"/>
    <row r="231" customFormat="1" s="63"/>
    <row r="232" customFormat="1" s="63"/>
    <row r="233" customFormat="1" s="63"/>
    <row r="234" customFormat="1" s="63"/>
    <row r="235" customFormat="1" s="63"/>
    <row r="236" customFormat="1" s="63"/>
    <row r="237" customFormat="1" s="63"/>
    <row r="238" customFormat="1" s="63"/>
    <row r="239" customFormat="1" s="63"/>
    <row r="240" customFormat="1" s="63"/>
    <row r="241" customFormat="1" s="63"/>
    <row r="242" customFormat="1" s="63"/>
    <row r="243" customFormat="1" s="63"/>
    <row r="244" customFormat="1" s="63"/>
    <row r="245" customFormat="1" s="63"/>
    <row r="246" customFormat="1" s="63"/>
    <row r="247" customFormat="1" s="63"/>
    <row r="248" customFormat="1" s="63"/>
    <row r="249" customFormat="1" s="63"/>
    <row r="250" customFormat="1" s="63"/>
    <row r="251" customFormat="1" s="63"/>
    <row r="252" customFormat="1" s="63"/>
    <row r="253" customFormat="1" s="63"/>
    <row r="254" customFormat="1" s="63"/>
    <row r="255" customFormat="1" s="63"/>
    <row r="256" customFormat="1" s="63"/>
    <row r="257" customFormat="1" s="63"/>
    <row r="258" customFormat="1" s="63"/>
    <row r="259" customFormat="1" s="63"/>
    <row r="260" customFormat="1" s="63"/>
    <row r="261" customFormat="1" s="63"/>
    <row r="262" customFormat="1" s="63"/>
    <row r="263" customFormat="1" s="63"/>
    <row r="264" customFormat="1" s="63"/>
    <row r="265" customFormat="1" s="63"/>
    <row r="266" customFormat="1" s="63"/>
    <row r="267" customFormat="1" s="63"/>
    <row r="268" customFormat="1" s="63"/>
    <row r="269" customFormat="1" s="63"/>
    <row r="270" customFormat="1" s="63"/>
    <row r="271" customFormat="1" s="63"/>
    <row r="272" customFormat="1" s="63"/>
    <row r="273" customFormat="1" s="63"/>
    <row r="274" customFormat="1" s="63"/>
    <row r="275" customFormat="1" s="63"/>
    <row r="276" customFormat="1" s="63"/>
    <row r="277" customFormat="1" s="63"/>
    <row r="278" customFormat="1" s="63"/>
    <row r="279" customFormat="1" s="63"/>
    <row r="280" customFormat="1" s="63"/>
    <row r="281" customFormat="1" s="63"/>
    <row r="282" customFormat="1" s="63"/>
    <row r="283" customFormat="1" s="63"/>
    <row r="284" customFormat="1" s="63"/>
    <row r="285" customFormat="1" s="63"/>
    <row r="286" customFormat="1" s="63"/>
    <row r="287" customFormat="1" s="63"/>
    <row r="288" customFormat="1" s="63"/>
    <row r="289" customFormat="1" s="63"/>
    <row r="290" customFormat="1" s="63"/>
    <row r="291" customFormat="1" s="63"/>
    <row r="292" customFormat="1" s="63"/>
    <row r="293" customFormat="1" s="63"/>
    <row r="294" customFormat="1" s="63"/>
    <row r="295" customFormat="1" s="63"/>
    <row r="296" customFormat="1" s="63"/>
    <row r="297" customFormat="1" s="63"/>
    <row r="298" customFormat="1" s="63"/>
    <row r="299" customFormat="1" s="63"/>
    <row r="300" customFormat="1" s="63"/>
    <row r="301" customFormat="1" s="63"/>
    <row r="302" customFormat="1" s="63"/>
    <row r="303" customFormat="1" s="63"/>
    <row r="304" customFormat="1" s="63"/>
    <row r="305" customFormat="1" s="63"/>
    <row r="306" customFormat="1" s="63"/>
    <row r="307" customFormat="1" s="63"/>
    <row r="308" customFormat="1" s="63"/>
    <row r="309" customFormat="1" s="63"/>
    <row r="310" customFormat="1" s="63"/>
    <row r="311" customFormat="1" s="63"/>
    <row r="312" customFormat="1" s="63"/>
    <row r="313" customFormat="1" s="63"/>
    <row r="314" customFormat="1" s="63"/>
    <row r="315" customFormat="1" s="63"/>
    <row r="316" customFormat="1" s="63"/>
    <row r="317" customFormat="1" s="63"/>
    <row r="318" customFormat="1" s="63"/>
    <row r="319" customFormat="1" s="63"/>
    <row r="320" customFormat="1" s="63"/>
    <row r="321" customFormat="1" s="63"/>
    <row r="322" customFormat="1" s="63"/>
    <row r="323" customFormat="1" s="63"/>
    <row r="324" customFormat="1" s="63"/>
    <row r="325" customFormat="1" s="63"/>
    <row r="326" customFormat="1" s="63"/>
    <row r="327" customFormat="1" s="63"/>
    <row r="328" customFormat="1" s="63"/>
    <row r="329" customFormat="1" s="63"/>
    <row r="330" customFormat="1" s="63"/>
  </sheetData>
  <conditionalFormatting sqref="C5:D96">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96">
    <cfRule type="colorScale" priority="115">
      <colorScale>
        <cfvo type="min"/>
        <cfvo type="percentile" val="50"/>
        <cfvo type="max"/>
        <color rgb="FF63BE7B"/>
        <color rgb="FFFFEB84"/>
        <color rgb="FFF8696B"/>
      </colorScale>
    </cfRule>
  </conditionalFormatting>
  <conditionalFormatting sqref="D5:D96">
    <cfRule type="colorScale" priority="116">
      <colorScale>
        <cfvo type="min"/>
        <cfvo type="percentile" val="50"/>
        <cfvo type="max"/>
        <color rgb="FF63BE7B"/>
        <color rgb="FFFFEB84"/>
        <color rgb="FFF8696B"/>
      </colorScale>
    </cfRule>
  </conditionalFormatting>
  <conditionalFormatting sqref="E5:E96">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96">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96">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96">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96">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96">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96">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96">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96">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96">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96">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96">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96">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96">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96">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96">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lzweig</dc:creator>
  <dcterms:created xmlns:dcterms="http://purl.org/dc/terms/" xmlns:xsi="http://www.w3.org/2001/XMLSchema-instance" xsi:type="dcterms:W3CDTF">2013-04-03T15:49:21Z</dcterms:created>
  <dcterms:modified xmlns:dcterms="http://purl.org/dc/terms/" xmlns:xsi="http://www.w3.org/2001/XMLSchema-instance" xsi:type="dcterms:W3CDTF">2022-12-03T12:12:44Z</dcterms:modified>
  <cp:lastModifiedBy>Mark Mukherjee</cp:lastModifiedBy>
</cp:coreProperties>
</file>