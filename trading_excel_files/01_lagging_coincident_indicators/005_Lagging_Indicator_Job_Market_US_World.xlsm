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6FF5D0F-1186-7E42-898A-CC7D0ADB833F}" xr6:coauthVersionLast="47" xr6:coauthVersionMax="47" xr10:uidLastSave="{00000000-0000-0000-0000-000000000000}"/>
  <bookViews>
    <workbookView xWindow="-64840" yWindow="1420" windowWidth="41020" windowHeight="273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58" i="9" l="1"/>
  <c r="C258" i="9"/>
  <c r="B259" i="9"/>
  <c r="C259" i="9"/>
  <c r="B257" i="9"/>
  <c r="C257" i="9"/>
  <c r="B256" i="9"/>
  <c r="C256" i="9"/>
  <c r="B2901" i="7"/>
  <c r="C2901" i="7" s="1"/>
  <c r="D2901" i="7"/>
  <c r="E2901" i="7" s="1"/>
  <c r="B2899" i="7"/>
  <c r="C2899" i="7" s="1"/>
  <c r="D2899" i="7"/>
  <c r="E2899" i="7" s="1"/>
  <c r="B2900" i="7"/>
  <c r="C2900" i="7" s="1"/>
  <c r="D2900" i="7"/>
  <c r="B2898" i="7"/>
  <c r="C2898" i="7" s="1"/>
  <c r="D2898" i="7"/>
  <c r="E2898" i="7" s="1"/>
  <c r="B2897" i="7"/>
  <c r="C2897" i="7" s="1"/>
  <c r="D2897" i="7"/>
  <c r="E2897" i="7" s="1"/>
  <c r="B2894" i="7"/>
  <c r="C2894" i="7" s="1"/>
  <c r="D2894" i="7"/>
  <c r="E2894" i="7" s="1"/>
  <c r="B2895" i="7"/>
  <c r="C2895" i="7" s="1"/>
  <c r="D2895" i="7"/>
  <c r="E2895" i="7" s="1"/>
  <c r="B2896" i="7"/>
  <c r="C2896" i="7" s="1"/>
  <c r="D2896" i="7"/>
  <c r="E2896" i="7" s="1"/>
  <c r="B2891" i="7"/>
  <c r="C2891" i="7" s="1"/>
  <c r="D2891" i="7"/>
  <c r="E2891" i="7" s="1"/>
  <c r="B2892" i="7"/>
  <c r="C2892" i="7" s="1"/>
  <c r="D2892" i="7"/>
  <c r="E2892" i="7" s="1"/>
  <c r="B2893" i="7"/>
  <c r="C2893" i="7" s="1"/>
  <c r="D2893" i="7"/>
  <c r="E2893" i="7" s="1"/>
  <c r="B2890" i="7"/>
  <c r="C2890" i="7" s="1"/>
  <c r="D2890" i="7"/>
  <c r="E2890" i="7" s="1"/>
  <c r="B2889" i="7"/>
  <c r="C2889" i="7" s="1"/>
  <c r="D2889" i="7"/>
  <c r="E2889" i="7" s="1"/>
  <c r="B2888" i="7"/>
  <c r="C2888" i="7" s="1"/>
  <c r="D2888" i="7"/>
  <c r="E2888" i="7" s="1"/>
  <c r="B2887" i="7"/>
  <c r="C2887" i="7" s="1"/>
  <c r="D2887" i="7"/>
  <c r="E2887" i="7" s="1"/>
  <c r="B2886" i="7"/>
  <c r="C2886" i="7" s="1"/>
  <c r="D2886" i="7"/>
  <c r="E2886" i="7" s="1"/>
  <c r="C89" i="10"/>
  <c r="D89" i="10"/>
  <c r="E89" i="10"/>
  <c r="F89" i="10"/>
  <c r="G89" i="10"/>
  <c r="H89" i="10"/>
  <c r="I89" i="10"/>
  <c r="J89" i="10"/>
  <c r="K89" i="10"/>
  <c r="L89" i="10"/>
  <c r="M89" i="10"/>
  <c r="N89" i="10"/>
  <c r="O89" i="10"/>
  <c r="P89" i="10"/>
  <c r="Q89" i="10"/>
  <c r="R89" i="10"/>
  <c r="S89" i="10"/>
  <c r="T89" i="10"/>
  <c r="C90" i="10"/>
  <c r="D90" i="10"/>
  <c r="E90" i="10"/>
  <c r="F90" i="10"/>
  <c r="G90" i="10"/>
  <c r="H90" i="10"/>
  <c r="I90" i="10"/>
  <c r="J90" i="10"/>
  <c r="K90" i="10"/>
  <c r="L90" i="10"/>
  <c r="M90" i="10"/>
  <c r="N90" i="10"/>
  <c r="O90" i="10"/>
  <c r="P90" i="10"/>
  <c r="Q90" i="10"/>
  <c r="R90" i="10"/>
  <c r="S90" i="10"/>
  <c r="T90" i="10"/>
  <c r="C91" i="10"/>
  <c r="D91" i="10"/>
  <c r="E91" i="10"/>
  <c r="F91" i="10"/>
  <c r="G91" i="10"/>
  <c r="H91" i="10"/>
  <c r="I91" i="10"/>
  <c r="J91" i="10"/>
  <c r="K91" i="10"/>
  <c r="L91" i="10"/>
  <c r="M91" i="10"/>
  <c r="N91" i="10"/>
  <c r="O91" i="10"/>
  <c r="P91" i="10"/>
  <c r="Q91" i="10"/>
  <c r="R91" i="10"/>
  <c r="S91" i="10"/>
  <c r="T91" i="10"/>
  <c r="B1012" i="6"/>
  <c r="E1012" i="6"/>
  <c r="F1012" i="6"/>
  <c r="B1013" i="6"/>
  <c r="E1013" i="6"/>
  <c r="F1013" i="6"/>
  <c r="B1011" i="6"/>
  <c r="E1011" i="6"/>
  <c r="F1011" i="6"/>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885" i="7"/>
  <c r="D2885" i="7"/>
  <c r="B2885" i="7"/>
  <c r="D2884" i="7"/>
  <c r="B2884" i="7"/>
  <c r="C2884" i="7" s="1"/>
  <c r="E2883" i="7"/>
  <c r="D2883" i="7"/>
  <c r="E2884" i="7" s="1"/>
  <c r="B2883" i="7"/>
  <c r="C2883" i="7" s="1"/>
  <c r="D2882" i="7"/>
  <c r="B2882" i="7"/>
  <c r="E2881" i="7"/>
  <c r="D2881" i="7"/>
  <c r="C2881" i="7"/>
  <c r="B2881" i="7"/>
  <c r="E2880" i="7"/>
  <c r="D2880" i="7"/>
  <c r="B2880" i="7"/>
  <c r="D2879" i="7"/>
  <c r="C2879" i="7"/>
  <c r="B2879" i="7"/>
  <c r="D2878" i="7"/>
  <c r="E2878" i="7" s="1"/>
  <c r="B2878" i="7"/>
  <c r="E2877" i="7"/>
  <c r="D2877" i="7"/>
  <c r="B2877" i="7"/>
  <c r="C2877" i="7" s="1"/>
  <c r="E2876" i="7"/>
  <c r="D2876" i="7"/>
  <c r="B2876" i="7"/>
  <c r="C2876" i="7" s="1"/>
  <c r="D2875" i="7"/>
  <c r="E2875" i="7" s="1"/>
  <c r="B2875" i="7"/>
  <c r="C2875" i="7" s="1"/>
  <c r="E2874" i="7"/>
  <c r="D2874" i="7"/>
  <c r="B2874" i="7"/>
  <c r="C2874" i="7" s="1"/>
  <c r="E2873" i="7"/>
  <c r="D2873" i="7"/>
  <c r="B2873" i="7"/>
  <c r="D2872" i="7"/>
  <c r="E2872" i="7" s="1"/>
  <c r="B2872" i="7"/>
  <c r="D2871" i="7"/>
  <c r="B2871" i="7"/>
  <c r="D2870" i="7"/>
  <c r="E2870" i="7" s="1"/>
  <c r="B2870" i="7"/>
  <c r="C2870" i="7" s="1"/>
  <c r="E2869" i="7"/>
  <c r="D2869" i="7"/>
  <c r="C2869" i="7"/>
  <c r="B2869" i="7"/>
  <c r="D2868" i="7"/>
  <c r="B2868" i="7"/>
  <c r="E2867" i="7"/>
  <c r="D2867" i="7"/>
  <c r="E2868" i="7" s="1"/>
  <c r="B2867" i="7"/>
  <c r="C2867" i="7" s="1"/>
  <c r="D2866" i="7"/>
  <c r="B2866" i="7"/>
  <c r="D2865" i="7"/>
  <c r="E2865" i="7" s="1"/>
  <c r="C2865" i="7"/>
  <c r="B2865" i="7"/>
  <c r="E2864" i="7"/>
  <c r="D2864" i="7"/>
  <c r="B2864" i="7"/>
  <c r="D2863" i="7"/>
  <c r="E2863" i="7" s="1"/>
  <c r="B2863" i="7"/>
  <c r="C2863" i="7" s="1"/>
  <c r="D2862" i="7"/>
  <c r="E2862" i="7" s="1"/>
  <c r="B2862" i="7"/>
  <c r="E2861" i="7"/>
  <c r="D2861" i="7"/>
  <c r="B2861" i="7"/>
  <c r="C2861" i="7" s="1"/>
  <c r="E2860" i="7"/>
  <c r="D2860" i="7"/>
  <c r="B2860" i="7"/>
  <c r="D2859" i="7"/>
  <c r="E2859" i="7" s="1"/>
  <c r="B2859" i="7"/>
  <c r="C2859" i="7" s="1"/>
  <c r="E2858" i="7"/>
  <c r="D2858" i="7"/>
  <c r="B2858" i="7"/>
  <c r="C2858" i="7" s="1"/>
  <c r="D2857" i="7"/>
  <c r="B2857" i="7"/>
  <c r="D2856" i="7"/>
  <c r="E2857" i="7" s="1"/>
  <c r="B2856" i="7"/>
  <c r="D2855" i="7"/>
  <c r="E2855" i="7" s="1"/>
  <c r="B2855" i="7"/>
  <c r="C2855" i="7" s="1"/>
  <c r="D2854" i="7"/>
  <c r="E2854" i="7" s="1"/>
  <c r="B2854" i="7"/>
  <c r="C2854" i="7" s="1"/>
  <c r="E2853" i="7"/>
  <c r="D2853" i="7"/>
  <c r="C2853" i="7"/>
  <c r="B2853" i="7"/>
  <c r="D2852" i="7"/>
  <c r="B2852" i="7"/>
  <c r="C2852" i="7" s="1"/>
  <c r="D2851" i="7"/>
  <c r="E2852" i="7" s="1"/>
  <c r="B2851" i="7"/>
  <c r="C2851" i="7" s="1"/>
  <c r="D2850" i="7"/>
  <c r="E2850" i="7" s="1"/>
  <c r="B2850" i="7"/>
  <c r="E2849" i="7"/>
  <c r="D2849" i="7"/>
  <c r="C2849" i="7"/>
  <c r="B2849" i="7"/>
  <c r="E2848" i="7"/>
  <c r="D2848" i="7"/>
  <c r="B2848" i="7"/>
  <c r="D2847" i="7"/>
  <c r="E2847" i="7" s="1"/>
  <c r="C2847" i="7"/>
  <c r="B2847" i="7"/>
  <c r="D2846" i="7"/>
  <c r="E2846" i="7" s="1"/>
  <c r="B2846" i="7"/>
  <c r="E2845" i="7"/>
  <c r="D2845" i="7"/>
  <c r="B2845" i="7"/>
  <c r="C2845" i="7" s="1"/>
  <c r="E2844" i="7"/>
  <c r="D2844" i="7"/>
  <c r="B2844" i="7"/>
  <c r="D2843" i="7"/>
  <c r="B2843" i="7"/>
  <c r="C2843" i="7" s="1"/>
  <c r="D2842" i="7"/>
  <c r="E2842" i="7" s="1"/>
  <c r="B2842" i="7"/>
  <c r="C2842" i="7" s="1"/>
  <c r="E2841" i="7"/>
  <c r="D2841" i="7"/>
  <c r="C2841" i="7"/>
  <c r="B2841" i="7"/>
  <c r="E2840" i="7"/>
  <c r="D2840" i="7"/>
  <c r="C2840" i="7"/>
  <c r="B2840" i="7"/>
  <c r="E2839" i="7"/>
  <c r="D2839" i="7"/>
  <c r="C2839" i="7"/>
  <c r="B2839" i="7"/>
  <c r="E2838" i="7"/>
  <c r="D2838" i="7"/>
  <c r="C2838" i="7"/>
  <c r="B2838" i="7"/>
  <c r="E2837" i="7"/>
  <c r="D2837" i="7"/>
  <c r="C2837" i="7"/>
  <c r="B2837" i="7"/>
  <c r="E2836" i="7"/>
  <c r="D2836" i="7"/>
  <c r="C2836" i="7"/>
  <c r="B2836" i="7"/>
  <c r="D2835" i="7"/>
  <c r="B2835" i="7"/>
  <c r="D2834" i="7"/>
  <c r="E2834" i="7" s="1"/>
  <c r="C2834" i="7"/>
  <c r="B2834" i="7"/>
  <c r="C2835" i="7" s="1"/>
  <c r="E2833" i="7"/>
  <c r="D2833" i="7"/>
  <c r="B2833" i="7"/>
  <c r="C2833" i="7" s="1"/>
  <c r="D2832" i="7"/>
  <c r="C2832" i="7"/>
  <c r="B2832" i="7"/>
  <c r="D2831" i="7"/>
  <c r="E2831" i="7" s="1"/>
  <c r="B2831" i="7"/>
  <c r="D2830" i="7"/>
  <c r="E2830" i="7" s="1"/>
  <c r="B2830" i="7"/>
  <c r="D2829" i="7"/>
  <c r="E2829" i="7" s="1"/>
  <c r="B2829" i="7"/>
  <c r="C2829" i="7" s="1"/>
  <c r="E2828" i="7"/>
  <c r="D2828" i="7"/>
  <c r="B2828" i="7"/>
  <c r="E2827" i="7"/>
  <c r="D2827" i="7"/>
  <c r="B2827" i="7"/>
  <c r="C2827" i="7" s="1"/>
  <c r="E2826" i="7"/>
  <c r="D2826" i="7"/>
  <c r="B2826" i="7"/>
  <c r="C2826" i="7" s="1"/>
  <c r="D2825" i="7"/>
  <c r="E2825" i="7" s="1"/>
  <c r="B2825" i="7"/>
  <c r="D2824" i="7"/>
  <c r="E2824" i="7" s="1"/>
  <c r="B2824" i="7"/>
  <c r="D2823" i="7"/>
  <c r="B2823" i="7"/>
  <c r="C2823" i="7" s="1"/>
  <c r="D2822" i="7"/>
  <c r="E2822" i="7" s="1"/>
  <c r="C2822" i="7"/>
  <c r="B2822" i="7"/>
  <c r="D2821" i="7"/>
  <c r="E2821" i="7" s="1"/>
  <c r="B2821" i="7"/>
  <c r="E2820" i="7"/>
  <c r="D2820" i="7"/>
  <c r="B2820" i="7"/>
  <c r="C2820" i="7" s="1"/>
  <c r="D2819" i="7"/>
  <c r="B2819" i="7"/>
  <c r="D2818" i="7"/>
  <c r="E2818" i="7" s="1"/>
  <c r="B2818" i="7"/>
  <c r="C2818" i="7" s="1"/>
  <c r="E2817" i="7"/>
  <c r="D2817" i="7"/>
  <c r="B2817" i="7"/>
  <c r="C2817" i="7" s="1"/>
  <c r="D2816" i="7"/>
  <c r="B2816" i="7"/>
  <c r="D2815" i="7"/>
  <c r="E2816" i="7" s="1"/>
  <c r="B2815" i="7"/>
  <c r="C2815" i="7" s="1"/>
  <c r="D2814" i="7"/>
  <c r="B2814" i="7"/>
  <c r="D2813" i="7"/>
  <c r="E2813" i="7" s="1"/>
  <c r="B2813" i="7"/>
  <c r="C2813" i="7" s="1"/>
  <c r="E2812" i="7"/>
  <c r="D2812" i="7"/>
  <c r="B2812" i="7"/>
  <c r="D2811" i="7"/>
  <c r="B2811" i="7"/>
  <c r="D2810" i="7"/>
  <c r="E2811" i="7" s="1"/>
  <c r="B2810" i="7"/>
  <c r="C2810" i="7" s="1"/>
  <c r="D2809" i="7"/>
  <c r="E2809" i="7" s="1"/>
  <c r="B2809" i="7"/>
  <c r="D2808" i="7"/>
  <c r="E2808" i="7" s="1"/>
  <c r="C2808" i="7"/>
  <c r="B2808" i="7"/>
  <c r="D2807" i="7"/>
  <c r="B2807" i="7"/>
  <c r="D2806" i="7"/>
  <c r="B2806" i="7"/>
  <c r="C2806" i="7" s="1"/>
  <c r="D2805" i="7"/>
  <c r="E2805" i="7" s="1"/>
  <c r="B2805" i="7"/>
  <c r="E2804" i="7"/>
  <c r="D2804" i="7"/>
  <c r="C2804" i="7"/>
  <c r="B2804" i="7"/>
  <c r="E2803" i="7"/>
  <c r="D2803" i="7"/>
  <c r="B2803" i="7"/>
  <c r="D2802" i="7"/>
  <c r="B2802" i="7"/>
  <c r="C2802" i="7" s="1"/>
  <c r="D2801" i="7"/>
  <c r="E2801" i="7" s="1"/>
  <c r="B2801" i="7"/>
  <c r="C2801" i="7" s="1"/>
  <c r="D2800" i="7"/>
  <c r="B2800" i="7"/>
  <c r="E2799" i="7"/>
  <c r="D2799" i="7"/>
  <c r="E2800" i="7" s="1"/>
  <c r="B2799" i="7"/>
  <c r="D2798" i="7"/>
  <c r="B2798" i="7"/>
  <c r="C2798" i="7" s="1"/>
  <c r="D2797" i="7"/>
  <c r="E2797" i="7" s="1"/>
  <c r="B2797" i="7"/>
  <c r="C2797" i="7" s="1"/>
  <c r="E2796" i="7"/>
  <c r="D2796" i="7"/>
  <c r="B2796" i="7"/>
  <c r="D2795" i="7"/>
  <c r="B2795" i="7"/>
  <c r="D2794" i="7"/>
  <c r="E2795" i="7" s="1"/>
  <c r="B2794" i="7"/>
  <c r="C2794" i="7" s="1"/>
  <c r="D2793" i="7"/>
  <c r="B2793" i="7"/>
  <c r="D2792" i="7"/>
  <c r="E2792" i="7" s="1"/>
  <c r="C2792" i="7"/>
  <c r="B2792" i="7"/>
  <c r="E2791" i="7"/>
  <c r="D2791" i="7"/>
  <c r="B2791" i="7"/>
  <c r="D2790" i="7"/>
  <c r="B2790" i="7"/>
  <c r="C2790" i="7" s="1"/>
  <c r="D2789" i="7"/>
  <c r="E2789" i="7" s="1"/>
  <c r="B2789" i="7"/>
  <c r="E2788" i="7"/>
  <c r="D2788" i="7"/>
  <c r="B2788" i="7"/>
  <c r="E2787" i="7"/>
  <c r="D2787" i="7"/>
  <c r="B2787" i="7"/>
  <c r="D2786" i="7"/>
  <c r="E2786" i="7" s="1"/>
  <c r="B2786" i="7"/>
  <c r="C2786" i="7" s="1"/>
  <c r="E2785" i="7"/>
  <c r="D2785" i="7"/>
  <c r="B2785" i="7"/>
  <c r="C2785" i="7" s="1"/>
  <c r="D2784" i="7"/>
  <c r="B2784" i="7"/>
  <c r="D2783" i="7"/>
  <c r="E2784" i="7" s="1"/>
  <c r="B2783" i="7"/>
  <c r="D2782" i="7"/>
  <c r="E2782" i="7" s="1"/>
  <c r="B2782" i="7"/>
  <c r="D2781" i="7"/>
  <c r="E2781" i="7" s="1"/>
  <c r="B2781" i="7"/>
  <c r="C2781" i="7" s="1"/>
  <c r="E2780" i="7"/>
  <c r="D2780" i="7"/>
  <c r="C2780" i="7"/>
  <c r="B2780" i="7"/>
  <c r="D2779" i="7"/>
  <c r="B2779" i="7"/>
  <c r="D2778" i="7"/>
  <c r="E2779" i="7" s="1"/>
  <c r="B2778" i="7"/>
  <c r="C2778" i="7" s="1"/>
  <c r="D2777" i="7"/>
  <c r="E2777" i="7" s="1"/>
  <c r="B2777" i="7"/>
  <c r="E2776" i="7"/>
  <c r="D2776" i="7"/>
  <c r="C2776" i="7"/>
  <c r="B2776" i="7"/>
  <c r="D2775" i="7"/>
  <c r="B2775" i="7"/>
  <c r="D2774" i="7"/>
  <c r="C2774" i="7"/>
  <c r="B2774" i="7"/>
  <c r="D2773" i="7"/>
  <c r="E2773" i="7" s="1"/>
  <c r="B2773" i="7"/>
  <c r="E2772" i="7"/>
  <c r="D2772" i="7"/>
  <c r="B2772" i="7"/>
  <c r="C2772" i="7" s="1"/>
  <c r="E2771" i="7"/>
  <c r="D2771" i="7"/>
  <c r="B2771" i="7"/>
  <c r="D2770" i="7"/>
  <c r="B2770" i="7"/>
  <c r="C2770" i="7" s="1"/>
  <c r="E2769" i="7"/>
  <c r="D2769" i="7"/>
  <c r="B2769" i="7"/>
  <c r="C2769" i="7" s="1"/>
  <c r="E2768" i="7"/>
  <c r="D2768" i="7"/>
  <c r="B2768" i="7"/>
  <c r="D2767" i="7"/>
  <c r="E2767" i="7" s="1"/>
  <c r="B2767" i="7"/>
  <c r="D2766" i="7"/>
  <c r="E2766" i="7" s="1"/>
  <c r="B2766" i="7"/>
  <c r="C2766" i="7" s="1"/>
  <c r="D2765" i="7"/>
  <c r="E2765" i="7" s="1"/>
  <c r="B2765" i="7"/>
  <c r="C2765" i="7" s="1"/>
  <c r="E2764" i="7"/>
  <c r="D2764" i="7"/>
  <c r="B2764" i="7"/>
  <c r="D2763" i="7"/>
  <c r="B2763" i="7"/>
  <c r="E2762" i="7"/>
  <c r="D2762" i="7"/>
  <c r="E2763" i="7" s="1"/>
  <c r="B2762" i="7"/>
  <c r="C2762" i="7" s="1"/>
  <c r="D2761" i="7"/>
  <c r="B2761" i="7"/>
  <c r="E2760" i="7"/>
  <c r="D2760" i="7"/>
  <c r="C2760" i="7"/>
  <c r="B2760" i="7"/>
  <c r="E2759" i="7"/>
  <c r="D2759" i="7"/>
  <c r="B2759" i="7"/>
  <c r="D2758" i="7"/>
  <c r="C2758" i="7"/>
  <c r="B2758" i="7"/>
  <c r="D2757" i="7"/>
  <c r="E2757" i="7" s="1"/>
  <c r="B2757" i="7"/>
  <c r="E2756" i="7"/>
  <c r="D2756" i="7"/>
  <c r="B2756" i="7"/>
  <c r="C2756" i="7" s="1"/>
  <c r="E2755" i="7"/>
  <c r="D2755" i="7"/>
  <c r="B2755" i="7"/>
  <c r="C2755" i="7" s="1"/>
  <c r="D2754" i="7"/>
  <c r="E2754" i="7" s="1"/>
  <c r="B2754" i="7"/>
  <c r="C2754" i="7" s="1"/>
  <c r="D2753" i="7"/>
  <c r="E2753" i="7" s="1"/>
  <c r="B2753" i="7"/>
  <c r="C2753" i="7" s="1"/>
  <c r="E2752" i="7"/>
  <c r="D2752" i="7"/>
  <c r="B2752" i="7"/>
  <c r="E2751" i="7"/>
  <c r="D2751" i="7"/>
  <c r="B2751" i="7"/>
  <c r="D2750" i="7"/>
  <c r="B2750" i="7"/>
  <c r="D2749" i="7"/>
  <c r="E2749" i="7" s="1"/>
  <c r="B2749" i="7"/>
  <c r="C2749" i="7" s="1"/>
  <c r="E2748" i="7"/>
  <c r="D2748" i="7"/>
  <c r="C2748" i="7"/>
  <c r="B2748" i="7"/>
  <c r="D2747" i="7"/>
  <c r="B2747" i="7"/>
  <c r="E2746" i="7"/>
  <c r="D2746" i="7"/>
  <c r="E2747" i="7" s="1"/>
  <c r="B2746" i="7"/>
  <c r="C2746" i="7" s="1"/>
  <c r="D2745" i="7"/>
  <c r="E2745" i="7" s="1"/>
  <c r="B2745" i="7"/>
  <c r="D2744" i="7"/>
  <c r="E2744" i="7" s="1"/>
  <c r="C2744" i="7"/>
  <c r="B2744" i="7"/>
  <c r="E2743" i="7"/>
  <c r="D2743" i="7"/>
  <c r="B2743" i="7"/>
  <c r="D2742" i="7"/>
  <c r="E2742" i="7" s="1"/>
  <c r="B2742" i="7"/>
  <c r="C2742" i="7" s="1"/>
  <c r="D2741" i="7"/>
  <c r="E2741" i="7" s="1"/>
  <c r="B2741" i="7"/>
  <c r="E2740" i="7"/>
  <c r="D2740" i="7"/>
  <c r="C2740" i="7"/>
  <c r="B2740" i="7"/>
  <c r="E2739" i="7"/>
  <c r="D2739" i="7"/>
  <c r="B2739" i="7"/>
  <c r="D2738" i="7"/>
  <c r="E2738" i="7" s="1"/>
  <c r="B2738" i="7"/>
  <c r="C2738" i="7" s="1"/>
  <c r="E2737" i="7"/>
  <c r="D2737" i="7"/>
  <c r="B2737" i="7"/>
  <c r="C2737" i="7" s="1"/>
  <c r="D2736" i="7"/>
  <c r="B2736" i="7"/>
  <c r="D2735" i="7"/>
  <c r="E2736" i="7" s="1"/>
  <c r="B2735" i="7"/>
  <c r="D2734" i="7"/>
  <c r="E2734" i="7" s="1"/>
  <c r="B2734" i="7"/>
  <c r="C2734" i="7" s="1"/>
  <c r="D2733" i="7"/>
  <c r="E2733" i="7" s="1"/>
  <c r="B2733" i="7"/>
  <c r="C2733" i="7" s="1"/>
  <c r="E2732" i="7"/>
  <c r="D2732" i="7"/>
  <c r="C2732" i="7"/>
  <c r="B2732" i="7"/>
  <c r="D2731" i="7"/>
  <c r="B2731" i="7"/>
  <c r="C2731" i="7" s="1"/>
  <c r="D2730" i="7"/>
  <c r="E2731" i="7" s="1"/>
  <c r="B2730" i="7"/>
  <c r="C2730" i="7" s="1"/>
  <c r="D2729" i="7"/>
  <c r="E2729" i="7" s="1"/>
  <c r="B2729" i="7"/>
  <c r="E2728" i="7"/>
  <c r="D2728" i="7"/>
  <c r="C2728" i="7"/>
  <c r="B2728" i="7"/>
  <c r="D2727" i="7"/>
  <c r="C2727" i="7"/>
  <c r="B2727" i="7"/>
  <c r="E2726" i="7"/>
  <c r="D2726" i="7"/>
  <c r="E2727" i="7" s="1"/>
  <c r="C2726" i="7"/>
  <c r="B2726" i="7"/>
  <c r="D2725" i="7"/>
  <c r="C2725" i="7"/>
  <c r="B2725" i="7"/>
  <c r="E2724" i="7"/>
  <c r="D2724" i="7"/>
  <c r="E2725" i="7" s="1"/>
  <c r="C2724" i="7"/>
  <c r="B2724" i="7"/>
  <c r="D2723" i="7"/>
  <c r="C2723" i="7"/>
  <c r="B2723" i="7"/>
  <c r="E2722" i="7"/>
  <c r="D2722" i="7"/>
  <c r="E2723" i="7" s="1"/>
  <c r="C2722" i="7"/>
  <c r="B2722" i="7"/>
  <c r="D2721" i="7"/>
  <c r="C2721" i="7"/>
  <c r="B2721" i="7"/>
  <c r="E2720" i="7"/>
  <c r="D2720" i="7"/>
  <c r="E2721" i="7" s="1"/>
  <c r="C2720" i="7"/>
  <c r="B2720" i="7"/>
  <c r="D2719" i="7"/>
  <c r="C2719" i="7"/>
  <c r="B2719" i="7"/>
  <c r="E2718" i="7"/>
  <c r="D2718" i="7"/>
  <c r="E2719" i="7" s="1"/>
  <c r="C2718" i="7"/>
  <c r="B2718" i="7"/>
  <c r="D2717" i="7"/>
  <c r="C2717" i="7"/>
  <c r="B2717" i="7"/>
  <c r="E2716" i="7"/>
  <c r="D2716" i="7"/>
  <c r="E2717" i="7" s="1"/>
  <c r="C2716" i="7"/>
  <c r="B2716" i="7"/>
  <c r="D2715" i="7"/>
  <c r="C2715" i="7"/>
  <c r="B2715" i="7"/>
  <c r="E2714" i="7"/>
  <c r="D2714" i="7"/>
  <c r="E2715" i="7" s="1"/>
  <c r="C2714" i="7"/>
  <c r="B2714" i="7"/>
  <c r="D2713" i="7"/>
  <c r="C2713" i="7"/>
  <c r="B2713" i="7"/>
  <c r="E2712" i="7"/>
  <c r="D2712" i="7"/>
  <c r="E2713" i="7" s="1"/>
  <c r="C2712" i="7"/>
  <c r="B2712" i="7"/>
  <c r="D2711" i="7"/>
  <c r="C2711" i="7"/>
  <c r="B2711" i="7"/>
  <c r="E2710" i="7"/>
  <c r="D2710" i="7"/>
  <c r="E2711" i="7" s="1"/>
  <c r="C2710" i="7"/>
  <c r="B2710" i="7"/>
  <c r="D2709" i="7"/>
  <c r="C2709" i="7"/>
  <c r="B2709" i="7"/>
  <c r="E2708" i="7"/>
  <c r="D2708" i="7"/>
  <c r="E2709" i="7" s="1"/>
  <c r="C2708" i="7"/>
  <c r="B2708" i="7"/>
  <c r="D2707" i="7"/>
  <c r="C2707" i="7"/>
  <c r="B2707" i="7"/>
  <c r="E2706" i="7"/>
  <c r="D2706" i="7"/>
  <c r="E2707" i="7" s="1"/>
  <c r="C2706" i="7"/>
  <c r="B2706" i="7"/>
  <c r="D2705" i="7"/>
  <c r="C2705" i="7"/>
  <c r="B2705" i="7"/>
  <c r="E2704" i="7"/>
  <c r="D2704" i="7"/>
  <c r="E2705" i="7" s="1"/>
  <c r="C2704" i="7"/>
  <c r="B2704" i="7"/>
  <c r="D2703" i="7"/>
  <c r="C2703" i="7"/>
  <c r="B2703" i="7"/>
  <c r="D2702" i="7"/>
  <c r="E2703" i="7" s="1"/>
  <c r="C2702" i="7"/>
  <c r="B2702" i="7"/>
  <c r="D2701" i="7"/>
  <c r="C2701" i="7"/>
  <c r="B2701" i="7"/>
  <c r="E2700" i="7"/>
  <c r="D2700" i="7"/>
  <c r="E2701" i="7" s="1"/>
  <c r="C2700" i="7"/>
  <c r="B2700" i="7"/>
  <c r="D2699" i="7"/>
  <c r="C2699" i="7"/>
  <c r="B2699" i="7"/>
  <c r="D2698" i="7"/>
  <c r="C2698" i="7"/>
  <c r="B2698" i="7"/>
  <c r="D2697" i="7"/>
  <c r="C2697" i="7"/>
  <c r="B2697" i="7"/>
  <c r="D2696" i="7"/>
  <c r="E2697" i="7" s="1"/>
  <c r="C2696" i="7"/>
  <c r="B2696" i="7"/>
  <c r="D2695" i="7"/>
  <c r="C2695" i="7"/>
  <c r="B2695" i="7"/>
  <c r="D2694" i="7"/>
  <c r="E2695" i="7" s="1"/>
  <c r="C2694" i="7"/>
  <c r="B2694" i="7"/>
  <c r="D2693" i="7"/>
  <c r="C2693" i="7"/>
  <c r="B2693" i="7"/>
  <c r="E2692" i="7"/>
  <c r="D2692" i="7"/>
  <c r="E2693" i="7" s="1"/>
  <c r="C2692" i="7"/>
  <c r="B2692" i="7"/>
  <c r="D2691" i="7"/>
  <c r="C2691" i="7"/>
  <c r="B2691" i="7"/>
  <c r="E2690" i="7"/>
  <c r="D2690" i="7"/>
  <c r="E2691" i="7" s="1"/>
  <c r="C2690" i="7"/>
  <c r="B2690" i="7"/>
  <c r="D2689" i="7"/>
  <c r="C2689" i="7"/>
  <c r="B2689" i="7"/>
  <c r="E2688" i="7"/>
  <c r="D2688" i="7"/>
  <c r="E2689" i="7" s="1"/>
  <c r="C2688" i="7"/>
  <c r="B2688" i="7"/>
  <c r="D2687" i="7"/>
  <c r="C2687" i="7"/>
  <c r="B2687" i="7"/>
  <c r="D2686" i="7"/>
  <c r="E2687" i="7" s="1"/>
  <c r="C2686" i="7"/>
  <c r="B2686" i="7"/>
  <c r="D2685" i="7"/>
  <c r="C2685" i="7"/>
  <c r="B2685" i="7"/>
  <c r="D2684" i="7"/>
  <c r="E2685" i="7" s="1"/>
  <c r="C2684" i="7"/>
  <c r="B2684" i="7"/>
  <c r="D2683" i="7"/>
  <c r="C2683" i="7"/>
  <c r="B2683" i="7"/>
  <c r="D2682" i="7"/>
  <c r="C2682" i="7"/>
  <c r="B2682" i="7"/>
  <c r="D2681" i="7"/>
  <c r="C2681" i="7"/>
  <c r="B2681" i="7"/>
  <c r="D2680" i="7"/>
  <c r="E2681" i="7" s="1"/>
  <c r="C2680" i="7"/>
  <c r="B2680" i="7"/>
  <c r="D2679" i="7"/>
  <c r="C2679" i="7"/>
  <c r="B2679" i="7"/>
  <c r="D2678" i="7"/>
  <c r="E2679" i="7" s="1"/>
  <c r="C2678" i="7"/>
  <c r="B2678" i="7"/>
  <c r="D2677" i="7"/>
  <c r="C2677" i="7"/>
  <c r="B2677" i="7"/>
  <c r="E2676" i="7"/>
  <c r="D2676" i="7"/>
  <c r="E2677" i="7" s="1"/>
  <c r="C2676" i="7"/>
  <c r="B2676" i="7"/>
  <c r="D2675" i="7"/>
  <c r="C2675" i="7"/>
  <c r="B2675" i="7"/>
  <c r="E2674" i="7"/>
  <c r="D2674" i="7"/>
  <c r="E2675" i="7" s="1"/>
  <c r="C2674" i="7"/>
  <c r="B2674" i="7"/>
  <c r="D2673" i="7"/>
  <c r="C2673" i="7"/>
  <c r="B2673" i="7"/>
  <c r="E2672" i="7"/>
  <c r="D2672" i="7"/>
  <c r="E2673" i="7" s="1"/>
  <c r="C2672" i="7"/>
  <c r="B2672" i="7"/>
  <c r="D2671" i="7"/>
  <c r="C2671" i="7"/>
  <c r="B2671" i="7"/>
  <c r="D2670" i="7"/>
  <c r="C2670" i="7"/>
  <c r="B2670" i="7"/>
  <c r="D2669" i="7"/>
  <c r="C2669" i="7"/>
  <c r="B2669" i="7"/>
  <c r="D2668" i="7"/>
  <c r="E2669" i="7" s="1"/>
  <c r="C2668" i="7"/>
  <c r="B2668" i="7"/>
  <c r="D2667" i="7"/>
  <c r="C2667" i="7"/>
  <c r="B2667" i="7"/>
  <c r="D2666" i="7"/>
  <c r="C2666" i="7"/>
  <c r="B2666" i="7"/>
  <c r="D2665" i="7"/>
  <c r="C2665" i="7"/>
  <c r="B2665" i="7"/>
  <c r="D2664" i="7"/>
  <c r="E2665" i="7" s="1"/>
  <c r="C2664" i="7"/>
  <c r="B2664" i="7"/>
  <c r="D2663" i="7"/>
  <c r="C2663" i="7"/>
  <c r="B2663" i="7"/>
  <c r="D2662" i="7"/>
  <c r="E2663" i="7" s="1"/>
  <c r="C2662" i="7"/>
  <c r="B2662" i="7"/>
  <c r="D2661" i="7"/>
  <c r="C2661" i="7"/>
  <c r="B2661" i="7"/>
  <c r="E2660" i="7"/>
  <c r="D2660" i="7"/>
  <c r="E2661" i="7" s="1"/>
  <c r="C2660" i="7"/>
  <c r="B2660" i="7"/>
  <c r="D2659" i="7"/>
  <c r="C2659" i="7"/>
  <c r="B2659" i="7"/>
  <c r="E2658" i="7"/>
  <c r="D2658" i="7"/>
  <c r="E2659" i="7" s="1"/>
  <c r="C2658" i="7"/>
  <c r="B2658" i="7"/>
  <c r="D2657" i="7"/>
  <c r="C2657" i="7"/>
  <c r="B2657" i="7"/>
  <c r="E2656" i="7"/>
  <c r="D2656" i="7"/>
  <c r="E2657" i="7" s="1"/>
  <c r="C2656" i="7"/>
  <c r="B2656" i="7"/>
  <c r="D2655" i="7"/>
  <c r="C2655" i="7"/>
  <c r="B2655" i="7"/>
  <c r="E2654" i="7"/>
  <c r="D2654" i="7"/>
  <c r="E2655" i="7" s="1"/>
  <c r="C2654" i="7"/>
  <c r="B2654" i="7"/>
  <c r="D2653" i="7"/>
  <c r="C2653" i="7"/>
  <c r="B2653" i="7"/>
  <c r="E2652" i="7"/>
  <c r="D2652" i="7"/>
  <c r="E2653" i="7" s="1"/>
  <c r="C2652" i="7"/>
  <c r="B2652" i="7"/>
  <c r="D2651" i="7"/>
  <c r="C2651" i="7"/>
  <c r="B2651" i="7"/>
  <c r="D2650" i="7"/>
  <c r="C2650" i="7"/>
  <c r="B2650" i="7"/>
  <c r="D2649" i="7"/>
  <c r="C2649" i="7"/>
  <c r="B2649" i="7"/>
  <c r="D2648" i="7"/>
  <c r="E2649" i="7" s="1"/>
  <c r="C2648" i="7"/>
  <c r="B2648" i="7"/>
  <c r="D2647" i="7"/>
  <c r="C2647" i="7"/>
  <c r="B2647" i="7"/>
  <c r="D2646" i="7"/>
  <c r="E2647" i="7" s="1"/>
  <c r="C2646" i="7"/>
  <c r="B2646" i="7"/>
  <c r="D2645" i="7"/>
  <c r="C2645" i="7"/>
  <c r="B2645" i="7"/>
  <c r="E2644" i="7"/>
  <c r="D2644" i="7"/>
  <c r="E2645" i="7" s="1"/>
  <c r="C2644" i="7"/>
  <c r="B2644" i="7"/>
  <c r="D2643" i="7"/>
  <c r="C2643" i="7"/>
  <c r="B2643" i="7"/>
  <c r="E2642" i="7"/>
  <c r="D2642" i="7"/>
  <c r="E2643" i="7" s="1"/>
  <c r="C2642" i="7"/>
  <c r="B2642" i="7"/>
  <c r="D2641" i="7"/>
  <c r="C2641" i="7"/>
  <c r="B2641" i="7"/>
  <c r="E2640" i="7"/>
  <c r="D2640" i="7"/>
  <c r="E2641" i="7" s="1"/>
  <c r="C2640" i="7"/>
  <c r="B2640" i="7"/>
  <c r="D2639" i="7"/>
  <c r="C2639" i="7"/>
  <c r="B2639" i="7"/>
  <c r="D2638" i="7"/>
  <c r="E2639" i="7" s="1"/>
  <c r="C2638" i="7"/>
  <c r="B2638" i="7"/>
  <c r="D2637" i="7"/>
  <c r="C2637" i="7"/>
  <c r="B2637" i="7"/>
  <c r="E2636" i="7"/>
  <c r="D2636" i="7"/>
  <c r="E2637" i="7" s="1"/>
  <c r="C2636" i="7"/>
  <c r="B2636" i="7"/>
  <c r="D2635" i="7"/>
  <c r="C2635" i="7"/>
  <c r="B2635" i="7"/>
  <c r="D2634" i="7"/>
  <c r="C2634" i="7"/>
  <c r="B2634" i="7"/>
  <c r="D2633" i="7"/>
  <c r="C2633" i="7"/>
  <c r="B2633" i="7"/>
  <c r="D2632" i="7"/>
  <c r="E2633" i="7" s="1"/>
  <c r="C2632" i="7"/>
  <c r="B2632" i="7"/>
  <c r="D2631" i="7"/>
  <c r="C2631" i="7"/>
  <c r="B2631" i="7"/>
  <c r="D2630" i="7"/>
  <c r="E2631" i="7" s="1"/>
  <c r="C2630" i="7"/>
  <c r="B2630" i="7"/>
  <c r="D2629" i="7"/>
  <c r="C2629" i="7"/>
  <c r="B2629" i="7"/>
  <c r="E2628" i="7"/>
  <c r="D2628" i="7"/>
  <c r="E2629" i="7" s="1"/>
  <c r="C2628" i="7"/>
  <c r="B2628" i="7"/>
  <c r="D2627" i="7"/>
  <c r="C2627" i="7"/>
  <c r="B2627" i="7"/>
  <c r="E2626" i="7"/>
  <c r="D2626" i="7"/>
  <c r="E2627" i="7" s="1"/>
  <c r="C2626" i="7"/>
  <c r="B2626" i="7"/>
  <c r="D2625" i="7"/>
  <c r="C2625" i="7"/>
  <c r="B2625" i="7"/>
  <c r="E2624" i="7"/>
  <c r="D2624" i="7"/>
  <c r="E2625" i="7" s="1"/>
  <c r="C2624" i="7"/>
  <c r="B2624" i="7"/>
  <c r="D2623" i="7"/>
  <c r="C2623" i="7"/>
  <c r="B2623" i="7"/>
  <c r="D2622" i="7"/>
  <c r="E2623" i="7" s="1"/>
  <c r="C2622" i="7"/>
  <c r="B2622" i="7"/>
  <c r="D2621" i="7"/>
  <c r="C2621" i="7"/>
  <c r="B2621" i="7"/>
  <c r="D2620" i="7"/>
  <c r="E2621" i="7" s="1"/>
  <c r="C2620" i="7"/>
  <c r="B2620" i="7"/>
  <c r="D2619" i="7"/>
  <c r="C2619" i="7"/>
  <c r="B2619" i="7"/>
  <c r="D2618" i="7"/>
  <c r="C2618" i="7"/>
  <c r="B2618" i="7"/>
  <c r="D2617" i="7"/>
  <c r="C2617" i="7"/>
  <c r="B2617" i="7"/>
  <c r="E2616" i="7"/>
  <c r="D2616" i="7"/>
  <c r="E2617" i="7" s="1"/>
  <c r="C2616" i="7"/>
  <c r="B2616" i="7"/>
  <c r="D2615" i="7"/>
  <c r="C2615" i="7"/>
  <c r="B2615" i="7"/>
  <c r="D2614" i="7"/>
  <c r="E2615" i="7" s="1"/>
  <c r="C2614" i="7"/>
  <c r="B2614" i="7"/>
  <c r="D2613" i="7"/>
  <c r="C2613" i="7"/>
  <c r="B2613" i="7"/>
  <c r="E2612" i="7"/>
  <c r="D2612" i="7"/>
  <c r="E2613" i="7" s="1"/>
  <c r="C2612" i="7"/>
  <c r="B2612" i="7"/>
  <c r="D2611" i="7"/>
  <c r="C2611" i="7"/>
  <c r="B2611" i="7"/>
  <c r="E2610" i="7"/>
  <c r="D2610" i="7"/>
  <c r="E2611" i="7" s="1"/>
  <c r="C2610" i="7"/>
  <c r="B2610" i="7"/>
  <c r="D2609" i="7"/>
  <c r="C2609" i="7"/>
  <c r="B2609" i="7"/>
  <c r="E2608" i="7"/>
  <c r="D2608" i="7"/>
  <c r="E2609" i="7" s="1"/>
  <c r="C2608" i="7"/>
  <c r="B2608" i="7"/>
  <c r="D2607" i="7"/>
  <c r="C2607" i="7"/>
  <c r="B2607" i="7"/>
  <c r="E2606" i="7"/>
  <c r="D2606" i="7"/>
  <c r="E2607" i="7" s="1"/>
  <c r="C2606" i="7"/>
  <c r="B2606" i="7"/>
  <c r="D2605" i="7"/>
  <c r="C2605" i="7"/>
  <c r="B2605" i="7"/>
  <c r="E2604" i="7"/>
  <c r="D2604" i="7"/>
  <c r="E2605" i="7" s="1"/>
  <c r="C2604" i="7"/>
  <c r="B2604" i="7"/>
  <c r="D2603" i="7"/>
  <c r="C2603" i="7"/>
  <c r="B2603" i="7"/>
  <c r="D2602" i="7"/>
  <c r="C2602" i="7"/>
  <c r="B2602" i="7"/>
  <c r="D2601" i="7"/>
  <c r="C2601" i="7"/>
  <c r="B2601" i="7"/>
  <c r="E2600" i="7"/>
  <c r="D2600" i="7"/>
  <c r="E2601" i="7" s="1"/>
  <c r="C2600" i="7"/>
  <c r="B2600" i="7"/>
  <c r="D2599" i="7"/>
  <c r="C2599" i="7"/>
  <c r="B2599" i="7"/>
  <c r="D2598" i="7"/>
  <c r="E2599" i="7" s="1"/>
  <c r="C2598" i="7"/>
  <c r="B2598" i="7"/>
  <c r="D2597" i="7"/>
  <c r="C2597" i="7"/>
  <c r="B2597" i="7"/>
  <c r="E2596" i="7"/>
  <c r="D2596" i="7"/>
  <c r="E2597" i="7" s="1"/>
  <c r="C2596" i="7"/>
  <c r="B2596" i="7"/>
  <c r="D2595" i="7"/>
  <c r="C2595" i="7"/>
  <c r="B2595" i="7"/>
  <c r="E2594" i="7"/>
  <c r="D2594" i="7"/>
  <c r="E2595" i="7" s="1"/>
  <c r="C2594" i="7"/>
  <c r="B2594" i="7"/>
  <c r="D2593" i="7"/>
  <c r="C2593" i="7"/>
  <c r="B2593" i="7"/>
  <c r="E2592" i="7"/>
  <c r="D2592" i="7"/>
  <c r="E2593" i="7" s="1"/>
  <c r="C2592" i="7"/>
  <c r="B2592" i="7"/>
  <c r="D2591" i="7"/>
  <c r="C2591" i="7"/>
  <c r="B2591" i="7"/>
  <c r="D2590" i="7"/>
  <c r="E2591" i="7" s="1"/>
  <c r="C2590" i="7"/>
  <c r="B2590" i="7"/>
  <c r="D2589" i="7"/>
  <c r="C2589" i="7"/>
  <c r="B2589" i="7"/>
  <c r="E2588" i="7"/>
  <c r="D2588" i="7"/>
  <c r="E2589" i="7" s="1"/>
  <c r="C2588" i="7"/>
  <c r="B2588" i="7"/>
  <c r="D2587" i="7"/>
  <c r="C2587" i="7"/>
  <c r="B2587" i="7"/>
  <c r="D2586" i="7"/>
  <c r="C2586" i="7"/>
  <c r="B2586" i="7"/>
  <c r="D2585" i="7"/>
  <c r="C2585" i="7"/>
  <c r="B2585" i="7"/>
  <c r="E2584" i="7"/>
  <c r="D2584" i="7"/>
  <c r="E2585" i="7" s="1"/>
  <c r="C2584" i="7"/>
  <c r="B2584" i="7"/>
  <c r="D2583" i="7"/>
  <c r="C2583" i="7"/>
  <c r="B2583" i="7"/>
  <c r="D2582" i="7"/>
  <c r="E2583" i="7" s="1"/>
  <c r="C2582" i="7"/>
  <c r="B2582" i="7"/>
  <c r="D2581" i="7"/>
  <c r="C2581" i="7"/>
  <c r="B2581" i="7"/>
  <c r="E2580" i="7"/>
  <c r="D2580" i="7"/>
  <c r="E2581" i="7" s="1"/>
  <c r="C2580" i="7"/>
  <c r="B2580" i="7"/>
  <c r="D2579" i="7"/>
  <c r="C2579" i="7"/>
  <c r="B2579" i="7"/>
  <c r="E2578" i="7"/>
  <c r="D2578" i="7"/>
  <c r="E2579" i="7" s="1"/>
  <c r="C2578" i="7"/>
  <c r="B2578" i="7"/>
  <c r="D2577" i="7"/>
  <c r="C2577" i="7"/>
  <c r="B2577" i="7"/>
  <c r="E2576" i="7"/>
  <c r="D2576" i="7"/>
  <c r="E2577" i="7" s="1"/>
  <c r="C2576" i="7"/>
  <c r="B2576" i="7"/>
  <c r="D2575" i="7"/>
  <c r="C2575" i="7"/>
  <c r="B2575" i="7"/>
  <c r="D2574" i="7"/>
  <c r="E2575" i="7" s="1"/>
  <c r="C2574" i="7"/>
  <c r="B2574" i="7"/>
  <c r="D2573" i="7"/>
  <c r="C2573" i="7"/>
  <c r="B2573" i="7"/>
  <c r="D2572" i="7"/>
  <c r="C2572" i="7"/>
  <c r="B2572" i="7"/>
  <c r="D2571" i="7"/>
  <c r="C2571" i="7"/>
  <c r="B2571" i="7"/>
  <c r="D2570" i="7"/>
  <c r="C2570" i="7"/>
  <c r="B2570" i="7"/>
  <c r="D2569" i="7"/>
  <c r="C2569" i="7"/>
  <c r="B2569" i="7"/>
  <c r="E2568" i="7"/>
  <c r="D2568" i="7"/>
  <c r="E2569" i="7" s="1"/>
  <c r="C2568" i="7"/>
  <c r="B2568" i="7"/>
  <c r="D2567" i="7"/>
  <c r="C2567" i="7"/>
  <c r="B2567" i="7"/>
  <c r="D2566" i="7"/>
  <c r="E2567" i="7" s="1"/>
  <c r="C2566" i="7"/>
  <c r="B2566" i="7"/>
  <c r="D2565" i="7"/>
  <c r="C2565" i="7"/>
  <c r="B2565" i="7"/>
  <c r="E2564" i="7"/>
  <c r="D2564" i="7"/>
  <c r="E2565" i="7" s="1"/>
  <c r="C2564" i="7"/>
  <c r="B2564" i="7"/>
  <c r="D2563" i="7"/>
  <c r="C2563" i="7"/>
  <c r="B2563" i="7"/>
  <c r="E2562" i="7"/>
  <c r="D2562" i="7"/>
  <c r="E2563" i="7" s="1"/>
  <c r="C2562" i="7"/>
  <c r="B2562" i="7"/>
  <c r="D2561" i="7"/>
  <c r="C2561" i="7"/>
  <c r="B2561" i="7"/>
  <c r="E2560" i="7"/>
  <c r="D2560" i="7"/>
  <c r="E2561" i="7" s="1"/>
  <c r="C2560" i="7"/>
  <c r="B2560" i="7"/>
  <c r="D2559" i="7"/>
  <c r="C2559" i="7"/>
  <c r="B2559" i="7"/>
  <c r="D2558" i="7"/>
  <c r="E2559" i="7" s="1"/>
  <c r="C2558" i="7"/>
  <c r="B2558" i="7"/>
  <c r="D2557" i="7"/>
  <c r="C2557" i="7"/>
  <c r="B2557" i="7"/>
  <c r="D2556" i="7"/>
  <c r="E2557" i="7" s="1"/>
  <c r="C2556" i="7"/>
  <c r="B2556" i="7"/>
  <c r="D2555" i="7"/>
  <c r="C2555" i="7"/>
  <c r="B2555" i="7"/>
  <c r="D2554" i="7"/>
  <c r="C2554" i="7"/>
  <c r="B2554" i="7"/>
  <c r="D2553" i="7"/>
  <c r="C2553" i="7"/>
  <c r="B2553" i="7"/>
  <c r="E2552" i="7"/>
  <c r="D2552" i="7"/>
  <c r="E2553" i="7" s="1"/>
  <c r="C2552" i="7"/>
  <c r="B2552" i="7"/>
  <c r="D2551" i="7"/>
  <c r="C2551" i="7"/>
  <c r="B2551" i="7"/>
  <c r="D2550" i="7"/>
  <c r="E2551" i="7" s="1"/>
  <c r="C2550" i="7"/>
  <c r="B2550" i="7"/>
  <c r="D2549" i="7"/>
  <c r="C2549" i="7"/>
  <c r="B2549" i="7"/>
  <c r="E2548" i="7"/>
  <c r="D2548" i="7"/>
  <c r="E2549" i="7" s="1"/>
  <c r="C2548" i="7"/>
  <c r="B2548" i="7"/>
  <c r="D2547" i="7"/>
  <c r="C2547" i="7"/>
  <c r="B2547" i="7"/>
  <c r="E2546" i="7"/>
  <c r="D2546" i="7"/>
  <c r="E2547" i="7" s="1"/>
  <c r="C2546" i="7"/>
  <c r="B2546" i="7"/>
  <c r="D2545" i="7"/>
  <c r="C2545" i="7"/>
  <c r="B2545" i="7"/>
  <c r="E2544" i="7"/>
  <c r="D2544" i="7"/>
  <c r="E2545" i="7" s="1"/>
  <c r="C2544" i="7"/>
  <c r="B2544" i="7"/>
  <c r="D2543" i="7"/>
  <c r="C2543" i="7"/>
  <c r="B2543" i="7"/>
  <c r="E2542" i="7"/>
  <c r="D2542" i="7"/>
  <c r="E2543" i="7" s="1"/>
  <c r="C2542" i="7"/>
  <c r="B2542" i="7"/>
  <c r="D2541" i="7"/>
  <c r="C2541" i="7"/>
  <c r="B2541" i="7"/>
  <c r="E2540" i="7"/>
  <c r="D2540" i="7"/>
  <c r="E2541" i="7" s="1"/>
  <c r="C2540" i="7"/>
  <c r="B2540" i="7"/>
  <c r="D2539" i="7"/>
  <c r="C2539" i="7"/>
  <c r="B2539" i="7"/>
  <c r="D2538" i="7"/>
  <c r="C2538" i="7"/>
  <c r="B2538" i="7"/>
  <c r="D2537" i="7"/>
  <c r="C2537" i="7"/>
  <c r="B2537" i="7"/>
  <c r="E2536" i="7"/>
  <c r="D2536" i="7"/>
  <c r="E2537" i="7" s="1"/>
  <c r="C2536" i="7"/>
  <c r="B2536" i="7"/>
  <c r="D2535" i="7"/>
  <c r="C2535" i="7"/>
  <c r="B2535" i="7"/>
  <c r="D2534" i="7"/>
  <c r="E2535" i="7" s="1"/>
  <c r="C2534" i="7"/>
  <c r="B2534" i="7"/>
  <c r="D2533" i="7"/>
  <c r="C2533" i="7"/>
  <c r="B2533" i="7"/>
  <c r="E2532" i="7"/>
  <c r="D2532" i="7"/>
  <c r="E2533" i="7" s="1"/>
  <c r="C2532" i="7"/>
  <c r="B2532" i="7"/>
  <c r="D2531" i="7"/>
  <c r="C2531" i="7"/>
  <c r="B2531" i="7"/>
  <c r="E2530" i="7"/>
  <c r="D2530" i="7"/>
  <c r="E2531" i="7" s="1"/>
  <c r="C2530" i="7"/>
  <c r="B2530" i="7"/>
  <c r="D2529" i="7"/>
  <c r="C2529" i="7"/>
  <c r="B2529" i="7"/>
  <c r="E2528" i="7"/>
  <c r="D2528" i="7"/>
  <c r="E2529" i="7" s="1"/>
  <c r="C2528" i="7"/>
  <c r="B2528" i="7"/>
  <c r="D2527" i="7"/>
  <c r="C2527" i="7"/>
  <c r="B2527" i="7"/>
  <c r="D2526" i="7"/>
  <c r="E2527" i="7" s="1"/>
  <c r="C2526" i="7"/>
  <c r="B2526" i="7"/>
  <c r="D2525" i="7"/>
  <c r="C2525" i="7"/>
  <c r="B2525" i="7"/>
  <c r="D2524" i="7"/>
  <c r="E2525" i="7" s="1"/>
  <c r="C2524" i="7"/>
  <c r="B2524" i="7"/>
  <c r="D2523" i="7"/>
  <c r="C2523" i="7"/>
  <c r="B2523" i="7"/>
  <c r="D2522" i="7"/>
  <c r="C2522" i="7"/>
  <c r="B2522" i="7"/>
  <c r="D2521" i="7"/>
  <c r="C2521" i="7"/>
  <c r="B2521" i="7"/>
  <c r="E2520" i="7"/>
  <c r="D2520" i="7"/>
  <c r="E2521" i="7" s="1"/>
  <c r="C2520" i="7"/>
  <c r="B2520" i="7"/>
  <c r="D2519" i="7"/>
  <c r="C2519" i="7"/>
  <c r="B2519" i="7"/>
  <c r="D2518" i="7"/>
  <c r="E2519" i="7" s="1"/>
  <c r="C2518" i="7"/>
  <c r="B2518" i="7"/>
  <c r="D2517" i="7"/>
  <c r="C2517" i="7"/>
  <c r="B2517" i="7"/>
  <c r="E2516" i="7"/>
  <c r="D2516" i="7"/>
  <c r="E2517" i="7" s="1"/>
  <c r="C2516" i="7"/>
  <c r="B2516" i="7"/>
  <c r="D2515" i="7"/>
  <c r="C2515" i="7"/>
  <c r="B2515" i="7"/>
  <c r="E2514" i="7"/>
  <c r="D2514" i="7"/>
  <c r="E2515" i="7" s="1"/>
  <c r="C2514" i="7"/>
  <c r="B2514" i="7"/>
  <c r="D2513" i="7"/>
  <c r="C2513" i="7"/>
  <c r="B2513" i="7"/>
  <c r="E2512" i="7"/>
  <c r="D2512" i="7"/>
  <c r="E2513" i="7" s="1"/>
  <c r="C2512" i="7"/>
  <c r="B2512" i="7"/>
  <c r="D2511" i="7"/>
  <c r="C2511" i="7"/>
  <c r="B2511" i="7"/>
  <c r="E2510" i="7"/>
  <c r="D2510" i="7"/>
  <c r="E2511" i="7" s="1"/>
  <c r="C2510" i="7"/>
  <c r="B2510" i="7"/>
  <c r="D2509" i="7"/>
  <c r="C2509" i="7"/>
  <c r="B2509" i="7"/>
  <c r="D2508" i="7"/>
  <c r="C2508" i="7"/>
  <c r="B2508" i="7"/>
  <c r="D2507" i="7"/>
  <c r="C2507" i="7"/>
  <c r="B2507" i="7"/>
  <c r="D2506" i="7"/>
  <c r="C2506" i="7"/>
  <c r="B2506" i="7"/>
  <c r="D2505" i="7"/>
  <c r="C2505" i="7"/>
  <c r="B2505" i="7"/>
  <c r="E2504" i="7"/>
  <c r="D2504" i="7"/>
  <c r="E2505" i="7" s="1"/>
  <c r="C2504" i="7"/>
  <c r="B2504" i="7"/>
  <c r="D2503" i="7"/>
  <c r="C2503" i="7"/>
  <c r="B2503" i="7"/>
  <c r="D2502" i="7"/>
  <c r="E2503" i="7" s="1"/>
  <c r="C2502" i="7"/>
  <c r="B2502" i="7"/>
  <c r="D2501" i="7"/>
  <c r="C2501" i="7"/>
  <c r="B2501" i="7"/>
  <c r="E2500" i="7"/>
  <c r="D2500" i="7"/>
  <c r="E2501" i="7" s="1"/>
  <c r="C2500" i="7"/>
  <c r="B2500" i="7"/>
  <c r="D2499" i="7"/>
  <c r="C2499" i="7"/>
  <c r="B2499" i="7"/>
  <c r="E2498" i="7"/>
  <c r="D2498" i="7"/>
  <c r="E2499" i="7" s="1"/>
  <c r="C2498" i="7"/>
  <c r="B2498" i="7"/>
  <c r="D2497" i="7"/>
  <c r="C2497" i="7"/>
  <c r="B2497" i="7"/>
  <c r="E2496" i="7"/>
  <c r="D2496" i="7"/>
  <c r="E2497" i="7" s="1"/>
  <c r="C2496" i="7"/>
  <c r="B2496" i="7"/>
  <c r="D2495" i="7"/>
  <c r="C2495" i="7"/>
  <c r="B2495" i="7"/>
  <c r="D2494" i="7"/>
  <c r="E2495" i="7" s="1"/>
  <c r="C2494" i="7"/>
  <c r="B2494" i="7"/>
  <c r="D2493" i="7"/>
  <c r="C2493" i="7"/>
  <c r="B2493" i="7"/>
  <c r="D2492" i="7"/>
  <c r="E2493" i="7" s="1"/>
  <c r="C2492" i="7"/>
  <c r="B2492" i="7"/>
  <c r="D2491" i="7"/>
  <c r="C2491" i="7"/>
  <c r="B2491" i="7"/>
  <c r="D2490" i="7"/>
  <c r="C2490" i="7"/>
  <c r="B2490" i="7"/>
  <c r="D2489" i="7"/>
  <c r="C2489" i="7"/>
  <c r="B2489" i="7"/>
  <c r="E2488" i="7"/>
  <c r="D2488" i="7"/>
  <c r="E2489" i="7" s="1"/>
  <c r="C2488" i="7"/>
  <c r="B2488" i="7"/>
  <c r="D2487" i="7"/>
  <c r="C2487" i="7"/>
  <c r="B2487" i="7"/>
  <c r="D2486" i="7"/>
  <c r="E2487" i="7" s="1"/>
  <c r="C2486" i="7"/>
  <c r="B2486" i="7"/>
  <c r="D2485" i="7"/>
  <c r="C2485" i="7"/>
  <c r="B2485" i="7"/>
  <c r="E2484" i="7"/>
  <c r="D2484" i="7"/>
  <c r="E2485" i="7" s="1"/>
  <c r="C2484" i="7"/>
  <c r="B2484" i="7"/>
  <c r="D2483" i="7"/>
  <c r="C2483" i="7"/>
  <c r="B2483" i="7"/>
  <c r="E2482" i="7"/>
  <c r="D2482" i="7"/>
  <c r="E2483" i="7" s="1"/>
  <c r="C2482" i="7"/>
  <c r="B2482" i="7"/>
  <c r="D2481" i="7"/>
  <c r="C2481" i="7"/>
  <c r="B2481" i="7"/>
  <c r="E2480" i="7"/>
  <c r="D2480" i="7"/>
  <c r="E2481" i="7" s="1"/>
  <c r="C2480" i="7"/>
  <c r="B2480" i="7"/>
  <c r="D2479" i="7"/>
  <c r="C2479" i="7"/>
  <c r="B2479" i="7"/>
  <c r="E2478" i="7"/>
  <c r="D2478" i="7"/>
  <c r="E2479" i="7" s="1"/>
  <c r="C2478" i="7"/>
  <c r="B2478" i="7"/>
  <c r="D2477" i="7"/>
  <c r="C2477" i="7"/>
  <c r="B2477" i="7"/>
  <c r="E2476" i="7"/>
  <c r="D2476" i="7"/>
  <c r="E2477" i="7" s="1"/>
  <c r="C2476" i="7"/>
  <c r="B2476" i="7"/>
  <c r="D2475" i="7"/>
  <c r="C2475" i="7"/>
  <c r="B2475" i="7"/>
  <c r="D2474" i="7"/>
  <c r="C2474" i="7"/>
  <c r="B2474" i="7"/>
  <c r="D2473" i="7"/>
  <c r="C2473" i="7"/>
  <c r="B2473" i="7"/>
  <c r="E2472" i="7"/>
  <c r="D2472" i="7"/>
  <c r="E2473" i="7" s="1"/>
  <c r="C2472" i="7"/>
  <c r="B2472" i="7"/>
  <c r="D2471" i="7"/>
  <c r="C2471" i="7"/>
  <c r="B2471" i="7"/>
  <c r="D2470" i="7"/>
  <c r="E2471" i="7" s="1"/>
  <c r="C2470" i="7"/>
  <c r="B2470" i="7"/>
  <c r="D2469" i="7"/>
  <c r="C2469" i="7"/>
  <c r="B2469" i="7"/>
  <c r="E2468" i="7"/>
  <c r="D2468" i="7"/>
  <c r="E2469" i="7" s="1"/>
  <c r="C2468" i="7"/>
  <c r="B2468" i="7"/>
  <c r="D2467" i="7"/>
  <c r="C2467" i="7"/>
  <c r="B2467" i="7"/>
  <c r="E2466" i="7"/>
  <c r="D2466" i="7"/>
  <c r="E2467" i="7" s="1"/>
  <c r="C2466" i="7"/>
  <c r="B2466" i="7"/>
  <c r="D2465" i="7"/>
  <c r="C2465" i="7"/>
  <c r="B2465" i="7"/>
  <c r="E2464" i="7"/>
  <c r="D2464" i="7"/>
  <c r="E2465" i="7" s="1"/>
  <c r="C2464" i="7"/>
  <c r="B2464" i="7"/>
  <c r="D2463" i="7"/>
  <c r="C2463" i="7"/>
  <c r="B2463" i="7"/>
  <c r="D2462" i="7"/>
  <c r="E2463" i="7" s="1"/>
  <c r="C2462" i="7"/>
  <c r="B2462" i="7"/>
  <c r="D2461" i="7"/>
  <c r="C2461" i="7"/>
  <c r="B2461" i="7"/>
  <c r="D2460" i="7"/>
  <c r="E2461" i="7" s="1"/>
  <c r="C2460" i="7"/>
  <c r="B2460" i="7"/>
  <c r="D2459" i="7"/>
  <c r="C2459" i="7"/>
  <c r="B2459" i="7"/>
  <c r="D2458" i="7"/>
  <c r="C2458" i="7"/>
  <c r="B2458" i="7"/>
  <c r="D2457" i="7"/>
  <c r="C2457" i="7"/>
  <c r="B2457" i="7"/>
  <c r="E2456" i="7"/>
  <c r="D2456" i="7"/>
  <c r="E2457" i="7" s="1"/>
  <c r="C2456" i="7"/>
  <c r="B2456" i="7"/>
  <c r="D2455" i="7"/>
  <c r="C2455" i="7"/>
  <c r="B2455" i="7"/>
  <c r="D2454" i="7"/>
  <c r="E2455" i="7" s="1"/>
  <c r="C2454" i="7"/>
  <c r="B2454" i="7"/>
  <c r="D2453" i="7"/>
  <c r="C2453" i="7"/>
  <c r="B2453" i="7"/>
  <c r="E2452" i="7"/>
  <c r="D2452" i="7"/>
  <c r="E2453" i="7" s="1"/>
  <c r="C2452" i="7"/>
  <c r="B2452" i="7"/>
  <c r="D2451" i="7"/>
  <c r="C2451" i="7"/>
  <c r="B2451" i="7"/>
  <c r="E2450" i="7"/>
  <c r="D2450" i="7"/>
  <c r="E2451" i="7" s="1"/>
  <c r="C2450" i="7"/>
  <c r="B2450" i="7"/>
  <c r="D2449" i="7"/>
  <c r="C2449" i="7"/>
  <c r="B2449" i="7"/>
  <c r="E2448" i="7"/>
  <c r="D2448" i="7"/>
  <c r="E2449" i="7" s="1"/>
  <c r="C2448" i="7"/>
  <c r="B2448" i="7"/>
  <c r="D2447" i="7"/>
  <c r="C2447" i="7"/>
  <c r="B2447" i="7"/>
  <c r="E2446" i="7"/>
  <c r="D2446" i="7"/>
  <c r="E2447" i="7" s="1"/>
  <c r="C2446" i="7"/>
  <c r="B2446" i="7"/>
  <c r="D2445" i="7"/>
  <c r="C2445" i="7"/>
  <c r="B2445" i="7"/>
  <c r="D2444" i="7"/>
  <c r="C2444" i="7"/>
  <c r="B2444" i="7"/>
  <c r="D2443" i="7"/>
  <c r="C2443" i="7"/>
  <c r="B2443" i="7"/>
  <c r="D2442" i="7"/>
  <c r="C2442" i="7"/>
  <c r="B2442" i="7"/>
  <c r="D2441" i="7"/>
  <c r="C2441" i="7"/>
  <c r="B2441" i="7"/>
  <c r="E2440" i="7"/>
  <c r="D2440" i="7"/>
  <c r="E2441" i="7" s="1"/>
  <c r="C2440" i="7"/>
  <c r="B2440" i="7"/>
  <c r="D2439" i="7"/>
  <c r="C2439" i="7"/>
  <c r="B2439" i="7"/>
  <c r="D2438" i="7"/>
  <c r="E2439" i="7" s="1"/>
  <c r="C2438" i="7"/>
  <c r="B2438" i="7"/>
  <c r="D2437" i="7"/>
  <c r="C2437" i="7"/>
  <c r="B2437" i="7"/>
  <c r="E2436" i="7"/>
  <c r="D2436" i="7"/>
  <c r="E2437" i="7" s="1"/>
  <c r="C2436" i="7"/>
  <c r="B2436" i="7"/>
  <c r="D2435" i="7"/>
  <c r="C2435" i="7"/>
  <c r="B2435" i="7"/>
  <c r="E2434" i="7"/>
  <c r="D2434" i="7"/>
  <c r="E2435" i="7" s="1"/>
  <c r="C2434" i="7"/>
  <c r="B2434" i="7"/>
  <c r="D2433" i="7"/>
  <c r="C2433" i="7"/>
  <c r="B2433" i="7"/>
  <c r="E2432" i="7"/>
  <c r="D2432" i="7"/>
  <c r="E2433" i="7" s="1"/>
  <c r="C2432" i="7"/>
  <c r="B2432" i="7"/>
  <c r="D2431" i="7"/>
  <c r="C2431" i="7"/>
  <c r="B2431" i="7"/>
  <c r="D2430" i="7"/>
  <c r="E2431" i="7" s="1"/>
  <c r="C2430" i="7"/>
  <c r="B2430" i="7"/>
  <c r="D2429" i="7"/>
  <c r="C2429" i="7"/>
  <c r="B2429" i="7"/>
  <c r="D2428" i="7"/>
  <c r="E2429" i="7" s="1"/>
  <c r="C2428" i="7"/>
  <c r="B2428" i="7"/>
  <c r="D2427" i="7"/>
  <c r="C2427" i="7"/>
  <c r="B2427" i="7"/>
  <c r="D2426" i="7"/>
  <c r="C2426" i="7"/>
  <c r="B2426" i="7"/>
  <c r="D2425" i="7"/>
  <c r="C2425" i="7"/>
  <c r="B2425" i="7"/>
  <c r="E2424" i="7"/>
  <c r="D2424" i="7"/>
  <c r="E2425" i="7" s="1"/>
  <c r="C2424" i="7"/>
  <c r="B2424" i="7"/>
  <c r="D2423" i="7"/>
  <c r="C2423" i="7"/>
  <c r="B2423" i="7"/>
  <c r="D2422" i="7"/>
  <c r="E2423" i="7" s="1"/>
  <c r="C2422" i="7"/>
  <c r="B2422" i="7"/>
  <c r="D2421" i="7"/>
  <c r="C2421" i="7"/>
  <c r="B2421" i="7"/>
  <c r="E2420" i="7"/>
  <c r="D2420" i="7"/>
  <c r="E2421" i="7" s="1"/>
  <c r="C2420" i="7"/>
  <c r="B2420" i="7"/>
  <c r="D2419" i="7"/>
  <c r="C2419" i="7"/>
  <c r="B2419" i="7"/>
  <c r="E2418" i="7"/>
  <c r="D2418" i="7"/>
  <c r="E2419" i="7" s="1"/>
  <c r="C2418" i="7"/>
  <c r="B2418" i="7"/>
  <c r="D2417" i="7"/>
  <c r="C2417" i="7"/>
  <c r="B2417" i="7"/>
  <c r="E2416" i="7"/>
  <c r="D2416" i="7"/>
  <c r="E2417" i="7" s="1"/>
  <c r="C2416" i="7"/>
  <c r="B2416" i="7"/>
  <c r="D2415" i="7"/>
  <c r="C2415" i="7"/>
  <c r="B2415" i="7"/>
  <c r="E2414" i="7"/>
  <c r="D2414" i="7"/>
  <c r="E2415" i="7" s="1"/>
  <c r="C2414" i="7"/>
  <c r="B2414" i="7"/>
  <c r="D2413" i="7"/>
  <c r="C2413" i="7"/>
  <c r="B2413" i="7"/>
  <c r="E2412" i="7"/>
  <c r="D2412" i="7"/>
  <c r="E2413" i="7" s="1"/>
  <c r="C2412" i="7"/>
  <c r="B2412" i="7"/>
  <c r="D2411" i="7"/>
  <c r="C2411" i="7"/>
  <c r="B2411" i="7"/>
  <c r="D2410" i="7"/>
  <c r="C2410" i="7"/>
  <c r="B2410" i="7"/>
  <c r="D2409" i="7"/>
  <c r="C2409" i="7"/>
  <c r="B2409" i="7"/>
  <c r="E2408" i="7"/>
  <c r="D2408" i="7"/>
  <c r="E2409" i="7" s="1"/>
  <c r="C2408" i="7"/>
  <c r="B2408" i="7"/>
  <c r="D2407" i="7"/>
  <c r="C2407" i="7"/>
  <c r="B2407" i="7"/>
  <c r="D2406" i="7"/>
  <c r="E2407" i="7" s="1"/>
  <c r="C2406" i="7"/>
  <c r="B2406" i="7"/>
  <c r="D2405" i="7"/>
  <c r="C2405" i="7"/>
  <c r="B2405" i="7"/>
  <c r="E2404" i="7"/>
  <c r="D2404" i="7"/>
  <c r="E2405" i="7" s="1"/>
  <c r="C2404" i="7"/>
  <c r="B2404" i="7"/>
  <c r="D2403" i="7"/>
  <c r="C2403" i="7"/>
  <c r="B2403" i="7"/>
  <c r="E2402" i="7"/>
  <c r="D2402" i="7"/>
  <c r="E2403" i="7" s="1"/>
  <c r="C2402" i="7"/>
  <c r="B2402" i="7"/>
  <c r="D2401" i="7"/>
  <c r="C2401" i="7"/>
  <c r="B2401" i="7"/>
  <c r="E2400" i="7"/>
  <c r="D2400" i="7"/>
  <c r="E2401" i="7" s="1"/>
  <c r="C2400" i="7"/>
  <c r="B2400" i="7"/>
  <c r="D2399" i="7"/>
  <c r="C2399" i="7"/>
  <c r="B2399" i="7"/>
  <c r="E2398" i="7"/>
  <c r="D2398" i="7"/>
  <c r="E2399" i="7" s="1"/>
  <c r="C2398" i="7"/>
  <c r="B2398" i="7"/>
  <c r="D2397" i="7"/>
  <c r="C2397" i="7"/>
  <c r="B2397" i="7"/>
  <c r="D2396" i="7"/>
  <c r="C2396" i="7"/>
  <c r="B2396" i="7"/>
  <c r="D2395" i="7"/>
  <c r="C2395" i="7"/>
  <c r="B2395" i="7"/>
  <c r="D2394" i="7"/>
  <c r="C2394" i="7"/>
  <c r="B2394" i="7"/>
  <c r="D2393" i="7"/>
  <c r="C2393" i="7"/>
  <c r="B2393" i="7"/>
  <c r="E2392" i="7"/>
  <c r="D2392" i="7"/>
  <c r="E2393" i="7" s="1"/>
  <c r="C2392" i="7"/>
  <c r="B2392" i="7"/>
  <c r="D2391" i="7"/>
  <c r="C2391" i="7"/>
  <c r="B2391" i="7"/>
  <c r="D2390" i="7"/>
  <c r="E2391" i="7" s="1"/>
  <c r="C2390" i="7"/>
  <c r="B2390" i="7"/>
  <c r="D2389" i="7"/>
  <c r="C2389" i="7"/>
  <c r="B2389" i="7"/>
  <c r="E2388" i="7"/>
  <c r="D2388" i="7"/>
  <c r="E2389" i="7" s="1"/>
  <c r="C2388" i="7"/>
  <c r="B2388" i="7"/>
  <c r="D2387" i="7"/>
  <c r="C2387" i="7"/>
  <c r="B2387" i="7"/>
  <c r="E2386" i="7"/>
  <c r="D2386" i="7"/>
  <c r="E2387" i="7" s="1"/>
  <c r="C2386" i="7"/>
  <c r="B2386" i="7"/>
  <c r="D2385" i="7"/>
  <c r="C2385" i="7"/>
  <c r="B2385" i="7"/>
  <c r="E2384" i="7"/>
  <c r="D2384" i="7"/>
  <c r="E2385" i="7" s="1"/>
  <c r="C2384" i="7"/>
  <c r="B2384" i="7"/>
  <c r="D2383" i="7"/>
  <c r="C2383" i="7"/>
  <c r="B2383" i="7"/>
  <c r="D2382" i="7"/>
  <c r="E2383" i="7" s="1"/>
  <c r="C2382" i="7"/>
  <c r="B2382" i="7"/>
  <c r="D2381" i="7"/>
  <c r="C2381" i="7"/>
  <c r="B2381" i="7"/>
  <c r="D2380" i="7"/>
  <c r="C2380" i="7"/>
  <c r="B2380" i="7"/>
  <c r="D2379" i="7"/>
  <c r="C2379" i="7"/>
  <c r="B2379" i="7"/>
  <c r="D2378" i="7"/>
  <c r="C2378" i="7"/>
  <c r="B2378" i="7"/>
  <c r="D2377" i="7"/>
  <c r="C2377" i="7"/>
  <c r="B2377" i="7"/>
  <c r="E2376" i="7"/>
  <c r="D2376" i="7"/>
  <c r="E2377" i="7" s="1"/>
  <c r="C2376" i="7"/>
  <c r="B2376" i="7"/>
  <c r="D2375" i="7"/>
  <c r="C2375" i="7"/>
  <c r="B2375" i="7"/>
  <c r="D2374" i="7"/>
  <c r="E2375" i="7" s="1"/>
  <c r="C2374" i="7"/>
  <c r="B2374" i="7"/>
  <c r="D2373" i="7"/>
  <c r="C2373" i="7"/>
  <c r="B2373" i="7"/>
  <c r="E2372" i="7"/>
  <c r="D2372" i="7"/>
  <c r="E2373" i="7" s="1"/>
  <c r="C2372" i="7"/>
  <c r="B2372" i="7"/>
  <c r="D2371" i="7"/>
  <c r="C2371" i="7"/>
  <c r="B2371" i="7"/>
  <c r="E2370" i="7"/>
  <c r="D2370" i="7"/>
  <c r="E2371" i="7" s="1"/>
  <c r="C2370" i="7"/>
  <c r="B2370" i="7"/>
  <c r="D2369" i="7"/>
  <c r="C2369" i="7"/>
  <c r="B2369" i="7"/>
  <c r="E2368" i="7"/>
  <c r="D2368" i="7"/>
  <c r="E2369" i="7" s="1"/>
  <c r="C2368" i="7"/>
  <c r="B2368" i="7"/>
  <c r="D2367" i="7"/>
  <c r="C2367" i="7"/>
  <c r="B2367" i="7"/>
  <c r="D2366" i="7"/>
  <c r="E2367" i="7" s="1"/>
  <c r="C2366" i="7"/>
  <c r="B2366" i="7"/>
  <c r="D2365" i="7"/>
  <c r="C2365" i="7"/>
  <c r="B2365" i="7"/>
  <c r="D2364" i="7"/>
  <c r="E2365" i="7" s="1"/>
  <c r="C2364" i="7"/>
  <c r="B2364" i="7"/>
  <c r="D2363" i="7"/>
  <c r="C2363" i="7"/>
  <c r="B2363" i="7"/>
  <c r="D2362" i="7"/>
  <c r="C2362" i="7"/>
  <c r="B2362" i="7"/>
  <c r="D2361" i="7"/>
  <c r="C2361" i="7"/>
  <c r="B2361" i="7"/>
  <c r="E2360" i="7"/>
  <c r="D2360" i="7"/>
  <c r="E2361" i="7" s="1"/>
  <c r="C2360" i="7"/>
  <c r="B2360" i="7"/>
  <c r="D2359" i="7"/>
  <c r="C2359" i="7"/>
  <c r="B2359" i="7"/>
  <c r="D2358" i="7"/>
  <c r="E2359" i="7" s="1"/>
  <c r="C2358" i="7"/>
  <c r="B2358" i="7"/>
  <c r="D2357" i="7"/>
  <c r="C2357" i="7"/>
  <c r="B2357" i="7"/>
  <c r="E2356" i="7"/>
  <c r="D2356" i="7"/>
  <c r="E2357" i="7" s="1"/>
  <c r="C2356" i="7"/>
  <c r="B2356" i="7"/>
  <c r="D2355" i="7"/>
  <c r="C2355" i="7"/>
  <c r="B2355" i="7"/>
  <c r="E2354" i="7"/>
  <c r="D2354" i="7"/>
  <c r="E2355" i="7" s="1"/>
  <c r="C2354" i="7"/>
  <c r="B2354" i="7"/>
  <c r="D2353" i="7"/>
  <c r="C2353" i="7"/>
  <c r="B2353" i="7"/>
  <c r="D2352" i="7"/>
  <c r="E2353" i="7" s="1"/>
  <c r="C2352" i="7"/>
  <c r="B2352" i="7"/>
  <c r="D2351" i="7"/>
  <c r="C2351" i="7"/>
  <c r="B2351" i="7"/>
  <c r="E2350" i="7"/>
  <c r="D2350" i="7"/>
  <c r="E2351" i="7" s="1"/>
  <c r="C2350" i="7"/>
  <c r="B2350" i="7"/>
  <c r="D2349" i="7"/>
  <c r="C2349" i="7"/>
  <c r="B2349" i="7"/>
  <c r="E2348" i="7"/>
  <c r="D2348" i="7"/>
  <c r="E2349" i="7" s="1"/>
  <c r="C2348" i="7"/>
  <c r="B2348" i="7"/>
  <c r="D2347" i="7"/>
  <c r="C2347" i="7"/>
  <c r="B2347" i="7"/>
  <c r="D2346" i="7"/>
  <c r="C2346" i="7"/>
  <c r="B2346" i="7"/>
  <c r="D2345" i="7"/>
  <c r="C2345" i="7"/>
  <c r="B2345" i="7"/>
  <c r="E2344" i="7"/>
  <c r="D2344" i="7"/>
  <c r="E2345" i="7" s="1"/>
  <c r="C2344" i="7"/>
  <c r="B2344" i="7"/>
  <c r="D2343" i="7"/>
  <c r="C2343" i="7"/>
  <c r="B2343" i="7"/>
  <c r="D2342" i="7"/>
  <c r="E2343" i="7" s="1"/>
  <c r="C2342" i="7"/>
  <c r="B2342" i="7"/>
  <c r="D2341" i="7"/>
  <c r="C2341" i="7"/>
  <c r="B2341" i="7"/>
  <c r="E2340" i="7"/>
  <c r="D2340" i="7"/>
  <c r="E2341" i="7" s="1"/>
  <c r="C2340" i="7"/>
  <c r="B2340" i="7"/>
  <c r="D2339" i="7"/>
  <c r="C2339" i="7"/>
  <c r="B2339" i="7"/>
  <c r="E2338" i="7"/>
  <c r="D2338" i="7"/>
  <c r="E2339" i="7" s="1"/>
  <c r="C2338" i="7"/>
  <c r="B2338" i="7"/>
  <c r="D2337" i="7"/>
  <c r="C2337" i="7"/>
  <c r="B2337" i="7"/>
  <c r="E2336" i="7"/>
  <c r="D2336" i="7"/>
  <c r="E2337" i="7" s="1"/>
  <c r="C2336" i="7"/>
  <c r="B2336" i="7"/>
  <c r="D2335" i="7"/>
  <c r="C2335" i="7"/>
  <c r="B2335" i="7"/>
  <c r="E2334" i="7"/>
  <c r="D2334" i="7"/>
  <c r="E2335" i="7" s="1"/>
  <c r="C2334" i="7"/>
  <c r="B2334" i="7"/>
  <c r="D2333" i="7"/>
  <c r="C2333" i="7"/>
  <c r="B2333" i="7"/>
  <c r="D2332" i="7"/>
  <c r="E2333" i="7" s="1"/>
  <c r="C2332" i="7"/>
  <c r="B2332" i="7"/>
  <c r="D2331" i="7"/>
  <c r="C2331" i="7"/>
  <c r="B2331" i="7"/>
  <c r="D2330" i="7"/>
  <c r="C2330" i="7"/>
  <c r="B2330" i="7"/>
  <c r="D2329" i="7"/>
  <c r="C2329" i="7"/>
  <c r="B2329" i="7"/>
  <c r="E2328" i="7"/>
  <c r="D2328" i="7"/>
  <c r="E2329" i="7" s="1"/>
  <c r="C2328" i="7"/>
  <c r="B2328" i="7"/>
  <c r="D2327" i="7"/>
  <c r="C2327" i="7"/>
  <c r="B2327" i="7"/>
  <c r="D2326" i="7"/>
  <c r="E2327" i="7" s="1"/>
  <c r="C2326" i="7"/>
  <c r="B2326" i="7"/>
  <c r="D2325" i="7"/>
  <c r="C2325" i="7"/>
  <c r="B2325" i="7"/>
  <c r="E2324" i="7"/>
  <c r="D2324" i="7"/>
  <c r="E2325" i="7" s="1"/>
  <c r="C2324" i="7"/>
  <c r="B2324" i="7"/>
  <c r="D2323" i="7"/>
  <c r="C2323" i="7"/>
  <c r="B2323" i="7"/>
  <c r="E2322" i="7"/>
  <c r="D2322" i="7"/>
  <c r="E2323" i="7" s="1"/>
  <c r="C2322" i="7"/>
  <c r="B2322" i="7"/>
  <c r="D2321" i="7"/>
  <c r="C2321" i="7"/>
  <c r="B2321" i="7"/>
  <c r="D2320" i="7"/>
  <c r="E2321" i="7" s="1"/>
  <c r="C2320" i="7"/>
  <c r="B2320" i="7"/>
  <c r="D2319" i="7"/>
  <c r="C2319" i="7"/>
  <c r="B2319" i="7"/>
  <c r="D2318" i="7"/>
  <c r="E2319" i="7" s="1"/>
  <c r="C2318" i="7"/>
  <c r="B2318" i="7"/>
  <c r="D2317" i="7"/>
  <c r="C2317" i="7"/>
  <c r="B2317" i="7"/>
  <c r="D2316" i="7"/>
  <c r="C2316" i="7"/>
  <c r="B2316" i="7"/>
  <c r="D2315" i="7"/>
  <c r="C2315" i="7"/>
  <c r="B2315" i="7"/>
  <c r="D2314" i="7"/>
  <c r="C2314" i="7"/>
  <c r="B2314" i="7"/>
  <c r="D2313" i="7"/>
  <c r="C2313" i="7"/>
  <c r="B2313" i="7"/>
  <c r="E2312" i="7"/>
  <c r="D2312" i="7"/>
  <c r="E2313" i="7" s="1"/>
  <c r="C2312" i="7"/>
  <c r="B2312" i="7"/>
  <c r="D2311" i="7"/>
  <c r="C2311" i="7"/>
  <c r="B2311" i="7"/>
  <c r="D2310" i="7"/>
  <c r="E2311" i="7" s="1"/>
  <c r="C2310" i="7"/>
  <c r="B2310" i="7"/>
  <c r="D2309" i="7"/>
  <c r="C2309" i="7"/>
  <c r="B2309" i="7"/>
  <c r="E2308" i="7"/>
  <c r="D2308" i="7"/>
  <c r="E2309" i="7" s="1"/>
  <c r="C2308" i="7"/>
  <c r="B2308" i="7"/>
  <c r="D2307" i="7"/>
  <c r="C2307" i="7"/>
  <c r="B2307" i="7"/>
  <c r="E2306" i="7"/>
  <c r="D2306" i="7"/>
  <c r="E2307" i="7" s="1"/>
  <c r="C2306" i="7"/>
  <c r="B2306" i="7"/>
  <c r="D2305" i="7"/>
  <c r="C2305" i="7"/>
  <c r="B2305" i="7"/>
  <c r="D2304" i="7"/>
  <c r="C2304" i="7"/>
  <c r="B2304" i="7"/>
  <c r="D2303" i="7"/>
  <c r="C2303" i="7"/>
  <c r="B2303" i="7"/>
  <c r="D2302" i="7"/>
  <c r="E2303" i="7" s="1"/>
  <c r="C2302" i="7"/>
  <c r="B2302" i="7"/>
  <c r="D2301" i="7"/>
  <c r="C2301" i="7"/>
  <c r="B2301" i="7"/>
  <c r="D2300" i="7"/>
  <c r="E2301" i="7" s="1"/>
  <c r="C2300" i="7"/>
  <c r="B2300" i="7"/>
  <c r="D2299" i="7"/>
  <c r="C2299" i="7"/>
  <c r="B2299" i="7"/>
  <c r="D2298" i="7"/>
  <c r="C2298" i="7"/>
  <c r="B2298" i="7"/>
  <c r="D2297" i="7"/>
  <c r="C2297" i="7"/>
  <c r="B2297" i="7"/>
  <c r="E2296" i="7"/>
  <c r="D2296" i="7"/>
  <c r="E2297" i="7" s="1"/>
  <c r="C2296" i="7"/>
  <c r="B2296" i="7"/>
  <c r="D2295" i="7"/>
  <c r="C2295" i="7"/>
  <c r="B2295" i="7"/>
  <c r="D2294" i="7"/>
  <c r="E2295" i="7" s="1"/>
  <c r="C2294" i="7"/>
  <c r="B2294" i="7"/>
  <c r="D2293" i="7"/>
  <c r="C2293" i="7"/>
  <c r="B2293" i="7"/>
  <c r="E2292" i="7"/>
  <c r="D2292" i="7"/>
  <c r="E2293" i="7" s="1"/>
  <c r="C2292" i="7"/>
  <c r="B2292" i="7"/>
  <c r="D2291" i="7"/>
  <c r="C2291" i="7"/>
  <c r="B2291" i="7"/>
  <c r="E2290" i="7"/>
  <c r="D2290" i="7"/>
  <c r="E2291" i="7" s="1"/>
  <c r="C2290" i="7"/>
  <c r="B2290" i="7"/>
  <c r="D2289" i="7"/>
  <c r="C2289" i="7"/>
  <c r="B2289" i="7"/>
  <c r="D2288" i="7"/>
  <c r="E2289" i="7" s="1"/>
  <c r="C2288" i="7"/>
  <c r="B2288" i="7"/>
  <c r="D2287" i="7"/>
  <c r="C2287" i="7"/>
  <c r="B2287" i="7"/>
  <c r="E2286" i="7"/>
  <c r="D2286" i="7"/>
  <c r="E2287" i="7" s="1"/>
  <c r="C2286" i="7"/>
  <c r="B2286" i="7"/>
  <c r="D2285" i="7"/>
  <c r="C2285" i="7"/>
  <c r="B2285" i="7"/>
  <c r="E2284" i="7"/>
  <c r="D2284" i="7"/>
  <c r="E2285" i="7" s="1"/>
  <c r="C2284" i="7"/>
  <c r="B2284" i="7"/>
  <c r="D2283" i="7"/>
  <c r="C2283" i="7"/>
  <c r="B2283" i="7"/>
  <c r="D2282" i="7"/>
  <c r="C2282" i="7"/>
  <c r="B2282" i="7"/>
  <c r="D2281" i="7"/>
  <c r="C2281" i="7"/>
  <c r="B2281" i="7"/>
  <c r="E2280" i="7"/>
  <c r="D2280" i="7"/>
  <c r="E2281" i="7" s="1"/>
  <c r="C2280" i="7"/>
  <c r="B2280" i="7"/>
  <c r="D2279" i="7"/>
  <c r="C2279" i="7"/>
  <c r="B2279" i="7"/>
  <c r="D2278" i="7"/>
  <c r="E2279" i="7" s="1"/>
  <c r="C2278" i="7"/>
  <c r="B2278" i="7"/>
  <c r="D2277" i="7"/>
  <c r="C2277" i="7"/>
  <c r="B2277" i="7"/>
  <c r="E2276" i="7"/>
  <c r="D2276" i="7"/>
  <c r="E2277" i="7" s="1"/>
  <c r="C2276" i="7"/>
  <c r="B2276" i="7"/>
  <c r="D2275" i="7"/>
  <c r="C2275" i="7"/>
  <c r="B2275" i="7"/>
  <c r="E2274" i="7"/>
  <c r="D2274" i="7"/>
  <c r="E2275" i="7" s="1"/>
  <c r="C2274" i="7"/>
  <c r="B2274" i="7"/>
  <c r="D2273" i="7"/>
  <c r="C2273" i="7"/>
  <c r="B2273" i="7"/>
  <c r="E2272" i="7"/>
  <c r="D2272" i="7"/>
  <c r="E2273" i="7" s="1"/>
  <c r="C2272" i="7"/>
  <c r="B2272" i="7"/>
  <c r="D2271" i="7"/>
  <c r="C2271" i="7"/>
  <c r="B2271" i="7"/>
  <c r="D2270" i="7"/>
  <c r="C2270" i="7"/>
  <c r="B2270" i="7"/>
  <c r="D2269" i="7"/>
  <c r="C2269" i="7"/>
  <c r="B2269" i="7"/>
  <c r="D2268" i="7"/>
  <c r="E2269" i="7" s="1"/>
  <c r="C2268" i="7"/>
  <c r="B2268" i="7"/>
  <c r="D2267" i="7"/>
  <c r="C2267" i="7"/>
  <c r="B2267" i="7"/>
  <c r="D2266" i="7"/>
  <c r="C2266" i="7"/>
  <c r="B2266" i="7"/>
  <c r="D2265" i="7"/>
  <c r="C2265" i="7"/>
  <c r="B2265" i="7"/>
  <c r="E2264" i="7"/>
  <c r="D2264" i="7"/>
  <c r="E2265" i="7" s="1"/>
  <c r="C2264" i="7"/>
  <c r="B2264" i="7"/>
  <c r="D2263" i="7"/>
  <c r="C2263" i="7"/>
  <c r="B2263" i="7"/>
  <c r="D2262" i="7"/>
  <c r="E2263" i="7" s="1"/>
  <c r="C2262" i="7"/>
  <c r="B2262" i="7"/>
  <c r="D2261" i="7"/>
  <c r="C2261" i="7"/>
  <c r="B2261" i="7"/>
  <c r="E2260" i="7"/>
  <c r="D2260" i="7"/>
  <c r="E2261" i="7" s="1"/>
  <c r="C2260" i="7"/>
  <c r="B2260" i="7"/>
  <c r="D2259" i="7"/>
  <c r="C2259" i="7"/>
  <c r="B2259" i="7"/>
  <c r="E2258" i="7"/>
  <c r="D2258" i="7"/>
  <c r="E2259" i="7" s="1"/>
  <c r="C2258" i="7"/>
  <c r="B2258" i="7"/>
  <c r="D2257" i="7"/>
  <c r="C2257" i="7"/>
  <c r="B2257" i="7"/>
  <c r="D2256" i="7"/>
  <c r="E2257" i="7" s="1"/>
  <c r="C2256" i="7"/>
  <c r="B2256" i="7"/>
  <c r="D2255" i="7"/>
  <c r="C2255" i="7"/>
  <c r="B2255" i="7"/>
  <c r="D2254" i="7"/>
  <c r="E2255" i="7" s="1"/>
  <c r="C2254" i="7"/>
  <c r="B2254" i="7"/>
  <c r="D2253" i="7"/>
  <c r="C2253" i="7"/>
  <c r="B2253" i="7"/>
  <c r="D2252" i="7"/>
  <c r="C2252" i="7"/>
  <c r="B2252" i="7"/>
  <c r="D2251" i="7"/>
  <c r="C2251" i="7"/>
  <c r="B2251" i="7"/>
  <c r="D2250" i="7"/>
  <c r="C2250" i="7"/>
  <c r="B2250" i="7"/>
  <c r="D2249" i="7"/>
  <c r="C2249" i="7"/>
  <c r="B2249" i="7"/>
  <c r="E2248" i="7"/>
  <c r="D2248" i="7"/>
  <c r="E2249" i="7" s="1"/>
  <c r="C2248" i="7"/>
  <c r="B2248" i="7"/>
  <c r="D2247" i="7"/>
  <c r="C2247" i="7"/>
  <c r="B2247" i="7"/>
  <c r="D2246" i="7"/>
  <c r="E2247" i="7" s="1"/>
  <c r="C2246" i="7"/>
  <c r="B2246" i="7"/>
  <c r="D2245" i="7"/>
  <c r="C2245" i="7"/>
  <c r="B2245" i="7"/>
  <c r="E2244" i="7"/>
  <c r="D2244" i="7"/>
  <c r="E2245" i="7" s="1"/>
  <c r="C2244" i="7"/>
  <c r="B2244" i="7"/>
  <c r="D2243" i="7"/>
  <c r="C2243" i="7"/>
  <c r="B2243" i="7"/>
  <c r="E2242" i="7"/>
  <c r="D2242" i="7"/>
  <c r="E2243" i="7" s="1"/>
  <c r="C2242" i="7"/>
  <c r="B2242" i="7"/>
  <c r="D2241" i="7"/>
  <c r="C2241" i="7"/>
  <c r="B2241" i="7"/>
  <c r="D2240" i="7"/>
  <c r="C2240" i="7"/>
  <c r="B2240" i="7"/>
  <c r="D2239" i="7"/>
  <c r="C2239" i="7"/>
  <c r="B2239" i="7"/>
  <c r="D2238" i="7"/>
  <c r="E2239" i="7" s="1"/>
  <c r="C2238" i="7"/>
  <c r="B2238" i="7"/>
  <c r="D2237" i="7"/>
  <c r="C2237" i="7"/>
  <c r="B2237" i="7"/>
  <c r="D2236" i="7"/>
  <c r="E2237" i="7" s="1"/>
  <c r="C2236" i="7"/>
  <c r="B2236" i="7"/>
  <c r="D2235" i="7"/>
  <c r="C2235" i="7"/>
  <c r="B2235" i="7"/>
  <c r="D2234" i="7"/>
  <c r="C2234" i="7"/>
  <c r="B2234" i="7"/>
  <c r="D2233" i="7"/>
  <c r="C2233" i="7"/>
  <c r="B2233" i="7"/>
  <c r="E2232" i="7"/>
  <c r="D2232" i="7"/>
  <c r="E2233" i="7" s="1"/>
  <c r="C2232" i="7"/>
  <c r="B2232" i="7"/>
  <c r="D2231" i="7"/>
  <c r="C2231" i="7"/>
  <c r="B2231" i="7"/>
  <c r="D2230" i="7"/>
  <c r="E2231" i="7" s="1"/>
  <c r="C2230" i="7"/>
  <c r="B2230" i="7"/>
  <c r="D2229" i="7"/>
  <c r="C2229" i="7"/>
  <c r="B2229" i="7"/>
  <c r="E2228" i="7"/>
  <c r="D2228" i="7"/>
  <c r="E2229" i="7" s="1"/>
  <c r="C2228" i="7"/>
  <c r="B2228" i="7"/>
  <c r="D2227" i="7"/>
  <c r="C2227" i="7"/>
  <c r="B2227" i="7"/>
  <c r="E2226" i="7"/>
  <c r="D2226" i="7"/>
  <c r="E2227" i="7" s="1"/>
  <c r="C2226" i="7"/>
  <c r="B2226" i="7"/>
  <c r="D2225" i="7"/>
  <c r="C2225" i="7"/>
  <c r="B2225" i="7"/>
  <c r="D2224" i="7"/>
  <c r="E2225" i="7" s="1"/>
  <c r="C2224" i="7"/>
  <c r="B2224" i="7"/>
  <c r="D2223" i="7"/>
  <c r="C2223" i="7"/>
  <c r="B2223" i="7"/>
  <c r="E2222" i="7"/>
  <c r="D2222" i="7"/>
  <c r="E2223" i="7" s="1"/>
  <c r="C2222" i="7"/>
  <c r="B2222" i="7"/>
  <c r="D2221" i="7"/>
  <c r="C2221" i="7"/>
  <c r="B2221" i="7"/>
  <c r="D2220" i="7"/>
  <c r="E2221" i="7" s="1"/>
  <c r="C2220" i="7"/>
  <c r="B2220" i="7"/>
  <c r="D2219" i="7"/>
  <c r="C2219" i="7"/>
  <c r="B2219" i="7"/>
  <c r="D2218" i="7"/>
  <c r="C2218" i="7"/>
  <c r="B2218" i="7"/>
  <c r="D2217" i="7"/>
  <c r="C2217" i="7"/>
  <c r="B2217" i="7"/>
  <c r="E2216" i="7"/>
  <c r="D2216" i="7"/>
  <c r="E2217" i="7" s="1"/>
  <c r="C2216" i="7"/>
  <c r="B2216" i="7"/>
  <c r="D2215" i="7"/>
  <c r="C2215" i="7"/>
  <c r="B2215" i="7"/>
  <c r="D2214" i="7"/>
  <c r="E2215" i="7" s="1"/>
  <c r="C2214" i="7"/>
  <c r="B2214" i="7"/>
  <c r="D2213" i="7"/>
  <c r="C2213" i="7"/>
  <c r="B2213" i="7"/>
  <c r="E2212" i="7"/>
  <c r="D2212" i="7"/>
  <c r="E2213" i="7" s="1"/>
  <c r="C2212" i="7"/>
  <c r="B2212" i="7"/>
  <c r="D2211" i="7"/>
  <c r="C2211" i="7"/>
  <c r="B2211" i="7"/>
  <c r="E2210" i="7"/>
  <c r="D2210" i="7"/>
  <c r="E2211" i="7" s="1"/>
  <c r="C2210" i="7"/>
  <c r="B2210" i="7"/>
  <c r="D2209" i="7"/>
  <c r="C2209" i="7"/>
  <c r="B2209" i="7"/>
  <c r="D2208" i="7"/>
  <c r="E2209" i="7" s="1"/>
  <c r="C2208" i="7"/>
  <c r="B2208" i="7"/>
  <c r="D2207" i="7"/>
  <c r="C2207" i="7"/>
  <c r="B2207" i="7"/>
  <c r="D2206" i="7"/>
  <c r="E2207" i="7" s="1"/>
  <c r="C2206" i="7"/>
  <c r="B2206" i="7"/>
  <c r="D2205" i="7"/>
  <c r="C2205" i="7"/>
  <c r="B2205" i="7"/>
  <c r="E2204" i="7"/>
  <c r="D2204" i="7"/>
  <c r="E2205" i="7" s="1"/>
  <c r="C2204" i="7"/>
  <c r="B2204" i="7"/>
  <c r="D2203" i="7"/>
  <c r="C2203" i="7"/>
  <c r="B2203" i="7"/>
  <c r="D2202" i="7"/>
  <c r="C2202" i="7"/>
  <c r="B2202" i="7"/>
  <c r="D2201" i="7"/>
  <c r="C2201" i="7"/>
  <c r="B2201" i="7"/>
  <c r="E2200" i="7"/>
  <c r="D2200" i="7"/>
  <c r="E2201" i="7" s="1"/>
  <c r="C2200" i="7"/>
  <c r="B2200" i="7"/>
  <c r="D2199" i="7"/>
  <c r="C2199" i="7"/>
  <c r="B2199" i="7"/>
  <c r="D2198" i="7"/>
  <c r="E2199" i="7" s="1"/>
  <c r="C2198" i="7"/>
  <c r="B2198" i="7"/>
  <c r="D2197" i="7"/>
  <c r="B2197" i="7"/>
  <c r="E2196" i="7"/>
  <c r="D2196" i="7"/>
  <c r="E2197" i="7" s="1"/>
  <c r="C2196" i="7"/>
  <c r="B2196" i="7"/>
  <c r="C2197" i="7" s="1"/>
  <c r="D2195" i="7"/>
  <c r="B2195" i="7"/>
  <c r="D2194" i="7"/>
  <c r="E2195" i="7" s="1"/>
  <c r="C2194" i="7"/>
  <c r="B2194" i="7"/>
  <c r="C2195" i="7" s="1"/>
  <c r="D2193" i="7"/>
  <c r="B2193" i="7"/>
  <c r="D2192" i="7"/>
  <c r="C2192" i="7"/>
  <c r="B2192" i="7"/>
  <c r="C2193" i="7" s="1"/>
  <c r="E2191" i="7"/>
  <c r="D2191" i="7"/>
  <c r="B2191" i="7"/>
  <c r="D2190" i="7"/>
  <c r="E2190" i="7" s="1"/>
  <c r="C2190" i="7"/>
  <c r="B2190" i="7"/>
  <c r="C2191" i="7" s="1"/>
  <c r="E2189" i="7"/>
  <c r="D2189" i="7"/>
  <c r="B2189" i="7"/>
  <c r="D2188" i="7"/>
  <c r="E2188" i="7" s="1"/>
  <c r="C2188" i="7"/>
  <c r="B2188" i="7"/>
  <c r="C2189" i="7" s="1"/>
  <c r="E2187" i="7"/>
  <c r="D2187" i="7"/>
  <c r="B2187" i="7"/>
  <c r="E2186" i="7"/>
  <c r="D2186" i="7"/>
  <c r="C2186" i="7"/>
  <c r="B2186" i="7"/>
  <c r="C2187" i="7" s="1"/>
  <c r="D2185" i="7"/>
  <c r="B2185" i="7"/>
  <c r="D2184" i="7"/>
  <c r="E2185" i="7" s="1"/>
  <c r="C2184" i="7"/>
  <c r="B2184" i="7"/>
  <c r="C2185" i="7" s="1"/>
  <c r="D2183" i="7"/>
  <c r="B2183" i="7"/>
  <c r="D2182" i="7"/>
  <c r="C2182" i="7"/>
  <c r="B2182" i="7"/>
  <c r="C2183" i="7" s="1"/>
  <c r="D2181" i="7"/>
  <c r="B2181" i="7"/>
  <c r="D2180" i="7"/>
  <c r="E2181" i="7" s="1"/>
  <c r="B2180" i="7"/>
  <c r="D2179" i="7"/>
  <c r="B2179" i="7"/>
  <c r="E2178" i="7"/>
  <c r="D2178" i="7"/>
  <c r="E2179" i="7" s="1"/>
  <c r="B2178" i="7"/>
  <c r="C2179" i="7" s="1"/>
  <c r="D2177" i="7"/>
  <c r="B2177" i="7"/>
  <c r="D2176" i="7"/>
  <c r="C2176" i="7"/>
  <c r="B2176" i="7"/>
  <c r="C2177" i="7" s="1"/>
  <c r="E2175" i="7"/>
  <c r="D2175" i="7"/>
  <c r="B2175" i="7"/>
  <c r="D2174" i="7"/>
  <c r="E2174" i="7" s="1"/>
  <c r="B2174" i="7"/>
  <c r="E2173" i="7"/>
  <c r="D2173" i="7"/>
  <c r="B2173" i="7"/>
  <c r="D2172" i="7"/>
  <c r="E2172" i="7" s="1"/>
  <c r="B2172" i="7"/>
  <c r="E2171" i="7"/>
  <c r="D2171" i="7"/>
  <c r="B2171" i="7"/>
  <c r="E2170" i="7"/>
  <c r="D2170" i="7"/>
  <c r="B2170" i="7"/>
  <c r="C2171" i="7" s="1"/>
  <c r="D2169" i="7"/>
  <c r="B2169" i="7"/>
  <c r="D2168" i="7"/>
  <c r="B2168" i="7"/>
  <c r="C2169" i="7" s="1"/>
  <c r="D2167" i="7"/>
  <c r="B2167" i="7"/>
  <c r="E2166" i="7"/>
  <c r="D2166" i="7"/>
  <c r="E2167" i="7" s="1"/>
  <c r="C2166" i="7"/>
  <c r="B2166" i="7"/>
  <c r="C2167" i="7" s="1"/>
  <c r="D2165" i="7"/>
  <c r="B2165" i="7"/>
  <c r="E2164" i="7"/>
  <c r="D2164" i="7"/>
  <c r="E2165" i="7" s="1"/>
  <c r="C2164" i="7"/>
  <c r="B2164" i="7"/>
  <c r="C2165" i="7" s="1"/>
  <c r="D2163" i="7"/>
  <c r="B2163" i="7"/>
  <c r="D2162" i="7"/>
  <c r="E2163" i="7" s="1"/>
  <c r="C2162" i="7"/>
  <c r="B2162" i="7"/>
  <c r="C2163" i="7" s="1"/>
  <c r="D2161" i="7"/>
  <c r="B2161" i="7"/>
  <c r="D2160" i="7"/>
  <c r="B2160" i="7"/>
  <c r="E2159" i="7"/>
  <c r="D2159" i="7"/>
  <c r="B2159" i="7"/>
  <c r="D2158" i="7"/>
  <c r="E2158" i="7" s="1"/>
  <c r="B2158" i="7"/>
  <c r="C2159" i="7" s="1"/>
  <c r="E2157" i="7"/>
  <c r="D2157" i="7"/>
  <c r="B2157" i="7"/>
  <c r="D2156" i="7"/>
  <c r="E2156" i="7" s="1"/>
  <c r="B2156" i="7"/>
  <c r="E2155" i="7"/>
  <c r="D2155" i="7"/>
  <c r="B2155" i="7"/>
  <c r="E2154" i="7"/>
  <c r="D2154" i="7"/>
  <c r="B2154" i="7"/>
  <c r="C2155" i="7" s="1"/>
  <c r="D2153" i="7"/>
  <c r="B2153" i="7"/>
  <c r="D2152" i="7"/>
  <c r="E2153" i="7" s="1"/>
  <c r="B2152" i="7"/>
  <c r="C2153" i="7" s="1"/>
  <c r="D2151" i="7"/>
  <c r="B2151" i="7"/>
  <c r="D2150" i="7"/>
  <c r="E2151" i="7" s="1"/>
  <c r="C2150" i="7"/>
  <c r="B2150" i="7"/>
  <c r="C2151" i="7" s="1"/>
  <c r="D2149" i="7"/>
  <c r="B2149" i="7"/>
  <c r="E2148" i="7"/>
  <c r="D2148" i="7"/>
  <c r="E2149" i="7" s="1"/>
  <c r="B2148" i="7"/>
  <c r="C2149" i="7" s="1"/>
  <c r="D2147" i="7"/>
  <c r="B2147" i="7"/>
  <c r="E2146" i="7"/>
  <c r="D2146" i="7"/>
  <c r="E2147" i="7" s="1"/>
  <c r="C2146" i="7"/>
  <c r="B2146" i="7"/>
  <c r="C2147" i="7" s="1"/>
  <c r="D2145" i="7"/>
  <c r="B2145" i="7"/>
  <c r="D2144" i="7"/>
  <c r="B2144" i="7"/>
  <c r="C2145" i="7" s="1"/>
  <c r="E2143" i="7"/>
  <c r="D2143" i="7"/>
  <c r="B2143" i="7"/>
  <c r="D2142" i="7"/>
  <c r="E2142" i="7" s="1"/>
  <c r="B2142" i="7"/>
  <c r="E2141" i="7"/>
  <c r="D2141" i="7"/>
  <c r="B2141" i="7"/>
  <c r="D2140" i="7"/>
  <c r="E2140" i="7" s="1"/>
  <c r="B2140" i="7"/>
  <c r="E2139" i="7"/>
  <c r="D2139" i="7"/>
  <c r="B2139" i="7"/>
  <c r="E2138" i="7"/>
  <c r="D2138" i="7"/>
  <c r="B2138" i="7"/>
  <c r="C2139" i="7" s="1"/>
  <c r="D2137" i="7"/>
  <c r="B2137" i="7"/>
  <c r="D2136" i="7"/>
  <c r="B2136" i="7"/>
  <c r="C2137" i="7" s="1"/>
  <c r="D2135" i="7"/>
  <c r="B2135" i="7"/>
  <c r="E2134" i="7"/>
  <c r="D2134" i="7"/>
  <c r="E2135" i="7" s="1"/>
  <c r="C2134" i="7"/>
  <c r="B2134" i="7"/>
  <c r="C2135" i="7" s="1"/>
  <c r="D2133" i="7"/>
  <c r="B2133" i="7"/>
  <c r="D2132" i="7"/>
  <c r="E2133" i="7" s="1"/>
  <c r="C2132" i="7"/>
  <c r="B2132" i="7"/>
  <c r="C2133" i="7" s="1"/>
  <c r="D2131" i="7"/>
  <c r="B2131" i="7"/>
  <c r="D2130" i="7"/>
  <c r="B2130" i="7"/>
  <c r="C2131" i="7" s="1"/>
  <c r="E2129" i="7"/>
  <c r="D2129" i="7"/>
  <c r="B2129" i="7"/>
  <c r="D2128" i="7"/>
  <c r="E2128" i="7" s="1"/>
  <c r="B2128" i="7"/>
  <c r="E2127" i="7"/>
  <c r="D2127" i="7"/>
  <c r="B2127" i="7"/>
  <c r="D2126" i="7"/>
  <c r="E2126" i="7" s="1"/>
  <c r="C2126" i="7"/>
  <c r="B2126" i="7"/>
  <c r="C2127" i="7" s="1"/>
  <c r="E2125" i="7"/>
  <c r="D2125" i="7"/>
  <c r="B2125" i="7"/>
  <c r="D2124" i="7"/>
  <c r="E2124" i="7" s="1"/>
  <c r="B2124" i="7"/>
  <c r="E2123" i="7"/>
  <c r="D2123" i="7"/>
  <c r="B2123" i="7"/>
  <c r="E2122" i="7"/>
  <c r="D2122" i="7"/>
  <c r="B2122" i="7"/>
  <c r="C2123" i="7" s="1"/>
  <c r="E2121" i="7"/>
  <c r="D2121" i="7"/>
  <c r="B2121" i="7"/>
  <c r="E2120" i="7"/>
  <c r="D2120" i="7"/>
  <c r="B2120" i="7"/>
  <c r="C2121" i="7" s="1"/>
  <c r="D2119" i="7"/>
  <c r="B2119" i="7"/>
  <c r="E2118" i="7"/>
  <c r="D2118" i="7"/>
  <c r="E2119" i="7" s="1"/>
  <c r="C2118" i="7"/>
  <c r="B2118" i="7"/>
  <c r="C2119" i="7" s="1"/>
  <c r="D2117" i="7"/>
  <c r="B2117" i="7"/>
  <c r="D2116" i="7"/>
  <c r="E2117" i="7" s="1"/>
  <c r="C2116" i="7"/>
  <c r="B2116" i="7"/>
  <c r="C2117" i="7" s="1"/>
  <c r="D2115" i="7"/>
  <c r="B2115" i="7"/>
  <c r="D2114" i="7"/>
  <c r="B2114" i="7"/>
  <c r="E2113" i="7"/>
  <c r="D2113" i="7"/>
  <c r="B2113" i="7"/>
  <c r="D2112" i="7"/>
  <c r="E2112" i="7" s="1"/>
  <c r="B2112" i="7"/>
  <c r="E2111" i="7"/>
  <c r="D2111" i="7"/>
  <c r="B2111" i="7"/>
  <c r="D2110" i="7"/>
  <c r="E2110" i="7" s="1"/>
  <c r="B2110" i="7"/>
  <c r="C2111" i="7" s="1"/>
  <c r="E2109" i="7"/>
  <c r="D2109" i="7"/>
  <c r="B2109" i="7"/>
  <c r="D2108" i="7"/>
  <c r="E2108" i="7" s="1"/>
  <c r="B2108" i="7"/>
  <c r="E2107" i="7"/>
  <c r="D2107" i="7"/>
  <c r="B2107" i="7"/>
  <c r="E2106" i="7"/>
  <c r="D2106" i="7"/>
  <c r="B2106" i="7"/>
  <c r="C2107" i="7" s="1"/>
  <c r="E2105" i="7"/>
  <c r="D2105" i="7"/>
  <c r="B2105" i="7"/>
  <c r="D2104" i="7"/>
  <c r="E2104" i="7" s="1"/>
  <c r="B2104" i="7"/>
  <c r="C2105" i="7" s="1"/>
  <c r="D2103" i="7"/>
  <c r="B2103" i="7"/>
  <c r="D2102" i="7"/>
  <c r="E2103" i="7" s="1"/>
  <c r="C2102" i="7"/>
  <c r="B2102" i="7"/>
  <c r="C2103" i="7" s="1"/>
  <c r="D2101" i="7"/>
  <c r="B2101" i="7"/>
  <c r="E2100" i="7"/>
  <c r="D2100" i="7"/>
  <c r="E2101" i="7" s="1"/>
  <c r="B2100" i="7"/>
  <c r="C2101" i="7" s="1"/>
  <c r="D2099" i="7"/>
  <c r="B2099" i="7"/>
  <c r="E2098" i="7"/>
  <c r="D2098" i="7"/>
  <c r="E2099" i="7" s="1"/>
  <c r="B2098" i="7"/>
  <c r="C2099" i="7" s="1"/>
  <c r="E2097" i="7"/>
  <c r="D2097" i="7"/>
  <c r="B2097" i="7"/>
  <c r="D2096" i="7"/>
  <c r="E2096" i="7" s="1"/>
  <c r="C2096" i="7"/>
  <c r="B2096" i="7"/>
  <c r="C2097" i="7" s="1"/>
  <c r="E2095" i="7"/>
  <c r="D2095" i="7"/>
  <c r="B2095" i="7"/>
  <c r="D2094" i="7"/>
  <c r="E2094" i="7" s="1"/>
  <c r="C2094" i="7"/>
  <c r="B2094" i="7"/>
  <c r="C2095" i="7" s="1"/>
  <c r="E2093" i="7"/>
  <c r="D2093" i="7"/>
  <c r="B2093" i="7"/>
  <c r="D2092" i="7"/>
  <c r="E2092" i="7" s="1"/>
  <c r="B2092" i="7"/>
  <c r="E2091" i="7"/>
  <c r="D2091" i="7"/>
  <c r="B2091" i="7"/>
  <c r="E2090" i="7"/>
  <c r="D2090" i="7"/>
  <c r="B2090" i="7"/>
  <c r="C2091" i="7" s="1"/>
  <c r="E2089" i="7"/>
  <c r="D2089" i="7"/>
  <c r="B2089" i="7"/>
  <c r="E2088" i="7"/>
  <c r="D2088" i="7"/>
  <c r="B2088" i="7"/>
  <c r="C2089" i="7" s="1"/>
  <c r="D2087" i="7"/>
  <c r="B2087" i="7"/>
  <c r="E2086" i="7"/>
  <c r="D2086" i="7"/>
  <c r="E2087" i="7" s="1"/>
  <c r="C2086" i="7"/>
  <c r="B2086" i="7"/>
  <c r="C2087" i="7" s="1"/>
  <c r="D2085" i="7"/>
  <c r="B2085" i="7"/>
  <c r="D2084" i="7"/>
  <c r="B2084" i="7"/>
  <c r="C2085" i="7" s="1"/>
  <c r="D2083" i="7"/>
  <c r="B2083" i="7"/>
  <c r="D2082" i="7"/>
  <c r="E2083" i="7" s="1"/>
  <c r="B2082" i="7"/>
  <c r="E2081" i="7"/>
  <c r="D2081" i="7"/>
  <c r="B2081" i="7"/>
  <c r="D2080" i="7"/>
  <c r="E2080" i="7" s="1"/>
  <c r="B2080" i="7"/>
  <c r="C2081" i="7" s="1"/>
  <c r="E2079" i="7"/>
  <c r="D2079" i="7"/>
  <c r="B2079" i="7"/>
  <c r="D2078" i="7"/>
  <c r="E2078" i="7" s="1"/>
  <c r="C2078" i="7"/>
  <c r="B2078" i="7"/>
  <c r="C2079" i="7" s="1"/>
  <c r="E2077" i="7"/>
  <c r="D2077" i="7"/>
  <c r="B2077" i="7"/>
  <c r="D2076" i="7"/>
  <c r="E2076" i="7" s="1"/>
  <c r="B2076" i="7"/>
  <c r="E2075" i="7"/>
  <c r="D2075" i="7"/>
  <c r="B2075" i="7"/>
  <c r="E2074" i="7"/>
  <c r="D2074" i="7"/>
  <c r="B2074" i="7"/>
  <c r="C2075" i="7" s="1"/>
  <c r="E2073" i="7"/>
  <c r="D2073" i="7"/>
  <c r="B2073" i="7"/>
  <c r="E2072" i="7"/>
  <c r="D2072" i="7"/>
  <c r="B2072" i="7"/>
  <c r="C2073" i="7" s="1"/>
  <c r="D2071" i="7"/>
  <c r="B2071" i="7"/>
  <c r="D2070" i="7"/>
  <c r="C2070" i="7"/>
  <c r="B2070" i="7"/>
  <c r="C2071" i="7" s="1"/>
  <c r="D2069" i="7"/>
  <c r="B2069" i="7"/>
  <c r="E2068" i="7"/>
  <c r="D2068" i="7"/>
  <c r="E2069" i="7" s="1"/>
  <c r="B2068" i="7"/>
  <c r="D2067" i="7"/>
  <c r="B2067" i="7"/>
  <c r="E2066" i="7"/>
  <c r="D2066" i="7"/>
  <c r="E2067" i="7" s="1"/>
  <c r="C2066" i="7"/>
  <c r="B2066" i="7"/>
  <c r="C2067" i="7" s="1"/>
  <c r="D2065" i="7"/>
  <c r="B2065" i="7"/>
  <c r="D2064" i="7"/>
  <c r="C2064" i="7"/>
  <c r="B2064" i="7"/>
  <c r="C2065" i="7" s="1"/>
  <c r="E2063" i="7"/>
  <c r="D2063" i="7"/>
  <c r="B2063" i="7"/>
  <c r="D2062" i="7"/>
  <c r="E2062" i="7" s="1"/>
  <c r="B2062" i="7"/>
  <c r="C2063" i="7" s="1"/>
  <c r="E2061" i="7"/>
  <c r="D2061" i="7"/>
  <c r="B2061" i="7"/>
  <c r="D2060" i="7"/>
  <c r="E2060" i="7" s="1"/>
  <c r="B2060" i="7"/>
  <c r="E2059" i="7"/>
  <c r="D2059" i="7"/>
  <c r="B2059" i="7"/>
  <c r="E2058" i="7"/>
  <c r="D2058" i="7"/>
  <c r="B2058" i="7"/>
  <c r="C2059" i="7" s="1"/>
  <c r="D2057" i="7"/>
  <c r="B2057" i="7"/>
  <c r="D2056" i="7"/>
  <c r="E2057" i="7" s="1"/>
  <c r="B2056" i="7"/>
  <c r="C2057" i="7" s="1"/>
  <c r="D2055" i="7"/>
  <c r="B2055" i="7"/>
  <c r="D2054" i="7"/>
  <c r="C2054" i="7"/>
  <c r="B2054" i="7"/>
  <c r="C2055" i="7" s="1"/>
  <c r="D2053" i="7"/>
  <c r="B2053" i="7"/>
  <c r="D2052" i="7"/>
  <c r="E2053" i="7" s="1"/>
  <c r="B2052" i="7"/>
  <c r="D2051" i="7"/>
  <c r="B2051" i="7"/>
  <c r="E2050" i="7"/>
  <c r="D2050" i="7"/>
  <c r="E2051" i="7" s="1"/>
  <c r="B2050" i="7"/>
  <c r="C2051" i="7" s="1"/>
  <c r="D2049" i="7"/>
  <c r="B2049" i="7"/>
  <c r="D2048" i="7"/>
  <c r="C2048" i="7"/>
  <c r="B2048" i="7"/>
  <c r="C2049" i="7" s="1"/>
  <c r="E2047" i="7"/>
  <c r="D2047" i="7"/>
  <c r="B2047" i="7"/>
  <c r="D2046" i="7"/>
  <c r="E2046" i="7" s="1"/>
  <c r="B2046" i="7"/>
  <c r="E2045" i="7"/>
  <c r="D2045" i="7"/>
  <c r="B2045" i="7"/>
  <c r="D2044" i="7"/>
  <c r="E2044" i="7" s="1"/>
  <c r="B2044" i="7"/>
  <c r="E2043" i="7"/>
  <c r="D2043" i="7"/>
  <c r="B2043" i="7"/>
  <c r="E2042" i="7"/>
  <c r="D2042" i="7"/>
  <c r="B2042" i="7"/>
  <c r="C2043" i="7" s="1"/>
  <c r="D2041" i="7"/>
  <c r="B2041" i="7"/>
  <c r="D2040" i="7"/>
  <c r="E2041" i="7" s="1"/>
  <c r="B2040" i="7"/>
  <c r="C2041" i="7" s="1"/>
  <c r="D2039" i="7"/>
  <c r="B2039" i="7"/>
  <c r="E2038" i="7"/>
  <c r="D2038" i="7"/>
  <c r="E2039" i="7" s="1"/>
  <c r="C2038" i="7"/>
  <c r="B2038" i="7"/>
  <c r="C2039" i="7" s="1"/>
  <c r="D2037" i="7"/>
  <c r="B2037" i="7"/>
  <c r="E2036" i="7"/>
  <c r="D2036" i="7"/>
  <c r="E2037" i="7" s="1"/>
  <c r="C2036" i="7"/>
  <c r="B2036" i="7"/>
  <c r="C2037" i="7" s="1"/>
  <c r="D2035" i="7"/>
  <c r="B2035" i="7"/>
  <c r="D2034" i="7"/>
  <c r="C2034" i="7"/>
  <c r="B2034" i="7"/>
  <c r="C2035" i="7" s="1"/>
  <c r="D2033" i="7"/>
  <c r="B2033" i="7"/>
  <c r="D2032" i="7"/>
  <c r="B2032" i="7"/>
  <c r="C2033" i="7" s="1"/>
  <c r="E2031" i="7"/>
  <c r="D2031" i="7"/>
  <c r="B2031" i="7"/>
  <c r="D2030" i="7"/>
  <c r="E2030" i="7" s="1"/>
  <c r="B2030" i="7"/>
  <c r="E2029" i="7"/>
  <c r="D2029" i="7"/>
  <c r="B2029" i="7"/>
  <c r="D2028" i="7"/>
  <c r="E2028" i="7" s="1"/>
  <c r="B2028" i="7"/>
  <c r="E2027" i="7"/>
  <c r="D2027" i="7"/>
  <c r="B2027" i="7"/>
  <c r="E2026" i="7"/>
  <c r="D2026" i="7"/>
  <c r="B2026" i="7"/>
  <c r="C2027" i="7" s="1"/>
  <c r="D2025" i="7"/>
  <c r="B2025" i="7"/>
  <c r="D2024" i="7"/>
  <c r="E2025" i="7" s="1"/>
  <c r="B2024" i="7"/>
  <c r="C2025" i="7" s="1"/>
  <c r="D2023" i="7"/>
  <c r="B2023" i="7"/>
  <c r="D2022" i="7"/>
  <c r="E2023" i="7" s="1"/>
  <c r="C2022" i="7"/>
  <c r="B2022" i="7"/>
  <c r="C2023" i="7" s="1"/>
  <c r="D2021" i="7"/>
  <c r="B2021" i="7"/>
  <c r="E2020" i="7"/>
  <c r="D2020" i="7"/>
  <c r="E2021" i="7" s="1"/>
  <c r="B2020" i="7"/>
  <c r="C2021" i="7" s="1"/>
  <c r="D2019" i="7"/>
  <c r="B2019" i="7"/>
  <c r="D2018" i="7"/>
  <c r="E2019" i="7" s="1"/>
  <c r="C2018" i="7"/>
  <c r="B2018" i="7"/>
  <c r="C2019" i="7" s="1"/>
  <c r="D2017" i="7"/>
  <c r="B2017" i="7"/>
  <c r="D2016" i="7"/>
  <c r="C2016" i="7"/>
  <c r="B2016" i="7"/>
  <c r="C2017" i="7" s="1"/>
  <c r="E2015" i="7"/>
  <c r="D2015" i="7"/>
  <c r="B2015" i="7"/>
  <c r="D2014" i="7"/>
  <c r="E2014" i="7" s="1"/>
  <c r="B2014" i="7"/>
  <c r="E2013" i="7"/>
  <c r="D2013" i="7"/>
  <c r="B2013" i="7"/>
  <c r="D2012" i="7"/>
  <c r="E2012" i="7" s="1"/>
  <c r="B2012" i="7"/>
  <c r="E2011" i="7"/>
  <c r="D2011" i="7"/>
  <c r="B2011" i="7"/>
  <c r="E2010" i="7"/>
  <c r="D2010" i="7"/>
  <c r="B2010" i="7"/>
  <c r="C2011" i="7" s="1"/>
  <c r="D2009" i="7"/>
  <c r="B2009" i="7"/>
  <c r="D2008" i="7"/>
  <c r="B2008" i="7"/>
  <c r="C2009" i="7" s="1"/>
  <c r="E2007" i="7"/>
  <c r="D2007" i="7"/>
  <c r="B2007" i="7"/>
  <c r="D2006" i="7"/>
  <c r="E2006" i="7" s="1"/>
  <c r="C2006" i="7"/>
  <c r="B2006" i="7"/>
  <c r="C2007" i="7" s="1"/>
  <c r="D2005" i="7"/>
  <c r="B2005" i="7"/>
  <c r="E2004" i="7"/>
  <c r="D2004" i="7"/>
  <c r="E2005" i="7" s="1"/>
  <c r="B2004" i="7"/>
  <c r="C2005" i="7" s="1"/>
  <c r="D2003" i="7"/>
  <c r="B2003" i="7"/>
  <c r="D2002" i="7"/>
  <c r="C2002" i="7"/>
  <c r="B2002" i="7"/>
  <c r="C2003" i="7" s="1"/>
  <c r="D2001" i="7"/>
  <c r="B2001" i="7"/>
  <c r="D2000" i="7"/>
  <c r="E2001" i="7" s="1"/>
  <c r="B2000" i="7"/>
  <c r="E1999" i="7"/>
  <c r="D1999" i="7"/>
  <c r="B1999" i="7"/>
  <c r="D1998" i="7"/>
  <c r="E1998" i="7" s="1"/>
  <c r="B1998" i="7"/>
  <c r="C1999" i="7" s="1"/>
  <c r="E1997" i="7"/>
  <c r="D1997" i="7"/>
  <c r="B1997" i="7"/>
  <c r="D1996" i="7"/>
  <c r="E1996" i="7" s="1"/>
  <c r="C1996" i="7"/>
  <c r="B1996" i="7"/>
  <c r="C1997" i="7" s="1"/>
  <c r="E1995" i="7"/>
  <c r="D1995" i="7"/>
  <c r="B1995" i="7"/>
  <c r="E1994" i="7"/>
  <c r="D1994" i="7"/>
  <c r="B1994" i="7"/>
  <c r="D1993" i="7"/>
  <c r="B1993" i="7"/>
  <c r="D1992" i="7"/>
  <c r="E1993" i="7" s="1"/>
  <c r="B1992" i="7"/>
  <c r="C1993" i="7" s="1"/>
  <c r="D1991" i="7"/>
  <c r="B1991" i="7"/>
  <c r="D1990" i="7"/>
  <c r="C1990" i="7"/>
  <c r="B1990" i="7"/>
  <c r="C1991" i="7" s="1"/>
  <c r="D1989" i="7"/>
  <c r="B1989" i="7"/>
  <c r="D1988" i="7"/>
  <c r="E1989" i="7" s="1"/>
  <c r="B1988" i="7"/>
  <c r="D1987" i="7"/>
  <c r="B1987" i="7"/>
  <c r="E1986" i="7"/>
  <c r="D1986" i="7"/>
  <c r="E1987" i="7" s="1"/>
  <c r="B1986" i="7"/>
  <c r="C1987" i="7" s="1"/>
  <c r="D1985" i="7"/>
  <c r="B1985" i="7"/>
  <c r="D1984" i="7"/>
  <c r="E1985" i="7" s="1"/>
  <c r="C1984" i="7"/>
  <c r="B1984" i="7"/>
  <c r="C1985" i="7" s="1"/>
  <c r="D1983" i="7"/>
  <c r="B1983" i="7"/>
  <c r="D1982" i="7"/>
  <c r="B1982" i="7"/>
  <c r="E1981" i="7"/>
  <c r="D1981" i="7"/>
  <c r="B1981" i="7"/>
  <c r="D1980" i="7"/>
  <c r="E1980" i="7" s="1"/>
  <c r="B1980" i="7"/>
  <c r="C1981" i="7" s="1"/>
  <c r="E1979" i="7"/>
  <c r="D1979" i="7"/>
  <c r="B1979" i="7"/>
  <c r="E1978" i="7"/>
  <c r="D1978" i="7"/>
  <c r="B1978" i="7"/>
  <c r="E1977" i="7"/>
  <c r="D1977" i="7"/>
  <c r="B1977" i="7"/>
  <c r="E1976" i="7"/>
  <c r="D1976" i="7"/>
  <c r="B1976" i="7"/>
  <c r="C1977" i="7" s="1"/>
  <c r="D1975" i="7"/>
  <c r="B1975" i="7"/>
  <c r="D1974" i="7"/>
  <c r="E1975" i="7" s="1"/>
  <c r="C1974" i="7"/>
  <c r="B1974" i="7"/>
  <c r="C1975" i="7" s="1"/>
  <c r="D1973" i="7"/>
  <c r="B1973" i="7"/>
  <c r="D1972" i="7"/>
  <c r="C1972" i="7"/>
  <c r="B1972" i="7"/>
  <c r="C1973" i="7" s="1"/>
  <c r="D1971" i="7"/>
  <c r="B1971" i="7"/>
  <c r="D1970" i="7"/>
  <c r="E1971" i="7" s="1"/>
  <c r="B1970" i="7"/>
  <c r="E1969" i="7"/>
  <c r="D1969" i="7"/>
  <c r="B1969" i="7"/>
  <c r="E1968" i="7"/>
  <c r="D1968" i="7"/>
  <c r="C1968" i="7"/>
  <c r="B1968" i="7"/>
  <c r="C1969" i="7" s="1"/>
  <c r="E1967" i="7"/>
  <c r="D1967" i="7"/>
  <c r="B1967" i="7"/>
  <c r="D1966" i="7"/>
  <c r="E1966" i="7" s="1"/>
  <c r="C1966" i="7"/>
  <c r="B1966" i="7"/>
  <c r="C1967" i="7" s="1"/>
  <c r="E1965" i="7"/>
  <c r="D1965" i="7"/>
  <c r="B1965" i="7"/>
  <c r="D1964" i="7"/>
  <c r="E1964" i="7" s="1"/>
  <c r="B1964" i="7"/>
  <c r="C1965" i="7" s="1"/>
  <c r="E1963" i="7"/>
  <c r="D1963" i="7"/>
  <c r="B1963" i="7"/>
  <c r="E1962" i="7"/>
  <c r="D1962" i="7"/>
  <c r="B1962" i="7"/>
  <c r="E1961" i="7"/>
  <c r="D1961" i="7"/>
  <c r="B1961" i="7"/>
  <c r="D1960" i="7"/>
  <c r="E1960" i="7" s="1"/>
  <c r="B1960" i="7"/>
  <c r="C1961" i="7" s="1"/>
  <c r="E1959" i="7"/>
  <c r="D1959" i="7"/>
  <c r="B1959" i="7"/>
  <c r="E1958" i="7"/>
  <c r="D1958" i="7"/>
  <c r="C1958" i="7"/>
  <c r="B1958" i="7"/>
  <c r="C1959" i="7" s="1"/>
  <c r="D1957" i="7"/>
  <c r="B1957" i="7"/>
  <c r="D1956" i="7"/>
  <c r="E1957" i="7" s="1"/>
  <c r="C1956" i="7"/>
  <c r="B1956" i="7"/>
  <c r="C1957" i="7" s="1"/>
  <c r="D1955" i="7"/>
  <c r="B1955" i="7"/>
  <c r="D1954" i="7"/>
  <c r="B1954" i="7"/>
  <c r="C1955" i="7" s="1"/>
  <c r="E1953" i="7"/>
  <c r="D1953" i="7"/>
  <c r="B1953" i="7"/>
  <c r="E1952" i="7"/>
  <c r="D1952" i="7"/>
  <c r="B1952" i="7"/>
  <c r="E1951" i="7"/>
  <c r="D1951" i="7"/>
  <c r="B1951" i="7"/>
  <c r="D1950" i="7"/>
  <c r="E1950" i="7" s="1"/>
  <c r="C1950" i="7"/>
  <c r="B1950" i="7"/>
  <c r="C1951" i="7" s="1"/>
  <c r="E1949" i="7"/>
  <c r="D1949" i="7"/>
  <c r="B1949" i="7"/>
  <c r="D1948" i="7"/>
  <c r="E1948" i="7" s="1"/>
  <c r="C1948" i="7"/>
  <c r="B1948" i="7"/>
  <c r="C1949" i="7" s="1"/>
  <c r="E1947" i="7"/>
  <c r="D1947" i="7"/>
  <c r="B1947" i="7"/>
  <c r="E1946" i="7"/>
  <c r="D1946" i="7"/>
  <c r="B1946" i="7"/>
  <c r="D1945" i="7"/>
  <c r="B1945" i="7"/>
  <c r="D1944" i="7"/>
  <c r="B1944" i="7"/>
  <c r="C1945" i="7" s="1"/>
  <c r="E1943" i="7"/>
  <c r="D1943" i="7"/>
  <c r="B1943" i="7"/>
  <c r="D1942" i="7"/>
  <c r="E1942" i="7" s="1"/>
  <c r="C1942" i="7"/>
  <c r="B1942" i="7"/>
  <c r="C1943" i="7" s="1"/>
  <c r="D1941" i="7"/>
  <c r="B1941" i="7"/>
  <c r="E1940" i="7"/>
  <c r="D1940" i="7"/>
  <c r="E1941" i="7" s="1"/>
  <c r="B1940" i="7"/>
  <c r="C1941" i="7" s="1"/>
  <c r="D1939" i="7"/>
  <c r="B1939" i="7"/>
  <c r="E1938" i="7"/>
  <c r="D1938" i="7"/>
  <c r="E1939" i="7" s="1"/>
  <c r="C1938" i="7"/>
  <c r="B1938" i="7"/>
  <c r="C1939" i="7" s="1"/>
  <c r="D1937" i="7"/>
  <c r="B1937" i="7"/>
  <c r="E1936" i="7"/>
  <c r="D1936" i="7"/>
  <c r="E1937" i="7" s="1"/>
  <c r="C1936" i="7"/>
  <c r="B1936" i="7"/>
  <c r="C1937" i="7" s="1"/>
  <c r="E1935" i="7"/>
  <c r="D1935" i="7"/>
  <c r="B1935" i="7"/>
  <c r="D1934" i="7"/>
  <c r="E1934" i="7" s="1"/>
  <c r="C1934" i="7"/>
  <c r="B1934" i="7"/>
  <c r="C1935" i="7" s="1"/>
  <c r="E1933" i="7"/>
  <c r="D1933" i="7"/>
  <c r="B1933" i="7"/>
  <c r="D1932" i="7"/>
  <c r="E1932" i="7" s="1"/>
  <c r="C1932" i="7"/>
  <c r="B1932" i="7"/>
  <c r="C1933" i="7" s="1"/>
  <c r="E1931" i="7"/>
  <c r="D1931" i="7"/>
  <c r="B1931" i="7"/>
  <c r="E1930" i="7"/>
  <c r="D1930" i="7"/>
  <c r="B1930" i="7"/>
  <c r="D1929" i="7"/>
  <c r="B1929" i="7"/>
  <c r="E1928" i="7"/>
  <c r="D1928" i="7"/>
  <c r="E1929" i="7" s="1"/>
  <c r="B1928" i="7"/>
  <c r="C1929" i="7" s="1"/>
  <c r="D1927" i="7"/>
  <c r="B1927" i="7"/>
  <c r="D1926" i="7"/>
  <c r="C1926" i="7"/>
  <c r="B1926" i="7"/>
  <c r="C1927" i="7" s="1"/>
  <c r="D1925" i="7"/>
  <c r="B1925" i="7"/>
  <c r="D1924" i="7"/>
  <c r="E1925" i="7" s="1"/>
  <c r="B1924" i="7"/>
  <c r="D1923" i="7"/>
  <c r="B1923" i="7"/>
  <c r="E1922" i="7"/>
  <c r="D1922" i="7"/>
  <c r="E1923" i="7" s="1"/>
  <c r="B1922" i="7"/>
  <c r="C1923" i="7" s="1"/>
  <c r="D1921" i="7"/>
  <c r="B1921" i="7"/>
  <c r="D1920" i="7"/>
  <c r="E1921" i="7" s="1"/>
  <c r="C1920" i="7"/>
  <c r="B1920" i="7"/>
  <c r="C1921" i="7" s="1"/>
  <c r="D1919" i="7"/>
  <c r="B1919" i="7"/>
  <c r="D1918" i="7"/>
  <c r="C1918" i="7"/>
  <c r="B1918" i="7"/>
  <c r="C1919" i="7" s="1"/>
  <c r="E1917" i="7"/>
  <c r="D1917" i="7"/>
  <c r="B1917" i="7"/>
  <c r="D1916" i="7"/>
  <c r="E1916" i="7" s="1"/>
  <c r="B1916" i="7"/>
  <c r="C1917" i="7" s="1"/>
  <c r="E1915" i="7"/>
  <c r="D1915" i="7"/>
  <c r="B1915" i="7"/>
  <c r="E1914" i="7"/>
  <c r="D1914" i="7"/>
  <c r="B1914" i="7"/>
  <c r="E1913" i="7"/>
  <c r="D1913" i="7"/>
  <c r="C1913" i="7"/>
  <c r="B1913" i="7"/>
  <c r="E1912" i="7"/>
  <c r="D1912" i="7"/>
  <c r="B1912" i="7"/>
  <c r="C1912" i="7" s="1"/>
  <c r="E1911" i="7"/>
  <c r="D1911" i="7"/>
  <c r="C1911" i="7"/>
  <c r="B1911" i="7"/>
  <c r="E1910" i="7"/>
  <c r="D1910" i="7"/>
  <c r="B1910" i="7"/>
  <c r="C1910" i="7" s="1"/>
  <c r="E1909" i="7"/>
  <c r="D1909" i="7"/>
  <c r="C1909" i="7"/>
  <c r="B1909" i="7"/>
  <c r="E1908" i="7"/>
  <c r="D1908" i="7"/>
  <c r="B1908" i="7"/>
  <c r="C1908" i="7" s="1"/>
  <c r="E1907" i="7"/>
  <c r="D1907" i="7"/>
  <c r="B1907" i="7"/>
  <c r="E1906" i="7"/>
  <c r="D1906" i="7"/>
  <c r="B1906" i="7"/>
  <c r="E1905" i="7"/>
  <c r="D1905" i="7"/>
  <c r="B1905" i="7"/>
  <c r="E1904" i="7"/>
  <c r="D1904" i="7"/>
  <c r="B1904" i="7"/>
  <c r="E1903" i="7"/>
  <c r="D1903" i="7"/>
  <c r="B1903" i="7"/>
  <c r="E1902" i="7"/>
  <c r="D1902" i="7"/>
  <c r="B1902" i="7"/>
  <c r="E1901" i="7"/>
  <c r="D1901" i="7"/>
  <c r="B1901" i="7"/>
  <c r="E1900" i="7"/>
  <c r="D1900" i="7"/>
  <c r="B1900" i="7"/>
  <c r="E1899" i="7"/>
  <c r="D1899" i="7"/>
  <c r="C1899" i="7"/>
  <c r="B1899" i="7"/>
  <c r="E1898" i="7"/>
  <c r="D1898" i="7"/>
  <c r="B1898" i="7"/>
  <c r="C1898" i="7" s="1"/>
  <c r="E1897" i="7"/>
  <c r="D1897" i="7"/>
  <c r="C1897" i="7"/>
  <c r="B1897" i="7"/>
  <c r="E1896" i="7"/>
  <c r="D1896" i="7"/>
  <c r="B1896" i="7"/>
  <c r="C1896" i="7" s="1"/>
  <c r="E1895" i="7"/>
  <c r="D1895" i="7"/>
  <c r="C1895" i="7"/>
  <c r="B1895" i="7"/>
  <c r="E1894" i="7"/>
  <c r="D1894" i="7"/>
  <c r="B1894" i="7"/>
  <c r="C1894" i="7" s="1"/>
  <c r="E1893" i="7"/>
  <c r="D1893" i="7"/>
  <c r="C1893" i="7"/>
  <c r="B1893" i="7"/>
  <c r="E1892" i="7"/>
  <c r="D1892" i="7"/>
  <c r="B1892" i="7"/>
  <c r="C1892" i="7" s="1"/>
  <c r="E1891" i="7"/>
  <c r="D1891" i="7"/>
  <c r="B1891" i="7"/>
  <c r="E1890" i="7"/>
  <c r="D1890" i="7"/>
  <c r="B1890" i="7"/>
  <c r="E1889" i="7"/>
  <c r="D1889" i="7"/>
  <c r="B1889" i="7"/>
  <c r="E1888" i="7"/>
  <c r="D1888" i="7"/>
  <c r="B1888" i="7"/>
  <c r="E1887" i="7"/>
  <c r="D1887" i="7"/>
  <c r="B1887" i="7"/>
  <c r="E1886" i="7"/>
  <c r="D1886" i="7"/>
  <c r="B1886" i="7"/>
  <c r="C1887" i="7" s="1"/>
  <c r="E1885" i="7"/>
  <c r="D1885" i="7"/>
  <c r="B1885" i="7"/>
  <c r="E1884" i="7"/>
  <c r="D1884" i="7"/>
  <c r="C1884" i="7"/>
  <c r="B1884" i="7"/>
  <c r="C1885" i="7" s="1"/>
  <c r="E1883" i="7"/>
  <c r="D1883" i="7"/>
  <c r="B1883" i="7"/>
  <c r="E1882" i="7"/>
  <c r="D1882" i="7"/>
  <c r="C1882" i="7"/>
  <c r="B1882" i="7"/>
  <c r="C1883" i="7" s="1"/>
  <c r="E1881" i="7"/>
  <c r="D1881" i="7"/>
  <c r="B1881" i="7"/>
  <c r="E1880" i="7"/>
  <c r="D1880" i="7"/>
  <c r="B1880" i="7"/>
  <c r="C1881" i="7" s="1"/>
  <c r="E1879" i="7"/>
  <c r="D1879" i="7"/>
  <c r="B1879" i="7"/>
  <c r="E1878" i="7"/>
  <c r="D1878" i="7"/>
  <c r="B1878" i="7"/>
  <c r="E1877" i="7"/>
  <c r="D1877" i="7"/>
  <c r="B1877" i="7"/>
  <c r="E1876" i="7"/>
  <c r="D1876" i="7"/>
  <c r="B1876" i="7"/>
  <c r="C1877" i="7" s="1"/>
  <c r="E1875" i="7"/>
  <c r="D1875" i="7"/>
  <c r="B1875" i="7"/>
  <c r="E1874" i="7"/>
  <c r="D1874" i="7"/>
  <c r="B1874" i="7"/>
  <c r="C1875" i="7" s="1"/>
  <c r="E1873" i="7"/>
  <c r="D1873" i="7"/>
  <c r="B1873" i="7"/>
  <c r="E1872" i="7"/>
  <c r="D1872" i="7"/>
  <c r="B1872" i="7"/>
  <c r="E1871" i="7"/>
  <c r="D1871" i="7"/>
  <c r="B1871" i="7"/>
  <c r="E1870" i="7"/>
  <c r="D1870" i="7"/>
  <c r="B1870" i="7"/>
  <c r="C1871" i="7" s="1"/>
  <c r="E1869" i="7"/>
  <c r="D1869" i="7"/>
  <c r="B1869" i="7"/>
  <c r="E1868" i="7"/>
  <c r="D1868" i="7"/>
  <c r="C1868" i="7"/>
  <c r="B1868" i="7"/>
  <c r="C1869" i="7" s="1"/>
  <c r="E1867" i="7"/>
  <c r="D1867" i="7"/>
  <c r="B1867" i="7"/>
  <c r="E1866" i="7"/>
  <c r="D1866" i="7"/>
  <c r="B1866" i="7"/>
  <c r="E1865" i="7"/>
  <c r="D1865" i="7"/>
  <c r="B1865" i="7"/>
  <c r="E1864" i="7"/>
  <c r="D1864" i="7"/>
  <c r="B1864" i="7"/>
  <c r="C1865" i="7" s="1"/>
  <c r="E1863" i="7"/>
  <c r="D1863" i="7"/>
  <c r="B1863" i="7"/>
  <c r="E1862" i="7"/>
  <c r="D1862" i="7"/>
  <c r="B1862" i="7"/>
  <c r="C1863" i="7" s="1"/>
  <c r="E1861" i="7"/>
  <c r="D1861" i="7"/>
  <c r="B1861" i="7"/>
  <c r="E1860" i="7"/>
  <c r="D1860" i="7"/>
  <c r="C1860" i="7"/>
  <c r="B1860" i="7"/>
  <c r="C1861" i="7" s="1"/>
  <c r="E1859" i="7"/>
  <c r="D1859" i="7"/>
  <c r="B1859" i="7"/>
  <c r="E1858" i="7"/>
  <c r="D1858" i="7"/>
  <c r="C1858" i="7"/>
  <c r="B1858" i="7"/>
  <c r="C1859" i="7" s="1"/>
  <c r="E1857" i="7"/>
  <c r="D1857" i="7"/>
  <c r="B1857" i="7"/>
  <c r="E1856" i="7"/>
  <c r="D1856" i="7"/>
  <c r="B1856" i="7"/>
  <c r="E1855" i="7"/>
  <c r="D1855" i="7"/>
  <c r="B1855" i="7"/>
  <c r="E1854" i="7"/>
  <c r="D1854" i="7"/>
  <c r="B1854" i="7"/>
  <c r="C1855" i="7" s="1"/>
  <c r="E1853" i="7"/>
  <c r="D1853" i="7"/>
  <c r="B1853" i="7"/>
  <c r="E1852" i="7"/>
  <c r="D1852" i="7"/>
  <c r="C1852" i="7"/>
  <c r="B1852" i="7"/>
  <c r="C1853" i="7" s="1"/>
  <c r="E1851" i="7"/>
  <c r="D1851" i="7"/>
  <c r="B1851" i="7"/>
  <c r="E1850" i="7"/>
  <c r="D1850" i="7"/>
  <c r="B1850" i="7"/>
  <c r="C1851" i="7" s="1"/>
  <c r="E1849" i="7"/>
  <c r="D1849" i="7"/>
  <c r="B1849" i="7"/>
  <c r="E1848" i="7"/>
  <c r="D1848" i="7"/>
  <c r="C1848" i="7"/>
  <c r="B1848" i="7"/>
  <c r="C1849" i="7" s="1"/>
  <c r="E1847" i="7"/>
  <c r="D1847" i="7"/>
  <c r="B1847" i="7"/>
  <c r="E1846" i="7"/>
  <c r="D1846" i="7"/>
  <c r="C1846" i="7"/>
  <c r="B1846" i="7"/>
  <c r="C1847" i="7" s="1"/>
  <c r="E1845" i="7"/>
  <c r="D1845" i="7"/>
  <c r="B1845" i="7"/>
  <c r="E1844" i="7"/>
  <c r="D1844" i="7"/>
  <c r="B1844" i="7"/>
  <c r="C1845" i="7" s="1"/>
  <c r="E1843" i="7"/>
  <c r="D1843" i="7"/>
  <c r="B1843" i="7"/>
  <c r="E1842" i="7"/>
  <c r="D1842" i="7"/>
  <c r="C1842" i="7"/>
  <c r="B1842" i="7"/>
  <c r="C1843" i="7" s="1"/>
  <c r="E1841" i="7"/>
  <c r="D1841" i="7"/>
  <c r="B1841" i="7"/>
  <c r="E1840" i="7"/>
  <c r="D1840" i="7"/>
  <c r="B1840" i="7"/>
  <c r="E1839" i="7"/>
  <c r="D1839" i="7"/>
  <c r="B1839" i="7"/>
  <c r="E1838" i="7"/>
  <c r="D1838" i="7"/>
  <c r="B1838" i="7"/>
  <c r="C1839" i="7" s="1"/>
  <c r="E1837" i="7"/>
  <c r="D1837" i="7"/>
  <c r="B1837" i="7"/>
  <c r="E1836" i="7"/>
  <c r="D1836" i="7"/>
  <c r="C1836" i="7"/>
  <c r="B1836" i="7"/>
  <c r="C1837" i="7" s="1"/>
  <c r="E1835" i="7"/>
  <c r="D1835" i="7"/>
  <c r="B1835" i="7"/>
  <c r="E1834" i="7"/>
  <c r="D1834" i="7"/>
  <c r="C1834" i="7"/>
  <c r="B1834" i="7"/>
  <c r="C1835" i="7" s="1"/>
  <c r="E1833" i="7"/>
  <c r="D1833" i="7"/>
  <c r="B1833" i="7"/>
  <c r="E1832" i="7"/>
  <c r="D1832" i="7"/>
  <c r="B1832" i="7"/>
  <c r="C1833" i="7" s="1"/>
  <c r="E1831" i="7"/>
  <c r="D1831" i="7"/>
  <c r="B1831" i="7"/>
  <c r="E1830" i="7"/>
  <c r="D1830" i="7"/>
  <c r="C1830" i="7"/>
  <c r="B1830" i="7"/>
  <c r="C1831" i="7" s="1"/>
  <c r="E1829" i="7"/>
  <c r="D1829" i="7"/>
  <c r="B1829" i="7"/>
  <c r="E1828" i="7"/>
  <c r="D1828" i="7"/>
  <c r="C1828" i="7"/>
  <c r="B1828" i="7"/>
  <c r="C1829" i="7" s="1"/>
  <c r="E1827" i="7"/>
  <c r="D1827" i="7"/>
  <c r="B1827" i="7"/>
  <c r="E1826" i="7"/>
  <c r="D1826" i="7"/>
  <c r="B1826" i="7"/>
  <c r="D1825" i="7"/>
  <c r="B1825" i="7"/>
  <c r="E1824" i="7"/>
  <c r="D1824" i="7"/>
  <c r="E1825" i="7" s="1"/>
  <c r="B1824" i="7"/>
  <c r="C1825" i="7" s="1"/>
  <c r="D1823" i="7"/>
  <c r="B1823" i="7"/>
  <c r="E1822" i="7"/>
  <c r="D1822" i="7"/>
  <c r="E1823" i="7" s="1"/>
  <c r="B1822" i="7"/>
  <c r="C1823" i="7" s="1"/>
  <c r="D1821" i="7"/>
  <c r="B1821" i="7"/>
  <c r="D1820" i="7"/>
  <c r="E1821" i="7" s="1"/>
  <c r="B1820" i="7"/>
  <c r="C1821" i="7" s="1"/>
  <c r="D1819" i="7"/>
  <c r="B1819" i="7"/>
  <c r="D1818" i="7"/>
  <c r="E1819" i="7" s="1"/>
  <c r="B1818" i="7"/>
  <c r="C1819" i="7" s="1"/>
  <c r="D1817" i="7"/>
  <c r="B1817" i="7"/>
  <c r="E1816" i="7"/>
  <c r="D1816" i="7"/>
  <c r="E1817" i="7" s="1"/>
  <c r="B1816" i="7"/>
  <c r="C1817" i="7" s="1"/>
  <c r="D1815" i="7"/>
  <c r="B1815" i="7"/>
  <c r="D1814" i="7"/>
  <c r="E1815" i="7" s="1"/>
  <c r="B1814" i="7"/>
  <c r="D1813" i="7"/>
  <c r="B1813" i="7"/>
  <c r="E1812" i="7"/>
  <c r="D1812" i="7"/>
  <c r="E1813" i="7" s="1"/>
  <c r="B1812" i="7"/>
  <c r="C1813" i="7" s="1"/>
  <c r="D1811" i="7"/>
  <c r="B1811" i="7"/>
  <c r="D1810" i="7"/>
  <c r="E1811" i="7" s="1"/>
  <c r="C1810" i="7"/>
  <c r="B1810" i="7"/>
  <c r="C1811" i="7" s="1"/>
  <c r="D1809" i="7"/>
  <c r="B1809" i="7"/>
  <c r="D1808" i="7"/>
  <c r="B1808" i="7"/>
  <c r="C1809" i="7" s="1"/>
  <c r="D1807" i="7"/>
  <c r="B1807" i="7"/>
  <c r="E1806" i="7"/>
  <c r="D1806" i="7"/>
  <c r="E1807" i="7" s="1"/>
  <c r="B1806" i="7"/>
  <c r="C1807" i="7" s="1"/>
  <c r="D1805" i="7"/>
  <c r="B1805" i="7"/>
  <c r="D1804" i="7"/>
  <c r="E1805" i="7" s="1"/>
  <c r="C1804" i="7"/>
  <c r="B1804" i="7"/>
  <c r="C1805" i="7" s="1"/>
  <c r="D1803" i="7"/>
  <c r="B1803" i="7"/>
  <c r="D1802" i="7"/>
  <c r="C1802" i="7"/>
  <c r="B1802" i="7"/>
  <c r="C1803" i="7" s="1"/>
  <c r="D1801" i="7"/>
  <c r="B1801" i="7"/>
  <c r="D1800" i="7"/>
  <c r="E1801" i="7" s="1"/>
  <c r="B1800" i="7"/>
  <c r="D1799" i="7"/>
  <c r="B1799" i="7"/>
  <c r="D1798" i="7"/>
  <c r="E1799" i="7" s="1"/>
  <c r="C1798" i="7"/>
  <c r="B1798" i="7"/>
  <c r="C1799" i="7" s="1"/>
  <c r="D1797" i="7"/>
  <c r="B1797" i="7"/>
  <c r="D1796" i="7"/>
  <c r="E1797" i="7" s="1"/>
  <c r="B1796" i="7"/>
  <c r="C1797" i="7" s="1"/>
  <c r="D1795" i="7"/>
  <c r="B1795" i="7"/>
  <c r="D1794" i="7"/>
  <c r="B1794" i="7"/>
  <c r="D1793" i="7"/>
  <c r="B1793" i="7"/>
  <c r="E1792" i="7"/>
  <c r="D1792" i="7"/>
  <c r="E1793" i="7" s="1"/>
  <c r="B1792" i="7"/>
  <c r="D1791" i="7"/>
  <c r="B1791" i="7"/>
  <c r="D1790" i="7"/>
  <c r="B1790" i="7"/>
  <c r="C1791" i="7" s="1"/>
  <c r="D1789" i="7"/>
  <c r="B1789" i="7"/>
  <c r="D1788" i="7"/>
  <c r="E1789" i="7" s="1"/>
  <c r="B1788" i="7"/>
  <c r="C1789" i="7" s="1"/>
  <c r="D1787" i="7"/>
  <c r="B1787" i="7"/>
  <c r="D1786" i="7"/>
  <c r="B1786" i="7"/>
  <c r="C1787" i="7" s="1"/>
  <c r="D1785" i="7"/>
  <c r="B1785" i="7"/>
  <c r="E1784" i="7"/>
  <c r="D1784" i="7"/>
  <c r="E1785" i="7" s="1"/>
  <c r="B1784" i="7"/>
  <c r="D1783" i="7"/>
  <c r="B1783" i="7"/>
  <c r="D1782" i="7"/>
  <c r="E1783" i="7" s="1"/>
  <c r="C1782" i="7"/>
  <c r="B1782" i="7"/>
  <c r="C1783" i="7" s="1"/>
  <c r="D1781" i="7"/>
  <c r="B1781" i="7"/>
  <c r="E1780" i="7"/>
  <c r="D1780" i="7"/>
  <c r="E1781" i="7" s="1"/>
  <c r="B1780" i="7"/>
  <c r="C1781" i="7" s="1"/>
  <c r="D1779" i="7"/>
  <c r="B1779" i="7"/>
  <c r="D1778" i="7"/>
  <c r="C1778" i="7"/>
  <c r="B1778" i="7"/>
  <c r="C1779" i="7" s="1"/>
  <c r="D1777" i="7"/>
  <c r="B1777" i="7"/>
  <c r="D1776" i="7"/>
  <c r="B1776" i="7"/>
  <c r="D1775" i="7"/>
  <c r="B1775" i="7"/>
  <c r="E1774" i="7"/>
  <c r="D1774" i="7"/>
  <c r="E1775" i="7" s="1"/>
  <c r="B1774" i="7"/>
  <c r="C1775" i="7" s="1"/>
  <c r="D1773" i="7"/>
  <c r="B1773" i="7"/>
  <c r="D1772" i="7"/>
  <c r="E1773" i="7" s="1"/>
  <c r="C1772" i="7"/>
  <c r="B1772" i="7"/>
  <c r="C1773" i="7" s="1"/>
  <c r="D1771" i="7"/>
  <c r="B1771" i="7"/>
  <c r="D1770" i="7"/>
  <c r="C1770" i="7"/>
  <c r="B1770" i="7"/>
  <c r="C1771" i="7" s="1"/>
  <c r="D1769" i="7"/>
  <c r="B1769" i="7"/>
  <c r="D1768" i="7"/>
  <c r="E1769" i="7" s="1"/>
  <c r="B1768" i="7"/>
  <c r="D1767" i="7"/>
  <c r="B1767" i="7"/>
  <c r="D1766" i="7"/>
  <c r="E1767" i="7" s="1"/>
  <c r="C1766" i="7"/>
  <c r="B1766" i="7"/>
  <c r="C1767" i="7" s="1"/>
  <c r="D1765" i="7"/>
  <c r="B1765" i="7"/>
  <c r="D1764" i="7"/>
  <c r="E1765" i="7" s="1"/>
  <c r="B1764" i="7"/>
  <c r="C1765" i="7" s="1"/>
  <c r="D1763" i="7"/>
  <c r="B1763" i="7"/>
  <c r="D1762" i="7"/>
  <c r="B1762" i="7"/>
  <c r="D1761" i="7"/>
  <c r="B1761" i="7"/>
  <c r="E1760" i="7"/>
  <c r="D1760" i="7"/>
  <c r="E1761" i="7" s="1"/>
  <c r="B1760" i="7"/>
  <c r="D1759" i="7"/>
  <c r="B1759" i="7"/>
  <c r="E1758" i="7"/>
  <c r="D1758" i="7"/>
  <c r="E1759" i="7" s="1"/>
  <c r="B1758" i="7"/>
  <c r="C1759" i="7" s="1"/>
  <c r="D1757" i="7"/>
  <c r="B1757" i="7"/>
  <c r="D1756" i="7"/>
  <c r="E1757" i="7" s="1"/>
  <c r="B1756" i="7"/>
  <c r="C1757" i="7" s="1"/>
  <c r="D1755" i="7"/>
  <c r="B1755" i="7"/>
  <c r="D1754" i="7"/>
  <c r="B1754" i="7"/>
  <c r="C1755" i="7" s="1"/>
  <c r="D1753" i="7"/>
  <c r="B1753" i="7"/>
  <c r="E1752" i="7"/>
  <c r="D1752" i="7"/>
  <c r="E1753" i="7" s="1"/>
  <c r="B1752" i="7"/>
  <c r="D1751" i="7"/>
  <c r="B1751" i="7"/>
  <c r="D1750" i="7"/>
  <c r="E1751" i="7" s="1"/>
  <c r="B1750" i="7"/>
  <c r="D1749" i="7"/>
  <c r="B1749" i="7"/>
  <c r="E1748" i="7"/>
  <c r="D1748" i="7"/>
  <c r="E1749" i="7" s="1"/>
  <c r="B1748" i="7"/>
  <c r="C1749" i="7" s="1"/>
  <c r="D1747" i="7"/>
  <c r="B1747" i="7"/>
  <c r="D1746" i="7"/>
  <c r="C1746" i="7"/>
  <c r="B1746" i="7"/>
  <c r="C1747" i="7" s="1"/>
  <c r="D1745" i="7"/>
  <c r="B1745" i="7"/>
  <c r="D1744" i="7"/>
  <c r="B1744" i="7"/>
  <c r="D1743" i="7"/>
  <c r="B1743" i="7"/>
  <c r="E1742" i="7"/>
  <c r="D1742" i="7"/>
  <c r="E1743" i="7" s="1"/>
  <c r="B1742" i="7"/>
  <c r="C1743" i="7" s="1"/>
  <c r="D1741" i="7"/>
  <c r="B1741" i="7"/>
  <c r="D1740" i="7"/>
  <c r="E1741" i="7" s="1"/>
  <c r="C1740" i="7"/>
  <c r="B1740" i="7"/>
  <c r="C1741" i="7" s="1"/>
  <c r="D1739" i="7"/>
  <c r="B1739" i="7"/>
  <c r="D1738" i="7"/>
  <c r="C1738" i="7"/>
  <c r="B1738" i="7"/>
  <c r="C1739" i="7" s="1"/>
  <c r="D1737" i="7"/>
  <c r="B1737" i="7"/>
  <c r="D1736" i="7"/>
  <c r="E1737" i="7" s="1"/>
  <c r="B1736" i="7"/>
  <c r="D1735" i="7"/>
  <c r="B1735" i="7"/>
  <c r="D1734" i="7"/>
  <c r="E1735" i="7" s="1"/>
  <c r="C1734" i="7"/>
  <c r="B1734" i="7"/>
  <c r="C1735" i="7" s="1"/>
  <c r="D1733" i="7"/>
  <c r="B1733" i="7"/>
  <c r="D1732" i="7"/>
  <c r="E1733" i="7" s="1"/>
  <c r="B1732" i="7"/>
  <c r="C1733" i="7" s="1"/>
  <c r="D1731" i="7"/>
  <c r="B1731" i="7"/>
  <c r="D1730" i="7"/>
  <c r="B1730" i="7"/>
  <c r="D1729" i="7"/>
  <c r="B1729" i="7"/>
  <c r="E1728" i="7"/>
  <c r="D1728" i="7"/>
  <c r="E1729" i="7" s="1"/>
  <c r="B1728" i="7"/>
  <c r="D1727" i="7"/>
  <c r="B1727" i="7"/>
  <c r="D1726" i="7"/>
  <c r="B1726" i="7"/>
  <c r="C1727" i="7" s="1"/>
  <c r="D1725" i="7"/>
  <c r="B1725" i="7"/>
  <c r="D1724" i="7"/>
  <c r="E1725" i="7" s="1"/>
  <c r="B1724" i="7"/>
  <c r="C1725" i="7" s="1"/>
  <c r="D1723" i="7"/>
  <c r="B1723" i="7"/>
  <c r="D1722" i="7"/>
  <c r="B1722" i="7"/>
  <c r="C1723" i="7" s="1"/>
  <c r="D1721" i="7"/>
  <c r="B1721" i="7"/>
  <c r="E1720" i="7"/>
  <c r="D1720" i="7"/>
  <c r="E1721" i="7" s="1"/>
  <c r="B1720" i="7"/>
  <c r="D1719" i="7"/>
  <c r="B1719" i="7"/>
  <c r="D1718" i="7"/>
  <c r="E1719" i="7" s="1"/>
  <c r="C1718" i="7"/>
  <c r="B1718" i="7"/>
  <c r="C1719" i="7" s="1"/>
  <c r="D1717" i="7"/>
  <c r="B1717" i="7"/>
  <c r="E1716" i="7"/>
  <c r="D1716" i="7"/>
  <c r="E1717" i="7" s="1"/>
  <c r="B1716" i="7"/>
  <c r="C1717" i="7" s="1"/>
  <c r="D1715" i="7"/>
  <c r="B1715" i="7"/>
  <c r="D1714" i="7"/>
  <c r="C1714" i="7"/>
  <c r="B1714" i="7"/>
  <c r="C1715" i="7" s="1"/>
  <c r="D1713" i="7"/>
  <c r="B1713" i="7"/>
  <c r="D1712" i="7"/>
  <c r="B1712" i="7"/>
  <c r="D1711" i="7"/>
  <c r="B1711" i="7"/>
  <c r="E1710" i="7"/>
  <c r="D1710" i="7"/>
  <c r="E1711" i="7" s="1"/>
  <c r="B1710" i="7"/>
  <c r="C1711" i="7" s="1"/>
  <c r="D1709" i="7"/>
  <c r="B1709" i="7"/>
  <c r="D1708" i="7"/>
  <c r="E1709" i="7" s="1"/>
  <c r="C1708" i="7"/>
  <c r="B1708" i="7"/>
  <c r="C1709" i="7" s="1"/>
  <c r="D1707" i="7"/>
  <c r="B1707" i="7"/>
  <c r="D1706" i="7"/>
  <c r="C1706" i="7"/>
  <c r="B1706" i="7"/>
  <c r="C1707" i="7" s="1"/>
  <c r="D1705" i="7"/>
  <c r="B1705" i="7"/>
  <c r="D1704" i="7"/>
  <c r="E1705" i="7" s="1"/>
  <c r="B1704" i="7"/>
  <c r="D1703" i="7"/>
  <c r="B1703" i="7"/>
  <c r="D1702" i="7"/>
  <c r="C1702" i="7"/>
  <c r="B1702" i="7"/>
  <c r="C1703" i="7" s="1"/>
  <c r="D1701" i="7"/>
  <c r="B1701" i="7"/>
  <c r="D1700" i="7"/>
  <c r="E1701" i="7" s="1"/>
  <c r="B1700" i="7"/>
  <c r="D1699" i="7"/>
  <c r="B1699" i="7"/>
  <c r="D1698" i="7"/>
  <c r="B1698" i="7"/>
  <c r="D1697" i="7"/>
  <c r="B1697" i="7"/>
  <c r="E1696" i="7"/>
  <c r="D1696" i="7"/>
  <c r="E1697" i="7" s="1"/>
  <c r="B1696" i="7"/>
  <c r="D1695" i="7"/>
  <c r="B1695" i="7"/>
  <c r="E1694" i="7"/>
  <c r="D1694" i="7"/>
  <c r="E1695" i="7" s="1"/>
  <c r="B1694" i="7"/>
  <c r="D1693" i="7"/>
  <c r="B1693" i="7"/>
  <c r="D1692" i="7"/>
  <c r="E1693" i="7" s="1"/>
  <c r="B1692" i="7"/>
  <c r="C1693" i="7" s="1"/>
  <c r="D1691" i="7"/>
  <c r="B1691" i="7"/>
  <c r="D1690" i="7"/>
  <c r="B1690" i="7"/>
  <c r="C1691" i="7" s="1"/>
  <c r="D1689" i="7"/>
  <c r="B1689" i="7"/>
  <c r="E1688" i="7"/>
  <c r="D1688" i="7"/>
  <c r="E1689" i="7" s="1"/>
  <c r="B1688" i="7"/>
  <c r="D1687" i="7"/>
  <c r="B1687" i="7"/>
  <c r="D1686" i="7"/>
  <c r="E1687" i="7" s="1"/>
  <c r="B1686" i="7"/>
  <c r="D1685" i="7"/>
  <c r="B1685" i="7"/>
  <c r="E1684" i="7"/>
  <c r="D1684" i="7"/>
  <c r="E1685" i="7" s="1"/>
  <c r="B1684" i="7"/>
  <c r="C1685" i="7" s="1"/>
  <c r="D1683" i="7"/>
  <c r="B1683" i="7"/>
  <c r="D1682" i="7"/>
  <c r="C1682" i="7"/>
  <c r="B1682" i="7"/>
  <c r="C1683" i="7" s="1"/>
  <c r="D1681" i="7"/>
  <c r="B1681" i="7"/>
  <c r="D1680" i="7"/>
  <c r="B1680" i="7"/>
  <c r="D1679" i="7"/>
  <c r="B1679" i="7"/>
  <c r="E1678" i="7"/>
  <c r="D1678" i="7"/>
  <c r="E1679" i="7" s="1"/>
  <c r="B1678" i="7"/>
  <c r="C1679" i="7" s="1"/>
  <c r="D1677" i="7"/>
  <c r="B1677" i="7"/>
  <c r="D1676" i="7"/>
  <c r="C1676" i="7"/>
  <c r="B1676" i="7"/>
  <c r="C1677" i="7" s="1"/>
  <c r="D1675" i="7"/>
  <c r="B1675" i="7"/>
  <c r="D1674" i="7"/>
  <c r="C1674" i="7"/>
  <c r="B1674" i="7"/>
  <c r="C1675" i="7" s="1"/>
  <c r="D1673" i="7"/>
  <c r="B1673" i="7"/>
  <c r="D1672" i="7"/>
  <c r="E1673" i="7" s="1"/>
  <c r="B1672" i="7"/>
  <c r="D1671" i="7"/>
  <c r="B1671" i="7"/>
  <c r="D1670" i="7"/>
  <c r="C1670" i="7"/>
  <c r="B1670" i="7"/>
  <c r="C1671" i="7" s="1"/>
  <c r="D1669" i="7"/>
  <c r="B1669" i="7"/>
  <c r="D1668" i="7"/>
  <c r="E1669" i="7" s="1"/>
  <c r="B1668" i="7"/>
  <c r="D1667" i="7"/>
  <c r="B1667" i="7"/>
  <c r="D1666" i="7"/>
  <c r="C1666" i="7"/>
  <c r="B1666" i="7"/>
  <c r="C1667" i="7" s="1"/>
  <c r="E1665" i="7"/>
  <c r="D1665" i="7"/>
  <c r="B1665" i="7"/>
  <c r="D1664" i="7"/>
  <c r="E1664" i="7" s="1"/>
  <c r="B1664" i="7"/>
  <c r="C1665" i="7" s="1"/>
  <c r="E1663" i="7"/>
  <c r="D1663" i="7"/>
  <c r="B1663" i="7"/>
  <c r="D1662" i="7"/>
  <c r="E1662" i="7" s="1"/>
  <c r="B1662" i="7"/>
  <c r="C1663" i="7" s="1"/>
  <c r="E1661" i="7"/>
  <c r="D1661" i="7"/>
  <c r="B1661" i="7"/>
  <c r="E1660" i="7"/>
  <c r="D1660" i="7"/>
  <c r="B1660" i="7"/>
  <c r="C1661" i="7" s="1"/>
  <c r="D1659" i="7"/>
  <c r="B1659" i="7"/>
  <c r="D1658" i="7"/>
  <c r="B1658" i="7"/>
  <c r="D1657" i="7"/>
  <c r="B1657" i="7"/>
  <c r="E1656" i="7"/>
  <c r="D1656" i="7"/>
  <c r="E1657" i="7" s="1"/>
  <c r="C1656" i="7"/>
  <c r="B1656" i="7"/>
  <c r="C1657" i="7" s="1"/>
  <c r="D1655" i="7"/>
  <c r="B1655" i="7"/>
  <c r="D1654" i="7"/>
  <c r="C1654" i="7"/>
  <c r="B1654" i="7"/>
  <c r="C1655" i="7" s="1"/>
  <c r="D1653" i="7"/>
  <c r="B1653" i="7"/>
  <c r="D1652" i="7"/>
  <c r="E1653" i="7" s="1"/>
  <c r="B1652" i="7"/>
  <c r="E1651" i="7"/>
  <c r="D1651" i="7"/>
  <c r="B1651" i="7"/>
  <c r="E1650" i="7"/>
  <c r="D1650" i="7"/>
  <c r="B1650" i="7"/>
  <c r="C1651" i="7" s="1"/>
  <c r="E1649" i="7"/>
  <c r="D1649" i="7"/>
  <c r="B1649" i="7"/>
  <c r="E1648" i="7"/>
  <c r="D1648" i="7"/>
  <c r="B1648" i="7"/>
  <c r="C1649" i="7" s="1"/>
  <c r="D1647" i="7"/>
  <c r="B1647" i="7"/>
  <c r="D1646" i="7"/>
  <c r="E1646" i="7" s="1"/>
  <c r="C1646" i="7"/>
  <c r="B1646" i="7"/>
  <c r="C1647" i="7" s="1"/>
  <c r="E1645" i="7"/>
  <c r="D1645" i="7"/>
  <c r="B1645" i="7"/>
  <c r="E1644" i="7"/>
  <c r="D1644" i="7"/>
  <c r="B1644" i="7"/>
  <c r="D1643" i="7"/>
  <c r="B1643" i="7"/>
  <c r="D1642" i="7"/>
  <c r="B1642" i="7"/>
  <c r="E1641" i="7"/>
  <c r="D1641" i="7"/>
  <c r="B1641" i="7"/>
  <c r="D1640" i="7"/>
  <c r="E1640" i="7" s="1"/>
  <c r="C1640" i="7"/>
  <c r="B1640" i="7"/>
  <c r="C1641" i="7" s="1"/>
  <c r="E1639" i="7"/>
  <c r="D1639" i="7"/>
  <c r="B1639" i="7"/>
  <c r="E1638" i="7"/>
  <c r="D1638" i="7"/>
  <c r="B1638" i="7"/>
  <c r="C1639" i="7" s="1"/>
  <c r="D1637" i="7"/>
  <c r="B1637" i="7"/>
  <c r="D1636" i="7"/>
  <c r="C1636" i="7"/>
  <c r="B1636" i="7"/>
  <c r="C1637" i="7" s="1"/>
  <c r="D1635" i="7"/>
  <c r="B1635" i="7"/>
  <c r="E1634" i="7"/>
  <c r="D1634" i="7"/>
  <c r="E1635" i="7" s="1"/>
  <c r="C1634" i="7"/>
  <c r="B1634" i="7"/>
  <c r="C1635" i="7" s="1"/>
  <c r="D1633" i="7"/>
  <c r="B1633" i="7"/>
  <c r="D1632" i="7"/>
  <c r="E1633" i="7" s="1"/>
  <c r="C1632" i="7"/>
  <c r="B1632" i="7"/>
  <c r="C1633" i="7" s="1"/>
  <c r="E1631" i="7"/>
  <c r="D1631" i="7"/>
  <c r="B1631" i="7"/>
  <c r="D1630" i="7"/>
  <c r="E1630" i="7" s="1"/>
  <c r="B1630" i="7"/>
  <c r="C1631" i="7" s="1"/>
  <c r="E1629" i="7"/>
  <c r="D1629" i="7"/>
  <c r="B1629" i="7"/>
  <c r="E1628" i="7"/>
  <c r="D1628" i="7"/>
  <c r="B1628" i="7"/>
  <c r="E1627" i="7"/>
  <c r="D1627" i="7"/>
  <c r="B1627" i="7"/>
  <c r="E1626" i="7"/>
  <c r="D1626" i="7"/>
  <c r="B1626" i="7"/>
  <c r="D1625" i="7"/>
  <c r="B1625" i="7"/>
  <c r="D1624" i="7"/>
  <c r="E1625" i="7" s="1"/>
  <c r="C1624" i="7"/>
  <c r="B1624" i="7"/>
  <c r="C1625" i="7" s="1"/>
  <c r="D1623" i="7"/>
  <c r="B1623" i="7"/>
  <c r="D1622" i="7"/>
  <c r="C1622" i="7"/>
  <c r="B1622" i="7"/>
  <c r="C1623" i="7" s="1"/>
  <c r="D1621" i="7"/>
  <c r="B1621" i="7"/>
  <c r="D1620" i="7"/>
  <c r="B1620" i="7"/>
  <c r="C1621" i="7" s="1"/>
  <c r="E1619" i="7"/>
  <c r="D1619" i="7"/>
  <c r="B1619" i="7"/>
  <c r="D1618" i="7"/>
  <c r="E1618" i="7" s="1"/>
  <c r="C1618" i="7"/>
  <c r="B1618" i="7"/>
  <c r="C1619" i="7" s="1"/>
  <c r="E1617" i="7"/>
  <c r="D1617" i="7"/>
  <c r="B1617" i="7"/>
  <c r="D1616" i="7"/>
  <c r="E1616" i="7" s="1"/>
  <c r="B1616" i="7"/>
  <c r="E1615" i="7"/>
  <c r="D1615" i="7"/>
  <c r="B1615" i="7"/>
  <c r="D1614" i="7"/>
  <c r="E1614" i="7" s="1"/>
  <c r="B1614" i="7"/>
  <c r="C1615" i="7" s="1"/>
  <c r="E1613" i="7"/>
  <c r="D1613" i="7"/>
  <c r="B1613" i="7"/>
  <c r="E1612" i="7"/>
  <c r="D1612" i="7"/>
  <c r="C1612" i="7"/>
  <c r="B1612" i="7"/>
  <c r="C1613" i="7" s="1"/>
  <c r="D1611" i="7"/>
  <c r="B1611" i="7"/>
  <c r="D1610" i="7"/>
  <c r="E1611" i="7" s="1"/>
  <c r="B1610" i="7"/>
  <c r="D1609" i="7"/>
  <c r="B1609" i="7"/>
  <c r="D1608" i="7"/>
  <c r="C1608" i="7"/>
  <c r="B1608" i="7"/>
  <c r="C1609" i="7" s="1"/>
  <c r="E1607" i="7"/>
  <c r="D1607" i="7"/>
  <c r="B1607" i="7"/>
  <c r="D1606" i="7"/>
  <c r="E1606" i="7" s="1"/>
  <c r="B1606" i="7"/>
  <c r="C1607" i="7" s="1"/>
  <c r="D1605" i="7"/>
  <c r="B1605" i="7"/>
  <c r="E1604" i="7"/>
  <c r="D1604" i="7"/>
  <c r="E1605" i="7" s="1"/>
  <c r="B1604" i="7"/>
  <c r="C1605" i="7" s="1"/>
  <c r="E1603" i="7"/>
  <c r="D1603" i="7"/>
  <c r="B1603" i="7"/>
  <c r="E1602" i="7"/>
  <c r="D1602" i="7"/>
  <c r="B1602" i="7"/>
  <c r="C1603" i="7" s="1"/>
  <c r="D1601" i="7"/>
  <c r="B1601" i="7"/>
  <c r="E1600" i="7"/>
  <c r="D1600" i="7"/>
  <c r="E1601" i="7" s="1"/>
  <c r="C1600" i="7"/>
  <c r="B1600" i="7"/>
  <c r="C1601" i="7" s="1"/>
  <c r="D1599" i="7"/>
  <c r="B1599" i="7"/>
  <c r="D1598" i="7"/>
  <c r="C1598" i="7"/>
  <c r="B1598" i="7"/>
  <c r="C1599" i="7" s="1"/>
  <c r="E1597" i="7"/>
  <c r="D1597" i="7"/>
  <c r="B1597" i="7"/>
  <c r="E1596" i="7"/>
  <c r="D1596" i="7"/>
  <c r="C1596" i="7"/>
  <c r="B1596" i="7"/>
  <c r="C1597" i="7" s="1"/>
  <c r="E1595" i="7"/>
  <c r="D1595" i="7"/>
  <c r="B1595" i="7"/>
  <c r="D1594" i="7"/>
  <c r="E1594" i="7" s="1"/>
  <c r="B1594" i="7"/>
  <c r="E1593" i="7"/>
  <c r="D1593" i="7"/>
  <c r="B1593" i="7"/>
  <c r="E1592" i="7"/>
  <c r="D1592" i="7"/>
  <c r="C1592" i="7"/>
  <c r="B1592" i="7"/>
  <c r="C1593" i="7" s="1"/>
  <c r="E1591" i="7"/>
  <c r="D1591" i="7"/>
  <c r="B1591" i="7"/>
  <c r="E1590" i="7"/>
  <c r="D1590" i="7"/>
  <c r="B1590" i="7"/>
  <c r="C1591" i="7" s="1"/>
  <c r="D1589" i="7"/>
  <c r="B1589" i="7"/>
  <c r="E1588" i="7"/>
  <c r="D1588" i="7"/>
  <c r="E1589" i="7" s="1"/>
  <c r="C1588" i="7"/>
  <c r="B1588" i="7"/>
  <c r="C1589" i="7" s="1"/>
  <c r="D1587" i="7"/>
  <c r="B1587" i="7"/>
  <c r="D1586" i="7"/>
  <c r="E1587" i="7" s="1"/>
  <c r="C1586" i="7"/>
  <c r="B1586" i="7"/>
  <c r="C1587" i="7" s="1"/>
  <c r="D1585" i="7"/>
  <c r="B1585" i="7"/>
  <c r="D1584" i="7"/>
  <c r="B1584" i="7"/>
  <c r="C1585" i="7" s="1"/>
  <c r="E1583" i="7"/>
  <c r="D1583" i="7"/>
  <c r="B1583" i="7"/>
  <c r="D1582" i="7"/>
  <c r="E1582" i="7" s="1"/>
  <c r="B1582" i="7"/>
  <c r="E1581" i="7"/>
  <c r="D1581" i="7"/>
  <c r="B1581" i="7"/>
  <c r="E1580" i="7"/>
  <c r="D1580" i="7"/>
  <c r="B1580" i="7"/>
  <c r="C1581" i="7" s="1"/>
  <c r="E1579" i="7"/>
  <c r="D1579" i="7"/>
  <c r="B1579" i="7"/>
  <c r="E1578" i="7"/>
  <c r="D1578" i="7"/>
  <c r="B1578" i="7"/>
  <c r="D1577" i="7"/>
  <c r="B1577" i="7"/>
  <c r="D1576" i="7"/>
  <c r="E1577" i="7" s="1"/>
  <c r="C1576" i="7"/>
  <c r="B1576" i="7"/>
  <c r="C1577" i="7" s="1"/>
  <c r="D1575" i="7"/>
  <c r="B1575" i="7"/>
  <c r="E1574" i="7"/>
  <c r="D1574" i="7"/>
  <c r="E1575" i="7" s="1"/>
  <c r="B1574" i="7"/>
  <c r="C1575" i="7" s="1"/>
  <c r="D1573" i="7"/>
  <c r="B1573" i="7"/>
  <c r="D1572" i="7"/>
  <c r="E1573" i="7" s="1"/>
  <c r="B1572" i="7"/>
  <c r="E1571" i="7"/>
  <c r="D1571" i="7"/>
  <c r="B1571" i="7"/>
  <c r="D1570" i="7"/>
  <c r="E1570" i="7" s="1"/>
  <c r="B1570" i="7"/>
  <c r="E1569" i="7"/>
  <c r="D1569" i="7"/>
  <c r="B1569" i="7"/>
  <c r="E1568" i="7"/>
  <c r="D1568" i="7"/>
  <c r="B1568" i="7"/>
  <c r="C1569" i="7" s="1"/>
  <c r="E1567" i="7"/>
  <c r="D1567" i="7"/>
  <c r="B1567" i="7"/>
  <c r="E1566" i="7"/>
  <c r="D1566" i="7"/>
  <c r="B1566" i="7"/>
  <c r="C1567" i="7" s="1"/>
  <c r="D1565" i="7"/>
  <c r="B1565" i="7"/>
  <c r="E1564" i="7"/>
  <c r="D1564" i="7"/>
  <c r="E1565" i="7" s="1"/>
  <c r="C1564" i="7"/>
  <c r="B1564" i="7"/>
  <c r="C1565" i="7" s="1"/>
  <c r="D1563" i="7"/>
  <c r="B1563" i="7"/>
  <c r="D1562" i="7"/>
  <c r="E1563" i="7" s="1"/>
  <c r="C1562" i="7"/>
  <c r="B1562" i="7"/>
  <c r="C1563" i="7" s="1"/>
  <c r="D1561" i="7"/>
  <c r="B1561" i="7"/>
  <c r="E1560" i="7"/>
  <c r="D1560" i="7"/>
  <c r="E1561" i="7" s="1"/>
  <c r="B1560" i="7"/>
  <c r="C1561" i="7" s="1"/>
  <c r="D1559" i="7"/>
  <c r="B1559" i="7"/>
  <c r="D1558" i="7"/>
  <c r="B1558" i="7"/>
  <c r="E1557" i="7"/>
  <c r="D1557" i="7"/>
  <c r="B1557" i="7"/>
  <c r="D1556" i="7"/>
  <c r="E1556" i="7" s="1"/>
  <c r="B1556" i="7"/>
  <c r="C1557" i="7" s="1"/>
  <c r="E1555" i="7"/>
  <c r="D1555" i="7"/>
  <c r="B1555" i="7"/>
  <c r="D1554" i="7"/>
  <c r="E1554" i="7" s="1"/>
  <c r="B1554" i="7"/>
  <c r="E1553" i="7"/>
  <c r="D1553" i="7"/>
  <c r="B1553" i="7"/>
  <c r="E1552" i="7"/>
  <c r="D1552" i="7"/>
  <c r="B1552" i="7"/>
  <c r="C1553" i="7" s="1"/>
  <c r="E1551" i="7"/>
  <c r="D1551" i="7"/>
  <c r="B1551" i="7"/>
  <c r="E1550" i="7"/>
  <c r="D1550" i="7"/>
  <c r="B1550" i="7"/>
  <c r="C1551" i="7" s="1"/>
  <c r="D1549" i="7"/>
  <c r="B1549" i="7"/>
  <c r="D1548" i="7"/>
  <c r="E1549" i="7" s="1"/>
  <c r="C1548" i="7"/>
  <c r="B1548" i="7"/>
  <c r="C1549" i="7" s="1"/>
  <c r="D1547" i="7"/>
  <c r="B1547" i="7"/>
  <c r="E1546" i="7"/>
  <c r="D1546" i="7"/>
  <c r="E1547" i="7" s="1"/>
  <c r="C1546" i="7"/>
  <c r="B1546" i="7"/>
  <c r="C1547" i="7" s="1"/>
  <c r="D1545" i="7"/>
  <c r="B1545" i="7"/>
  <c r="D1544" i="7"/>
  <c r="E1545" i="7" s="1"/>
  <c r="C1544" i="7"/>
  <c r="B1544" i="7"/>
  <c r="C1545" i="7" s="1"/>
  <c r="D1543" i="7"/>
  <c r="B1543" i="7"/>
  <c r="D1542" i="7"/>
  <c r="B1542" i="7"/>
  <c r="C1543" i="7" s="1"/>
  <c r="E1541" i="7"/>
  <c r="D1541" i="7"/>
  <c r="B1541" i="7"/>
  <c r="D1540" i="7"/>
  <c r="E1540" i="7" s="1"/>
  <c r="C1540" i="7"/>
  <c r="B1540" i="7"/>
  <c r="C1541" i="7" s="1"/>
  <c r="E1539" i="7"/>
  <c r="D1539" i="7"/>
  <c r="B1539" i="7"/>
  <c r="D1538" i="7"/>
  <c r="E1538" i="7" s="1"/>
  <c r="B1538" i="7"/>
  <c r="E1537" i="7"/>
  <c r="D1537" i="7"/>
  <c r="B1537" i="7"/>
  <c r="E1536" i="7"/>
  <c r="D1536" i="7"/>
  <c r="B1536" i="7"/>
  <c r="C1537" i="7" s="1"/>
  <c r="E1535" i="7"/>
  <c r="D1535" i="7"/>
  <c r="B1535" i="7"/>
  <c r="E1534" i="7"/>
  <c r="D1534" i="7"/>
  <c r="B1534" i="7"/>
  <c r="C1535" i="7" s="1"/>
  <c r="D1533" i="7"/>
  <c r="B1533" i="7"/>
  <c r="E1532" i="7"/>
  <c r="D1532" i="7"/>
  <c r="E1533" i="7" s="1"/>
  <c r="C1532" i="7"/>
  <c r="B1532" i="7"/>
  <c r="C1533" i="7" s="1"/>
  <c r="D1531" i="7"/>
  <c r="B1531" i="7"/>
  <c r="D1530" i="7"/>
  <c r="E1531" i="7" s="1"/>
  <c r="C1530" i="7"/>
  <c r="B1530" i="7"/>
  <c r="C1531" i="7" s="1"/>
  <c r="D1529" i="7"/>
  <c r="B1529" i="7"/>
  <c r="E1528" i="7"/>
  <c r="D1528" i="7"/>
  <c r="E1529" i="7" s="1"/>
  <c r="B1528" i="7"/>
  <c r="C1529" i="7" s="1"/>
  <c r="D1527" i="7"/>
  <c r="B1527" i="7"/>
  <c r="D1526" i="7"/>
  <c r="C1526" i="7"/>
  <c r="B1526" i="7"/>
  <c r="C1527" i="7" s="1"/>
  <c r="E1525" i="7"/>
  <c r="D1525" i="7"/>
  <c r="B1525" i="7"/>
  <c r="D1524" i="7"/>
  <c r="E1524" i="7" s="1"/>
  <c r="B1524" i="7"/>
  <c r="C1525" i="7" s="1"/>
  <c r="E1523" i="7"/>
  <c r="D1523" i="7"/>
  <c r="B1523" i="7"/>
  <c r="D1522" i="7"/>
  <c r="E1522" i="7" s="1"/>
  <c r="B1522" i="7"/>
  <c r="E1521" i="7"/>
  <c r="D1521" i="7"/>
  <c r="B1521" i="7"/>
  <c r="E1520" i="7"/>
  <c r="D1520" i="7"/>
  <c r="B1520" i="7"/>
  <c r="C1521" i="7" s="1"/>
  <c r="E1519" i="7"/>
  <c r="D1519" i="7"/>
  <c r="B1519" i="7"/>
  <c r="E1518" i="7"/>
  <c r="D1518" i="7"/>
  <c r="B1518" i="7"/>
  <c r="C1519" i="7" s="1"/>
  <c r="D1517" i="7"/>
  <c r="B1517" i="7"/>
  <c r="D1516" i="7"/>
  <c r="E1517" i="7" s="1"/>
  <c r="C1516" i="7"/>
  <c r="B1516" i="7"/>
  <c r="C1517" i="7" s="1"/>
  <c r="D1515" i="7"/>
  <c r="B1515" i="7"/>
  <c r="E1514" i="7"/>
  <c r="D1514" i="7"/>
  <c r="E1515" i="7" s="1"/>
  <c r="C1514" i="7"/>
  <c r="B1514" i="7"/>
  <c r="C1515" i="7" s="1"/>
  <c r="D1513" i="7"/>
  <c r="B1513" i="7"/>
  <c r="D1512" i="7"/>
  <c r="E1513" i="7" s="1"/>
  <c r="C1512" i="7"/>
  <c r="B1512" i="7"/>
  <c r="C1513" i="7" s="1"/>
  <c r="D1511" i="7"/>
  <c r="B1511" i="7"/>
  <c r="D1510" i="7"/>
  <c r="B1510" i="7"/>
  <c r="C1511" i="7" s="1"/>
  <c r="E1509" i="7"/>
  <c r="D1509" i="7"/>
  <c r="B1509" i="7"/>
  <c r="D1508" i="7"/>
  <c r="E1508" i="7" s="1"/>
  <c r="B1508" i="7"/>
  <c r="E1507" i="7"/>
  <c r="D1507" i="7"/>
  <c r="B1507" i="7"/>
  <c r="D1506" i="7"/>
  <c r="E1506" i="7" s="1"/>
  <c r="B1506" i="7"/>
  <c r="E1505" i="7"/>
  <c r="D1505" i="7"/>
  <c r="B1505" i="7"/>
  <c r="E1504" i="7"/>
  <c r="D1504" i="7"/>
  <c r="B1504" i="7"/>
  <c r="C1505" i="7" s="1"/>
  <c r="E1503" i="7"/>
  <c r="D1503" i="7"/>
  <c r="B1503" i="7"/>
  <c r="E1502" i="7"/>
  <c r="D1502" i="7"/>
  <c r="B1502" i="7"/>
  <c r="C1503" i="7" s="1"/>
  <c r="D1501" i="7"/>
  <c r="B1501" i="7"/>
  <c r="E1500" i="7"/>
  <c r="D1500" i="7"/>
  <c r="E1501" i="7" s="1"/>
  <c r="C1500" i="7"/>
  <c r="B1500" i="7"/>
  <c r="C1501" i="7" s="1"/>
  <c r="D1499" i="7"/>
  <c r="B1499" i="7"/>
  <c r="D1498" i="7"/>
  <c r="E1499" i="7" s="1"/>
  <c r="C1498" i="7"/>
  <c r="B1498" i="7"/>
  <c r="C1499" i="7" s="1"/>
  <c r="D1497" i="7"/>
  <c r="B1497" i="7"/>
  <c r="E1496" i="7"/>
  <c r="D1496" i="7"/>
  <c r="E1497" i="7" s="1"/>
  <c r="B1496" i="7"/>
  <c r="C1497" i="7" s="1"/>
  <c r="D1495" i="7"/>
  <c r="B1495" i="7"/>
  <c r="D1494" i="7"/>
  <c r="B1494" i="7"/>
  <c r="E1493" i="7"/>
  <c r="D1493" i="7"/>
  <c r="B1493" i="7"/>
  <c r="D1492" i="7"/>
  <c r="E1492" i="7" s="1"/>
  <c r="B1492" i="7"/>
  <c r="C1493" i="7" s="1"/>
  <c r="E1491" i="7"/>
  <c r="D1491" i="7"/>
  <c r="B1491" i="7"/>
  <c r="D1490" i="7"/>
  <c r="E1490" i="7" s="1"/>
  <c r="B1490" i="7"/>
  <c r="E1489" i="7"/>
  <c r="D1489" i="7"/>
  <c r="B1489" i="7"/>
  <c r="E1488" i="7"/>
  <c r="D1488" i="7"/>
  <c r="B1488" i="7"/>
  <c r="C1489" i="7" s="1"/>
  <c r="E1487" i="7"/>
  <c r="D1487" i="7"/>
  <c r="B1487" i="7"/>
  <c r="E1486" i="7"/>
  <c r="D1486" i="7"/>
  <c r="B1486" i="7"/>
  <c r="C1487" i="7" s="1"/>
  <c r="D1485" i="7"/>
  <c r="B1485" i="7"/>
  <c r="D1484" i="7"/>
  <c r="E1485" i="7" s="1"/>
  <c r="C1484" i="7"/>
  <c r="B1484" i="7"/>
  <c r="C1485" i="7" s="1"/>
  <c r="D1483" i="7"/>
  <c r="B1483" i="7"/>
  <c r="E1482" i="7"/>
  <c r="D1482" i="7"/>
  <c r="E1483" i="7" s="1"/>
  <c r="C1482" i="7"/>
  <c r="B1482" i="7"/>
  <c r="C1483" i="7" s="1"/>
  <c r="D1481" i="7"/>
  <c r="B1481" i="7"/>
  <c r="D1480" i="7"/>
  <c r="E1481" i="7" s="1"/>
  <c r="C1480" i="7"/>
  <c r="B1480" i="7"/>
  <c r="C1481" i="7" s="1"/>
  <c r="D1479" i="7"/>
  <c r="B1479" i="7"/>
  <c r="D1478" i="7"/>
  <c r="B1478" i="7"/>
  <c r="C1479" i="7" s="1"/>
  <c r="E1477" i="7"/>
  <c r="D1477" i="7"/>
  <c r="B1477" i="7"/>
  <c r="D1476" i="7"/>
  <c r="E1476" i="7" s="1"/>
  <c r="C1476" i="7"/>
  <c r="B1476" i="7"/>
  <c r="C1477" i="7" s="1"/>
  <c r="E1475" i="7"/>
  <c r="D1475" i="7"/>
  <c r="B1475" i="7"/>
  <c r="D1474" i="7"/>
  <c r="E1474" i="7" s="1"/>
  <c r="B1474" i="7"/>
  <c r="E1473" i="7"/>
  <c r="D1473" i="7"/>
  <c r="B1473" i="7"/>
  <c r="E1472" i="7"/>
  <c r="D1472" i="7"/>
  <c r="B1472" i="7"/>
  <c r="C1473" i="7" s="1"/>
  <c r="E1471" i="7"/>
  <c r="D1471" i="7"/>
  <c r="B1471" i="7"/>
  <c r="E1470" i="7"/>
  <c r="D1470" i="7"/>
  <c r="B1470" i="7"/>
  <c r="C1471" i="7" s="1"/>
  <c r="D1469" i="7"/>
  <c r="B1469" i="7"/>
  <c r="E1468" i="7"/>
  <c r="D1468" i="7"/>
  <c r="E1469" i="7" s="1"/>
  <c r="C1468" i="7"/>
  <c r="B1468" i="7"/>
  <c r="C1469" i="7" s="1"/>
  <c r="D1467" i="7"/>
  <c r="B1467" i="7"/>
  <c r="D1466" i="7"/>
  <c r="E1467" i="7" s="1"/>
  <c r="C1466" i="7"/>
  <c r="B1466" i="7"/>
  <c r="C1467" i="7" s="1"/>
  <c r="D1465" i="7"/>
  <c r="B1465" i="7"/>
  <c r="E1464" i="7"/>
  <c r="D1464" i="7"/>
  <c r="E1465" i="7" s="1"/>
  <c r="B1464" i="7"/>
  <c r="C1465" i="7" s="1"/>
  <c r="D1463" i="7"/>
  <c r="B1463" i="7"/>
  <c r="D1462" i="7"/>
  <c r="C1462" i="7"/>
  <c r="B1462" i="7"/>
  <c r="C1463" i="7" s="1"/>
  <c r="E1461" i="7"/>
  <c r="D1461" i="7"/>
  <c r="B1461" i="7"/>
  <c r="D1460" i="7"/>
  <c r="E1460" i="7" s="1"/>
  <c r="B1460" i="7"/>
  <c r="C1461" i="7" s="1"/>
  <c r="E1459" i="7"/>
  <c r="D1459" i="7"/>
  <c r="B1459" i="7"/>
  <c r="D1458" i="7"/>
  <c r="E1458" i="7" s="1"/>
  <c r="B1458" i="7"/>
  <c r="E1457" i="7"/>
  <c r="D1457" i="7"/>
  <c r="B1457" i="7"/>
  <c r="E1456" i="7"/>
  <c r="D1456" i="7"/>
  <c r="B1456" i="7"/>
  <c r="C1457" i="7" s="1"/>
  <c r="E1455" i="7"/>
  <c r="D1455" i="7"/>
  <c r="B1455" i="7"/>
  <c r="E1454" i="7"/>
  <c r="D1454" i="7"/>
  <c r="B1454" i="7"/>
  <c r="C1455" i="7" s="1"/>
  <c r="D1453" i="7"/>
  <c r="B1453" i="7"/>
  <c r="D1452" i="7"/>
  <c r="E1453" i="7" s="1"/>
  <c r="C1452" i="7"/>
  <c r="B1452" i="7"/>
  <c r="C1453" i="7" s="1"/>
  <c r="D1451" i="7"/>
  <c r="B1451" i="7"/>
  <c r="E1450" i="7"/>
  <c r="D1450" i="7"/>
  <c r="E1451" i="7" s="1"/>
  <c r="C1450" i="7"/>
  <c r="B1450" i="7"/>
  <c r="C1451" i="7" s="1"/>
  <c r="D1449" i="7"/>
  <c r="B1449" i="7"/>
  <c r="D1448" i="7"/>
  <c r="E1449" i="7" s="1"/>
  <c r="C1448" i="7"/>
  <c r="B1448" i="7"/>
  <c r="C1449" i="7" s="1"/>
  <c r="D1447" i="7"/>
  <c r="B1447" i="7"/>
  <c r="D1446" i="7"/>
  <c r="B1446" i="7"/>
  <c r="C1447" i="7" s="1"/>
  <c r="E1445" i="7"/>
  <c r="D1445" i="7"/>
  <c r="B1445" i="7"/>
  <c r="D1444" i="7"/>
  <c r="E1444" i="7" s="1"/>
  <c r="B1444" i="7"/>
  <c r="E1443" i="7"/>
  <c r="D1443" i="7"/>
  <c r="B1443" i="7"/>
  <c r="D1442" i="7"/>
  <c r="E1442" i="7" s="1"/>
  <c r="B1442" i="7"/>
  <c r="E1441" i="7"/>
  <c r="D1441" i="7"/>
  <c r="B1441" i="7"/>
  <c r="E1440" i="7"/>
  <c r="D1440" i="7"/>
  <c r="B1440" i="7"/>
  <c r="C1441" i="7" s="1"/>
  <c r="E1439" i="7"/>
  <c r="D1439" i="7"/>
  <c r="B1439" i="7"/>
  <c r="E1438" i="7"/>
  <c r="D1438" i="7"/>
  <c r="B1438" i="7"/>
  <c r="C1439" i="7" s="1"/>
  <c r="D1437" i="7"/>
  <c r="B1437" i="7"/>
  <c r="E1436" i="7"/>
  <c r="D1436" i="7"/>
  <c r="E1437" i="7" s="1"/>
  <c r="C1436" i="7"/>
  <c r="B1436" i="7"/>
  <c r="C1437" i="7" s="1"/>
  <c r="D1435" i="7"/>
  <c r="B1435" i="7"/>
  <c r="D1434" i="7"/>
  <c r="E1435" i="7" s="1"/>
  <c r="C1434" i="7"/>
  <c r="B1434" i="7"/>
  <c r="C1435" i="7" s="1"/>
  <c r="D1433" i="7"/>
  <c r="B1433" i="7"/>
  <c r="E1432" i="7"/>
  <c r="D1432" i="7"/>
  <c r="E1433" i="7" s="1"/>
  <c r="B1432" i="7"/>
  <c r="D1431" i="7"/>
  <c r="B1431" i="7"/>
  <c r="D1430" i="7"/>
  <c r="B1430" i="7"/>
  <c r="E1429" i="7"/>
  <c r="D1429" i="7"/>
  <c r="B1429" i="7"/>
  <c r="D1428" i="7"/>
  <c r="E1428" i="7" s="1"/>
  <c r="B1428" i="7"/>
  <c r="C1429" i="7" s="1"/>
  <c r="E1427" i="7"/>
  <c r="D1427" i="7"/>
  <c r="B1427" i="7"/>
  <c r="D1426" i="7"/>
  <c r="E1426" i="7" s="1"/>
  <c r="B1426" i="7"/>
  <c r="E1425" i="7"/>
  <c r="D1425" i="7"/>
  <c r="B1425" i="7"/>
  <c r="E1424" i="7"/>
  <c r="D1424" i="7"/>
  <c r="B1424" i="7"/>
  <c r="C1425" i="7" s="1"/>
  <c r="E1423" i="7"/>
  <c r="D1423" i="7"/>
  <c r="B1423" i="7"/>
  <c r="E1422" i="7"/>
  <c r="D1422" i="7"/>
  <c r="B1422" i="7"/>
  <c r="C1423" i="7" s="1"/>
  <c r="D1421" i="7"/>
  <c r="B1421" i="7"/>
  <c r="D1420" i="7"/>
  <c r="C1420" i="7"/>
  <c r="B1420" i="7"/>
  <c r="C1421" i="7" s="1"/>
  <c r="D1419" i="7"/>
  <c r="B1419" i="7"/>
  <c r="E1418" i="7"/>
  <c r="D1418" i="7"/>
  <c r="E1419" i="7" s="1"/>
  <c r="C1418" i="7"/>
  <c r="B1418" i="7"/>
  <c r="C1419" i="7" s="1"/>
  <c r="D1417" i="7"/>
  <c r="B1417" i="7"/>
  <c r="D1416" i="7"/>
  <c r="E1417" i="7" s="1"/>
  <c r="C1416" i="7"/>
  <c r="B1416" i="7"/>
  <c r="C1417" i="7" s="1"/>
  <c r="D1415" i="7"/>
  <c r="B1415" i="7"/>
  <c r="D1414" i="7"/>
  <c r="B1414" i="7"/>
  <c r="C1415" i="7" s="1"/>
  <c r="E1413" i="7"/>
  <c r="D1413" i="7"/>
  <c r="B1413" i="7"/>
  <c r="D1412" i="7"/>
  <c r="E1412" i="7" s="1"/>
  <c r="C1412" i="7"/>
  <c r="B1412" i="7"/>
  <c r="C1413" i="7" s="1"/>
  <c r="E1411" i="7"/>
  <c r="D1411" i="7"/>
  <c r="B1411" i="7"/>
  <c r="D1410" i="7"/>
  <c r="E1410" i="7" s="1"/>
  <c r="B1410" i="7"/>
  <c r="E1409" i="7"/>
  <c r="D1409" i="7"/>
  <c r="B1409" i="7"/>
  <c r="E1408" i="7"/>
  <c r="D1408" i="7"/>
  <c r="B1408" i="7"/>
  <c r="C1409" i="7" s="1"/>
  <c r="E1407" i="7"/>
  <c r="D1407" i="7"/>
  <c r="B1407" i="7"/>
  <c r="E1406" i="7"/>
  <c r="D1406" i="7"/>
  <c r="B1406" i="7"/>
  <c r="C1407" i="7" s="1"/>
  <c r="D1405" i="7"/>
  <c r="B1405" i="7"/>
  <c r="E1404" i="7"/>
  <c r="D1404" i="7"/>
  <c r="E1405" i="7" s="1"/>
  <c r="C1404" i="7"/>
  <c r="B1404" i="7"/>
  <c r="C1405" i="7" s="1"/>
  <c r="D1403" i="7"/>
  <c r="B1403" i="7"/>
  <c r="D1402" i="7"/>
  <c r="E1403" i="7" s="1"/>
  <c r="C1402" i="7"/>
  <c r="B1402" i="7"/>
  <c r="C1403" i="7" s="1"/>
  <c r="D1401" i="7"/>
  <c r="B1401" i="7"/>
  <c r="E1400" i="7"/>
  <c r="D1400" i="7"/>
  <c r="E1401" i="7" s="1"/>
  <c r="B1400" i="7"/>
  <c r="C1401" i="7" s="1"/>
  <c r="D1399" i="7"/>
  <c r="B1399" i="7"/>
  <c r="D1398" i="7"/>
  <c r="C1398" i="7"/>
  <c r="B1398" i="7"/>
  <c r="C1399" i="7" s="1"/>
  <c r="E1397" i="7"/>
  <c r="D1397" i="7"/>
  <c r="B1397" i="7"/>
  <c r="D1396" i="7"/>
  <c r="E1396" i="7" s="1"/>
  <c r="C1396" i="7"/>
  <c r="B1396" i="7"/>
  <c r="C1397" i="7" s="1"/>
  <c r="E1395" i="7"/>
  <c r="D1395" i="7"/>
  <c r="B1395" i="7"/>
  <c r="D1394" i="7"/>
  <c r="E1394" i="7" s="1"/>
  <c r="B1394" i="7"/>
  <c r="E1393" i="7"/>
  <c r="D1393" i="7"/>
  <c r="B1393" i="7"/>
  <c r="E1392" i="7"/>
  <c r="D1392" i="7"/>
  <c r="B1392" i="7"/>
  <c r="C1393" i="7" s="1"/>
  <c r="E1391" i="7"/>
  <c r="D1391" i="7"/>
  <c r="B1391" i="7"/>
  <c r="E1390" i="7"/>
  <c r="D1390" i="7"/>
  <c r="B1390" i="7"/>
  <c r="C1391" i="7" s="1"/>
  <c r="D1389" i="7"/>
  <c r="B1389" i="7"/>
  <c r="D1388" i="7"/>
  <c r="E1389" i="7" s="1"/>
  <c r="C1388" i="7"/>
  <c r="B1388" i="7"/>
  <c r="C1389" i="7" s="1"/>
  <c r="D1387" i="7"/>
  <c r="B1387" i="7"/>
  <c r="E1386" i="7"/>
  <c r="D1386" i="7"/>
  <c r="E1387" i="7" s="1"/>
  <c r="C1386" i="7"/>
  <c r="B1386" i="7"/>
  <c r="C1387" i="7" s="1"/>
  <c r="D1385" i="7"/>
  <c r="B1385" i="7"/>
  <c r="D1384" i="7"/>
  <c r="C1384" i="7"/>
  <c r="B1384" i="7"/>
  <c r="C1385" i="7" s="1"/>
  <c r="D1383" i="7"/>
  <c r="B1383" i="7"/>
  <c r="D1382" i="7"/>
  <c r="B1382" i="7"/>
  <c r="C1383" i="7" s="1"/>
  <c r="E1381" i="7"/>
  <c r="D1381" i="7"/>
  <c r="B1381" i="7"/>
  <c r="D1380" i="7"/>
  <c r="E1380" i="7" s="1"/>
  <c r="B1380" i="7"/>
  <c r="E1379" i="7"/>
  <c r="D1379" i="7"/>
  <c r="B1379" i="7"/>
  <c r="D1378" i="7"/>
  <c r="E1378" i="7" s="1"/>
  <c r="B1378" i="7"/>
  <c r="E1377" i="7"/>
  <c r="D1377" i="7"/>
  <c r="B1377" i="7"/>
  <c r="E1376" i="7"/>
  <c r="D1376" i="7"/>
  <c r="B1376" i="7"/>
  <c r="C1377" i="7" s="1"/>
  <c r="E1375" i="7"/>
  <c r="D1375" i="7"/>
  <c r="B1375" i="7"/>
  <c r="E1374" i="7"/>
  <c r="D1374" i="7"/>
  <c r="B1374" i="7"/>
  <c r="C1375" i="7" s="1"/>
  <c r="D1373" i="7"/>
  <c r="B1373" i="7"/>
  <c r="E1372" i="7"/>
  <c r="D1372" i="7"/>
  <c r="E1373" i="7" s="1"/>
  <c r="C1372" i="7"/>
  <c r="B1372" i="7"/>
  <c r="C1373" i="7" s="1"/>
  <c r="D1371" i="7"/>
  <c r="B1371" i="7"/>
  <c r="D1370" i="7"/>
  <c r="C1370" i="7"/>
  <c r="B1370" i="7"/>
  <c r="C1371" i="7" s="1"/>
  <c r="D1369" i="7"/>
  <c r="B1369" i="7"/>
  <c r="E1368" i="7"/>
  <c r="D1368" i="7"/>
  <c r="E1369" i="7" s="1"/>
  <c r="B1368" i="7"/>
  <c r="D1367" i="7"/>
  <c r="B1367" i="7"/>
  <c r="D1366" i="7"/>
  <c r="B1366" i="7"/>
  <c r="E1365" i="7"/>
  <c r="D1365" i="7"/>
  <c r="B1365" i="7"/>
  <c r="D1364" i="7"/>
  <c r="E1364" i="7" s="1"/>
  <c r="B1364" i="7"/>
  <c r="C1365" i="7" s="1"/>
  <c r="E1363" i="7"/>
  <c r="D1363" i="7"/>
  <c r="B1363" i="7"/>
  <c r="D1362" i="7"/>
  <c r="E1362" i="7" s="1"/>
  <c r="B1362" i="7"/>
  <c r="E1361" i="7"/>
  <c r="D1361" i="7"/>
  <c r="B1361" i="7"/>
  <c r="E1360" i="7"/>
  <c r="D1360" i="7"/>
  <c r="B1360" i="7"/>
  <c r="C1361" i="7" s="1"/>
  <c r="E1359" i="7"/>
  <c r="D1359" i="7"/>
  <c r="B1359" i="7"/>
  <c r="E1358" i="7"/>
  <c r="D1358" i="7"/>
  <c r="B1358" i="7"/>
  <c r="C1359" i="7" s="1"/>
  <c r="D1357" i="7"/>
  <c r="B1357" i="7"/>
  <c r="D1356" i="7"/>
  <c r="C1356" i="7"/>
  <c r="B1356" i="7"/>
  <c r="C1357" i="7" s="1"/>
  <c r="D1355" i="7"/>
  <c r="B1355" i="7"/>
  <c r="E1354" i="7"/>
  <c r="D1354" i="7"/>
  <c r="E1355" i="7" s="1"/>
  <c r="C1354" i="7"/>
  <c r="B1354" i="7"/>
  <c r="C1355" i="7" s="1"/>
  <c r="D1353" i="7"/>
  <c r="B1353" i="7"/>
  <c r="D1352" i="7"/>
  <c r="E1353" i="7" s="1"/>
  <c r="B1352" i="7"/>
  <c r="C1353" i="7" s="1"/>
  <c r="D1351" i="7"/>
  <c r="B1351" i="7"/>
  <c r="D1350" i="7"/>
  <c r="B1350" i="7"/>
  <c r="C1351" i="7" s="1"/>
  <c r="E1349" i="7"/>
  <c r="D1349" i="7"/>
  <c r="B1349" i="7"/>
  <c r="D1348" i="7"/>
  <c r="E1348" i="7" s="1"/>
  <c r="C1348" i="7"/>
  <c r="B1348" i="7"/>
  <c r="C1349" i="7" s="1"/>
  <c r="E1347" i="7"/>
  <c r="D1347" i="7"/>
  <c r="B1347" i="7"/>
  <c r="D1346" i="7"/>
  <c r="E1346" i="7" s="1"/>
  <c r="B1346" i="7"/>
  <c r="E1345" i="7"/>
  <c r="D1345" i="7"/>
  <c r="B1345" i="7"/>
  <c r="E1344" i="7"/>
  <c r="D1344" i="7"/>
  <c r="B1344" i="7"/>
  <c r="C1345" i="7" s="1"/>
  <c r="E1343" i="7"/>
  <c r="D1343" i="7"/>
  <c r="B1343" i="7"/>
  <c r="E1342" i="7"/>
  <c r="D1342" i="7"/>
  <c r="B1342" i="7"/>
  <c r="C1343" i="7" s="1"/>
  <c r="D1341" i="7"/>
  <c r="B1341" i="7"/>
  <c r="D1340" i="7"/>
  <c r="E1341" i="7" s="1"/>
  <c r="C1340" i="7"/>
  <c r="B1340" i="7"/>
  <c r="C1341" i="7" s="1"/>
  <c r="D1339" i="7"/>
  <c r="B1339" i="7"/>
  <c r="D1338" i="7"/>
  <c r="E1339" i="7" s="1"/>
  <c r="B1338" i="7"/>
  <c r="C1339" i="7" s="1"/>
  <c r="D1337" i="7"/>
  <c r="B1337" i="7"/>
  <c r="E1336" i="7"/>
  <c r="D1336" i="7"/>
  <c r="E1337" i="7" s="1"/>
  <c r="B1336" i="7"/>
  <c r="C1337" i="7" s="1"/>
  <c r="D1335" i="7"/>
  <c r="B1335" i="7"/>
  <c r="D1334" i="7"/>
  <c r="E1334" i="7" s="1"/>
  <c r="C1334" i="7"/>
  <c r="B1334" i="7"/>
  <c r="C1335" i="7" s="1"/>
  <c r="E1333" i="7"/>
  <c r="D1333" i="7"/>
  <c r="B1333" i="7"/>
  <c r="D1332" i="7"/>
  <c r="E1332" i="7" s="1"/>
  <c r="B1332" i="7"/>
  <c r="C1333" i="7" s="1"/>
  <c r="E1331" i="7"/>
  <c r="D1331" i="7"/>
  <c r="B1331" i="7"/>
  <c r="D1330" i="7"/>
  <c r="E1330" i="7" s="1"/>
  <c r="B1330" i="7"/>
  <c r="C1331" i="7" s="1"/>
  <c r="E1329" i="7"/>
  <c r="D1329" i="7"/>
  <c r="B1329" i="7"/>
  <c r="D1328" i="7"/>
  <c r="E1328" i="7" s="1"/>
  <c r="C1328" i="7"/>
  <c r="B1328" i="7"/>
  <c r="C1329" i="7" s="1"/>
  <c r="E1327" i="7"/>
  <c r="D1327" i="7"/>
  <c r="B1327" i="7"/>
  <c r="D1326" i="7"/>
  <c r="E1326" i="7" s="1"/>
  <c r="B1326" i="7"/>
  <c r="E1325" i="7"/>
  <c r="D1325" i="7"/>
  <c r="C1325" i="7"/>
  <c r="B1325" i="7"/>
  <c r="D1324" i="7"/>
  <c r="E1324" i="7" s="1"/>
  <c r="B1324" i="7"/>
  <c r="C1324" i="7" s="1"/>
  <c r="E1323" i="7"/>
  <c r="D1323" i="7"/>
  <c r="C1323" i="7"/>
  <c r="B1323" i="7"/>
  <c r="D1322" i="7"/>
  <c r="E1322" i="7" s="1"/>
  <c r="B1322" i="7"/>
  <c r="C1322" i="7" s="1"/>
  <c r="E1321" i="7"/>
  <c r="D1321" i="7"/>
  <c r="C1321" i="7"/>
  <c r="B1321" i="7"/>
  <c r="D1320" i="7"/>
  <c r="E1320" i="7" s="1"/>
  <c r="C1320" i="7"/>
  <c r="B1320" i="7"/>
  <c r="E1319" i="7"/>
  <c r="D1319" i="7"/>
  <c r="C1319" i="7"/>
  <c r="B1319" i="7"/>
  <c r="D1318" i="7"/>
  <c r="E1318" i="7" s="1"/>
  <c r="C1318" i="7"/>
  <c r="B1318" i="7"/>
  <c r="E1317" i="7"/>
  <c r="D1317" i="7"/>
  <c r="B1317" i="7"/>
  <c r="D1316" i="7"/>
  <c r="E1316" i="7" s="1"/>
  <c r="B1316" i="7"/>
  <c r="C1317" i="7" s="1"/>
  <c r="E1315" i="7"/>
  <c r="D1315" i="7"/>
  <c r="B1315" i="7"/>
  <c r="D1314" i="7"/>
  <c r="E1314" i="7" s="1"/>
  <c r="B1314" i="7"/>
  <c r="C1315" i="7" s="1"/>
  <c r="E1313" i="7"/>
  <c r="D1313" i="7"/>
  <c r="B1313" i="7"/>
  <c r="D1312" i="7"/>
  <c r="E1312" i="7" s="1"/>
  <c r="C1312" i="7"/>
  <c r="B1312" i="7"/>
  <c r="C1313" i="7" s="1"/>
  <c r="E1311" i="7"/>
  <c r="D1311" i="7"/>
  <c r="B1311" i="7"/>
  <c r="D1310" i="7"/>
  <c r="E1310" i="7" s="1"/>
  <c r="B1310" i="7"/>
  <c r="E1309" i="7"/>
  <c r="D1309" i="7"/>
  <c r="C1309" i="7"/>
  <c r="B1309" i="7"/>
  <c r="D1308" i="7"/>
  <c r="E1308" i="7" s="1"/>
  <c r="B1308" i="7"/>
  <c r="C1308" i="7" s="1"/>
  <c r="E1307" i="7"/>
  <c r="D1307" i="7"/>
  <c r="C1307" i="7"/>
  <c r="B1307" i="7"/>
  <c r="D1306" i="7"/>
  <c r="E1306" i="7" s="1"/>
  <c r="B1306" i="7"/>
  <c r="C1306" i="7" s="1"/>
  <c r="E1305" i="7"/>
  <c r="D1305" i="7"/>
  <c r="C1305" i="7"/>
  <c r="B1305" i="7"/>
  <c r="D1304" i="7"/>
  <c r="E1304" i="7" s="1"/>
  <c r="C1304" i="7"/>
  <c r="B1304" i="7"/>
  <c r="E1303" i="7"/>
  <c r="D1303" i="7"/>
  <c r="C1303" i="7"/>
  <c r="B1303" i="7"/>
  <c r="D1302" i="7"/>
  <c r="E1302" i="7" s="1"/>
  <c r="C1302" i="7"/>
  <c r="B1302" i="7"/>
  <c r="E1301" i="7"/>
  <c r="D1301" i="7"/>
  <c r="B1301" i="7"/>
  <c r="D1300" i="7"/>
  <c r="E1300" i="7" s="1"/>
  <c r="C1300" i="7"/>
  <c r="B1300" i="7"/>
  <c r="C1301" i="7" s="1"/>
  <c r="E1299" i="7"/>
  <c r="D1299" i="7"/>
  <c r="B1299" i="7"/>
  <c r="D1298" i="7"/>
  <c r="E1298" i="7" s="1"/>
  <c r="B1298" i="7"/>
  <c r="C1299" i="7" s="1"/>
  <c r="E1297" i="7"/>
  <c r="D1297" i="7"/>
  <c r="B1297" i="7"/>
  <c r="D1296" i="7"/>
  <c r="E1296" i="7" s="1"/>
  <c r="B1296" i="7"/>
  <c r="C1297" i="7" s="1"/>
  <c r="E1295" i="7"/>
  <c r="D1295" i="7"/>
  <c r="B1295" i="7"/>
  <c r="D1294" i="7"/>
  <c r="E1294" i="7" s="1"/>
  <c r="B1294" i="7"/>
  <c r="E1293" i="7"/>
  <c r="D1293" i="7"/>
  <c r="C1293" i="7"/>
  <c r="B1293" i="7"/>
  <c r="D1292" i="7"/>
  <c r="E1292" i="7" s="1"/>
  <c r="B1292" i="7"/>
  <c r="C1292" i="7" s="1"/>
  <c r="E1291" i="7"/>
  <c r="D1291" i="7"/>
  <c r="C1291" i="7"/>
  <c r="B1291" i="7"/>
  <c r="D1290" i="7"/>
  <c r="E1290" i="7" s="1"/>
  <c r="B1290" i="7"/>
  <c r="C1290" i="7" s="1"/>
  <c r="E1289" i="7"/>
  <c r="D1289" i="7"/>
  <c r="C1289" i="7"/>
  <c r="B1289" i="7"/>
  <c r="D1288" i="7"/>
  <c r="E1288" i="7" s="1"/>
  <c r="C1288" i="7"/>
  <c r="B1288" i="7"/>
  <c r="E1287" i="7"/>
  <c r="D1287" i="7"/>
  <c r="C1287" i="7"/>
  <c r="B1287" i="7"/>
  <c r="D1286" i="7"/>
  <c r="E1286" i="7" s="1"/>
  <c r="C1286" i="7"/>
  <c r="B1286" i="7"/>
  <c r="E1285" i="7"/>
  <c r="D1285" i="7"/>
  <c r="B1285" i="7"/>
  <c r="D1284" i="7"/>
  <c r="E1284" i="7" s="1"/>
  <c r="B1284" i="7"/>
  <c r="C1285" i="7" s="1"/>
  <c r="E1283" i="7"/>
  <c r="D1283" i="7"/>
  <c r="B1283" i="7"/>
  <c r="D1282" i="7"/>
  <c r="E1282" i="7" s="1"/>
  <c r="B1282" i="7"/>
  <c r="C1283" i="7" s="1"/>
  <c r="E1281" i="7"/>
  <c r="D1281" i="7"/>
  <c r="B1281" i="7"/>
  <c r="D1280" i="7"/>
  <c r="E1280" i="7" s="1"/>
  <c r="B1280" i="7"/>
  <c r="C1281" i="7" s="1"/>
  <c r="E1279" i="7"/>
  <c r="D1279" i="7"/>
  <c r="B1279" i="7"/>
  <c r="D1278" i="7"/>
  <c r="E1278" i="7" s="1"/>
  <c r="B1278" i="7"/>
  <c r="E1277" i="7"/>
  <c r="D1277" i="7"/>
  <c r="C1277" i="7"/>
  <c r="B1277" i="7"/>
  <c r="D1276" i="7"/>
  <c r="E1276" i="7" s="1"/>
  <c r="B1276" i="7"/>
  <c r="C1276" i="7" s="1"/>
  <c r="E1275" i="7"/>
  <c r="D1275" i="7"/>
  <c r="C1275" i="7"/>
  <c r="B1275" i="7"/>
  <c r="D1274" i="7"/>
  <c r="E1274" i="7" s="1"/>
  <c r="B1274" i="7"/>
  <c r="C1274" i="7" s="1"/>
  <c r="E1273" i="7"/>
  <c r="D1273" i="7"/>
  <c r="C1273" i="7"/>
  <c r="B1273" i="7"/>
  <c r="D1272" i="7"/>
  <c r="E1272" i="7" s="1"/>
  <c r="C1272" i="7"/>
  <c r="B1272" i="7"/>
  <c r="E1271" i="7"/>
  <c r="D1271" i="7"/>
  <c r="C1271" i="7"/>
  <c r="B1271" i="7"/>
  <c r="D1270" i="7"/>
  <c r="E1270" i="7" s="1"/>
  <c r="C1270" i="7"/>
  <c r="B1270" i="7"/>
  <c r="E1269" i="7"/>
  <c r="D1269" i="7"/>
  <c r="B1269" i="7"/>
  <c r="D1268" i="7"/>
  <c r="E1268" i="7" s="1"/>
  <c r="C1268" i="7"/>
  <c r="B1268" i="7"/>
  <c r="C1269" i="7" s="1"/>
  <c r="E1267" i="7"/>
  <c r="D1267" i="7"/>
  <c r="B1267" i="7"/>
  <c r="D1266" i="7"/>
  <c r="E1266" i="7" s="1"/>
  <c r="C1266" i="7"/>
  <c r="B1266" i="7"/>
  <c r="C1267" i="7" s="1"/>
  <c r="E1265" i="7"/>
  <c r="D1265" i="7"/>
  <c r="B1265" i="7"/>
  <c r="D1264" i="7"/>
  <c r="E1264" i="7" s="1"/>
  <c r="B1264" i="7"/>
  <c r="C1265" i="7" s="1"/>
  <c r="E1263" i="7"/>
  <c r="D1263" i="7"/>
  <c r="B1263" i="7"/>
  <c r="D1262" i="7"/>
  <c r="E1262" i="7" s="1"/>
  <c r="B1262" i="7"/>
  <c r="E1261" i="7"/>
  <c r="D1261" i="7"/>
  <c r="C1261" i="7"/>
  <c r="B1261" i="7"/>
  <c r="D1260" i="7"/>
  <c r="E1260" i="7" s="1"/>
  <c r="B1260" i="7"/>
  <c r="C1260" i="7" s="1"/>
  <c r="E1259" i="7"/>
  <c r="D1259" i="7"/>
  <c r="C1259" i="7"/>
  <c r="B1259" i="7"/>
  <c r="D1258" i="7"/>
  <c r="E1258" i="7" s="1"/>
  <c r="B1258" i="7"/>
  <c r="C1258" i="7" s="1"/>
  <c r="D1257" i="7"/>
  <c r="C1257" i="7"/>
  <c r="B1257" i="7"/>
  <c r="D1256" i="7"/>
  <c r="C1256" i="7"/>
  <c r="B1256" i="7"/>
  <c r="D1255" i="7"/>
  <c r="C1255" i="7"/>
  <c r="B1255" i="7"/>
  <c r="D1254" i="7"/>
  <c r="C1254" i="7"/>
  <c r="B1254" i="7"/>
  <c r="D1253" i="7"/>
  <c r="B1253" i="7"/>
  <c r="D1252" i="7"/>
  <c r="B1252" i="7"/>
  <c r="C1253" i="7" s="1"/>
  <c r="D1251" i="7"/>
  <c r="B1251" i="7"/>
  <c r="D1250" i="7"/>
  <c r="B1250" i="7"/>
  <c r="C1251" i="7" s="1"/>
  <c r="E1249" i="7"/>
  <c r="D1249" i="7"/>
  <c r="B1249" i="7"/>
  <c r="D1248" i="7"/>
  <c r="E1248" i="7" s="1"/>
  <c r="C1248" i="7"/>
  <c r="B1248" i="7"/>
  <c r="C1249" i="7" s="1"/>
  <c r="E1247" i="7"/>
  <c r="D1247" i="7"/>
  <c r="B1247" i="7"/>
  <c r="D1246" i="7"/>
  <c r="E1246" i="7" s="1"/>
  <c r="B1246" i="7"/>
  <c r="E1245" i="7"/>
  <c r="D1245" i="7"/>
  <c r="C1245" i="7"/>
  <c r="B1245" i="7"/>
  <c r="D1244" i="7"/>
  <c r="E1244" i="7" s="1"/>
  <c r="B1244" i="7"/>
  <c r="C1244" i="7" s="1"/>
  <c r="E1243" i="7"/>
  <c r="D1243" i="7"/>
  <c r="C1243" i="7"/>
  <c r="B1243" i="7"/>
  <c r="D1242" i="7"/>
  <c r="E1242" i="7" s="1"/>
  <c r="B1242" i="7"/>
  <c r="C1242" i="7" s="1"/>
  <c r="D1241" i="7"/>
  <c r="C1241" i="7"/>
  <c r="B1241" i="7"/>
  <c r="D1240" i="7"/>
  <c r="C1240" i="7"/>
  <c r="B1240" i="7"/>
  <c r="D1239" i="7"/>
  <c r="C1239" i="7"/>
  <c r="B1239" i="7"/>
  <c r="D1238" i="7"/>
  <c r="C1238" i="7"/>
  <c r="B1238" i="7"/>
  <c r="D1237" i="7"/>
  <c r="B1237" i="7"/>
  <c r="D1236" i="7"/>
  <c r="B1236" i="7"/>
  <c r="C1237" i="7" s="1"/>
  <c r="D1235" i="7"/>
  <c r="B1235" i="7"/>
  <c r="D1234" i="7"/>
  <c r="C1234" i="7"/>
  <c r="B1234" i="7"/>
  <c r="C1235" i="7" s="1"/>
  <c r="E1233" i="7"/>
  <c r="D1233" i="7"/>
  <c r="B1233" i="7"/>
  <c r="D1232" i="7"/>
  <c r="E1232" i="7" s="1"/>
  <c r="B1232" i="7"/>
  <c r="C1233" i="7" s="1"/>
  <c r="E1231" i="7"/>
  <c r="D1231" i="7"/>
  <c r="B1231" i="7"/>
  <c r="D1230" i="7"/>
  <c r="E1230" i="7" s="1"/>
  <c r="B1230" i="7"/>
  <c r="E1229" i="7"/>
  <c r="D1229" i="7"/>
  <c r="C1229" i="7"/>
  <c r="B1229" i="7"/>
  <c r="D1228" i="7"/>
  <c r="E1228" i="7" s="1"/>
  <c r="B1228" i="7"/>
  <c r="C1228" i="7" s="1"/>
  <c r="E1227" i="7"/>
  <c r="D1227" i="7"/>
  <c r="C1227" i="7"/>
  <c r="B1227" i="7"/>
  <c r="D1226" i="7"/>
  <c r="E1226" i="7" s="1"/>
  <c r="B1226" i="7"/>
  <c r="C1226" i="7" s="1"/>
  <c r="D1225" i="7"/>
  <c r="C1225" i="7"/>
  <c r="B1225" i="7"/>
  <c r="D1224" i="7"/>
  <c r="C1224" i="7"/>
  <c r="B1224" i="7"/>
  <c r="D1223" i="7"/>
  <c r="C1223" i="7"/>
  <c r="B1223" i="7"/>
  <c r="D1222" i="7"/>
  <c r="C1222" i="7"/>
  <c r="B1222" i="7"/>
  <c r="D1221" i="7"/>
  <c r="B1221" i="7"/>
  <c r="D1220" i="7"/>
  <c r="C1220" i="7"/>
  <c r="B1220" i="7"/>
  <c r="C1221" i="7" s="1"/>
  <c r="D1219" i="7"/>
  <c r="B1219" i="7"/>
  <c r="D1218" i="7"/>
  <c r="B1218" i="7"/>
  <c r="C1219" i="7" s="1"/>
  <c r="E1217" i="7"/>
  <c r="D1217" i="7"/>
  <c r="B1217" i="7"/>
  <c r="D1216" i="7"/>
  <c r="E1216" i="7" s="1"/>
  <c r="B1216" i="7"/>
  <c r="C1217" i="7" s="1"/>
  <c r="E1215" i="7"/>
  <c r="D1215" i="7"/>
  <c r="B1215" i="7"/>
  <c r="D1214" i="7"/>
  <c r="E1214" i="7" s="1"/>
  <c r="B1214" i="7"/>
  <c r="E1213" i="7"/>
  <c r="D1213" i="7"/>
  <c r="C1213" i="7"/>
  <c r="B1213" i="7"/>
  <c r="D1212" i="7"/>
  <c r="E1212" i="7" s="1"/>
  <c r="B1212" i="7"/>
  <c r="C1212" i="7" s="1"/>
  <c r="E1211" i="7"/>
  <c r="D1211" i="7"/>
  <c r="C1211" i="7"/>
  <c r="B1211" i="7"/>
  <c r="D1210" i="7"/>
  <c r="E1210" i="7" s="1"/>
  <c r="B1210" i="7"/>
  <c r="C1210" i="7" s="1"/>
  <c r="D1209" i="7"/>
  <c r="C1209" i="7"/>
  <c r="B1209" i="7"/>
  <c r="D1208" i="7"/>
  <c r="C1208" i="7"/>
  <c r="B1208" i="7"/>
  <c r="D1207" i="7"/>
  <c r="C1207" i="7"/>
  <c r="B1207" i="7"/>
  <c r="D1206" i="7"/>
  <c r="C1206" i="7"/>
  <c r="B1206" i="7"/>
  <c r="D1205" i="7"/>
  <c r="B1205" i="7"/>
  <c r="D1204" i="7"/>
  <c r="B1204" i="7"/>
  <c r="C1205" i="7" s="1"/>
  <c r="D1203" i="7"/>
  <c r="B1203" i="7"/>
  <c r="D1202" i="7"/>
  <c r="C1202" i="7"/>
  <c r="B1202" i="7"/>
  <c r="C1203" i="7" s="1"/>
  <c r="E1201" i="7"/>
  <c r="D1201" i="7"/>
  <c r="B1201" i="7"/>
  <c r="D1200" i="7"/>
  <c r="E1200" i="7" s="1"/>
  <c r="C1200" i="7"/>
  <c r="B1200" i="7"/>
  <c r="C1201" i="7" s="1"/>
  <c r="E1199" i="7"/>
  <c r="D1199" i="7"/>
  <c r="B1199" i="7"/>
  <c r="D1198" i="7"/>
  <c r="E1198" i="7" s="1"/>
  <c r="B1198" i="7"/>
  <c r="E1197" i="7"/>
  <c r="D1197" i="7"/>
  <c r="C1197" i="7"/>
  <c r="B1197" i="7"/>
  <c r="D1196" i="7"/>
  <c r="E1196" i="7" s="1"/>
  <c r="B1196" i="7"/>
  <c r="C1196" i="7" s="1"/>
  <c r="E1195" i="7"/>
  <c r="D1195" i="7"/>
  <c r="C1195" i="7"/>
  <c r="B1195" i="7"/>
  <c r="D1194" i="7"/>
  <c r="E1194" i="7" s="1"/>
  <c r="B1194" i="7"/>
  <c r="C1194" i="7" s="1"/>
  <c r="D1193" i="7"/>
  <c r="C1193" i="7"/>
  <c r="B1193" i="7"/>
  <c r="D1192" i="7"/>
  <c r="C1192" i="7"/>
  <c r="B1192" i="7"/>
  <c r="D1191" i="7"/>
  <c r="C1191" i="7"/>
  <c r="B1191" i="7"/>
  <c r="D1190" i="7"/>
  <c r="C1190" i="7"/>
  <c r="B1190" i="7"/>
  <c r="D1189" i="7"/>
  <c r="B1189" i="7"/>
  <c r="D1188" i="7"/>
  <c r="C1188" i="7"/>
  <c r="B1188" i="7"/>
  <c r="C1189" i="7" s="1"/>
  <c r="D1187" i="7"/>
  <c r="B1187" i="7"/>
  <c r="D1186" i="7"/>
  <c r="C1186" i="7"/>
  <c r="B1186" i="7"/>
  <c r="C1187" i="7" s="1"/>
  <c r="E1185" i="7"/>
  <c r="D1185" i="7"/>
  <c r="B1185" i="7"/>
  <c r="D1184" i="7"/>
  <c r="E1184" i="7" s="1"/>
  <c r="B1184" i="7"/>
  <c r="C1185" i="7" s="1"/>
  <c r="E1183" i="7"/>
  <c r="D1183" i="7"/>
  <c r="B1183" i="7"/>
  <c r="D1182" i="7"/>
  <c r="E1182" i="7" s="1"/>
  <c r="B1182" i="7"/>
  <c r="E1181" i="7"/>
  <c r="D1181" i="7"/>
  <c r="C1181" i="7"/>
  <c r="B1181" i="7"/>
  <c r="D1180" i="7"/>
  <c r="E1180" i="7" s="1"/>
  <c r="B1180" i="7"/>
  <c r="C1180" i="7" s="1"/>
  <c r="E1179" i="7"/>
  <c r="D1179" i="7"/>
  <c r="C1179" i="7"/>
  <c r="B1179" i="7"/>
  <c r="D1178" i="7"/>
  <c r="E1178" i="7" s="1"/>
  <c r="B1178" i="7"/>
  <c r="C1178" i="7" s="1"/>
  <c r="D1177" i="7"/>
  <c r="C1177" i="7"/>
  <c r="B1177" i="7"/>
  <c r="D1176" i="7"/>
  <c r="C1176" i="7"/>
  <c r="B1176" i="7"/>
  <c r="D1175" i="7"/>
  <c r="C1175" i="7"/>
  <c r="B1175" i="7"/>
  <c r="D1174" i="7"/>
  <c r="C1174" i="7"/>
  <c r="B1174" i="7"/>
  <c r="D1173" i="7"/>
  <c r="B1173" i="7"/>
  <c r="D1172" i="7"/>
  <c r="C1172" i="7"/>
  <c r="B1172" i="7"/>
  <c r="C1173" i="7" s="1"/>
  <c r="D1171" i="7"/>
  <c r="B1171" i="7"/>
  <c r="D1170" i="7"/>
  <c r="B1170" i="7"/>
  <c r="C1171" i="7" s="1"/>
  <c r="E1169" i="7"/>
  <c r="D1169" i="7"/>
  <c r="B1169" i="7"/>
  <c r="D1168" i="7"/>
  <c r="E1168" i="7" s="1"/>
  <c r="B1168" i="7"/>
  <c r="C1169" i="7" s="1"/>
  <c r="E1167" i="7"/>
  <c r="D1167" i="7"/>
  <c r="B1167" i="7"/>
  <c r="D1166" i="7"/>
  <c r="E1166" i="7" s="1"/>
  <c r="B1166" i="7"/>
  <c r="E1165" i="7"/>
  <c r="D1165" i="7"/>
  <c r="C1165" i="7"/>
  <c r="B1165" i="7"/>
  <c r="D1164" i="7"/>
  <c r="E1164" i="7" s="1"/>
  <c r="B1164" i="7"/>
  <c r="C1164" i="7" s="1"/>
  <c r="E1163" i="7"/>
  <c r="D1163" i="7"/>
  <c r="C1163" i="7"/>
  <c r="B1163" i="7"/>
  <c r="D1162" i="7"/>
  <c r="E1162" i="7" s="1"/>
  <c r="B1162" i="7"/>
  <c r="C1162" i="7" s="1"/>
  <c r="D1161" i="7"/>
  <c r="C1161" i="7"/>
  <c r="B1161" i="7"/>
  <c r="D1160" i="7"/>
  <c r="C1160" i="7"/>
  <c r="B1160" i="7"/>
  <c r="D1159" i="7"/>
  <c r="C1159" i="7"/>
  <c r="B1159" i="7"/>
  <c r="D1158" i="7"/>
  <c r="C1158" i="7"/>
  <c r="B1158" i="7"/>
  <c r="D1157" i="7"/>
  <c r="B1157" i="7"/>
  <c r="D1156" i="7"/>
  <c r="B1156" i="7"/>
  <c r="C1157" i="7" s="1"/>
  <c r="D1155" i="7"/>
  <c r="B1155" i="7"/>
  <c r="D1154" i="7"/>
  <c r="C1154" i="7"/>
  <c r="B1154" i="7"/>
  <c r="C1155" i="7" s="1"/>
  <c r="E1153" i="7"/>
  <c r="D1153" i="7"/>
  <c r="B1153" i="7"/>
  <c r="D1152" i="7"/>
  <c r="E1152" i="7" s="1"/>
  <c r="C1152" i="7"/>
  <c r="B1152" i="7"/>
  <c r="C1153" i="7" s="1"/>
  <c r="E1151" i="7"/>
  <c r="D1151" i="7"/>
  <c r="B1151" i="7"/>
  <c r="D1150" i="7"/>
  <c r="E1150" i="7" s="1"/>
  <c r="B1150" i="7"/>
  <c r="E1149" i="7"/>
  <c r="D1149" i="7"/>
  <c r="C1149" i="7"/>
  <c r="B1149" i="7"/>
  <c r="D1148" i="7"/>
  <c r="E1148" i="7" s="1"/>
  <c r="B1148" i="7"/>
  <c r="C1148" i="7" s="1"/>
  <c r="E1147" i="7"/>
  <c r="D1147" i="7"/>
  <c r="C1147" i="7"/>
  <c r="B1147" i="7"/>
  <c r="D1146" i="7"/>
  <c r="E1146" i="7" s="1"/>
  <c r="B1146" i="7"/>
  <c r="C1146" i="7" s="1"/>
  <c r="D1145" i="7"/>
  <c r="C1145" i="7"/>
  <c r="B1145" i="7"/>
  <c r="D1144" i="7"/>
  <c r="C1144" i="7"/>
  <c r="B1144" i="7"/>
  <c r="D1143" i="7"/>
  <c r="C1143" i="7"/>
  <c r="B1143" i="7"/>
  <c r="D1142" i="7"/>
  <c r="C1142" i="7"/>
  <c r="B1142" i="7"/>
  <c r="D1141" i="7"/>
  <c r="B1141" i="7"/>
  <c r="D1140" i="7"/>
  <c r="C1140" i="7"/>
  <c r="B1140" i="7"/>
  <c r="C1141" i="7" s="1"/>
  <c r="D1139" i="7"/>
  <c r="B1139" i="7"/>
  <c r="D1138" i="7"/>
  <c r="B1138" i="7"/>
  <c r="C1139" i="7" s="1"/>
  <c r="E1137" i="7"/>
  <c r="D1137" i="7"/>
  <c r="B1137" i="7"/>
  <c r="D1136" i="7"/>
  <c r="E1136" i="7" s="1"/>
  <c r="B1136" i="7"/>
  <c r="C1137" i="7" s="1"/>
  <c r="E1135" i="7"/>
  <c r="D1135" i="7"/>
  <c r="B1135" i="7"/>
  <c r="D1134" i="7"/>
  <c r="E1134" i="7" s="1"/>
  <c r="B1134" i="7"/>
  <c r="E1133" i="7"/>
  <c r="D1133" i="7"/>
  <c r="C1133" i="7"/>
  <c r="B1133" i="7"/>
  <c r="D1132" i="7"/>
  <c r="E1132" i="7" s="1"/>
  <c r="B1132" i="7"/>
  <c r="C1132" i="7" s="1"/>
  <c r="E1131" i="7"/>
  <c r="D1131" i="7"/>
  <c r="C1131" i="7"/>
  <c r="B1131" i="7"/>
  <c r="D1130" i="7"/>
  <c r="E1130" i="7" s="1"/>
  <c r="B1130" i="7"/>
  <c r="C1130" i="7" s="1"/>
  <c r="D1129" i="7"/>
  <c r="C1129" i="7"/>
  <c r="B1129" i="7"/>
  <c r="D1128" i="7"/>
  <c r="C1128" i="7"/>
  <c r="B1128" i="7"/>
  <c r="D1127" i="7"/>
  <c r="C1127" i="7"/>
  <c r="B1127" i="7"/>
  <c r="D1126" i="7"/>
  <c r="C1126" i="7"/>
  <c r="B1126" i="7"/>
  <c r="D1125" i="7"/>
  <c r="B1125" i="7"/>
  <c r="D1124" i="7"/>
  <c r="B1124" i="7"/>
  <c r="C1125" i="7" s="1"/>
  <c r="D1123" i="7"/>
  <c r="B1123" i="7"/>
  <c r="D1122" i="7"/>
  <c r="B1122" i="7"/>
  <c r="C1123" i="7" s="1"/>
  <c r="E1121" i="7"/>
  <c r="D1121" i="7"/>
  <c r="B1121" i="7"/>
  <c r="D1120" i="7"/>
  <c r="E1120" i="7" s="1"/>
  <c r="C1120" i="7"/>
  <c r="B1120" i="7"/>
  <c r="C1121" i="7" s="1"/>
  <c r="E1119" i="7"/>
  <c r="D1119" i="7"/>
  <c r="B1119" i="7"/>
  <c r="D1118" i="7"/>
  <c r="E1118" i="7" s="1"/>
  <c r="B1118" i="7"/>
  <c r="E1117" i="7"/>
  <c r="D1117" i="7"/>
  <c r="C1117" i="7"/>
  <c r="B1117" i="7"/>
  <c r="D1116" i="7"/>
  <c r="E1116" i="7" s="1"/>
  <c r="B1116" i="7"/>
  <c r="C1116" i="7" s="1"/>
  <c r="E1115" i="7"/>
  <c r="D1115" i="7"/>
  <c r="C1115" i="7"/>
  <c r="B1115" i="7"/>
  <c r="D1114" i="7"/>
  <c r="E1114" i="7" s="1"/>
  <c r="B1114" i="7"/>
  <c r="C1114" i="7" s="1"/>
  <c r="D1113" i="7"/>
  <c r="C1113" i="7"/>
  <c r="B1113" i="7"/>
  <c r="D1112" i="7"/>
  <c r="C1112" i="7"/>
  <c r="B1112" i="7"/>
  <c r="D1111" i="7"/>
  <c r="C1111" i="7"/>
  <c r="B1111" i="7"/>
  <c r="D1110" i="7"/>
  <c r="C1110" i="7"/>
  <c r="B1110" i="7"/>
  <c r="D1109" i="7"/>
  <c r="B1109" i="7"/>
  <c r="D1108" i="7"/>
  <c r="B1108" i="7"/>
  <c r="C1109" i="7" s="1"/>
  <c r="D1107" i="7"/>
  <c r="B1107" i="7"/>
  <c r="D1106" i="7"/>
  <c r="C1106" i="7"/>
  <c r="B1106" i="7"/>
  <c r="C1107" i="7" s="1"/>
  <c r="E1105" i="7"/>
  <c r="D1105" i="7"/>
  <c r="B1105" i="7"/>
  <c r="D1104" i="7"/>
  <c r="E1104" i="7" s="1"/>
  <c r="B1104" i="7"/>
  <c r="C1105" i="7" s="1"/>
  <c r="E1103" i="7"/>
  <c r="D1103" i="7"/>
  <c r="B1103" i="7"/>
  <c r="D1102" i="7"/>
  <c r="E1102" i="7" s="1"/>
  <c r="B1102" i="7"/>
  <c r="E1101" i="7"/>
  <c r="D1101" i="7"/>
  <c r="C1101" i="7"/>
  <c r="B1101" i="7"/>
  <c r="D1100" i="7"/>
  <c r="E1100" i="7" s="1"/>
  <c r="B1100" i="7"/>
  <c r="C1100" i="7" s="1"/>
  <c r="E1099" i="7"/>
  <c r="D1099" i="7"/>
  <c r="C1099" i="7"/>
  <c r="B1099" i="7"/>
  <c r="D1098" i="7"/>
  <c r="E1098" i="7" s="1"/>
  <c r="B1098" i="7"/>
  <c r="C1098" i="7" s="1"/>
  <c r="D1097" i="7"/>
  <c r="C1097" i="7"/>
  <c r="B1097" i="7"/>
  <c r="D1096" i="7"/>
  <c r="C1096" i="7"/>
  <c r="B1096" i="7"/>
  <c r="D1095" i="7"/>
  <c r="C1095" i="7"/>
  <c r="B1095" i="7"/>
  <c r="D1094" i="7"/>
  <c r="C1094" i="7"/>
  <c r="B1094" i="7"/>
  <c r="D1093" i="7"/>
  <c r="B1093" i="7"/>
  <c r="D1092" i="7"/>
  <c r="C1092" i="7"/>
  <c r="B1092" i="7"/>
  <c r="C1093" i="7" s="1"/>
  <c r="D1091" i="7"/>
  <c r="B1091" i="7"/>
  <c r="D1090" i="7"/>
  <c r="B1090" i="7"/>
  <c r="C1091" i="7" s="1"/>
  <c r="E1089" i="7"/>
  <c r="D1089" i="7"/>
  <c r="B1089" i="7"/>
  <c r="D1088" i="7"/>
  <c r="E1088" i="7" s="1"/>
  <c r="B1088" i="7"/>
  <c r="C1089" i="7" s="1"/>
  <c r="E1087" i="7"/>
  <c r="D1087" i="7"/>
  <c r="B1087" i="7"/>
  <c r="D1086" i="7"/>
  <c r="E1086" i="7" s="1"/>
  <c r="B1086" i="7"/>
  <c r="E1085" i="7"/>
  <c r="D1085" i="7"/>
  <c r="C1085" i="7"/>
  <c r="B1085" i="7"/>
  <c r="D1084" i="7"/>
  <c r="E1084" i="7" s="1"/>
  <c r="B1084" i="7"/>
  <c r="C1084" i="7" s="1"/>
  <c r="E1083" i="7"/>
  <c r="D1083" i="7"/>
  <c r="C1083" i="7"/>
  <c r="B1083" i="7"/>
  <c r="D1082" i="7"/>
  <c r="E1082" i="7" s="1"/>
  <c r="B1082" i="7"/>
  <c r="C1082" i="7" s="1"/>
  <c r="D1081" i="7"/>
  <c r="C1081" i="7"/>
  <c r="B1081" i="7"/>
  <c r="D1080" i="7"/>
  <c r="C1080" i="7"/>
  <c r="B1080" i="7"/>
  <c r="D1079" i="7"/>
  <c r="C1079" i="7"/>
  <c r="B1079" i="7"/>
  <c r="D1078" i="7"/>
  <c r="C1078" i="7"/>
  <c r="B1078" i="7"/>
  <c r="D1077" i="7"/>
  <c r="B1077" i="7"/>
  <c r="D1076" i="7"/>
  <c r="B1076" i="7"/>
  <c r="C1077" i="7" s="1"/>
  <c r="D1075" i="7"/>
  <c r="B1075" i="7"/>
  <c r="D1074" i="7"/>
  <c r="B1074" i="7"/>
  <c r="C1075" i="7" s="1"/>
  <c r="E1073" i="7"/>
  <c r="D1073" i="7"/>
  <c r="B1073" i="7"/>
  <c r="D1072" i="7"/>
  <c r="E1072" i="7" s="1"/>
  <c r="C1072" i="7"/>
  <c r="B1072" i="7"/>
  <c r="C1073" i="7" s="1"/>
  <c r="E1071" i="7"/>
  <c r="D1071" i="7"/>
  <c r="B1071" i="7"/>
  <c r="D1070" i="7"/>
  <c r="E1070" i="7" s="1"/>
  <c r="B1070" i="7"/>
  <c r="E1069" i="7"/>
  <c r="D1069" i="7"/>
  <c r="C1069" i="7"/>
  <c r="B1069" i="7"/>
  <c r="D1068" i="7"/>
  <c r="E1068" i="7" s="1"/>
  <c r="B1068" i="7"/>
  <c r="C1068" i="7" s="1"/>
  <c r="E1067" i="7"/>
  <c r="D1067" i="7"/>
  <c r="C1067" i="7"/>
  <c r="B1067" i="7"/>
  <c r="D1066" i="7"/>
  <c r="E1066" i="7" s="1"/>
  <c r="B1066" i="7"/>
  <c r="C1066" i="7" s="1"/>
  <c r="D1065" i="7"/>
  <c r="C1065" i="7"/>
  <c r="B1065" i="7"/>
  <c r="D1064" i="7"/>
  <c r="C1064" i="7"/>
  <c r="B1064" i="7"/>
  <c r="D1063" i="7"/>
  <c r="C1063" i="7"/>
  <c r="B1063" i="7"/>
  <c r="D1062" i="7"/>
  <c r="C1062" i="7"/>
  <c r="B1062" i="7"/>
  <c r="D1061" i="7"/>
  <c r="B1061" i="7"/>
  <c r="D1060" i="7"/>
  <c r="B1060" i="7"/>
  <c r="C1061" i="7" s="1"/>
  <c r="D1059" i="7"/>
  <c r="B1059" i="7"/>
  <c r="D1058" i="7"/>
  <c r="C1058" i="7"/>
  <c r="B1058" i="7"/>
  <c r="C1059" i="7" s="1"/>
  <c r="E1057" i="7"/>
  <c r="D1057" i="7"/>
  <c r="B1057" i="7"/>
  <c r="D1056" i="7"/>
  <c r="E1056" i="7" s="1"/>
  <c r="B1056" i="7"/>
  <c r="C1057" i="7" s="1"/>
  <c r="E1055" i="7"/>
  <c r="D1055" i="7"/>
  <c r="B1055" i="7"/>
  <c r="D1054" i="7"/>
  <c r="E1054" i="7" s="1"/>
  <c r="B1054" i="7"/>
  <c r="E1053" i="7"/>
  <c r="D1053" i="7"/>
  <c r="C1053" i="7"/>
  <c r="B1053" i="7"/>
  <c r="D1052" i="7"/>
  <c r="E1052" i="7" s="1"/>
  <c r="B1052" i="7"/>
  <c r="C1052" i="7" s="1"/>
  <c r="E1051" i="7"/>
  <c r="D1051" i="7"/>
  <c r="C1051" i="7"/>
  <c r="B1051" i="7"/>
  <c r="D1050" i="7"/>
  <c r="E1050" i="7" s="1"/>
  <c r="B1050" i="7"/>
  <c r="C1050" i="7" s="1"/>
  <c r="D1049" i="7"/>
  <c r="C1049" i="7"/>
  <c r="B1049" i="7"/>
  <c r="D1048" i="7"/>
  <c r="C1048" i="7"/>
  <c r="B1048" i="7"/>
  <c r="D1047" i="7"/>
  <c r="C1047" i="7"/>
  <c r="B1047" i="7"/>
  <c r="D1046" i="7"/>
  <c r="C1046" i="7"/>
  <c r="B1046" i="7"/>
  <c r="D1045" i="7"/>
  <c r="B1045" i="7"/>
  <c r="D1044" i="7"/>
  <c r="C1044" i="7"/>
  <c r="B1044" i="7"/>
  <c r="C1045" i="7" s="1"/>
  <c r="D1043" i="7"/>
  <c r="B1043" i="7"/>
  <c r="D1042" i="7"/>
  <c r="B1042" i="7"/>
  <c r="C1043" i="7" s="1"/>
  <c r="E1041" i="7"/>
  <c r="D1041" i="7"/>
  <c r="B1041" i="7"/>
  <c r="D1040" i="7"/>
  <c r="E1040" i="7" s="1"/>
  <c r="B1040" i="7"/>
  <c r="C1041" i="7" s="1"/>
  <c r="E1039" i="7"/>
  <c r="D1039" i="7"/>
  <c r="B1039" i="7"/>
  <c r="D1038" i="7"/>
  <c r="E1038" i="7" s="1"/>
  <c r="B1038" i="7"/>
  <c r="E1037" i="7"/>
  <c r="D1037" i="7"/>
  <c r="C1037" i="7"/>
  <c r="B1037" i="7"/>
  <c r="D1036" i="7"/>
  <c r="E1036" i="7" s="1"/>
  <c r="B1036" i="7"/>
  <c r="C1036" i="7" s="1"/>
  <c r="E1035" i="7"/>
  <c r="D1035" i="7"/>
  <c r="C1035" i="7"/>
  <c r="B1035" i="7"/>
  <c r="D1034" i="7"/>
  <c r="E1034" i="7" s="1"/>
  <c r="B1034" i="7"/>
  <c r="C1034" i="7" s="1"/>
  <c r="D1033" i="7"/>
  <c r="C1033" i="7"/>
  <c r="B1033" i="7"/>
  <c r="D1032" i="7"/>
  <c r="C1032" i="7"/>
  <c r="B1032" i="7"/>
  <c r="D1031" i="7"/>
  <c r="C1031" i="7"/>
  <c r="B1031" i="7"/>
  <c r="D1030" i="7"/>
  <c r="C1030" i="7"/>
  <c r="B1030" i="7"/>
  <c r="D1029" i="7"/>
  <c r="B1029" i="7"/>
  <c r="D1028" i="7"/>
  <c r="B1028" i="7"/>
  <c r="C1029" i="7" s="1"/>
  <c r="D1027" i="7"/>
  <c r="B1027" i="7"/>
  <c r="D1026" i="7"/>
  <c r="C1026" i="7"/>
  <c r="B1026" i="7"/>
  <c r="C1027" i="7" s="1"/>
  <c r="E1025" i="7"/>
  <c r="D1025" i="7"/>
  <c r="B1025" i="7"/>
  <c r="D1024" i="7"/>
  <c r="E1024" i="7" s="1"/>
  <c r="C1024" i="7"/>
  <c r="B1024" i="7"/>
  <c r="C1025" i="7" s="1"/>
  <c r="E1023" i="7"/>
  <c r="D1023" i="7"/>
  <c r="B1023" i="7"/>
  <c r="D1022" i="7"/>
  <c r="E1022" i="7" s="1"/>
  <c r="B1022" i="7"/>
  <c r="E1021" i="7"/>
  <c r="D1021" i="7"/>
  <c r="C1021" i="7"/>
  <c r="B1021" i="7"/>
  <c r="D1020" i="7"/>
  <c r="E1020" i="7" s="1"/>
  <c r="B1020" i="7"/>
  <c r="C1020" i="7" s="1"/>
  <c r="E1019" i="7"/>
  <c r="D1019" i="7"/>
  <c r="C1019" i="7"/>
  <c r="B1019" i="7"/>
  <c r="D1018" i="7"/>
  <c r="E1018" i="7" s="1"/>
  <c r="B1018" i="7"/>
  <c r="C1018" i="7" s="1"/>
  <c r="D1017" i="7"/>
  <c r="C1017" i="7"/>
  <c r="B1017" i="7"/>
  <c r="D1016" i="7"/>
  <c r="C1016" i="7"/>
  <c r="B1016" i="7"/>
  <c r="D1015" i="7"/>
  <c r="C1015" i="7"/>
  <c r="B1015" i="7"/>
  <c r="D1014" i="7"/>
  <c r="C1014" i="7"/>
  <c r="B1014" i="7"/>
  <c r="D1013" i="7"/>
  <c r="B1013" i="7"/>
  <c r="D1012" i="7"/>
  <c r="C1012" i="7"/>
  <c r="B1012" i="7"/>
  <c r="C1013" i="7" s="1"/>
  <c r="D1011" i="7"/>
  <c r="B1011" i="7"/>
  <c r="D1010" i="7"/>
  <c r="B1010" i="7"/>
  <c r="C1011" i="7" s="1"/>
  <c r="E1009" i="7"/>
  <c r="D1009" i="7"/>
  <c r="B1009" i="7"/>
  <c r="D1008" i="7"/>
  <c r="E1008" i="7" s="1"/>
  <c r="B1008" i="7"/>
  <c r="C1009" i="7" s="1"/>
  <c r="E1007" i="7"/>
  <c r="D1007" i="7"/>
  <c r="B1007" i="7"/>
  <c r="D1006" i="7"/>
  <c r="E1006" i="7" s="1"/>
  <c r="B1006" i="7"/>
  <c r="E1005" i="7"/>
  <c r="D1005" i="7"/>
  <c r="C1005" i="7"/>
  <c r="B1005" i="7"/>
  <c r="D1004" i="7"/>
  <c r="E1004" i="7" s="1"/>
  <c r="B1004" i="7"/>
  <c r="C1004" i="7" s="1"/>
  <c r="E1003" i="7"/>
  <c r="D1003" i="7"/>
  <c r="C1003" i="7"/>
  <c r="B1003" i="7"/>
  <c r="D1002" i="7"/>
  <c r="E1002" i="7" s="1"/>
  <c r="B1002" i="7"/>
  <c r="C1002" i="7" s="1"/>
  <c r="D1001" i="7"/>
  <c r="C1001" i="7"/>
  <c r="B1001" i="7"/>
  <c r="D1000" i="7"/>
  <c r="C1000" i="7"/>
  <c r="B1000" i="7"/>
  <c r="D999" i="7"/>
  <c r="C999" i="7"/>
  <c r="B999" i="7"/>
  <c r="D998" i="7"/>
  <c r="C998" i="7"/>
  <c r="B998" i="7"/>
  <c r="D997" i="7"/>
  <c r="B997" i="7"/>
  <c r="D996" i="7"/>
  <c r="B996" i="7"/>
  <c r="C997" i="7" s="1"/>
  <c r="D995" i="7"/>
  <c r="B995" i="7"/>
  <c r="D994" i="7"/>
  <c r="B994" i="7"/>
  <c r="C995" i="7" s="1"/>
  <c r="E993" i="7"/>
  <c r="D993" i="7"/>
  <c r="B993" i="7"/>
  <c r="D992" i="7"/>
  <c r="E992" i="7" s="1"/>
  <c r="C992" i="7"/>
  <c r="B992" i="7"/>
  <c r="C993" i="7" s="1"/>
  <c r="E991" i="7"/>
  <c r="D991" i="7"/>
  <c r="B991" i="7"/>
  <c r="D990" i="7"/>
  <c r="E990" i="7" s="1"/>
  <c r="B990" i="7"/>
  <c r="E989" i="7"/>
  <c r="D989" i="7"/>
  <c r="C989" i="7"/>
  <c r="B989" i="7"/>
  <c r="D988" i="7"/>
  <c r="E988" i="7" s="1"/>
  <c r="B988" i="7"/>
  <c r="C988" i="7" s="1"/>
  <c r="E987" i="7"/>
  <c r="D987" i="7"/>
  <c r="C987" i="7"/>
  <c r="B987" i="7"/>
  <c r="D986" i="7"/>
  <c r="E986" i="7" s="1"/>
  <c r="B986" i="7"/>
  <c r="C986" i="7" s="1"/>
  <c r="D985" i="7"/>
  <c r="C985" i="7"/>
  <c r="B985" i="7"/>
  <c r="D984" i="7"/>
  <c r="C984" i="7"/>
  <c r="B984" i="7"/>
  <c r="D983" i="7"/>
  <c r="C983" i="7"/>
  <c r="B983" i="7"/>
  <c r="D982" i="7"/>
  <c r="C982" i="7"/>
  <c r="B982" i="7"/>
  <c r="D981" i="7"/>
  <c r="B981" i="7"/>
  <c r="D980" i="7"/>
  <c r="B980" i="7"/>
  <c r="C981" i="7" s="1"/>
  <c r="D979" i="7"/>
  <c r="B979" i="7"/>
  <c r="D978" i="7"/>
  <c r="C978" i="7"/>
  <c r="B978" i="7"/>
  <c r="C979" i="7" s="1"/>
  <c r="E977" i="7"/>
  <c r="D977" i="7"/>
  <c r="B977" i="7"/>
  <c r="D976" i="7"/>
  <c r="E976" i="7" s="1"/>
  <c r="B976" i="7"/>
  <c r="E975" i="7"/>
  <c r="D975" i="7"/>
  <c r="B975" i="7"/>
  <c r="D974" i="7"/>
  <c r="E974" i="7" s="1"/>
  <c r="B974" i="7"/>
  <c r="E973" i="7"/>
  <c r="D973" i="7"/>
  <c r="C973" i="7"/>
  <c r="B973" i="7"/>
  <c r="D972" i="7"/>
  <c r="E972" i="7" s="1"/>
  <c r="B972" i="7"/>
  <c r="C972" i="7" s="1"/>
  <c r="E971" i="7"/>
  <c r="D971" i="7"/>
  <c r="C971" i="7"/>
  <c r="B971" i="7"/>
  <c r="D970" i="7"/>
  <c r="E970" i="7" s="1"/>
  <c r="B970" i="7"/>
  <c r="C970" i="7" s="1"/>
  <c r="D969" i="7"/>
  <c r="C969" i="7"/>
  <c r="B969" i="7"/>
  <c r="D968" i="7"/>
  <c r="C968" i="7"/>
  <c r="B968" i="7"/>
  <c r="D967" i="7"/>
  <c r="C967" i="7"/>
  <c r="B967" i="7"/>
  <c r="D966" i="7"/>
  <c r="C966" i="7"/>
  <c r="B966" i="7"/>
  <c r="D965" i="7"/>
  <c r="B965" i="7"/>
  <c r="D964" i="7"/>
  <c r="C964" i="7"/>
  <c r="B964" i="7"/>
  <c r="C965" i="7" s="1"/>
  <c r="D963" i="7"/>
  <c r="B963" i="7"/>
  <c r="D962" i="7"/>
  <c r="C962" i="7"/>
  <c r="B962" i="7"/>
  <c r="C963" i="7" s="1"/>
  <c r="E961" i="7"/>
  <c r="D961" i="7"/>
  <c r="B961" i="7"/>
  <c r="D960" i="7"/>
  <c r="E960" i="7" s="1"/>
  <c r="B960" i="7"/>
  <c r="C961" i="7" s="1"/>
  <c r="E959" i="7"/>
  <c r="D959" i="7"/>
  <c r="B959" i="7"/>
  <c r="D958" i="7"/>
  <c r="E958" i="7" s="1"/>
  <c r="B958" i="7"/>
  <c r="E957" i="7"/>
  <c r="D957" i="7"/>
  <c r="C957" i="7"/>
  <c r="B957" i="7"/>
  <c r="D956" i="7"/>
  <c r="E956" i="7" s="1"/>
  <c r="B956" i="7"/>
  <c r="C956" i="7" s="1"/>
  <c r="E955" i="7"/>
  <c r="D955" i="7"/>
  <c r="C955" i="7"/>
  <c r="B955" i="7"/>
  <c r="D954" i="7"/>
  <c r="E954" i="7" s="1"/>
  <c r="B954" i="7"/>
  <c r="C954" i="7" s="1"/>
  <c r="D953" i="7"/>
  <c r="C953" i="7"/>
  <c r="B953" i="7"/>
  <c r="D952" i="7"/>
  <c r="C952" i="7"/>
  <c r="B952" i="7"/>
  <c r="D951" i="7"/>
  <c r="C951" i="7"/>
  <c r="B951" i="7"/>
  <c r="D950" i="7"/>
  <c r="C950" i="7"/>
  <c r="B950" i="7"/>
  <c r="D949" i="7"/>
  <c r="B949" i="7"/>
  <c r="D948" i="7"/>
  <c r="B948" i="7"/>
  <c r="C949" i="7" s="1"/>
  <c r="D947" i="7"/>
  <c r="B947" i="7"/>
  <c r="D946" i="7"/>
  <c r="B946" i="7"/>
  <c r="C947" i="7" s="1"/>
  <c r="E945" i="7"/>
  <c r="D945" i="7"/>
  <c r="B945" i="7"/>
  <c r="D944" i="7"/>
  <c r="E944" i="7" s="1"/>
  <c r="C944" i="7"/>
  <c r="B944" i="7"/>
  <c r="C945" i="7" s="1"/>
  <c r="E943" i="7"/>
  <c r="D943" i="7"/>
  <c r="B943" i="7"/>
  <c r="D942" i="7"/>
  <c r="E942" i="7" s="1"/>
  <c r="B942" i="7"/>
  <c r="E941" i="7"/>
  <c r="D941" i="7"/>
  <c r="C941" i="7"/>
  <c r="B941" i="7"/>
  <c r="D940" i="7"/>
  <c r="E940" i="7" s="1"/>
  <c r="B940" i="7"/>
  <c r="C940" i="7" s="1"/>
  <c r="E939" i="7"/>
  <c r="D939" i="7"/>
  <c r="C939" i="7"/>
  <c r="B939" i="7"/>
  <c r="D938" i="7"/>
  <c r="E938" i="7" s="1"/>
  <c r="B938" i="7"/>
  <c r="C938" i="7" s="1"/>
  <c r="D937" i="7"/>
  <c r="C937" i="7"/>
  <c r="B937" i="7"/>
  <c r="D936" i="7"/>
  <c r="C936" i="7"/>
  <c r="B936" i="7"/>
  <c r="D935" i="7"/>
  <c r="C935" i="7"/>
  <c r="B935" i="7"/>
  <c r="D934" i="7"/>
  <c r="C934" i="7"/>
  <c r="B934" i="7"/>
  <c r="D933" i="7"/>
  <c r="B933" i="7"/>
  <c r="D932" i="7"/>
  <c r="B932" i="7"/>
  <c r="C933" i="7" s="1"/>
  <c r="D931" i="7"/>
  <c r="B931" i="7"/>
  <c r="D930" i="7"/>
  <c r="C930" i="7"/>
  <c r="B930" i="7"/>
  <c r="C931" i="7" s="1"/>
  <c r="E929" i="7"/>
  <c r="D929" i="7"/>
  <c r="B929" i="7"/>
  <c r="D928" i="7"/>
  <c r="E928" i="7" s="1"/>
  <c r="B928" i="7"/>
  <c r="C929" i="7" s="1"/>
  <c r="E927" i="7"/>
  <c r="D927" i="7"/>
  <c r="B927" i="7"/>
  <c r="D926" i="7"/>
  <c r="E926" i="7" s="1"/>
  <c r="B926" i="7"/>
  <c r="E925" i="7"/>
  <c r="D925" i="7"/>
  <c r="C925" i="7"/>
  <c r="B925" i="7"/>
  <c r="D924" i="7"/>
  <c r="E924" i="7" s="1"/>
  <c r="B924" i="7"/>
  <c r="C924" i="7" s="1"/>
  <c r="E923" i="7"/>
  <c r="D923" i="7"/>
  <c r="C923" i="7"/>
  <c r="B923" i="7"/>
  <c r="D922" i="7"/>
  <c r="E922" i="7" s="1"/>
  <c r="B922" i="7"/>
  <c r="C922" i="7" s="1"/>
  <c r="D921" i="7"/>
  <c r="C921" i="7"/>
  <c r="B921" i="7"/>
  <c r="D920" i="7"/>
  <c r="C920" i="7"/>
  <c r="B920" i="7"/>
  <c r="D919" i="7"/>
  <c r="C919" i="7"/>
  <c r="B919" i="7"/>
  <c r="D918" i="7"/>
  <c r="C918" i="7"/>
  <c r="B918" i="7"/>
  <c r="D917" i="7"/>
  <c r="B917" i="7"/>
  <c r="D916" i="7"/>
  <c r="C916" i="7"/>
  <c r="B916" i="7"/>
  <c r="C917" i="7" s="1"/>
  <c r="D915" i="7"/>
  <c r="B915" i="7"/>
  <c r="D914" i="7"/>
  <c r="B914" i="7"/>
  <c r="C915" i="7" s="1"/>
  <c r="E913" i="7"/>
  <c r="D913" i="7"/>
  <c r="B913" i="7"/>
  <c r="D912" i="7"/>
  <c r="E912" i="7" s="1"/>
  <c r="B912" i="7"/>
  <c r="C913" i="7" s="1"/>
  <c r="E911" i="7"/>
  <c r="D911" i="7"/>
  <c r="B911" i="7"/>
  <c r="D910" i="7"/>
  <c r="E910" i="7" s="1"/>
  <c r="B910" i="7"/>
  <c r="E909" i="7"/>
  <c r="D909" i="7"/>
  <c r="C909" i="7"/>
  <c r="B909" i="7"/>
  <c r="D908" i="7"/>
  <c r="E908" i="7" s="1"/>
  <c r="B908" i="7"/>
  <c r="C908" i="7" s="1"/>
  <c r="E907" i="7"/>
  <c r="D907" i="7"/>
  <c r="C907" i="7"/>
  <c r="B907" i="7"/>
  <c r="D906" i="7"/>
  <c r="E906" i="7" s="1"/>
  <c r="B906" i="7"/>
  <c r="C906" i="7" s="1"/>
  <c r="D905" i="7"/>
  <c r="C905" i="7"/>
  <c r="B905" i="7"/>
  <c r="D904" i="7"/>
  <c r="C904" i="7"/>
  <c r="B904" i="7"/>
  <c r="D903" i="7"/>
  <c r="C903" i="7"/>
  <c r="B903" i="7"/>
  <c r="D902" i="7"/>
  <c r="C902" i="7"/>
  <c r="B902" i="7"/>
  <c r="D901" i="7"/>
  <c r="B901" i="7"/>
  <c r="D900" i="7"/>
  <c r="B900" i="7"/>
  <c r="C901" i="7" s="1"/>
  <c r="D899" i="7"/>
  <c r="B899" i="7"/>
  <c r="D898" i="7"/>
  <c r="C898" i="7"/>
  <c r="B898" i="7"/>
  <c r="C899" i="7" s="1"/>
  <c r="E897" i="7"/>
  <c r="D897" i="7"/>
  <c r="B897" i="7"/>
  <c r="D896" i="7"/>
  <c r="E896" i="7" s="1"/>
  <c r="C896" i="7"/>
  <c r="B896" i="7"/>
  <c r="C897" i="7" s="1"/>
  <c r="E895" i="7"/>
  <c r="D895" i="7"/>
  <c r="B895" i="7"/>
  <c r="D894" i="7"/>
  <c r="E894" i="7" s="1"/>
  <c r="B894" i="7"/>
  <c r="E893" i="7"/>
  <c r="D893" i="7"/>
  <c r="C893" i="7"/>
  <c r="B893" i="7"/>
  <c r="D892" i="7"/>
  <c r="E892" i="7" s="1"/>
  <c r="B892" i="7"/>
  <c r="C892" i="7" s="1"/>
  <c r="E891" i="7"/>
  <c r="D891" i="7"/>
  <c r="C891" i="7"/>
  <c r="B891" i="7"/>
  <c r="D890" i="7"/>
  <c r="E890" i="7" s="1"/>
  <c r="B890" i="7"/>
  <c r="C890" i="7" s="1"/>
  <c r="D889" i="7"/>
  <c r="C889" i="7"/>
  <c r="B889" i="7"/>
  <c r="D888" i="7"/>
  <c r="C888" i="7"/>
  <c r="B888" i="7"/>
  <c r="D887" i="7"/>
  <c r="C887" i="7"/>
  <c r="B887" i="7"/>
  <c r="D886" i="7"/>
  <c r="C886" i="7"/>
  <c r="B886" i="7"/>
  <c r="D885" i="7"/>
  <c r="B885" i="7"/>
  <c r="D884" i="7"/>
  <c r="C884" i="7"/>
  <c r="B884" i="7"/>
  <c r="C885" i="7" s="1"/>
  <c r="D883" i="7"/>
  <c r="B883" i="7"/>
  <c r="D882" i="7"/>
  <c r="B882" i="7"/>
  <c r="E881" i="7"/>
  <c r="D881" i="7"/>
  <c r="B881" i="7"/>
  <c r="D880" i="7"/>
  <c r="E880" i="7" s="1"/>
  <c r="B880" i="7"/>
  <c r="C881" i="7" s="1"/>
  <c r="E879" i="7"/>
  <c r="D879" i="7"/>
  <c r="B879" i="7"/>
  <c r="D878" i="7"/>
  <c r="E878" i="7" s="1"/>
  <c r="B878" i="7"/>
  <c r="E877" i="7"/>
  <c r="D877" i="7"/>
  <c r="C877" i="7"/>
  <c r="B877" i="7"/>
  <c r="D876" i="7"/>
  <c r="E876" i="7" s="1"/>
  <c r="B876" i="7"/>
  <c r="C876" i="7" s="1"/>
  <c r="E875" i="7"/>
  <c r="D875" i="7"/>
  <c r="C875" i="7"/>
  <c r="B875" i="7"/>
  <c r="D874" i="7"/>
  <c r="E874" i="7" s="1"/>
  <c r="B874" i="7"/>
  <c r="C874" i="7" s="1"/>
  <c r="D873" i="7"/>
  <c r="C873" i="7"/>
  <c r="B873" i="7"/>
  <c r="D872" i="7"/>
  <c r="C872" i="7"/>
  <c r="B872" i="7"/>
  <c r="D871" i="7"/>
  <c r="C871" i="7"/>
  <c r="B871" i="7"/>
  <c r="D870" i="7"/>
  <c r="C870" i="7"/>
  <c r="B870" i="7"/>
  <c r="D869" i="7"/>
  <c r="B869" i="7"/>
  <c r="D868" i="7"/>
  <c r="B868" i="7"/>
  <c r="D867" i="7"/>
  <c r="B867" i="7"/>
  <c r="D866" i="7"/>
  <c r="B866" i="7"/>
  <c r="C867" i="7" s="1"/>
  <c r="E865" i="7"/>
  <c r="D865" i="7"/>
  <c r="B865" i="7"/>
  <c r="D864" i="7"/>
  <c r="E864" i="7" s="1"/>
  <c r="C864" i="7"/>
  <c r="B864" i="7"/>
  <c r="C865" i="7" s="1"/>
  <c r="E863" i="7"/>
  <c r="D863" i="7"/>
  <c r="B863" i="7"/>
  <c r="D862" i="7"/>
  <c r="E862" i="7" s="1"/>
  <c r="B862" i="7"/>
  <c r="E861" i="7"/>
  <c r="D861" i="7"/>
  <c r="C861" i="7"/>
  <c r="B861" i="7"/>
  <c r="D860" i="7"/>
  <c r="E860" i="7" s="1"/>
  <c r="B860" i="7"/>
  <c r="C860" i="7" s="1"/>
  <c r="E859" i="7"/>
  <c r="D859" i="7"/>
  <c r="C859" i="7"/>
  <c r="B859" i="7"/>
  <c r="D858" i="7"/>
  <c r="E858" i="7" s="1"/>
  <c r="B858" i="7"/>
  <c r="C858" i="7" s="1"/>
  <c r="D857" i="7"/>
  <c r="C857" i="7"/>
  <c r="B857" i="7"/>
  <c r="D856" i="7"/>
  <c r="C856" i="7"/>
  <c r="B856" i="7"/>
  <c r="D855" i="7"/>
  <c r="C855" i="7"/>
  <c r="B855" i="7"/>
  <c r="D854" i="7"/>
  <c r="C854" i="7"/>
  <c r="B854" i="7"/>
  <c r="D853" i="7"/>
  <c r="B853" i="7"/>
  <c r="D852" i="7"/>
  <c r="B852" i="7"/>
  <c r="C853" i="7" s="1"/>
  <c r="D851" i="7"/>
  <c r="B851" i="7"/>
  <c r="D850" i="7"/>
  <c r="C850" i="7"/>
  <c r="B850" i="7"/>
  <c r="C851" i="7" s="1"/>
  <c r="E849" i="7"/>
  <c r="D849" i="7"/>
  <c r="B849" i="7"/>
  <c r="D848" i="7"/>
  <c r="E848" i="7" s="1"/>
  <c r="B848" i="7"/>
  <c r="E847" i="7"/>
  <c r="D847" i="7"/>
  <c r="B847" i="7"/>
  <c r="D846" i="7"/>
  <c r="E846" i="7" s="1"/>
  <c r="B846" i="7"/>
  <c r="E845" i="7"/>
  <c r="D845" i="7"/>
  <c r="C845" i="7"/>
  <c r="B845" i="7"/>
  <c r="D844" i="7"/>
  <c r="E844" i="7" s="1"/>
  <c r="B844" i="7"/>
  <c r="C844" i="7" s="1"/>
  <c r="E843" i="7"/>
  <c r="D843" i="7"/>
  <c r="C843" i="7"/>
  <c r="B843" i="7"/>
  <c r="D842" i="7"/>
  <c r="E842" i="7" s="1"/>
  <c r="B842" i="7"/>
  <c r="C842" i="7" s="1"/>
  <c r="D841" i="7"/>
  <c r="C841" i="7"/>
  <c r="B841" i="7"/>
  <c r="D840" i="7"/>
  <c r="C840" i="7"/>
  <c r="B840" i="7"/>
  <c r="D839" i="7"/>
  <c r="C839" i="7"/>
  <c r="B839" i="7"/>
  <c r="D838" i="7"/>
  <c r="C838" i="7"/>
  <c r="B838" i="7"/>
  <c r="D837" i="7"/>
  <c r="B837" i="7"/>
  <c r="D836" i="7"/>
  <c r="C836" i="7"/>
  <c r="B836" i="7"/>
  <c r="C837" i="7" s="1"/>
  <c r="D835" i="7"/>
  <c r="B835" i="7"/>
  <c r="D834" i="7"/>
  <c r="C834" i="7"/>
  <c r="B834" i="7"/>
  <c r="C835" i="7" s="1"/>
  <c r="E833" i="7"/>
  <c r="D833" i="7"/>
  <c r="B833" i="7"/>
  <c r="D832" i="7"/>
  <c r="E832" i="7" s="1"/>
  <c r="B832" i="7"/>
  <c r="C833" i="7" s="1"/>
  <c r="E831" i="7"/>
  <c r="D831" i="7"/>
  <c r="B831" i="7"/>
  <c r="D830" i="7"/>
  <c r="E830" i="7" s="1"/>
  <c r="B830" i="7"/>
  <c r="E829" i="7"/>
  <c r="D829" i="7"/>
  <c r="C829" i="7"/>
  <c r="B829" i="7"/>
  <c r="D828" i="7"/>
  <c r="E828" i="7" s="1"/>
  <c r="B828" i="7"/>
  <c r="C828" i="7" s="1"/>
  <c r="E827" i="7"/>
  <c r="D827" i="7"/>
  <c r="C827" i="7"/>
  <c r="B827" i="7"/>
  <c r="D826" i="7"/>
  <c r="E826" i="7" s="1"/>
  <c r="B826" i="7"/>
  <c r="C826" i="7" s="1"/>
  <c r="D825" i="7"/>
  <c r="C825" i="7"/>
  <c r="B825" i="7"/>
  <c r="D824" i="7"/>
  <c r="C824" i="7"/>
  <c r="B824" i="7"/>
  <c r="D823" i="7"/>
  <c r="C823" i="7"/>
  <c r="B823" i="7"/>
  <c r="D822" i="7"/>
  <c r="C822" i="7"/>
  <c r="B822" i="7"/>
  <c r="D821" i="7"/>
  <c r="B821" i="7"/>
  <c r="D820" i="7"/>
  <c r="C820" i="7"/>
  <c r="B820" i="7"/>
  <c r="C821" i="7" s="1"/>
  <c r="E819" i="7"/>
  <c r="D819" i="7"/>
  <c r="B819" i="7"/>
  <c r="D818" i="7"/>
  <c r="E818" i="7" s="1"/>
  <c r="B818" i="7"/>
  <c r="C819" i="7" s="1"/>
  <c r="E817" i="7"/>
  <c r="D817" i="7"/>
  <c r="B817" i="7"/>
  <c r="D816" i="7"/>
  <c r="E816" i="7" s="1"/>
  <c r="C816" i="7"/>
  <c r="B816" i="7"/>
  <c r="C817" i="7" s="1"/>
  <c r="E815" i="7"/>
  <c r="D815" i="7"/>
  <c r="C815" i="7"/>
  <c r="B815" i="7"/>
  <c r="D814" i="7"/>
  <c r="E814" i="7" s="1"/>
  <c r="B814" i="7"/>
  <c r="C814" i="7" s="1"/>
  <c r="E813" i="7"/>
  <c r="D813" i="7"/>
  <c r="C813" i="7"/>
  <c r="B813" i="7"/>
  <c r="D812" i="7"/>
  <c r="E812" i="7" s="1"/>
  <c r="B812" i="7"/>
  <c r="C812" i="7" s="1"/>
  <c r="E811" i="7"/>
  <c r="D811" i="7"/>
  <c r="C811" i="7"/>
  <c r="B811" i="7"/>
  <c r="D810" i="7"/>
  <c r="E810" i="7" s="1"/>
  <c r="B810" i="7"/>
  <c r="C810" i="7" s="1"/>
  <c r="D809" i="7"/>
  <c r="C809" i="7"/>
  <c r="B809" i="7"/>
  <c r="D808" i="7"/>
  <c r="C808" i="7"/>
  <c r="B808" i="7"/>
  <c r="D807" i="7"/>
  <c r="B807" i="7"/>
  <c r="D806" i="7"/>
  <c r="B806" i="7"/>
  <c r="C807" i="7" s="1"/>
  <c r="D805" i="7"/>
  <c r="B805" i="7"/>
  <c r="D804" i="7"/>
  <c r="B804" i="7"/>
  <c r="E803" i="7"/>
  <c r="D803" i="7"/>
  <c r="B803" i="7"/>
  <c r="D802" i="7"/>
  <c r="B802" i="7"/>
  <c r="C803" i="7" s="1"/>
  <c r="D801" i="7"/>
  <c r="E801" i="7" s="1"/>
  <c r="B801" i="7"/>
  <c r="D800" i="7"/>
  <c r="C800" i="7"/>
  <c r="B800" i="7"/>
  <c r="C801" i="7" s="1"/>
  <c r="D799" i="7"/>
  <c r="E799" i="7" s="1"/>
  <c r="B799" i="7"/>
  <c r="D798" i="7"/>
  <c r="B798" i="7"/>
  <c r="E797" i="7"/>
  <c r="D797" i="7"/>
  <c r="C797" i="7"/>
  <c r="B797" i="7"/>
  <c r="D796" i="7"/>
  <c r="B796" i="7"/>
  <c r="C796" i="7" s="1"/>
  <c r="D795" i="7"/>
  <c r="E795" i="7" s="1"/>
  <c r="C795" i="7"/>
  <c r="B795" i="7"/>
  <c r="D794" i="7"/>
  <c r="B794" i="7"/>
  <c r="C794" i="7" s="1"/>
  <c r="D793" i="7"/>
  <c r="C793" i="7"/>
  <c r="B793" i="7"/>
  <c r="D792" i="7"/>
  <c r="E792" i="7" s="1"/>
  <c r="C792" i="7"/>
  <c r="B792" i="7"/>
  <c r="D791" i="7"/>
  <c r="B791" i="7"/>
  <c r="D790" i="7"/>
  <c r="E790" i="7" s="1"/>
  <c r="C790" i="7"/>
  <c r="B790" i="7"/>
  <c r="C791" i="7" s="1"/>
  <c r="D789" i="7"/>
  <c r="E789" i="7" s="1"/>
  <c r="B789" i="7"/>
  <c r="D788" i="7"/>
  <c r="E788" i="7" s="1"/>
  <c r="B788" i="7"/>
  <c r="C789" i="7" s="1"/>
  <c r="E787" i="7"/>
  <c r="D787" i="7"/>
  <c r="B787" i="7"/>
  <c r="D786" i="7"/>
  <c r="E786" i="7" s="1"/>
  <c r="C786" i="7"/>
  <c r="B786" i="7"/>
  <c r="C787" i="7" s="1"/>
  <c r="D785" i="7"/>
  <c r="E785" i="7" s="1"/>
  <c r="B785" i="7"/>
  <c r="D784" i="7"/>
  <c r="E784" i="7" s="1"/>
  <c r="B784" i="7"/>
  <c r="C785" i="7" s="1"/>
  <c r="E783" i="7"/>
  <c r="D783" i="7"/>
  <c r="B783" i="7"/>
  <c r="D782" i="7"/>
  <c r="C782" i="7"/>
  <c r="B782" i="7"/>
  <c r="C783" i="7" s="1"/>
  <c r="E781" i="7"/>
  <c r="D781" i="7"/>
  <c r="B781" i="7"/>
  <c r="D780" i="7"/>
  <c r="B780" i="7"/>
  <c r="D779" i="7"/>
  <c r="E779" i="7" s="1"/>
  <c r="C779" i="7"/>
  <c r="B779" i="7"/>
  <c r="D778" i="7"/>
  <c r="B778" i="7"/>
  <c r="C778" i="7" s="1"/>
  <c r="D777" i="7"/>
  <c r="C777" i="7"/>
  <c r="B777" i="7"/>
  <c r="D776" i="7"/>
  <c r="E776" i="7" s="1"/>
  <c r="C776" i="7"/>
  <c r="B776" i="7"/>
  <c r="D775" i="7"/>
  <c r="B775" i="7"/>
  <c r="D774" i="7"/>
  <c r="E774" i="7" s="1"/>
  <c r="B774" i="7"/>
  <c r="C775" i="7" s="1"/>
  <c r="D773" i="7"/>
  <c r="E773" i="7" s="1"/>
  <c r="B773" i="7"/>
  <c r="D772" i="7"/>
  <c r="E772" i="7" s="1"/>
  <c r="C772" i="7"/>
  <c r="B772" i="7"/>
  <c r="C773" i="7" s="1"/>
  <c r="E771" i="7"/>
  <c r="D771" i="7"/>
  <c r="B771" i="7"/>
  <c r="D770" i="7"/>
  <c r="B770" i="7"/>
  <c r="C771" i="7" s="1"/>
  <c r="D769" i="7"/>
  <c r="E769" i="7" s="1"/>
  <c r="B769" i="7"/>
  <c r="D768" i="7"/>
  <c r="E768" i="7" s="1"/>
  <c r="C768" i="7"/>
  <c r="B768" i="7"/>
  <c r="C769" i="7" s="1"/>
  <c r="D767" i="7"/>
  <c r="E767" i="7" s="1"/>
  <c r="C767" i="7"/>
  <c r="B767" i="7"/>
  <c r="D766" i="7"/>
  <c r="C766" i="7"/>
  <c r="B766" i="7"/>
  <c r="D765" i="7"/>
  <c r="E765" i="7" s="1"/>
  <c r="B765" i="7"/>
  <c r="D764" i="7"/>
  <c r="B764" i="7"/>
  <c r="E763" i="7"/>
  <c r="D763" i="7"/>
  <c r="C763" i="7"/>
  <c r="B763" i="7"/>
  <c r="D762" i="7"/>
  <c r="B762" i="7"/>
  <c r="C762" i="7" s="1"/>
  <c r="E761" i="7"/>
  <c r="D761" i="7"/>
  <c r="C761" i="7"/>
  <c r="B761" i="7"/>
  <c r="D760" i="7"/>
  <c r="C760" i="7"/>
  <c r="B760" i="7"/>
  <c r="D759" i="7"/>
  <c r="C759" i="7"/>
  <c r="B759" i="7"/>
  <c r="D758" i="7"/>
  <c r="E758" i="7" s="1"/>
  <c r="C758" i="7"/>
  <c r="B758" i="7"/>
  <c r="D757" i="7"/>
  <c r="B757" i="7"/>
  <c r="D756" i="7"/>
  <c r="E756" i="7" s="1"/>
  <c r="C756" i="7"/>
  <c r="B756" i="7"/>
  <c r="C757" i="7" s="1"/>
  <c r="E755" i="7"/>
  <c r="D755" i="7"/>
  <c r="B755" i="7"/>
  <c r="D754" i="7"/>
  <c r="B754" i="7"/>
  <c r="C755" i="7" s="1"/>
  <c r="E753" i="7"/>
  <c r="D753" i="7"/>
  <c r="B753" i="7"/>
  <c r="D752" i="7"/>
  <c r="B752" i="7"/>
  <c r="C753" i="7" s="1"/>
  <c r="D751" i="7"/>
  <c r="E751" i="7" s="1"/>
  <c r="C751" i="7"/>
  <c r="B751" i="7"/>
  <c r="D750" i="7"/>
  <c r="B750" i="7"/>
  <c r="C750" i="7" s="1"/>
  <c r="D749" i="7"/>
  <c r="E749" i="7" s="1"/>
  <c r="C749" i="7"/>
  <c r="B749" i="7"/>
  <c r="D748" i="7"/>
  <c r="B748" i="7"/>
  <c r="C748" i="7" s="1"/>
  <c r="D747" i="7"/>
  <c r="C747" i="7"/>
  <c r="B747" i="7"/>
  <c r="D746" i="7"/>
  <c r="E746" i="7" s="1"/>
  <c r="B746" i="7"/>
  <c r="C746" i="7" s="1"/>
  <c r="E745" i="7"/>
  <c r="D745" i="7"/>
  <c r="C745" i="7"/>
  <c r="B745" i="7"/>
  <c r="D744" i="7"/>
  <c r="C744" i="7"/>
  <c r="B744" i="7"/>
  <c r="D743" i="7"/>
  <c r="E743" i="7" s="1"/>
  <c r="C743" i="7"/>
  <c r="B743" i="7"/>
  <c r="D742" i="7"/>
  <c r="E742" i="7" s="1"/>
  <c r="B742" i="7"/>
  <c r="C742" i="7" s="1"/>
  <c r="D741" i="7"/>
  <c r="E741" i="7" s="1"/>
  <c r="C741" i="7"/>
  <c r="B741" i="7"/>
  <c r="D740" i="7"/>
  <c r="E740" i="7" s="1"/>
  <c r="C740" i="7"/>
  <c r="B740" i="7"/>
  <c r="D739" i="7"/>
  <c r="B739" i="7"/>
  <c r="D738" i="7"/>
  <c r="B738" i="7"/>
  <c r="C739" i="7" s="1"/>
  <c r="E737" i="7"/>
  <c r="D737" i="7"/>
  <c r="B737" i="7"/>
  <c r="D736" i="7"/>
  <c r="C736" i="7"/>
  <c r="B736" i="7"/>
  <c r="C737" i="7" s="1"/>
  <c r="D735" i="7"/>
  <c r="E735" i="7" s="1"/>
  <c r="B735" i="7"/>
  <c r="D734" i="7"/>
  <c r="B734" i="7"/>
  <c r="E733" i="7"/>
  <c r="D733" i="7"/>
  <c r="C733" i="7"/>
  <c r="B733" i="7"/>
  <c r="D732" i="7"/>
  <c r="B732" i="7"/>
  <c r="C732" i="7" s="1"/>
  <c r="D731" i="7"/>
  <c r="C731" i="7"/>
  <c r="B731" i="7"/>
  <c r="D730" i="7"/>
  <c r="E730" i="7" s="1"/>
  <c r="B730" i="7"/>
  <c r="C730" i="7" s="1"/>
  <c r="D729" i="7"/>
  <c r="E729" i="7" s="1"/>
  <c r="C729" i="7"/>
  <c r="B729" i="7"/>
  <c r="D728" i="7"/>
  <c r="E728" i="7" s="1"/>
  <c r="C728" i="7"/>
  <c r="B728" i="7"/>
  <c r="D727" i="7"/>
  <c r="E727" i="7" s="1"/>
  <c r="B727" i="7"/>
  <c r="D726" i="7"/>
  <c r="E726" i="7" s="1"/>
  <c r="C726" i="7"/>
  <c r="B726" i="7"/>
  <c r="C727" i="7" s="1"/>
  <c r="D725" i="7"/>
  <c r="E725" i="7" s="1"/>
  <c r="C725" i="7"/>
  <c r="B725" i="7"/>
  <c r="D724" i="7"/>
  <c r="E724" i="7" s="1"/>
  <c r="B724" i="7"/>
  <c r="C724" i="7" s="1"/>
  <c r="E723" i="7"/>
  <c r="D723" i="7"/>
  <c r="B723" i="7"/>
  <c r="D722" i="7"/>
  <c r="E722" i="7" s="1"/>
  <c r="C722" i="7"/>
  <c r="B722" i="7"/>
  <c r="C723" i="7" s="1"/>
  <c r="D721" i="7"/>
  <c r="E721" i="7" s="1"/>
  <c r="B721" i="7"/>
  <c r="D720" i="7"/>
  <c r="E720" i="7" s="1"/>
  <c r="C720" i="7"/>
  <c r="B720" i="7"/>
  <c r="C721" i="7" s="1"/>
  <c r="E719" i="7"/>
  <c r="D719" i="7"/>
  <c r="B719" i="7"/>
  <c r="D718" i="7"/>
  <c r="B718" i="7"/>
  <c r="C719" i="7" s="1"/>
  <c r="E717" i="7"/>
  <c r="D717" i="7"/>
  <c r="B717" i="7"/>
  <c r="D716" i="7"/>
  <c r="B716" i="7"/>
  <c r="E715" i="7"/>
  <c r="D715" i="7"/>
  <c r="C715" i="7"/>
  <c r="B715" i="7"/>
  <c r="D714" i="7"/>
  <c r="B714" i="7"/>
  <c r="C714" i="7" s="1"/>
  <c r="D713" i="7"/>
  <c r="C713" i="7"/>
  <c r="B713" i="7"/>
  <c r="D712" i="7"/>
  <c r="E712" i="7" s="1"/>
  <c r="C712" i="7"/>
  <c r="B712" i="7"/>
  <c r="D711" i="7"/>
  <c r="B711" i="7"/>
  <c r="D710" i="7"/>
  <c r="E710" i="7" s="1"/>
  <c r="B710" i="7"/>
  <c r="C711" i="7" s="1"/>
  <c r="D709" i="7"/>
  <c r="E709" i="7" s="1"/>
  <c r="B709" i="7"/>
  <c r="D708" i="7"/>
  <c r="E708" i="7" s="1"/>
  <c r="B708" i="7"/>
  <c r="C709" i="7" s="1"/>
  <c r="E707" i="7"/>
  <c r="D707" i="7"/>
  <c r="B707" i="7"/>
  <c r="D706" i="7"/>
  <c r="B706" i="7"/>
  <c r="C707" i="7" s="1"/>
  <c r="E705" i="7"/>
  <c r="D705" i="7"/>
  <c r="B705" i="7"/>
  <c r="D704" i="7"/>
  <c r="E704" i="7" s="1"/>
  <c r="C704" i="7"/>
  <c r="B704" i="7"/>
  <c r="C705" i="7" s="1"/>
  <c r="D703" i="7"/>
  <c r="E703" i="7" s="1"/>
  <c r="C703" i="7"/>
  <c r="B703" i="7"/>
  <c r="D702" i="7"/>
  <c r="C702" i="7"/>
  <c r="B702" i="7"/>
  <c r="E701" i="7"/>
  <c r="D701" i="7"/>
  <c r="B701" i="7"/>
  <c r="D700" i="7"/>
  <c r="B700" i="7"/>
  <c r="E699" i="7"/>
  <c r="D699" i="7"/>
  <c r="C699" i="7"/>
  <c r="B699" i="7"/>
  <c r="D698" i="7"/>
  <c r="B698" i="7"/>
  <c r="C698" i="7" s="1"/>
  <c r="D697" i="7"/>
  <c r="E697" i="7" s="1"/>
  <c r="C697" i="7"/>
  <c r="B697" i="7"/>
  <c r="D696" i="7"/>
  <c r="C696" i="7"/>
  <c r="B696" i="7"/>
  <c r="D695" i="7"/>
  <c r="E695" i="7" s="1"/>
  <c r="C695" i="7"/>
  <c r="B695" i="7"/>
  <c r="D694" i="7"/>
  <c r="E694" i="7" s="1"/>
  <c r="C694" i="7"/>
  <c r="B694" i="7"/>
  <c r="D693" i="7"/>
  <c r="B693" i="7"/>
  <c r="D692" i="7"/>
  <c r="E692" i="7" s="1"/>
  <c r="B692" i="7"/>
  <c r="C693" i="7" s="1"/>
  <c r="E691" i="7"/>
  <c r="D691" i="7"/>
  <c r="B691" i="7"/>
  <c r="D690" i="7"/>
  <c r="C690" i="7"/>
  <c r="B690" i="7"/>
  <c r="C691" i="7" s="1"/>
  <c r="D689" i="7"/>
  <c r="E689" i="7" s="1"/>
  <c r="B689" i="7"/>
  <c r="D688" i="7"/>
  <c r="B688" i="7"/>
  <c r="C689" i="7" s="1"/>
  <c r="D687" i="7"/>
  <c r="E687" i="7" s="1"/>
  <c r="C687" i="7"/>
  <c r="B687" i="7"/>
  <c r="D686" i="7"/>
  <c r="C686" i="7"/>
  <c r="B686" i="7"/>
  <c r="D685" i="7"/>
  <c r="E685" i="7" s="1"/>
  <c r="C685" i="7"/>
  <c r="B685" i="7"/>
  <c r="D684" i="7"/>
  <c r="B684" i="7"/>
  <c r="C684" i="7" s="1"/>
  <c r="D683" i="7"/>
  <c r="C683" i="7"/>
  <c r="B683" i="7"/>
  <c r="D682" i="7"/>
  <c r="B682" i="7"/>
  <c r="C682" i="7" s="1"/>
  <c r="E681" i="7"/>
  <c r="D681" i="7"/>
  <c r="C681" i="7"/>
  <c r="B681" i="7"/>
  <c r="D680" i="7"/>
  <c r="C680" i="7"/>
  <c r="B680" i="7"/>
  <c r="D679" i="7"/>
  <c r="E679" i="7" s="1"/>
  <c r="C679" i="7"/>
  <c r="B679" i="7"/>
  <c r="D678" i="7"/>
  <c r="E678" i="7" s="1"/>
  <c r="B678" i="7"/>
  <c r="C678" i="7" s="1"/>
  <c r="D677" i="7"/>
  <c r="C677" i="7"/>
  <c r="B677" i="7"/>
  <c r="D676" i="7"/>
  <c r="E676" i="7" s="1"/>
  <c r="C676" i="7"/>
  <c r="B676" i="7"/>
  <c r="D675" i="7"/>
  <c r="C675" i="7"/>
  <c r="B675" i="7"/>
  <c r="D674" i="7"/>
  <c r="C674" i="7"/>
  <c r="B674" i="7"/>
  <c r="D673" i="7"/>
  <c r="B673" i="7"/>
  <c r="D672" i="7"/>
  <c r="C672" i="7"/>
  <c r="B672" i="7"/>
  <c r="C673" i="7" s="1"/>
  <c r="E671" i="7"/>
  <c r="D671" i="7"/>
  <c r="B671" i="7"/>
  <c r="D670" i="7"/>
  <c r="B670" i="7"/>
  <c r="C671" i="7" s="1"/>
  <c r="E669" i="7"/>
  <c r="D669" i="7"/>
  <c r="B669" i="7"/>
  <c r="D668" i="7"/>
  <c r="B668" i="7"/>
  <c r="E667" i="7"/>
  <c r="D667" i="7"/>
  <c r="C667" i="7"/>
  <c r="B667" i="7"/>
  <c r="D666" i="7"/>
  <c r="B666" i="7"/>
  <c r="C666" i="7" s="1"/>
  <c r="D665" i="7"/>
  <c r="C665" i="7"/>
  <c r="B665" i="7"/>
  <c r="D664" i="7"/>
  <c r="E664" i="7" s="1"/>
  <c r="C664" i="7"/>
  <c r="B664" i="7"/>
  <c r="D663" i="7"/>
  <c r="C663" i="7"/>
  <c r="B663" i="7"/>
  <c r="D662" i="7"/>
  <c r="E662" i="7" s="1"/>
  <c r="C662" i="7"/>
  <c r="B662" i="7"/>
  <c r="D661" i="7"/>
  <c r="B661" i="7"/>
  <c r="D660" i="7"/>
  <c r="E660" i="7" s="1"/>
  <c r="B660" i="7"/>
  <c r="C661" i="7" s="1"/>
  <c r="E659" i="7"/>
  <c r="D659" i="7"/>
  <c r="B659" i="7"/>
  <c r="D658" i="7"/>
  <c r="C658" i="7"/>
  <c r="B658" i="7"/>
  <c r="C659" i="7" s="1"/>
  <c r="D657" i="7"/>
  <c r="E657" i="7" s="1"/>
  <c r="B657" i="7"/>
  <c r="D656" i="7"/>
  <c r="B656" i="7"/>
  <c r="C657" i="7" s="1"/>
  <c r="D655" i="7"/>
  <c r="E655" i="7" s="1"/>
  <c r="C655" i="7"/>
  <c r="B655" i="7"/>
  <c r="D654" i="7"/>
  <c r="B654" i="7"/>
  <c r="D653" i="7"/>
  <c r="E653" i="7" s="1"/>
  <c r="B653" i="7"/>
  <c r="C654" i="7" s="1"/>
  <c r="D652" i="7"/>
  <c r="B652" i="7"/>
  <c r="D651" i="7"/>
  <c r="B651" i="7"/>
  <c r="C652" i="7" s="1"/>
  <c r="D650" i="7"/>
  <c r="E650" i="7" s="1"/>
  <c r="B650" i="7"/>
  <c r="C650" i="7" s="1"/>
  <c r="D649" i="7"/>
  <c r="B649" i="7"/>
  <c r="C649" i="7" s="1"/>
  <c r="D648" i="7"/>
  <c r="C648" i="7"/>
  <c r="B648" i="7"/>
  <c r="E647" i="7"/>
  <c r="D647" i="7"/>
  <c r="B647" i="7"/>
  <c r="D646" i="7"/>
  <c r="C646" i="7"/>
  <c r="B646" i="7"/>
  <c r="C647" i="7" s="1"/>
  <c r="D645" i="7"/>
  <c r="E645" i="7" s="1"/>
  <c r="C645" i="7"/>
  <c r="B645" i="7"/>
  <c r="D644" i="7"/>
  <c r="E644" i="7" s="1"/>
  <c r="B644" i="7"/>
  <c r="C644" i="7" s="1"/>
  <c r="E643" i="7"/>
  <c r="D643" i="7"/>
  <c r="B643" i="7"/>
  <c r="C643" i="7" s="1"/>
  <c r="D642" i="7"/>
  <c r="B642" i="7"/>
  <c r="D641" i="7"/>
  <c r="E641" i="7" s="1"/>
  <c r="B641" i="7"/>
  <c r="D640" i="7"/>
  <c r="E640" i="7" s="1"/>
  <c r="C640" i="7"/>
  <c r="B640" i="7"/>
  <c r="D639" i="7"/>
  <c r="B639" i="7"/>
  <c r="D638" i="7"/>
  <c r="C638" i="7"/>
  <c r="B638" i="7"/>
  <c r="C639" i="7" s="1"/>
  <c r="E637" i="7"/>
  <c r="D637" i="7"/>
  <c r="B637" i="7"/>
  <c r="D636" i="7"/>
  <c r="B636" i="7"/>
  <c r="C636" i="7" s="1"/>
  <c r="E635" i="7"/>
  <c r="D635" i="7"/>
  <c r="B635" i="7"/>
  <c r="D634" i="7"/>
  <c r="B634" i="7"/>
  <c r="D633" i="7"/>
  <c r="E633" i="7" s="1"/>
  <c r="C633" i="7"/>
  <c r="B633" i="7"/>
  <c r="D632" i="7"/>
  <c r="B632" i="7"/>
  <c r="E631" i="7"/>
  <c r="D631" i="7"/>
  <c r="B631" i="7"/>
  <c r="C632" i="7" s="1"/>
  <c r="D630" i="7"/>
  <c r="E630" i="7" s="1"/>
  <c r="B630" i="7"/>
  <c r="D629" i="7"/>
  <c r="B629" i="7"/>
  <c r="C630" i="7" s="1"/>
  <c r="D628" i="7"/>
  <c r="E628" i="7" s="1"/>
  <c r="B628" i="7"/>
  <c r="D627" i="7"/>
  <c r="B627" i="7"/>
  <c r="D626" i="7"/>
  <c r="B626" i="7"/>
  <c r="C626" i="7" s="1"/>
  <c r="E625" i="7"/>
  <c r="D625" i="7"/>
  <c r="B625" i="7"/>
  <c r="D624" i="7"/>
  <c r="C624" i="7"/>
  <c r="B624" i="7"/>
  <c r="D623" i="7"/>
  <c r="E623" i="7" s="1"/>
  <c r="B623" i="7"/>
  <c r="D622" i="7"/>
  <c r="B622" i="7"/>
  <c r="E621" i="7"/>
  <c r="D621" i="7"/>
  <c r="C621" i="7"/>
  <c r="B621" i="7"/>
  <c r="D620" i="7"/>
  <c r="B620" i="7"/>
  <c r="D619" i="7"/>
  <c r="E619" i="7" s="1"/>
  <c r="B619" i="7"/>
  <c r="C619" i="7" s="1"/>
  <c r="D618" i="7"/>
  <c r="E618" i="7" s="1"/>
  <c r="B618" i="7"/>
  <c r="D617" i="7"/>
  <c r="E617" i="7" s="1"/>
  <c r="B617" i="7"/>
  <c r="C617" i="7" s="1"/>
  <c r="D616" i="7"/>
  <c r="E616" i="7" s="1"/>
  <c r="C616" i="7"/>
  <c r="B616" i="7"/>
  <c r="D615" i="7"/>
  <c r="B615" i="7"/>
  <c r="C615" i="7" s="1"/>
  <c r="D614" i="7"/>
  <c r="B614" i="7"/>
  <c r="C614" i="7" s="1"/>
  <c r="D613" i="7"/>
  <c r="E613" i="7" s="1"/>
  <c r="B613" i="7"/>
  <c r="D612" i="7"/>
  <c r="E612" i="7" s="1"/>
  <c r="B612" i="7"/>
  <c r="C613" i="7" s="1"/>
  <c r="E611" i="7"/>
  <c r="D611" i="7"/>
  <c r="B611" i="7"/>
  <c r="D610" i="7"/>
  <c r="B610" i="7"/>
  <c r="E609" i="7"/>
  <c r="D609" i="7"/>
  <c r="B609" i="7"/>
  <c r="C609" i="7" s="1"/>
  <c r="D608" i="7"/>
  <c r="C608" i="7"/>
  <c r="B608" i="7"/>
  <c r="D607" i="7"/>
  <c r="C607" i="7"/>
  <c r="B607" i="7"/>
  <c r="D606" i="7"/>
  <c r="E606" i="7" s="1"/>
  <c r="B606" i="7"/>
  <c r="D605" i="7"/>
  <c r="E605" i="7" s="1"/>
  <c r="B605" i="7"/>
  <c r="C606" i="7" s="1"/>
  <c r="D604" i="7"/>
  <c r="B604" i="7"/>
  <c r="D603" i="7"/>
  <c r="B603" i="7"/>
  <c r="C603" i="7" s="1"/>
  <c r="D602" i="7"/>
  <c r="B602" i="7"/>
  <c r="C602" i="7" s="1"/>
  <c r="E601" i="7"/>
  <c r="D601" i="7"/>
  <c r="C601" i="7"/>
  <c r="B601" i="7"/>
  <c r="D600" i="7"/>
  <c r="C600" i="7"/>
  <c r="B600" i="7"/>
  <c r="D599" i="7"/>
  <c r="E599" i="7" s="1"/>
  <c r="B599" i="7"/>
  <c r="D598" i="7"/>
  <c r="B598" i="7"/>
  <c r="D597" i="7"/>
  <c r="E597" i="7" s="1"/>
  <c r="B597" i="7"/>
  <c r="C597" i="7" s="1"/>
  <c r="D596" i="7"/>
  <c r="E596" i="7" s="1"/>
  <c r="B596" i="7"/>
  <c r="D595" i="7"/>
  <c r="B595" i="7"/>
  <c r="C596" i="7" s="1"/>
  <c r="D594" i="7"/>
  <c r="B594" i="7"/>
  <c r="D593" i="7"/>
  <c r="E593" i="7" s="1"/>
  <c r="B593" i="7"/>
  <c r="D592" i="7"/>
  <c r="E592" i="7" s="1"/>
  <c r="B592" i="7"/>
  <c r="C592" i="7" s="1"/>
  <c r="D591" i="7"/>
  <c r="B591" i="7"/>
  <c r="C591" i="7" s="1"/>
  <c r="D590" i="7"/>
  <c r="C590" i="7"/>
  <c r="B590" i="7"/>
  <c r="E589" i="7"/>
  <c r="D589" i="7"/>
  <c r="B589" i="7"/>
  <c r="D588" i="7"/>
  <c r="B588" i="7"/>
  <c r="C589" i="7" s="1"/>
  <c r="E587" i="7"/>
  <c r="D587" i="7"/>
  <c r="B587" i="7"/>
  <c r="D586" i="7"/>
  <c r="B586" i="7"/>
  <c r="E585" i="7"/>
  <c r="D585" i="7"/>
  <c r="C585" i="7"/>
  <c r="B585" i="7"/>
  <c r="D584" i="7"/>
  <c r="B584" i="7"/>
  <c r="D583" i="7"/>
  <c r="E583" i="7" s="1"/>
  <c r="C583" i="7"/>
  <c r="B583" i="7"/>
  <c r="D582" i="7"/>
  <c r="B582" i="7"/>
  <c r="D581" i="7"/>
  <c r="B581" i="7"/>
  <c r="C582" i="7" s="1"/>
  <c r="D580" i="7"/>
  <c r="E580" i="7" s="1"/>
  <c r="B580" i="7"/>
  <c r="D579" i="7"/>
  <c r="E579" i="7" s="1"/>
  <c r="B579" i="7"/>
  <c r="C580" i="7" s="1"/>
  <c r="D578" i="7"/>
  <c r="E578" i="7" s="1"/>
  <c r="B578" i="7"/>
  <c r="D577" i="7"/>
  <c r="B577" i="7"/>
  <c r="D576" i="7"/>
  <c r="B576" i="7"/>
  <c r="C576" i="7" s="1"/>
  <c r="D575" i="7"/>
  <c r="B575" i="7"/>
  <c r="D574" i="7"/>
  <c r="C574" i="7"/>
  <c r="B574" i="7"/>
  <c r="E573" i="7"/>
  <c r="D573" i="7"/>
  <c r="B573" i="7"/>
  <c r="D572" i="7"/>
  <c r="B572" i="7"/>
  <c r="C573" i="7" s="1"/>
  <c r="E571" i="7"/>
  <c r="D571" i="7"/>
  <c r="B571" i="7"/>
  <c r="D570" i="7"/>
  <c r="B570" i="7"/>
  <c r="D569" i="7"/>
  <c r="E569" i="7" s="1"/>
  <c r="C569" i="7"/>
  <c r="B569" i="7"/>
  <c r="D568" i="7"/>
  <c r="B568" i="7"/>
  <c r="C568" i="7" s="1"/>
  <c r="D567" i="7"/>
  <c r="E567" i="7" s="1"/>
  <c r="B567" i="7"/>
  <c r="C567" i="7" s="1"/>
  <c r="D566" i="7"/>
  <c r="B566" i="7"/>
  <c r="D565" i="7"/>
  <c r="B565" i="7"/>
  <c r="C566" i="7" s="1"/>
  <c r="D564" i="7"/>
  <c r="E564" i="7" s="1"/>
  <c r="B564" i="7"/>
  <c r="D563" i="7"/>
  <c r="B563" i="7"/>
  <c r="C564" i="7" s="1"/>
  <c r="D562" i="7"/>
  <c r="E562" i="7" s="1"/>
  <c r="C562" i="7"/>
  <c r="B562" i="7"/>
  <c r="D561" i="7"/>
  <c r="B561" i="7"/>
  <c r="D560" i="7"/>
  <c r="B560" i="7"/>
  <c r="C560" i="7" s="1"/>
  <c r="D559" i="7"/>
  <c r="B559" i="7"/>
  <c r="C559" i="7" s="1"/>
  <c r="D558" i="7"/>
  <c r="C558" i="7"/>
  <c r="B558" i="7"/>
  <c r="E557" i="7"/>
  <c r="D557" i="7"/>
  <c r="B557" i="7"/>
  <c r="D556" i="7"/>
  <c r="B556" i="7"/>
  <c r="C557" i="7" s="1"/>
  <c r="E555" i="7"/>
  <c r="D555" i="7"/>
  <c r="B555" i="7"/>
  <c r="D554" i="7"/>
  <c r="B554" i="7"/>
  <c r="E553" i="7"/>
  <c r="D553" i="7"/>
  <c r="C553" i="7"/>
  <c r="B553" i="7"/>
  <c r="D552" i="7"/>
  <c r="B552" i="7"/>
  <c r="D551" i="7"/>
  <c r="E551" i="7" s="1"/>
  <c r="C551" i="7"/>
  <c r="B551" i="7"/>
  <c r="D550" i="7"/>
  <c r="B550" i="7"/>
  <c r="D549" i="7"/>
  <c r="B549" i="7"/>
  <c r="C550" i="7" s="1"/>
  <c r="D548" i="7"/>
  <c r="E548" i="7" s="1"/>
  <c r="B548" i="7"/>
  <c r="D547" i="7"/>
  <c r="E547" i="7" s="1"/>
  <c r="B547" i="7"/>
  <c r="D546" i="7"/>
  <c r="E546" i="7" s="1"/>
  <c r="B546" i="7"/>
  <c r="D545" i="7"/>
  <c r="B545" i="7"/>
  <c r="D544" i="7"/>
  <c r="B544" i="7"/>
  <c r="C544" i="7" s="1"/>
  <c r="D543" i="7"/>
  <c r="B543" i="7"/>
  <c r="D542" i="7"/>
  <c r="C542" i="7"/>
  <c r="B542" i="7"/>
  <c r="E541" i="7"/>
  <c r="D541" i="7"/>
  <c r="B541" i="7"/>
  <c r="D540" i="7"/>
  <c r="B540" i="7"/>
  <c r="C541" i="7" s="1"/>
  <c r="D539" i="7"/>
  <c r="E539" i="7" s="1"/>
  <c r="B539" i="7"/>
  <c r="D538" i="7"/>
  <c r="B538" i="7"/>
  <c r="D537" i="7"/>
  <c r="E537" i="7" s="1"/>
  <c r="C537" i="7"/>
  <c r="B537" i="7"/>
  <c r="D536" i="7"/>
  <c r="B536" i="7"/>
  <c r="C536" i="7" s="1"/>
  <c r="D535" i="7"/>
  <c r="E535" i="7" s="1"/>
  <c r="B535" i="7"/>
  <c r="C535" i="7" s="1"/>
  <c r="D534" i="7"/>
  <c r="B534" i="7"/>
  <c r="D533" i="7"/>
  <c r="B533" i="7"/>
  <c r="C534" i="7" s="1"/>
  <c r="D532" i="7"/>
  <c r="E532" i="7" s="1"/>
  <c r="B532" i="7"/>
  <c r="D531" i="7"/>
  <c r="B531" i="7"/>
  <c r="D530" i="7"/>
  <c r="E530" i="7" s="1"/>
  <c r="C530" i="7"/>
  <c r="B530" i="7"/>
  <c r="D529" i="7"/>
  <c r="B529" i="7"/>
  <c r="D528" i="7"/>
  <c r="B528" i="7"/>
  <c r="C528" i="7" s="1"/>
  <c r="D527" i="7"/>
  <c r="B527" i="7"/>
  <c r="C527" i="7" s="1"/>
  <c r="D526" i="7"/>
  <c r="C526" i="7"/>
  <c r="B526" i="7"/>
  <c r="E525" i="7"/>
  <c r="D525" i="7"/>
  <c r="B525" i="7"/>
  <c r="D524" i="7"/>
  <c r="B524" i="7"/>
  <c r="E523" i="7"/>
  <c r="D523" i="7"/>
  <c r="B523" i="7"/>
  <c r="D522" i="7"/>
  <c r="B522" i="7"/>
  <c r="E521" i="7"/>
  <c r="D521" i="7"/>
  <c r="C521" i="7"/>
  <c r="B521" i="7"/>
  <c r="D520" i="7"/>
  <c r="B520" i="7"/>
  <c r="D519" i="7"/>
  <c r="E519" i="7" s="1"/>
  <c r="C519" i="7"/>
  <c r="B519" i="7"/>
  <c r="D518" i="7"/>
  <c r="B518" i="7"/>
  <c r="D517" i="7"/>
  <c r="B517" i="7"/>
  <c r="C518" i="7" s="1"/>
  <c r="D516" i="7"/>
  <c r="E516" i="7" s="1"/>
  <c r="B516" i="7"/>
  <c r="D515" i="7"/>
  <c r="E515" i="7" s="1"/>
  <c r="C515" i="7"/>
  <c r="B515" i="7"/>
  <c r="C516" i="7" s="1"/>
  <c r="D514" i="7"/>
  <c r="E514" i="7" s="1"/>
  <c r="B514" i="7"/>
  <c r="D513" i="7"/>
  <c r="B513" i="7"/>
  <c r="D512" i="7"/>
  <c r="C512" i="7"/>
  <c r="B512" i="7"/>
  <c r="D511" i="7"/>
  <c r="B511" i="7"/>
  <c r="D510" i="7"/>
  <c r="B510" i="7"/>
  <c r="C510" i="7" s="1"/>
  <c r="E509" i="7"/>
  <c r="D509" i="7"/>
  <c r="B509" i="7"/>
  <c r="D508" i="7"/>
  <c r="B508" i="7"/>
  <c r="C509" i="7" s="1"/>
  <c r="D507" i="7"/>
  <c r="E507" i="7" s="1"/>
  <c r="B507" i="7"/>
  <c r="D506" i="7"/>
  <c r="B506" i="7"/>
  <c r="D505" i="7"/>
  <c r="E505" i="7" s="1"/>
  <c r="C505" i="7"/>
  <c r="B505" i="7"/>
  <c r="D504" i="7"/>
  <c r="B504" i="7"/>
  <c r="C504" i="7" s="1"/>
  <c r="E503" i="7"/>
  <c r="D503" i="7"/>
  <c r="B503" i="7"/>
  <c r="C503" i="7" s="1"/>
  <c r="D502" i="7"/>
  <c r="B502" i="7"/>
  <c r="D501" i="7"/>
  <c r="B501" i="7"/>
  <c r="D500" i="7"/>
  <c r="E500" i="7" s="1"/>
  <c r="B500" i="7"/>
  <c r="D499" i="7"/>
  <c r="B499" i="7"/>
  <c r="D498" i="7"/>
  <c r="E498" i="7" s="1"/>
  <c r="C498" i="7"/>
  <c r="B498" i="7"/>
  <c r="D497" i="7"/>
  <c r="B497" i="7"/>
  <c r="D496" i="7"/>
  <c r="B496" i="7"/>
  <c r="C496" i="7" s="1"/>
  <c r="D495" i="7"/>
  <c r="B495" i="7"/>
  <c r="C495" i="7" s="1"/>
  <c r="D494" i="7"/>
  <c r="C494" i="7"/>
  <c r="B494" i="7"/>
  <c r="E493" i="7"/>
  <c r="D493" i="7"/>
  <c r="B493" i="7"/>
  <c r="D492" i="7"/>
  <c r="B492" i="7"/>
  <c r="E491" i="7"/>
  <c r="D491" i="7"/>
  <c r="B491" i="7"/>
  <c r="D490" i="7"/>
  <c r="B490" i="7"/>
  <c r="E489" i="7"/>
  <c r="D489" i="7"/>
  <c r="C489" i="7"/>
  <c r="B489" i="7"/>
  <c r="D488" i="7"/>
  <c r="B488" i="7"/>
  <c r="D487" i="7"/>
  <c r="E487" i="7" s="1"/>
  <c r="C487" i="7"/>
  <c r="B487" i="7"/>
  <c r="D486" i="7"/>
  <c r="B486" i="7"/>
  <c r="D485" i="7"/>
  <c r="B485" i="7"/>
  <c r="C486" i="7" s="1"/>
  <c r="D484" i="7"/>
  <c r="E484" i="7" s="1"/>
  <c r="B484" i="7"/>
  <c r="D483" i="7"/>
  <c r="E483" i="7" s="1"/>
  <c r="B483" i="7"/>
  <c r="C484" i="7" s="1"/>
  <c r="D482" i="7"/>
  <c r="E482" i="7" s="1"/>
  <c r="B482" i="7"/>
  <c r="D481" i="7"/>
  <c r="B481" i="7"/>
  <c r="D480" i="7"/>
  <c r="C480" i="7"/>
  <c r="B480" i="7"/>
  <c r="D479" i="7"/>
  <c r="B479" i="7"/>
  <c r="D478" i="7"/>
  <c r="B478" i="7"/>
  <c r="C478" i="7" s="1"/>
  <c r="E477" i="7"/>
  <c r="D477" i="7"/>
  <c r="B477" i="7"/>
  <c r="D476" i="7"/>
  <c r="B476" i="7"/>
  <c r="C477" i="7" s="1"/>
  <c r="D475" i="7"/>
  <c r="E475" i="7" s="1"/>
  <c r="B475" i="7"/>
  <c r="D474" i="7"/>
  <c r="B474" i="7"/>
  <c r="D473" i="7"/>
  <c r="E473" i="7" s="1"/>
  <c r="C473" i="7"/>
  <c r="B473" i="7"/>
  <c r="D472" i="7"/>
  <c r="B472" i="7"/>
  <c r="C472" i="7" s="1"/>
  <c r="D471" i="7"/>
  <c r="E471" i="7" s="1"/>
  <c r="B471" i="7"/>
  <c r="C471" i="7" s="1"/>
  <c r="D470" i="7"/>
  <c r="B470" i="7"/>
  <c r="D469" i="7"/>
  <c r="E469" i="7" s="1"/>
  <c r="B469" i="7"/>
  <c r="D468" i="7"/>
  <c r="E468" i="7" s="1"/>
  <c r="B468" i="7"/>
  <c r="D467" i="7"/>
  <c r="B467" i="7"/>
  <c r="D466" i="7"/>
  <c r="E466" i="7" s="1"/>
  <c r="C466" i="7"/>
  <c r="B466" i="7"/>
  <c r="D465" i="7"/>
  <c r="B465" i="7"/>
  <c r="D464" i="7"/>
  <c r="B464" i="7"/>
  <c r="C464" i="7" s="1"/>
  <c r="D463" i="7"/>
  <c r="B463" i="7"/>
  <c r="C463" i="7" s="1"/>
  <c r="D462" i="7"/>
  <c r="C462" i="7"/>
  <c r="B462" i="7"/>
  <c r="E461" i="7"/>
  <c r="D461" i="7"/>
  <c r="B461" i="7"/>
  <c r="D460" i="7"/>
  <c r="B460" i="7"/>
  <c r="E459" i="7"/>
  <c r="D459" i="7"/>
  <c r="B459" i="7"/>
  <c r="D458" i="7"/>
  <c r="B458" i="7"/>
  <c r="E457" i="7"/>
  <c r="D457" i="7"/>
  <c r="C457" i="7"/>
  <c r="B457" i="7"/>
  <c r="D456" i="7"/>
  <c r="B456" i="7"/>
  <c r="D455" i="7"/>
  <c r="E455" i="7" s="1"/>
  <c r="C455" i="7"/>
  <c r="B455" i="7"/>
  <c r="D454" i="7"/>
  <c r="B454" i="7"/>
  <c r="D453" i="7"/>
  <c r="B453" i="7"/>
  <c r="C454" i="7" s="1"/>
  <c r="D452" i="7"/>
  <c r="E452" i="7" s="1"/>
  <c r="B452" i="7"/>
  <c r="D451" i="7"/>
  <c r="E451" i="7" s="1"/>
  <c r="B451" i="7"/>
  <c r="C452" i="7" s="1"/>
  <c r="D450" i="7"/>
  <c r="E450" i="7" s="1"/>
  <c r="B450" i="7"/>
  <c r="D449" i="7"/>
  <c r="B449" i="7"/>
  <c r="D448" i="7"/>
  <c r="B448" i="7"/>
  <c r="C448" i="7" s="1"/>
  <c r="D447" i="7"/>
  <c r="B447" i="7"/>
  <c r="D446" i="7"/>
  <c r="C446" i="7"/>
  <c r="B446" i="7"/>
  <c r="E445" i="7"/>
  <c r="D445" i="7"/>
  <c r="B445" i="7"/>
  <c r="D444" i="7"/>
  <c r="B444" i="7"/>
  <c r="C445" i="7" s="1"/>
  <c r="E443" i="7"/>
  <c r="D443" i="7"/>
  <c r="B443" i="7"/>
  <c r="D442" i="7"/>
  <c r="B442" i="7"/>
  <c r="D441" i="7"/>
  <c r="E441" i="7" s="1"/>
  <c r="C441" i="7"/>
  <c r="B441" i="7"/>
  <c r="D440" i="7"/>
  <c r="B440" i="7"/>
  <c r="C440" i="7" s="1"/>
  <c r="D439" i="7"/>
  <c r="E439" i="7" s="1"/>
  <c r="B439" i="7"/>
  <c r="C439" i="7" s="1"/>
  <c r="D438" i="7"/>
  <c r="B438" i="7"/>
  <c r="D437" i="7"/>
  <c r="E437" i="7" s="1"/>
  <c r="B437" i="7"/>
  <c r="D436" i="7"/>
  <c r="E436" i="7" s="1"/>
  <c r="B436" i="7"/>
  <c r="D435" i="7"/>
  <c r="B435" i="7"/>
  <c r="D434" i="7"/>
  <c r="E434" i="7" s="1"/>
  <c r="C434" i="7"/>
  <c r="B434" i="7"/>
  <c r="D433" i="7"/>
  <c r="B433" i="7"/>
  <c r="D432" i="7"/>
  <c r="B432" i="7"/>
  <c r="C432" i="7" s="1"/>
  <c r="D431" i="7"/>
  <c r="B431" i="7"/>
  <c r="C431" i="7" s="1"/>
  <c r="D430" i="7"/>
  <c r="C430" i="7"/>
  <c r="B430" i="7"/>
  <c r="E429" i="7"/>
  <c r="D429" i="7"/>
  <c r="B429" i="7"/>
  <c r="D428" i="7"/>
  <c r="B428" i="7"/>
  <c r="E427" i="7"/>
  <c r="D427" i="7"/>
  <c r="B427" i="7"/>
  <c r="D426" i="7"/>
  <c r="B426" i="7"/>
  <c r="E425" i="7"/>
  <c r="D425" i="7"/>
  <c r="C425" i="7"/>
  <c r="B425" i="7"/>
  <c r="D424" i="7"/>
  <c r="B424" i="7"/>
  <c r="D423" i="7"/>
  <c r="E423" i="7" s="1"/>
  <c r="C423" i="7"/>
  <c r="B423" i="7"/>
  <c r="D422" i="7"/>
  <c r="B422" i="7"/>
  <c r="D421" i="7"/>
  <c r="B421" i="7"/>
  <c r="C422" i="7" s="1"/>
  <c r="D420" i="7"/>
  <c r="E420" i="7" s="1"/>
  <c r="B420" i="7"/>
  <c r="D419" i="7"/>
  <c r="E419" i="7" s="1"/>
  <c r="C419" i="7"/>
  <c r="B419" i="7"/>
  <c r="C420" i="7" s="1"/>
  <c r="D418" i="7"/>
  <c r="E418" i="7" s="1"/>
  <c r="B418" i="7"/>
  <c r="D417" i="7"/>
  <c r="B417" i="7"/>
  <c r="D416" i="7"/>
  <c r="B416" i="7"/>
  <c r="C416" i="7" s="1"/>
  <c r="D415" i="7"/>
  <c r="B415" i="7"/>
  <c r="D414" i="7"/>
  <c r="B414" i="7"/>
  <c r="C414" i="7" s="1"/>
  <c r="E413" i="7"/>
  <c r="D413" i="7"/>
  <c r="B413" i="7"/>
  <c r="D412" i="7"/>
  <c r="B412" i="7"/>
  <c r="C413" i="7" s="1"/>
  <c r="E411" i="7"/>
  <c r="D411" i="7"/>
  <c r="B411" i="7"/>
  <c r="D410" i="7"/>
  <c r="B410" i="7"/>
  <c r="D409" i="7"/>
  <c r="E409" i="7" s="1"/>
  <c r="C409" i="7"/>
  <c r="B409" i="7"/>
  <c r="D408" i="7"/>
  <c r="B408" i="7"/>
  <c r="C408" i="7" s="1"/>
  <c r="E407" i="7"/>
  <c r="D407" i="7"/>
  <c r="B407" i="7"/>
  <c r="C407" i="7" s="1"/>
  <c r="D406" i="7"/>
  <c r="B406" i="7"/>
  <c r="D405" i="7"/>
  <c r="E405" i="7" s="1"/>
  <c r="B405" i="7"/>
  <c r="D404" i="7"/>
  <c r="E404" i="7" s="1"/>
  <c r="B404" i="7"/>
  <c r="D403" i="7"/>
  <c r="B403" i="7"/>
  <c r="D402" i="7"/>
  <c r="E402" i="7" s="1"/>
  <c r="C402" i="7"/>
  <c r="B402" i="7"/>
  <c r="D401" i="7"/>
  <c r="B401" i="7"/>
  <c r="D400" i="7"/>
  <c r="B400" i="7"/>
  <c r="C400" i="7" s="1"/>
  <c r="D399" i="7"/>
  <c r="B399" i="7"/>
  <c r="C399" i="7" s="1"/>
  <c r="D398" i="7"/>
  <c r="C398" i="7"/>
  <c r="B398" i="7"/>
  <c r="E397" i="7"/>
  <c r="D397" i="7"/>
  <c r="B397" i="7"/>
  <c r="D396" i="7"/>
  <c r="B396" i="7"/>
  <c r="E395" i="7"/>
  <c r="D395" i="7"/>
  <c r="B395" i="7"/>
  <c r="D394" i="7"/>
  <c r="B394" i="7"/>
  <c r="E393" i="7"/>
  <c r="D393" i="7"/>
  <c r="C393" i="7"/>
  <c r="B393" i="7"/>
  <c r="D392" i="7"/>
  <c r="B392" i="7"/>
  <c r="D391" i="7"/>
  <c r="E391" i="7" s="1"/>
  <c r="C391" i="7"/>
  <c r="B391" i="7"/>
  <c r="D390" i="7"/>
  <c r="B390" i="7"/>
  <c r="D389" i="7"/>
  <c r="B389" i="7"/>
  <c r="C390" i="7" s="1"/>
  <c r="D388" i="7"/>
  <c r="E388" i="7" s="1"/>
  <c r="B388" i="7"/>
  <c r="D387" i="7"/>
  <c r="E387" i="7" s="1"/>
  <c r="C387" i="7"/>
  <c r="B387" i="7"/>
  <c r="C388" i="7" s="1"/>
  <c r="D386" i="7"/>
  <c r="E386" i="7" s="1"/>
  <c r="B386" i="7"/>
  <c r="D385" i="7"/>
  <c r="B385" i="7"/>
  <c r="D384" i="7"/>
  <c r="C384" i="7"/>
  <c r="B384" i="7"/>
  <c r="D383" i="7"/>
  <c r="B383" i="7"/>
  <c r="D382" i="7"/>
  <c r="B382" i="7"/>
  <c r="C382" i="7" s="1"/>
  <c r="E381" i="7"/>
  <c r="D381" i="7"/>
  <c r="B381" i="7"/>
  <c r="D380" i="7"/>
  <c r="B380" i="7"/>
  <c r="C381" i="7" s="1"/>
  <c r="D379" i="7"/>
  <c r="E379" i="7" s="1"/>
  <c r="B379" i="7"/>
  <c r="D378" i="7"/>
  <c r="B378" i="7"/>
  <c r="D377" i="7"/>
  <c r="E377" i="7" s="1"/>
  <c r="C377" i="7"/>
  <c r="B377" i="7"/>
  <c r="D376" i="7"/>
  <c r="B376" i="7"/>
  <c r="C376" i="7" s="1"/>
  <c r="E375" i="7"/>
  <c r="D375" i="7"/>
  <c r="B375" i="7"/>
  <c r="C375" i="7" s="1"/>
  <c r="D374" i="7"/>
  <c r="B374" i="7"/>
  <c r="D373" i="7"/>
  <c r="B373" i="7"/>
  <c r="D372" i="7"/>
  <c r="E372" i="7" s="1"/>
  <c r="B372" i="7"/>
  <c r="D371" i="7"/>
  <c r="B371" i="7"/>
  <c r="D370" i="7"/>
  <c r="E370" i="7" s="1"/>
  <c r="C370" i="7"/>
  <c r="B370" i="7"/>
  <c r="D369" i="7"/>
  <c r="B369" i="7"/>
  <c r="D368" i="7"/>
  <c r="B368" i="7"/>
  <c r="C368" i="7" s="1"/>
  <c r="D367" i="7"/>
  <c r="B367" i="7"/>
  <c r="C367" i="7" s="1"/>
  <c r="D366" i="7"/>
  <c r="C366" i="7"/>
  <c r="B366" i="7"/>
  <c r="E365" i="7"/>
  <c r="D365" i="7"/>
  <c r="B365" i="7"/>
  <c r="D364" i="7"/>
  <c r="B364" i="7"/>
  <c r="E363" i="7"/>
  <c r="D363" i="7"/>
  <c r="B363" i="7"/>
  <c r="D362" i="7"/>
  <c r="B362" i="7"/>
  <c r="E361" i="7"/>
  <c r="D361" i="7"/>
  <c r="C361" i="7"/>
  <c r="B361" i="7"/>
  <c r="D360" i="7"/>
  <c r="B360" i="7"/>
  <c r="D359" i="7"/>
  <c r="E359" i="7" s="1"/>
  <c r="C359" i="7"/>
  <c r="B359" i="7"/>
  <c r="D358" i="7"/>
  <c r="B358" i="7"/>
  <c r="D357" i="7"/>
  <c r="B357" i="7"/>
  <c r="C358" i="7" s="1"/>
  <c r="D356" i="7"/>
  <c r="E356" i="7" s="1"/>
  <c r="B356" i="7"/>
  <c r="D355" i="7"/>
  <c r="E355" i="7" s="1"/>
  <c r="B355" i="7"/>
  <c r="C356" i="7" s="1"/>
  <c r="D354" i="7"/>
  <c r="E354" i="7" s="1"/>
  <c r="B354" i="7"/>
  <c r="D353" i="7"/>
  <c r="B353" i="7"/>
  <c r="D352" i="7"/>
  <c r="C352" i="7"/>
  <c r="B352" i="7"/>
  <c r="D351" i="7"/>
  <c r="B351" i="7"/>
  <c r="D350" i="7"/>
  <c r="C350" i="7"/>
  <c r="B350" i="7"/>
  <c r="E349" i="7"/>
  <c r="D349" i="7"/>
  <c r="B349" i="7"/>
  <c r="D348" i="7"/>
  <c r="B348" i="7"/>
  <c r="C349" i="7" s="1"/>
  <c r="D347" i="7"/>
  <c r="E347" i="7" s="1"/>
  <c r="B347" i="7"/>
  <c r="D346" i="7"/>
  <c r="B346" i="7"/>
  <c r="E345" i="7"/>
  <c r="D345" i="7"/>
  <c r="C345" i="7"/>
  <c r="B345" i="7"/>
  <c r="D344" i="7"/>
  <c r="B344" i="7"/>
  <c r="C344" i="7" s="1"/>
  <c r="D343" i="7"/>
  <c r="E343" i="7" s="1"/>
  <c r="C343" i="7"/>
  <c r="B343" i="7"/>
  <c r="D342" i="7"/>
  <c r="B342" i="7"/>
  <c r="D341" i="7"/>
  <c r="B341" i="7"/>
  <c r="D340" i="7"/>
  <c r="E340" i="7" s="1"/>
  <c r="B340" i="7"/>
  <c r="D339" i="7"/>
  <c r="B339" i="7"/>
  <c r="D338" i="7"/>
  <c r="E338" i="7" s="1"/>
  <c r="C338" i="7"/>
  <c r="B338" i="7"/>
  <c r="D337" i="7"/>
  <c r="B337" i="7"/>
  <c r="D336" i="7"/>
  <c r="B336" i="7"/>
  <c r="C336" i="7" s="1"/>
  <c r="D335" i="7"/>
  <c r="B335" i="7"/>
  <c r="C335" i="7" s="1"/>
  <c r="D334" i="7"/>
  <c r="C334" i="7"/>
  <c r="B334" i="7"/>
  <c r="E333" i="7"/>
  <c r="D333" i="7"/>
  <c r="B333" i="7"/>
  <c r="D332" i="7"/>
  <c r="B332" i="7"/>
  <c r="E331" i="7"/>
  <c r="D331" i="7"/>
  <c r="B331" i="7"/>
  <c r="D330" i="7"/>
  <c r="B330" i="7"/>
  <c r="E329" i="7"/>
  <c r="D329" i="7"/>
  <c r="C329" i="7"/>
  <c r="B329" i="7"/>
  <c r="D328" i="7"/>
  <c r="B328" i="7"/>
  <c r="D327" i="7"/>
  <c r="E327" i="7" s="1"/>
  <c r="C327" i="7"/>
  <c r="B327" i="7"/>
  <c r="D326" i="7"/>
  <c r="B326" i="7"/>
  <c r="D325" i="7"/>
  <c r="B325" i="7"/>
  <c r="C326" i="7" s="1"/>
  <c r="D324" i="7"/>
  <c r="E324" i="7" s="1"/>
  <c r="B324" i="7"/>
  <c r="D323" i="7"/>
  <c r="E323" i="7" s="1"/>
  <c r="B323" i="7"/>
  <c r="C324" i="7" s="1"/>
  <c r="D322" i="7"/>
  <c r="E322" i="7" s="1"/>
  <c r="B322" i="7"/>
  <c r="D321" i="7"/>
  <c r="B321" i="7"/>
  <c r="D320" i="7"/>
  <c r="C320" i="7"/>
  <c r="B320" i="7"/>
  <c r="D319" i="7"/>
  <c r="B319" i="7"/>
  <c r="D318" i="7"/>
  <c r="C318" i="7"/>
  <c r="B318" i="7"/>
  <c r="E317" i="7"/>
  <c r="D317" i="7"/>
  <c r="B317" i="7"/>
  <c r="D316" i="7"/>
  <c r="B316" i="7"/>
  <c r="C317" i="7" s="1"/>
  <c r="D315" i="7"/>
  <c r="E315" i="7" s="1"/>
  <c r="B315" i="7"/>
  <c r="D314" i="7"/>
  <c r="B314" i="7"/>
  <c r="E313" i="7"/>
  <c r="D313" i="7"/>
  <c r="C313" i="7"/>
  <c r="B313" i="7"/>
  <c r="D312" i="7"/>
  <c r="B312" i="7"/>
  <c r="C312" i="7" s="1"/>
  <c r="D311" i="7"/>
  <c r="E311" i="7" s="1"/>
  <c r="C311" i="7"/>
  <c r="B311" i="7"/>
  <c r="D310" i="7"/>
  <c r="B310" i="7"/>
  <c r="D309" i="7"/>
  <c r="B309" i="7"/>
  <c r="D308" i="7"/>
  <c r="E308" i="7" s="1"/>
  <c r="B308" i="7"/>
  <c r="D307" i="7"/>
  <c r="B307" i="7"/>
  <c r="D306" i="7"/>
  <c r="E306" i="7" s="1"/>
  <c r="C306" i="7"/>
  <c r="B306" i="7"/>
  <c r="D305" i="7"/>
  <c r="B305" i="7"/>
  <c r="D304" i="7"/>
  <c r="B304" i="7"/>
  <c r="C304" i="7" s="1"/>
  <c r="D303" i="7"/>
  <c r="B303" i="7"/>
  <c r="C303" i="7" s="1"/>
  <c r="D302" i="7"/>
  <c r="C302" i="7"/>
  <c r="B302" i="7"/>
  <c r="E301" i="7"/>
  <c r="D301" i="7"/>
  <c r="B301" i="7"/>
  <c r="D300" i="7"/>
  <c r="B300" i="7"/>
  <c r="E299" i="7"/>
  <c r="D299" i="7"/>
  <c r="B299" i="7"/>
  <c r="D298" i="7"/>
  <c r="B298" i="7"/>
  <c r="E297" i="7"/>
  <c r="D297" i="7"/>
  <c r="C297" i="7"/>
  <c r="B297" i="7"/>
  <c r="D296" i="7"/>
  <c r="B296" i="7"/>
  <c r="D295" i="7"/>
  <c r="E295" i="7" s="1"/>
  <c r="C295" i="7"/>
  <c r="B295" i="7"/>
  <c r="D294" i="7"/>
  <c r="B294" i="7"/>
  <c r="D293" i="7"/>
  <c r="B293" i="7"/>
  <c r="C294" i="7" s="1"/>
  <c r="D292" i="7"/>
  <c r="E292" i="7" s="1"/>
  <c r="B292" i="7"/>
  <c r="D291" i="7"/>
  <c r="E291" i="7" s="1"/>
  <c r="B291" i="7"/>
  <c r="C292" i="7" s="1"/>
  <c r="D290" i="7"/>
  <c r="E290" i="7" s="1"/>
  <c r="B290" i="7"/>
  <c r="D289" i="7"/>
  <c r="B289" i="7"/>
  <c r="D288" i="7"/>
  <c r="C288" i="7"/>
  <c r="B288" i="7"/>
  <c r="D287" i="7"/>
  <c r="B287" i="7"/>
  <c r="D286" i="7"/>
  <c r="C286" i="7"/>
  <c r="B286" i="7"/>
  <c r="E285" i="7"/>
  <c r="D285" i="7"/>
  <c r="B285" i="7"/>
  <c r="D284" i="7"/>
  <c r="B284" i="7"/>
  <c r="C285" i="7" s="1"/>
  <c r="D283" i="7"/>
  <c r="E283" i="7" s="1"/>
  <c r="B283" i="7"/>
  <c r="D282" i="7"/>
  <c r="B282" i="7"/>
  <c r="E281" i="7"/>
  <c r="D281" i="7"/>
  <c r="C281" i="7"/>
  <c r="B281" i="7"/>
  <c r="D280" i="7"/>
  <c r="B280" i="7"/>
  <c r="C280" i="7" s="1"/>
  <c r="D279" i="7"/>
  <c r="E279" i="7" s="1"/>
  <c r="C279" i="7"/>
  <c r="B279" i="7"/>
  <c r="D278" i="7"/>
  <c r="B278" i="7"/>
  <c r="D277" i="7"/>
  <c r="B277" i="7"/>
  <c r="D276" i="7"/>
  <c r="E276" i="7" s="1"/>
  <c r="B276" i="7"/>
  <c r="D275" i="7"/>
  <c r="C275" i="7"/>
  <c r="B275" i="7"/>
  <c r="C276" i="7" s="1"/>
  <c r="D274" i="7"/>
  <c r="E274" i="7" s="1"/>
  <c r="C274" i="7"/>
  <c r="B274" i="7"/>
  <c r="D273" i="7"/>
  <c r="B273" i="7"/>
  <c r="D272" i="7"/>
  <c r="C272" i="7"/>
  <c r="B272" i="7"/>
  <c r="E271" i="7"/>
  <c r="D271" i="7"/>
  <c r="B271" i="7"/>
  <c r="C271" i="7" s="1"/>
  <c r="D270" i="7"/>
  <c r="B270" i="7"/>
  <c r="C270" i="7" s="1"/>
  <c r="D269" i="7"/>
  <c r="E269" i="7" s="1"/>
  <c r="B269" i="7"/>
  <c r="D268" i="7"/>
  <c r="C268" i="7"/>
  <c r="B268" i="7"/>
  <c r="C269" i="7" s="1"/>
  <c r="D267" i="7"/>
  <c r="E267" i="7" s="1"/>
  <c r="C267" i="7"/>
  <c r="B267" i="7"/>
  <c r="D266" i="7"/>
  <c r="B266" i="7"/>
  <c r="C266" i="7" s="1"/>
  <c r="E265" i="7"/>
  <c r="D265" i="7"/>
  <c r="B265" i="7"/>
  <c r="C265" i="7" s="1"/>
  <c r="D264" i="7"/>
  <c r="B264" i="7"/>
  <c r="C264" i="7" s="1"/>
  <c r="D263" i="7"/>
  <c r="E263" i="7" s="1"/>
  <c r="C263" i="7"/>
  <c r="B263" i="7"/>
  <c r="D262" i="7"/>
  <c r="B262" i="7"/>
  <c r="D261" i="7"/>
  <c r="C261" i="7"/>
  <c r="B261" i="7"/>
  <c r="C262" i="7" s="1"/>
  <c r="D260" i="7"/>
  <c r="E260" i="7" s="1"/>
  <c r="C260" i="7"/>
  <c r="B260" i="7"/>
  <c r="D259" i="7"/>
  <c r="B259" i="7"/>
  <c r="D258" i="7"/>
  <c r="E258" i="7" s="1"/>
  <c r="B258" i="7"/>
  <c r="C258" i="7" s="1"/>
  <c r="D257" i="7"/>
  <c r="B257" i="7"/>
  <c r="D256" i="7"/>
  <c r="B256" i="7"/>
  <c r="C256" i="7" s="1"/>
  <c r="D255" i="7"/>
  <c r="B255" i="7"/>
  <c r="C255" i="7" s="1"/>
  <c r="D254" i="7"/>
  <c r="E254" i="7" s="1"/>
  <c r="C254" i="7"/>
  <c r="B254" i="7"/>
  <c r="D253" i="7"/>
  <c r="E253" i="7" s="1"/>
  <c r="B253" i="7"/>
  <c r="D252" i="7"/>
  <c r="C252" i="7"/>
  <c r="B252" i="7"/>
  <c r="C253" i="7" s="1"/>
  <c r="E251" i="7"/>
  <c r="D251" i="7"/>
  <c r="B251" i="7"/>
  <c r="D250" i="7"/>
  <c r="B250" i="7"/>
  <c r="C250" i="7" s="1"/>
  <c r="D249" i="7"/>
  <c r="E249" i="7" s="1"/>
  <c r="C249" i="7"/>
  <c r="B249" i="7"/>
  <c r="D248" i="7"/>
  <c r="B248" i="7"/>
  <c r="C248" i="7" s="1"/>
  <c r="E247" i="7"/>
  <c r="D247" i="7"/>
  <c r="B247" i="7"/>
  <c r="C247" i="7" s="1"/>
  <c r="D246" i="7"/>
  <c r="B246" i="7"/>
  <c r="D245" i="7"/>
  <c r="B245" i="7"/>
  <c r="C246" i="7" s="1"/>
  <c r="D244" i="7"/>
  <c r="E244" i="7" s="1"/>
  <c r="C244" i="7"/>
  <c r="B244" i="7"/>
  <c r="D243" i="7"/>
  <c r="B243" i="7"/>
  <c r="C243" i="7" s="1"/>
  <c r="D242" i="7"/>
  <c r="E242" i="7" s="1"/>
  <c r="C242" i="7"/>
  <c r="B242" i="7"/>
  <c r="D241" i="7"/>
  <c r="B241" i="7"/>
  <c r="C241" i="7" s="1"/>
  <c r="D240" i="7"/>
  <c r="B240" i="7"/>
  <c r="C240" i="7" s="1"/>
  <c r="D239" i="7"/>
  <c r="B239" i="7"/>
  <c r="C239" i="7" s="1"/>
  <c r="D238" i="7"/>
  <c r="E238" i="7" s="1"/>
  <c r="C238" i="7"/>
  <c r="B238" i="7"/>
  <c r="D237" i="7"/>
  <c r="E237" i="7" s="1"/>
  <c r="B237" i="7"/>
  <c r="D236" i="7"/>
  <c r="B236" i="7"/>
  <c r="E235" i="7"/>
  <c r="D235" i="7"/>
  <c r="B235" i="7"/>
  <c r="D234" i="7"/>
  <c r="B234" i="7"/>
  <c r="D233" i="7"/>
  <c r="E233" i="7" s="1"/>
  <c r="C233" i="7"/>
  <c r="B233" i="7"/>
  <c r="D232" i="7"/>
  <c r="B232" i="7"/>
  <c r="E231" i="7"/>
  <c r="D231" i="7"/>
  <c r="B231" i="7"/>
  <c r="C231" i="7" s="1"/>
  <c r="D230" i="7"/>
  <c r="E230" i="7" s="1"/>
  <c r="B230" i="7"/>
  <c r="D229" i="7"/>
  <c r="B229" i="7"/>
  <c r="D228" i="7"/>
  <c r="E228" i="7" s="1"/>
  <c r="C228" i="7"/>
  <c r="B228" i="7"/>
  <c r="D227" i="7"/>
  <c r="E227" i="7" s="1"/>
  <c r="B227" i="7"/>
  <c r="D226" i="7"/>
  <c r="E226" i="7" s="1"/>
  <c r="B226" i="7"/>
  <c r="C227" i="7" s="1"/>
  <c r="D225" i="7"/>
  <c r="B225" i="7"/>
  <c r="C225" i="7" s="1"/>
  <c r="D224" i="7"/>
  <c r="C224" i="7"/>
  <c r="B224" i="7"/>
  <c r="D223" i="7"/>
  <c r="B223" i="7"/>
  <c r="C223" i="7" s="1"/>
  <c r="D222" i="7"/>
  <c r="E222" i="7" s="1"/>
  <c r="C222" i="7"/>
  <c r="B222" i="7"/>
  <c r="E221" i="7"/>
  <c r="D221" i="7"/>
  <c r="B221" i="7"/>
  <c r="D220" i="7"/>
  <c r="C220" i="7"/>
  <c r="B220" i="7"/>
  <c r="C221" i="7" s="1"/>
  <c r="E219" i="7"/>
  <c r="D219" i="7"/>
  <c r="B219" i="7"/>
  <c r="D218" i="7"/>
  <c r="B218" i="7"/>
  <c r="E217" i="7"/>
  <c r="D217" i="7"/>
  <c r="B217" i="7"/>
  <c r="C217" i="7" s="1"/>
  <c r="D216" i="7"/>
  <c r="B216" i="7"/>
  <c r="D215" i="7"/>
  <c r="C215" i="7"/>
  <c r="B215" i="7"/>
  <c r="D214" i="7"/>
  <c r="E214" i="7" s="1"/>
  <c r="B214" i="7"/>
  <c r="D213" i="7"/>
  <c r="B213" i="7"/>
  <c r="C214" i="7" s="1"/>
  <c r="D212" i="7"/>
  <c r="E212" i="7" s="1"/>
  <c r="C212" i="7"/>
  <c r="B212" i="7"/>
  <c r="D211" i="7"/>
  <c r="E211" i="7" s="1"/>
  <c r="C211" i="7"/>
  <c r="B211" i="7"/>
  <c r="D210" i="7"/>
  <c r="E210" i="7" s="1"/>
  <c r="B210" i="7"/>
  <c r="C210" i="7" s="1"/>
  <c r="D209" i="7"/>
  <c r="B209" i="7"/>
  <c r="C209" i="7" s="1"/>
  <c r="D208" i="7"/>
  <c r="C208" i="7"/>
  <c r="B208" i="7"/>
  <c r="D207" i="7"/>
  <c r="B207" i="7"/>
  <c r="C207" i="7" s="1"/>
  <c r="D206" i="7"/>
  <c r="B206" i="7"/>
  <c r="C206" i="7" s="1"/>
  <c r="E205" i="7"/>
  <c r="D205" i="7"/>
  <c r="B205" i="7"/>
  <c r="D204" i="7"/>
  <c r="B204" i="7"/>
  <c r="C205" i="7" s="1"/>
  <c r="D203" i="7"/>
  <c r="E203" i="7" s="1"/>
  <c r="C203" i="7"/>
  <c r="B203" i="7"/>
  <c r="D202" i="7"/>
  <c r="B202" i="7"/>
  <c r="D201" i="7"/>
  <c r="E201" i="7" s="1"/>
  <c r="B201" i="7"/>
  <c r="C201" i="7" s="1"/>
  <c r="D200" i="7"/>
  <c r="B200" i="7"/>
  <c r="D199" i="7"/>
  <c r="E199" i="7" s="1"/>
  <c r="B199" i="7"/>
  <c r="C199" i="7" s="1"/>
  <c r="D198" i="7"/>
  <c r="B198" i="7"/>
  <c r="D197" i="7"/>
  <c r="E197" i="7" s="1"/>
  <c r="C197" i="7"/>
  <c r="B197" i="7"/>
  <c r="C198" i="7" s="1"/>
  <c r="D196" i="7"/>
  <c r="E196" i="7" s="1"/>
  <c r="B196" i="7"/>
  <c r="D195" i="7"/>
  <c r="E195" i="7" s="1"/>
  <c r="B195" i="7"/>
  <c r="C196" i="7" s="1"/>
  <c r="D194" i="7"/>
  <c r="E194" i="7" s="1"/>
  <c r="B194" i="7"/>
  <c r="D193" i="7"/>
  <c r="B193" i="7"/>
  <c r="D192" i="7"/>
  <c r="B192" i="7"/>
  <c r="C192" i="7" s="1"/>
  <c r="D191" i="7"/>
  <c r="B191" i="7"/>
  <c r="D190" i="7"/>
  <c r="C190" i="7"/>
  <c r="B190" i="7"/>
  <c r="D189" i="7"/>
  <c r="E189" i="7" s="1"/>
  <c r="B189" i="7"/>
  <c r="D188" i="7"/>
  <c r="B188" i="7"/>
  <c r="E187" i="7"/>
  <c r="D187" i="7"/>
  <c r="C187" i="7"/>
  <c r="B187" i="7"/>
  <c r="D186" i="7"/>
  <c r="B186" i="7"/>
  <c r="D185" i="7"/>
  <c r="E185" i="7" s="1"/>
  <c r="C185" i="7"/>
  <c r="B185" i="7"/>
  <c r="D184" i="7"/>
  <c r="B184" i="7"/>
  <c r="D183" i="7"/>
  <c r="B183" i="7"/>
  <c r="C183" i="7" s="1"/>
  <c r="D182" i="7"/>
  <c r="B182" i="7"/>
  <c r="D181" i="7"/>
  <c r="E181" i="7" s="1"/>
  <c r="C181" i="7"/>
  <c r="B181" i="7"/>
  <c r="C182" i="7" s="1"/>
  <c r="D180" i="7"/>
  <c r="E180" i="7" s="1"/>
  <c r="B180" i="7"/>
  <c r="D179" i="7"/>
  <c r="B179" i="7"/>
  <c r="D178" i="7"/>
  <c r="E178" i="7" s="1"/>
  <c r="B178" i="7"/>
  <c r="D177" i="7"/>
  <c r="B177" i="7"/>
  <c r="D176" i="7"/>
  <c r="B176" i="7"/>
  <c r="C176" i="7" s="1"/>
  <c r="E175" i="7"/>
  <c r="D175" i="7"/>
  <c r="B175" i="7"/>
  <c r="D174" i="7"/>
  <c r="B174" i="7"/>
  <c r="C174" i="7" s="1"/>
  <c r="D173" i="7"/>
  <c r="E173" i="7" s="1"/>
  <c r="B173" i="7"/>
  <c r="D172" i="7"/>
  <c r="B172" i="7"/>
  <c r="C173" i="7" s="1"/>
  <c r="E171" i="7"/>
  <c r="D171" i="7"/>
  <c r="C171" i="7"/>
  <c r="B171" i="7"/>
  <c r="D170" i="7"/>
  <c r="B170" i="7"/>
  <c r="D169" i="7"/>
  <c r="E169" i="7" s="1"/>
  <c r="C169" i="7"/>
  <c r="B169" i="7"/>
  <c r="C170" i="7" s="1"/>
  <c r="D168" i="7"/>
  <c r="B168" i="7"/>
  <c r="D167" i="7"/>
  <c r="B167" i="7"/>
  <c r="C167" i="7" s="1"/>
  <c r="D166" i="7"/>
  <c r="B166" i="7"/>
  <c r="D165" i="7"/>
  <c r="E165" i="7" s="1"/>
  <c r="C165" i="7"/>
  <c r="B165" i="7"/>
  <c r="C166" i="7" s="1"/>
  <c r="D164" i="7"/>
  <c r="B164" i="7"/>
  <c r="D163" i="7"/>
  <c r="E163" i="7" s="1"/>
  <c r="B163" i="7"/>
  <c r="C164" i="7" s="1"/>
  <c r="D162" i="7"/>
  <c r="E162" i="7" s="1"/>
  <c r="B162" i="7"/>
  <c r="C162" i="7" s="1"/>
  <c r="D161" i="7"/>
  <c r="C161" i="7"/>
  <c r="B161" i="7"/>
  <c r="D160" i="7"/>
  <c r="C160" i="7"/>
  <c r="B160" i="7"/>
  <c r="D159" i="7"/>
  <c r="B159" i="7"/>
  <c r="D158" i="7"/>
  <c r="B158" i="7"/>
  <c r="C158" i="7" s="1"/>
  <c r="E157" i="7"/>
  <c r="D157" i="7"/>
  <c r="B157" i="7"/>
  <c r="D156" i="7"/>
  <c r="C156" i="7"/>
  <c r="B156" i="7"/>
  <c r="C157" i="7" s="1"/>
  <c r="D155" i="7"/>
  <c r="E155" i="7" s="1"/>
  <c r="B155" i="7"/>
  <c r="D154" i="7"/>
  <c r="B154" i="7"/>
  <c r="C154" i="7" s="1"/>
  <c r="E153" i="7"/>
  <c r="D153" i="7"/>
  <c r="B153" i="7"/>
  <c r="C153" i="7" s="1"/>
  <c r="D152" i="7"/>
  <c r="B152" i="7"/>
  <c r="D151" i="7"/>
  <c r="E152" i="7" s="1"/>
  <c r="B151" i="7"/>
  <c r="C151" i="7" s="1"/>
  <c r="D150" i="7"/>
  <c r="B150" i="7"/>
  <c r="D149" i="7"/>
  <c r="C149" i="7"/>
  <c r="B149" i="7"/>
  <c r="C150" i="7" s="1"/>
  <c r="D148" i="7"/>
  <c r="C148" i="7"/>
  <c r="B148" i="7"/>
  <c r="D147" i="7"/>
  <c r="E148" i="7" s="1"/>
  <c r="B147" i="7"/>
  <c r="C147" i="7" s="1"/>
  <c r="D146" i="7"/>
  <c r="B146" i="7"/>
  <c r="C146" i="7" s="1"/>
  <c r="E145" i="7"/>
  <c r="D145" i="7"/>
  <c r="E146" i="7" s="1"/>
  <c r="B145" i="7"/>
  <c r="D144" i="7"/>
  <c r="B144" i="7"/>
  <c r="C144" i="7" s="1"/>
  <c r="E143" i="7"/>
  <c r="D143" i="7"/>
  <c r="E144" i="7" s="1"/>
  <c r="B143" i="7"/>
  <c r="C143" i="7" s="1"/>
  <c r="D142" i="7"/>
  <c r="C142" i="7"/>
  <c r="B142" i="7"/>
  <c r="D141" i="7"/>
  <c r="E142" i="7" s="1"/>
  <c r="B141" i="7"/>
  <c r="D140" i="7"/>
  <c r="B140" i="7"/>
  <c r="C141" i="7" s="1"/>
  <c r="D139" i="7"/>
  <c r="C139" i="7"/>
  <c r="B139" i="7"/>
  <c r="D138" i="7"/>
  <c r="B138" i="7"/>
  <c r="E137" i="7"/>
  <c r="D137" i="7"/>
  <c r="E138" i="7" s="1"/>
  <c r="B137" i="7"/>
  <c r="C137" i="7" s="1"/>
  <c r="D136" i="7"/>
  <c r="B136" i="7"/>
  <c r="E135" i="7"/>
  <c r="D135" i="7"/>
  <c r="E136" i="7" s="1"/>
  <c r="B135" i="7"/>
  <c r="C135" i="7" s="1"/>
  <c r="D134" i="7"/>
  <c r="B134" i="7"/>
  <c r="D133" i="7"/>
  <c r="C133" i="7"/>
  <c r="B133" i="7"/>
  <c r="C134" i="7" s="1"/>
  <c r="D132" i="7"/>
  <c r="B132" i="7"/>
  <c r="D131" i="7"/>
  <c r="E132" i="7" s="1"/>
  <c r="B131" i="7"/>
  <c r="C132" i="7" s="1"/>
  <c r="D130" i="7"/>
  <c r="B130" i="7"/>
  <c r="C130" i="7" s="1"/>
  <c r="E129" i="7"/>
  <c r="D129" i="7"/>
  <c r="E130" i="7" s="1"/>
  <c r="B129" i="7"/>
  <c r="D128" i="7"/>
  <c r="B128" i="7"/>
  <c r="C128" i="7" s="1"/>
  <c r="E127" i="7"/>
  <c r="D127" i="7"/>
  <c r="E128" i="7" s="1"/>
  <c r="B127" i="7"/>
  <c r="C127" i="7" s="1"/>
  <c r="D126" i="7"/>
  <c r="C126" i="7"/>
  <c r="B126" i="7"/>
  <c r="D125" i="7"/>
  <c r="E126" i="7" s="1"/>
  <c r="B125" i="7"/>
  <c r="D124" i="7"/>
  <c r="C124" i="7"/>
  <c r="B124" i="7"/>
  <c r="C125" i="7" s="1"/>
  <c r="D123" i="7"/>
  <c r="C123" i="7"/>
  <c r="B123" i="7"/>
  <c r="D122" i="7"/>
  <c r="B122" i="7"/>
  <c r="E121" i="7"/>
  <c r="D121" i="7"/>
  <c r="E122" i="7" s="1"/>
  <c r="B121" i="7"/>
  <c r="C121" i="7" s="1"/>
  <c r="D120" i="7"/>
  <c r="B120" i="7"/>
  <c r="C120" i="7" s="1"/>
  <c r="E119" i="7"/>
  <c r="D119" i="7"/>
  <c r="E120" i="7" s="1"/>
  <c r="B119" i="7"/>
  <c r="C119" i="7" s="1"/>
  <c r="D118" i="7"/>
  <c r="B118" i="7"/>
  <c r="D117" i="7"/>
  <c r="C117" i="7"/>
  <c r="B117" i="7"/>
  <c r="C118" i="7" s="1"/>
  <c r="D116" i="7"/>
  <c r="B116" i="7"/>
  <c r="D115" i="7"/>
  <c r="E116" i="7" s="1"/>
  <c r="B115" i="7"/>
  <c r="C115" i="7" s="1"/>
  <c r="D114" i="7"/>
  <c r="E114" i="7" s="1"/>
  <c r="B114" i="7"/>
  <c r="C114" i="7" s="1"/>
  <c r="E113" i="7"/>
  <c r="D113" i="7"/>
  <c r="B113" i="7"/>
  <c r="D112" i="7"/>
  <c r="E112" i="7" s="1"/>
  <c r="B112" i="7"/>
  <c r="C112" i="7" s="1"/>
  <c r="E111" i="7"/>
  <c r="D111" i="7"/>
  <c r="B111" i="7"/>
  <c r="C111" i="7" s="1"/>
  <c r="D110" i="7"/>
  <c r="C110" i="7"/>
  <c r="B110" i="7"/>
  <c r="D109" i="7"/>
  <c r="E109" i="7" s="1"/>
  <c r="B109" i="7"/>
  <c r="D108" i="7"/>
  <c r="C108" i="7"/>
  <c r="B108" i="7"/>
  <c r="C109" i="7" s="1"/>
  <c r="D107" i="7"/>
  <c r="E107" i="7" s="1"/>
  <c r="B107" i="7"/>
  <c r="D106" i="7"/>
  <c r="B106" i="7"/>
  <c r="C106" i="7" s="1"/>
  <c r="E105" i="7"/>
  <c r="D105" i="7"/>
  <c r="C105" i="7"/>
  <c r="B105" i="7"/>
  <c r="D104" i="7"/>
  <c r="B104" i="7"/>
  <c r="D103" i="7"/>
  <c r="B103" i="7"/>
  <c r="C103" i="7" s="1"/>
  <c r="D102" i="7"/>
  <c r="E102" i="7" s="1"/>
  <c r="B102" i="7"/>
  <c r="D101" i="7"/>
  <c r="C101" i="7"/>
  <c r="B101" i="7"/>
  <c r="C102" i="7" s="1"/>
  <c r="D100" i="7"/>
  <c r="E100" i="7" s="1"/>
  <c r="C100" i="7"/>
  <c r="B100" i="7"/>
  <c r="D99" i="7"/>
  <c r="E99" i="7" s="1"/>
  <c r="B99" i="7"/>
  <c r="D98" i="7"/>
  <c r="E98" i="7" s="1"/>
  <c r="B98" i="7"/>
  <c r="C98" i="7" s="1"/>
  <c r="D97" i="7"/>
  <c r="B97" i="7"/>
  <c r="C97" i="7" s="1"/>
  <c r="D96" i="7"/>
  <c r="B96" i="7"/>
  <c r="C96" i="7" s="1"/>
  <c r="D95" i="7"/>
  <c r="B95" i="7"/>
  <c r="C95" i="7" s="1"/>
  <c r="D94" i="7"/>
  <c r="E94" i="7" s="1"/>
  <c r="C94" i="7"/>
  <c r="B94" i="7"/>
  <c r="E93" i="7"/>
  <c r="D93" i="7"/>
  <c r="B93" i="7"/>
  <c r="D92" i="7"/>
  <c r="B92" i="7"/>
  <c r="C93" i="7" s="1"/>
  <c r="D91" i="7"/>
  <c r="E91" i="7" s="1"/>
  <c r="C91" i="7"/>
  <c r="B91" i="7"/>
  <c r="D90" i="7"/>
  <c r="B90" i="7"/>
  <c r="E89" i="7"/>
  <c r="D89" i="7"/>
  <c r="C89" i="7"/>
  <c r="B89" i="7"/>
  <c r="D88" i="7"/>
  <c r="B88" i="7"/>
  <c r="C88" i="7" s="1"/>
  <c r="E87" i="7"/>
  <c r="D87" i="7"/>
  <c r="B87" i="7"/>
  <c r="C87" i="7" s="1"/>
  <c r="D86" i="7"/>
  <c r="B86" i="7"/>
  <c r="D85" i="7"/>
  <c r="E85" i="7" s="1"/>
  <c r="C85" i="7"/>
  <c r="B85" i="7"/>
  <c r="C86" i="7" s="1"/>
  <c r="D84" i="7"/>
  <c r="E84" i="7" s="1"/>
  <c r="B84" i="7"/>
  <c r="D83" i="7"/>
  <c r="E83" i="7" s="1"/>
  <c r="C83" i="7"/>
  <c r="B83" i="7"/>
  <c r="C84" i="7" s="1"/>
  <c r="D82" i="7"/>
  <c r="E82" i="7" s="1"/>
  <c r="C82" i="7"/>
  <c r="B82" i="7"/>
  <c r="D81" i="7"/>
  <c r="B81" i="7"/>
  <c r="D80" i="7"/>
  <c r="B80" i="7"/>
  <c r="C80" i="7" s="1"/>
  <c r="E79" i="7"/>
  <c r="D79" i="7"/>
  <c r="B79" i="7"/>
  <c r="C79" i="7" s="1"/>
  <c r="D78" i="7"/>
  <c r="C78" i="7"/>
  <c r="B78" i="7"/>
  <c r="D77" i="7"/>
  <c r="E77" i="7" s="1"/>
  <c r="B77" i="7"/>
  <c r="D76" i="7"/>
  <c r="C76" i="7"/>
  <c r="B76" i="7"/>
  <c r="C77" i="7" s="1"/>
  <c r="D75" i="7"/>
  <c r="E75" i="7" s="1"/>
  <c r="B75" i="7"/>
  <c r="D74" i="7"/>
  <c r="B74" i="7"/>
  <c r="C74" i="7" s="1"/>
  <c r="E73" i="7"/>
  <c r="D73" i="7"/>
  <c r="C73" i="7"/>
  <c r="B73" i="7"/>
  <c r="D72" i="7"/>
  <c r="B72" i="7"/>
  <c r="D71" i="7"/>
  <c r="B71" i="7"/>
  <c r="C71" i="7" s="1"/>
  <c r="D70" i="7"/>
  <c r="E70" i="7" s="1"/>
  <c r="B70" i="7"/>
  <c r="D69" i="7"/>
  <c r="C69" i="7"/>
  <c r="B69" i="7"/>
  <c r="C70" i="7" s="1"/>
  <c r="D68" i="7"/>
  <c r="E68" i="7" s="1"/>
  <c r="C68" i="7"/>
  <c r="B68" i="7"/>
  <c r="D67" i="7"/>
  <c r="E67" i="7" s="1"/>
  <c r="B67" i="7"/>
  <c r="D66" i="7"/>
  <c r="E66" i="7" s="1"/>
  <c r="B66" i="7"/>
  <c r="C66" i="7" s="1"/>
  <c r="D65" i="7"/>
  <c r="B65" i="7"/>
  <c r="C65" i="7" s="1"/>
  <c r="D64" i="7"/>
  <c r="B64" i="7"/>
  <c r="C64" i="7" s="1"/>
  <c r="D63" i="7"/>
  <c r="B63" i="7"/>
  <c r="C63" i="7" s="1"/>
  <c r="D62" i="7"/>
  <c r="E62" i="7" s="1"/>
  <c r="C62" i="7"/>
  <c r="B62" i="7"/>
  <c r="E61" i="7"/>
  <c r="D61" i="7"/>
  <c r="B61" i="7"/>
  <c r="D60" i="7"/>
  <c r="B60" i="7"/>
  <c r="C61" i="7" s="1"/>
  <c r="D59" i="7"/>
  <c r="E59" i="7" s="1"/>
  <c r="C59" i="7"/>
  <c r="B59" i="7"/>
  <c r="D58" i="7"/>
  <c r="B58" i="7"/>
  <c r="E57" i="7"/>
  <c r="D57" i="7"/>
  <c r="C57" i="7"/>
  <c r="B57" i="7"/>
  <c r="D56" i="7"/>
  <c r="B56" i="7"/>
  <c r="C56" i="7" s="1"/>
  <c r="E55" i="7"/>
  <c r="D55" i="7"/>
  <c r="B55" i="7"/>
  <c r="C55" i="7" s="1"/>
  <c r="D54" i="7"/>
  <c r="B54" i="7"/>
  <c r="C54" i="7" s="1"/>
  <c r="D53" i="7"/>
  <c r="E54" i="7" s="1"/>
  <c r="B53" i="7"/>
  <c r="C53" i="7" s="1"/>
  <c r="D52" i="7"/>
  <c r="B52" i="7"/>
  <c r="E51" i="7"/>
  <c r="D51" i="7"/>
  <c r="E52" i="7" s="1"/>
  <c r="B51" i="7"/>
  <c r="C51" i="7" s="1"/>
  <c r="E50" i="7"/>
  <c r="D50" i="7"/>
  <c r="B50" i="7"/>
  <c r="E49" i="7"/>
  <c r="D49" i="7"/>
  <c r="B49" i="7"/>
  <c r="C49" i="7" s="1"/>
  <c r="E48" i="7"/>
  <c r="D48" i="7"/>
  <c r="B48" i="7"/>
  <c r="C48" i="7" s="1"/>
  <c r="E47" i="7"/>
  <c r="D47" i="7"/>
  <c r="B47" i="7"/>
  <c r="C47" i="7" s="1"/>
  <c r="D46" i="7"/>
  <c r="B46" i="7"/>
  <c r="C46" i="7" s="1"/>
  <c r="D45" i="7"/>
  <c r="E46" i="7" s="1"/>
  <c r="B45" i="7"/>
  <c r="C45" i="7" s="1"/>
  <c r="D44" i="7"/>
  <c r="B44" i="7"/>
  <c r="E43" i="7"/>
  <c r="D43" i="7"/>
  <c r="E44" i="7" s="1"/>
  <c r="B43" i="7"/>
  <c r="C43" i="7" s="1"/>
  <c r="E42" i="7"/>
  <c r="D42" i="7"/>
  <c r="B42" i="7"/>
  <c r="E41" i="7"/>
  <c r="D41" i="7"/>
  <c r="B41" i="7"/>
  <c r="C41" i="7" s="1"/>
  <c r="E40" i="7"/>
  <c r="D40" i="7"/>
  <c r="B40" i="7"/>
  <c r="C40" i="7" s="1"/>
  <c r="E39" i="7"/>
  <c r="D39" i="7"/>
  <c r="B39" i="7"/>
  <c r="C39" i="7" s="1"/>
  <c r="D38" i="7"/>
  <c r="B38" i="7"/>
  <c r="C38" i="7" s="1"/>
  <c r="D37" i="7"/>
  <c r="E38" i="7" s="1"/>
  <c r="B37" i="7"/>
  <c r="C37" i="7" s="1"/>
  <c r="D36" i="7"/>
  <c r="B36" i="7"/>
  <c r="E35" i="7"/>
  <c r="D35" i="7"/>
  <c r="E36" i="7" s="1"/>
  <c r="B35" i="7"/>
  <c r="C35" i="7" s="1"/>
  <c r="E34" i="7"/>
  <c r="D34" i="7"/>
  <c r="B34" i="7"/>
  <c r="E33" i="7"/>
  <c r="D33" i="7"/>
  <c r="B33" i="7"/>
  <c r="C33" i="7" s="1"/>
  <c r="E32" i="7"/>
  <c r="D32" i="7"/>
  <c r="B32" i="7"/>
  <c r="C32" i="7" s="1"/>
  <c r="E31" i="7"/>
  <c r="D31" i="7"/>
  <c r="B31" i="7"/>
  <c r="C31" i="7" s="1"/>
  <c r="D30" i="7"/>
  <c r="B30" i="7"/>
  <c r="C30" i="7" s="1"/>
  <c r="D29" i="7"/>
  <c r="E30" i="7" s="1"/>
  <c r="B29" i="7"/>
  <c r="C29" i="7" s="1"/>
  <c r="D28" i="7"/>
  <c r="B28" i="7"/>
  <c r="E27" i="7"/>
  <c r="D27" i="7"/>
  <c r="E28" i="7" s="1"/>
  <c r="B27" i="7"/>
  <c r="C27" i="7" s="1"/>
  <c r="E26" i="7"/>
  <c r="D26" i="7"/>
  <c r="B26" i="7"/>
  <c r="D25" i="7"/>
  <c r="B25" i="7"/>
  <c r="C25" i="7" s="1"/>
  <c r="E24" i="7"/>
  <c r="D24" i="7"/>
  <c r="E25" i="7" s="1"/>
  <c r="B24" i="7"/>
  <c r="C24" i="7" s="1"/>
  <c r="D23" i="7"/>
  <c r="B23" i="7"/>
  <c r="C23" i="7" s="1"/>
  <c r="D22" i="7"/>
  <c r="E22" i="7" s="1"/>
  <c r="B22" i="7"/>
  <c r="C22" i="7" s="1"/>
  <c r="D21" i="7"/>
  <c r="E21" i="7" s="1"/>
  <c r="B21" i="7"/>
  <c r="C21" i="7" s="1"/>
  <c r="D20" i="7"/>
  <c r="E20" i="7" s="1"/>
  <c r="B20" i="7"/>
  <c r="E19" i="7"/>
  <c r="D19" i="7"/>
  <c r="B19" i="7"/>
  <c r="C19" i="7" s="1"/>
  <c r="E18" i="7"/>
  <c r="D18" i="7"/>
  <c r="B18" i="7"/>
  <c r="D17" i="7"/>
  <c r="B17" i="7"/>
  <c r="E16" i="7"/>
  <c r="D16" i="7"/>
  <c r="E17" i="7" s="1"/>
  <c r="B16" i="7"/>
  <c r="C16" i="7" s="1"/>
  <c r="D15" i="7"/>
  <c r="B15" i="7"/>
  <c r="D14" i="7"/>
  <c r="E14" i="7" s="1"/>
  <c r="B14" i="7"/>
  <c r="C14" i="7" s="1"/>
  <c r="D13" i="7"/>
  <c r="E13" i="7" s="1"/>
  <c r="B13" i="7"/>
  <c r="C13" i="7" s="1"/>
  <c r="D12" i="7"/>
  <c r="E12" i="7" s="1"/>
  <c r="B12" i="7"/>
  <c r="E11" i="7"/>
  <c r="D11" i="7"/>
  <c r="B11" i="7"/>
  <c r="C11" i="7" s="1"/>
  <c r="E10" i="7"/>
  <c r="D10" i="7"/>
  <c r="B10" i="7"/>
  <c r="D9" i="7"/>
  <c r="C9" i="7"/>
  <c r="B9" i="7"/>
  <c r="D8" i="7"/>
  <c r="E9" i="7" s="1"/>
  <c r="B8" i="7"/>
  <c r="D7" i="7"/>
  <c r="E7" i="7" s="1"/>
  <c r="B7" i="7"/>
  <c r="C7" i="7" s="1"/>
  <c r="E6" i="7"/>
  <c r="D6" i="7"/>
  <c r="B6" i="7"/>
  <c r="C6" i="7" s="1"/>
  <c r="D5" i="7"/>
  <c r="B5" i="7"/>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Q18" i="1"/>
  <c r="P18" i="1"/>
  <c r="P17" i="1"/>
  <c r="P16" i="1"/>
  <c r="Q14" i="1"/>
  <c r="Q16" i="1" s="1"/>
  <c r="C387" i="6" l="1"/>
  <c r="C419" i="6"/>
  <c r="C435" i="6"/>
  <c r="C451" i="6"/>
  <c r="C579" i="6"/>
  <c r="C635" i="6"/>
  <c r="C643" i="6"/>
  <c r="C667" i="6"/>
  <c r="C683" i="6"/>
  <c r="C252" i="6"/>
  <c r="C380" i="6"/>
  <c r="C388" i="6"/>
  <c r="C412" i="6"/>
  <c r="C420" i="6"/>
  <c r="C444" i="6"/>
  <c r="C452" i="6"/>
  <c r="C508" i="6"/>
  <c r="C516" i="6"/>
  <c r="C636" i="6"/>
  <c r="C644" i="6"/>
  <c r="C652" i="6"/>
  <c r="C676" i="6"/>
  <c r="C684" i="6"/>
  <c r="C700" i="6"/>
  <c r="C716" i="6"/>
  <c r="C724" i="6"/>
  <c r="C732" i="6"/>
  <c r="C649" i="6"/>
  <c r="C681" i="6"/>
  <c r="C689" i="6"/>
  <c r="C697" i="6"/>
  <c r="C705" i="6"/>
  <c r="C504" i="6"/>
  <c r="C712" i="6"/>
  <c r="C800" i="6"/>
  <c r="C45" i="9" s="1"/>
  <c r="E2900" i="7"/>
  <c r="C1013" i="6"/>
  <c r="C92" i="6"/>
  <c r="C319" i="6"/>
  <c r="C287" i="6"/>
  <c r="C383" i="6"/>
  <c r="C415" i="6"/>
  <c r="C607" i="6"/>
  <c r="C479" i="6"/>
  <c r="C378" i="6"/>
  <c r="C626" i="6"/>
  <c r="C295" i="6"/>
  <c r="C343" i="6"/>
  <c r="C423" i="6"/>
  <c r="C391" i="6"/>
  <c r="C928" i="6"/>
  <c r="C173" i="9" s="1"/>
  <c r="C846" i="6"/>
  <c r="C91" i="9" s="1"/>
  <c r="C854" i="6"/>
  <c r="C99" i="9" s="1"/>
  <c r="C181" i="6"/>
  <c r="C261" i="6"/>
  <c r="C686" i="6"/>
  <c r="C694" i="6"/>
  <c r="C702" i="6"/>
  <c r="C710" i="6"/>
  <c r="C734" i="6"/>
  <c r="C742" i="6"/>
  <c r="C944" i="6"/>
  <c r="C189" i="9" s="1"/>
  <c r="C1001" i="6"/>
  <c r="C1009" i="6"/>
  <c r="C254" i="9" s="1"/>
  <c r="C237" i="6"/>
  <c r="C293" i="6"/>
  <c r="C121" i="6"/>
  <c r="C129" i="6"/>
  <c r="C137" i="6"/>
  <c r="C176" i="6"/>
  <c r="C192" i="6"/>
  <c r="C201" i="6"/>
  <c r="C232" i="6"/>
  <c r="C240" i="6"/>
  <c r="C256" i="6"/>
  <c r="C264" i="6"/>
  <c r="C568" i="6"/>
  <c r="C760" i="6"/>
  <c r="C885" i="6"/>
  <c r="C893" i="6"/>
  <c r="C917" i="6"/>
  <c r="C925" i="6"/>
  <c r="C170" i="9" s="1"/>
  <c r="C931" i="6"/>
  <c r="C176" i="9" s="1"/>
  <c r="C946" i="6"/>
  <c r="C955" i="6"/>
  <c r="C200" i="9" s="1"/>
  <c r="C963" i="6"/>
  <c r="C208" i="9" s="1"/>
  <c r="C979" i="6"/>
  <c r="C994" i="6"/>
  <c r="C239" i="9" s="1"/>
  <c r="C1010" i="6"/>
  <c r="C255" i="9" s="1"/>
  <c r="C245" i="6"/>
  <c r="C171" i="6"/>
  <c r="C195" i="6"/>
  <c r="C219" i="6"/>
  <c r="C227" i="6"/>
  <c r="C283" i="6"/>
  <c r="C816" i="6"/>
  <c r="C61" i="9" s="1"/>
  <c r="C880" i="6"/>
  <c r="C125" i="9" s="1"/>
  <c r="C888" i="6"/>
  <c r="C133" i="9" s="1"/>
  <c r="C933" i="6"/>
  <c r="C997" i="6"/>
  <c r="C1005" i="6"/>
  <c r="C250" i="9" s="1"/>
  <c r="C1012" i="6"/>
  <c r="C288" i="6"/>
  <c r="C631" i="6"/>
  <c r="C849" i="6"/>
  <c r="C94" i="9" s="1"/>
  <c r="C28" i="6"/>
  <c r="C135" i="6"/>
  <c r="C143" i="6"/>
  <c r="C151" i="6"/>
  <c r="C268" i="6"/>
  <c r="C361" i="6"/>
  <c r="C369" i="6"/>
  <c r="C454" i="6"/>
  <c r="C462" i="6"/>
  <c r="C470" i="6"/>
  <c r="C486" i="6"/>
  <c r="C518" i="6"/>
  <c r="C632" i="6"/>
  <c r="C672" i="6"/>
  <c r="C704" i="6"/>
  <c r="C744" i="6"/>
  <c r="C752" i="6"/>
  <c r="C789" i="6"/>
  <c r="C797" i="6"/>
  <c r="C803" i="6"/>
  <c r="C48" i="9" s="1"/>
  <c r="C818" i="6"/>
  <c r="C827" i="6"/>
  <c r="C72" i="9" s="1"/>
  <c r="C835" i="6"/>
  <c r="C80" i="9" s="1"/>
  <c r="C903" i="6"/>
  <c r="C911" i="6"/>
  <c r="C156" i="9" s="1"/>
  <c r="C927" i="6"/>
  <c r="C932" i="6"/>
  <c r="C964" i="6"/>
  <c r="C972" i="6"/>
  <c r="C980" i="6"/>
  <c r="C150" i="6"/>
  <c r="C429" i="6"/>
  <c r="C639" i="6"/>
  <c r="C60" i="6"/>
  <c r="C127" i="6"/>
  <c r="C122" i="6"/>
  <c r="C130" i="6"/>
  <c r="C138" i="6"/>
  <c r="C178" i="6"/>
  <c r="C186" i="6"/>
  <c r="C226" i="6"/>
  <c r="C243" i="6"/>
  <c r="C251" i="6"/>
  <c r="C255" i="6"/>
  <c r="C292" i="6"/>
  <c r="C316" i="6"/>
  <c r="C333" i="6"/>
  <c r="C341" i="6"/>
  <c r="C417" i="6"/>
  <c r="C425" i="6"/>
  <c r="C449" i="6"/>
  <c r="C457" i="6"/>
  <c r="C481" i="6"/>
  <c r="C489" i="6"/>
  <c r="C545" i="6"/>
  <c r="C553" i="6"/>
  <c r="C582" i="6"/>
  <c r="C590" i="6"/>
  <c r="C598" i="6"/>
  <c r="C805" i="6"/>
  <c r="C50" i="9" s="1"/>
  <c r="C869" i="6"/>
  <c r="C882" i="6"/>
  <c r="C891" i="6"/>
  <c r="C136" i="9" s="1"/>
  <c r="C935" i="6"/>
  <c r="C943" i="6"/>
  <c r="C188" i="9" s="1"/>
  <c r="C16" i="6"/>
  <c r="C64" i="6"/>
  <c r="C48" i="6"/>
  <c r="C80" i="6"/>
  <c r="C112" i="6"/>
  <c r="C230" i="6"/>
  <c r="C259" i="6"/>
  <c r="C336" i="6"/>
  <c r="C376" i="6"/>
  <c r="C413" i="6"/>
  <c r="C647" i="6"/>
  <c r="C809" i="6"/>
  <c r="C54" i="9" s="1"/>
  <c r="C841" i="6"/>
  <c r="C86" i="9" s="1"/>
  <c r="C233" i="6"/>
  <c r="C262" i="6"/>
  <c r="C291" i="6"/>
  <c r="C299" i="6"/>
  <c r="C315" i="6"/>
  <c r="C323" i="6"/>
  <c r="C339" i="6"/>
  <c r="C371" i="6"/>
  <c r="C400" i="6"/>
  <c r="C408" i="6"/>
  <c r="C440" i="6"/>
  <c r="C472" i="6"/>
  <c r="C528" i="6"/>
  <c r="C536" i="6"/>
  <c r="C560" i="6"/>
  <c r="C589" i="6"/>
  <c r="C605" i="6"/>
  <c r="C621" i="6"/>
  <c r="C775" i="6"/>
  <c r="C20" i="9" s="1"/>
  <c r="C783" i="6"/>
  <c r="C799" i="6"/>
  <c r="C804" i="6"/>
  <c r="C49" i="9" s="1"/>
  <c r="C881" i="6"/>
  <c r="C126" i="9" s="1"/>
  <c r="C32" i="6"/>
  <c r="C96" i="6"/>
  <c r="C198" i="6"/>
  <c r="C541" i="6"/>
  <c r="C557" i="6"/>
  <c r="C873" i="6"/>
  <c r="C118" i="9" s="1"/>
  <c r="C140" i="6"/>
  <c r="C148" i="6"/>
  <c r="C156" i="6"/>
  <c r="C189" i="6"/>
  <c r="C196" i="6"/>
  <c r="C228" i="6"/>
  <c r="C265" i="6"/>
  <c r="C334" i="6"/>
  <c r="C374" i="6"/>
  <c r="C592" i="6"/>
  <c r="C600" i="6"/>
  <c r="C763" i="6"/>
  <c r="C807" i="6"/>
  <c r="C815" i="6"/>
  <c r="C60" i="9" s="1"/>
  <c r="C839" i="6"/>
  <c r="C847" i="6"/>
  <c r="C863" i="6"/>
  <c r="C937" i="6"/>
  <c r="C182" i="9" s="1"/>
  <c r="C969" i="6"/>
  <c r="C974" i="6"/>
  <c r="C982" i="6"/>
  <c r="C990" i="6"/>
  <c r="C235" i="9" s="1"/>
  <c r="C998" i="6"/>
  <c r="C771" i="6"/>
  <c r="C16" i="9" s="1"/>
  <c r="C864" i="6"/>
  <c r="C109" i="9" s="1"/>
  <c r="C899" i="6"/>
  <c r="C144" i="9" s="1"/>
  <c r="C187" i="6"/>
  <c r="C260" i="6"/>
  <c r="C267" i="6"/>
  <c r="C300" i="6"/>
  <c r="C309" i="6"/>
  <c r="C379" i="6"/>
  <c r="C611" i="6"/>
  <c r="C770" i="6"/>
  <c r="C817" i="6"/>
  <c r="C62" i="9" s="1"/>
  <c r="C898" i="6"/>
  <c r="C945" i="6"/>
  <c r="C190" i="9" s="1"/>
  <c r="C977" i="6"/>
  <c r="C222" i="9" s="1"/>
  <c r="C985" i="6"/>
  <c r="C1002" i="6"/>
  <c r="C247" i="9" s="1"/>
  <c r="C125" i="6"/>
  <c r="C133" i="6"/>
  <c r="C193" i="6"/>
  <c r="C235" i="6"/>
  <c r="C273" i="6"/>
  <c r="C281" i="6"/>
  <c r="C286" i="6"/>
  <c r="C381" i="6"/>
  <c r="C397" i="6"/>
  <c r="C447" i="6"/>
  <c r="C455" i="6"/>
  <c r="C476" i="6"/>
  <c r="C484" i="6"/>
  <c r="C513" i="6"/>
  <c r="C521" i="6"/>
  <c r="C550" i="6"/>
  <c r="C624" i="6"/>
  <c r="C642" i="6"/>
  <c r="D644" i="6" s="1"/>
  <c r="C679" i="6"/>
  <c r="C687" i="6"/>
  <c r="C695" i="6"/>
  <c r="C729" i="6"/>
  <c r="C737" i="6"/>
  <c r="C792" i="6"/>
  <c r="C37" i="9" s="1"/>
  <c r="C802" i="6"/>
  <c r="C47" i="9" s="1"/>
  <c r="C831" i="6"/>
  <c r="C836" i="6"/>
  <c r="C878" i="6"/>
  <c r="C123" i="9" s="1"/>
  <c r="C920" i="6"/>
  <c r="C165" i="9" s="1"/>
  <c r="C930" i="6"/>
  <c r="C175" i="9" s="1"/>
  <c r="C959" i="6"/>
  <c r="C967" i="6"/>
  <c r="C975" i="6"/>
  <c r="C224" i="6"/>
  <c r="C285" i="6"/>
  <c r="C324" i="6"/>
  <c r="C280" i="6"/>
  <c r="C349" i="6"/>
  <c r="C432" i="6"/>
  <c r="C461" i="6"/>
  <c r="C511" i="6"/>
  <c r="C540" i="6"/>
  <c r="C577" i="6"/>
  <c r="C656" i="6"/>
  <c r="C719" i="6"/>
  <c r="C782" i="6"/>
  <c r="C829" i="6"/>
  <c r="C74" i="9" s="1"/>
  <c r="C868" i="6"/>
  <c r="C910" i="6"/>
  <c r="C155" i="9" s="1"/>
  <c r="C918" i="6"/>
  <c r="C163" i="9" s="1"/>
  <c r="C18" i="6"/>
  <c r="C34" i="6"/>
  <c r="C58" i="6"/>
  <c r="C74" i="6"/>
  <c r="C90" i="6"/>
  <c r="C106" i="6"/>
  <c r="C126" i="6"/>
  <c r="C266" i="6"/>
  <c r="C275" i="6"/>
  <c r="C331" i="6"/>
  <c r="C351" i="6"/>
  <c r="C359" i="6"/>
  <c r="C390" i="6"/>
  <c r="C464" i="6"/>
  <c r="C477" i="6"/>
  <c r="C493" i="6"/>
  <c r="C515" i="6"/>
  <c r="C543" i="6"/>
  <c r="C551" i="6"/>
  <c r="C572" i="6"/>
  <c r="C580" i="6"/>
  <c r="C609" i="6"/>
  <c r="C617" i="6"/>
  <c r="C709" i="6"/>
  <c r="C723" i="6"/>
  <c r="C731" i="6"/>
  <c r="C777" i="6"/>
  <c r="C22" i="9" s="1"/>
  <c r="C785" i="6"/>
  <c r="C30" i="9" s="1"/>
  <c r="C824" i="6"/>
  <c r="C69" i="9" s="1"/>
  <c r="C853" i="6"/>
  <c r="C861" i="6"/>
  <c r="C106" i="9" s="1"/>
  <c r="C867" i="6"/>
  <c r="C112" i="9" s="1"/>
  <c r="C871" i="6"/>
  <c r="C116" i="9" s="1"/>
  <c r="C879" i="6"/>
  <c r="C124" i="9" s="1"/>
  <c r="C905" i="6"/>
  <c r="C150" i="9" s="1"/>
  <c r="C913" i="6"/>
  <c r="C158" i="9" s="1"/>
  <c r="C952" i="6"/>
  <c r="C197" i="9" s="1"/>
  <c r="C960" i="6"/>
  <c r="C205" i="9" s="1"/>
  <c r="C169" i="6"/>
  <c r="C304" i="6"/>
  <c r="C335" i="6"/>
  <c r="C356" i="6"/>
  <c r="C364" i="6"/>
  <c r="C483" i="6"/>
  <c r="C519" i="6"/>
  <c r="C548" i="6"/>
  <c r="C585" i="6"/>
  <c r="C614" i="6"/>
  <c r="C648" i="6"/>
  <c r="C664" i="6"/>
  <c r="C727" i="6"/>
  <c r="C790" i="6"/>
  <c r="C35" i="9" s="1"/>
  <c r="C821" i="6"/>
  <c r="C834" i="6"/>
  <c r="C949" i="6"/>
  <c r="C194" i="9" s="1"/>
  <c r="C957" i="6"/>
  <c r="C202" i="9" s="1"/>
  <c r="C26" i="6"/>
  <c r="C42" i="6"/>
  <c r="C50" i="6"/>
  <c r="C66" i="6"/>
  <c r="C82" i="6"/>
  <c r="C98" i="6"/>
  <c r="C114" i="6"/>
  <c r="C134" i="6"/>
  <c r="C142" i="6"/>
  <c r="C163" i="6"/>
  <c r="C19" i="6"/>
  <c r="C27" i="6"/>
  <c r="C35" i="6"/>
  <c r="C43" i="6"/>
  <c r="C51" i="6"/>
  <c r="C59" i="6"/>
  <c r="C67" i="6"/>
  <c r="C75" i="6"/>
  <c r="C83" i="6"/>
  <c r="C91" i="6"/>
  <c r="C99" i="6"/>
  <c r="C107" i="6"/>
  <c r="C115" i="6"/>
  <c r="C158" i="6"/>
  <c r="C166" i="6"/>
  <c r="C197" i="6"/>
  <c r="D198" i="6" s="1"/>
  <c r="C213" i="6"/>
  <c r="C229" i="6"/>
  <c r="C257" i="6"/>
  <c r="C297" i="6"/>
  <c r="C320" i="6"/>
  <c r="C347" i="6"/>
  <c r="C385" i="6"/>
  <c r="C393" i="6"/>
  <c r="C422" i="6"/>
  <c r="C488" i="6"/>
  <c r="C496" i="6"/>
  <c r="C509" i="6"/>
  <c r="C525" i="6"/>
  <c r="C547" i="6"/>
  <c r="C563" i="6"/>
  <c r="C575" i="6"/>
  <c r="C583" i="6"/>
  <c r="C604" i="6"/>
  <c r="C612" i="6"/>
  <c r="C646" i="6"/>
  <c r="C654" i="6"/>
  <c r="C755" i="6"/>
  <c r="C767" i="6"/>
  <c r="C772" i="6"/>
  <c r="D772" i="6" s="1"/>
  <c r="C814" i="6"/>
  <c r="C59" i="9" s="1"/>
  <c r="C856" i="6"/>
  <c r="C101" i="9" s="1"/>
  <c r="C866" i="6"/>
  <c r="C895" i="6"/>
  <c r="C140" i="9" s="1"/>
  <c r="C900" i="6"/>
  <c r="C942" i="6"/>
  <c r="C187" i="9" s="1"/>
  <c r="C1011" i="6"/>
  <c r="C263" i="6"/>
  <c r="D264" i="6" s="1"/>
  <c r="C325" i="6"/>
  <c r="C340" i="6"/>
  <c r="C507" i="6"/>
  <c r="C506" i="6"/>
  <c r="C657" i="6"/>
  <c r="C696" i="6"/>
  <c r="C706" i="6"/>
  <c r="C735" i="6"/>
  <c r="D737" i="6" s="1"/>
  <c r="C736" i="6"/>
  <c r="C784" i="6"/>
  <c r="C29" i="9" s="1"/>
  <c r="C848" i="6"/>
  <c r="C93" i="9" s="1"/>
  <c r="C912" i="6"/>
  <c r="C157" i="9" s="1"/>
  <c r="C403" i="6"/>
  <c r="C531" i="6"/>
  <c r="C715" i="6"/>
  <c r="C714" i="6"/>
  <c r="C811" i="6"/>
  <c r="C56" i="9" s="1"/>
  <c r="C810" i="6"/>
  <c r="C875" i="6"/>
  <c r="C120" i="9" s="1"/>
  <c r="C874" i="6"/>
  <c r="C119" i="9" s="1"/>
  <c r="C939" i="6"/>
  <c r="C184" i="9" s="1"/>
  <c r="C938" i="6"/>
  <c r="C183" i="9" s="1"/>
  <c r="C29" i="6"/>
  <c r="C36" i="6"/>
  <c r="C539" i="6"/>
  <c r="C538" i="6"/>
  <c r="C61" i="6"/>
  <c r="C68" i="6"/>
  <c r="C411" i="6"/>
  <c r="C410" i="6"/>
  <c r="C37" i="6"/>
  <c r="C69" i="6"/>
  <c r="C101" i="6"/>
  <c r="C123" i="6"/>
  <c r="C141" i="6"/>
  <c r="C146" i="6"/>
  <c r="C164" i="6"/>
  <c r="C194" i="6"/>
  <c r="C209" i="6"/>
  <c r="C271" i="6"/>
  <c r="C276" i="6"/>
  <c r="C305" i="6"/>
  <c r="C354" i="6"/>
  <c r="C362" i="6"/>
  <c r="C367" i="6"/>
  <c r="C392" i="6"/>
  <c r="C494" i="6"/>
  <c r="C502" i="6"/>
  <c r="C520" i="6"/>
  <c r="C622" i="6"/>
  <c r="C640" i="6"/>
  <c r="C692" i="6"/>
  <c r="C720" i="6"/>
  <c r="C780" i="6"/>
  <c r="C826" i="6"/>
  <c r="C844" i="6"/>
  <c r="C89" i="9" s="1"/>
  <c r="C890" i="6"/>
  <c r="C908" i="6"/>
  <c r="C153" i="9" s="1"/>
  <c r="C954" i="6"/>
  <c r="C675" i="6"/>
  <c r="C674" i="6"/>
  <c r="C971" i="6"/>
  <c r="C216" i="9" s="1"/>
  <c r="C970" i="6"/>
  <c r="C215" i="9" s="1"/>
  <c r="C76" i="6"/>
  <c r="C159" i="6"/>
  <c r="C172" i="6"/>
  <c r="C45" i="6"/>
  <c r="C77" i="6"/>
  <c r="C109" i="6"/>
  <c r="C139" i="6"/>
  <c r="C145" i="6"/>
  <c r="C157" i="6"/>
  <c r="C162" i="6"/>
  <c r="C167" i="6"/>
  <c r="C175" i="6"/>
  <c r="C185" i="6"/>
  <c r="C207" i="6"/>
  <c r="C212" i="6"/>
  <c r="C222" i="6"/>
  <c r="C241" i="6"/>
  <c r="C249" i="6"/>
  <c r="C269" i="6"/>
  <c r="C274" i="6"/>
  <c r="C289" i="6"/>
  <c r="D289" i="6" s="1"/>
  <c r="C298" i="6"/>
  <c r="C303" i="6"/>
  <c r="C313" i="6"/>
  <c r="C344" i="6"/>
  <c r="C370" i="6"/>
  <c r="C398" i="6"/>
  <c r="C406" i="6"/>
  <c r="C424" i="6"/>
  <c r="C467" i="6"/>
  <c r="C526" i="6"/>
  <c r="C534" i="6"/>
  <c r="C552" i="6"/>
  <c r="C595" i="6"/>
  <c r="C677" i="6"/>
  <c r="C682" i="6"/>
  <c r="D684" i="6" s="1"/>
  <c r="C779" i="6"/>
  <c r="C24" i="9" s="1"/>
  <c r="C778" i="6"/>
  <c r="C23" i="9" s="1"/>
  <c r="C843" i="6"/>
  <c r="C88" i="9" s="1"/>
  <c r="C842" i="6"/>
  <c r="C907" i="6"/>
  <c r="C152" i="9" s="1"/>
  <c r="C906" i="6"/>
  <c r="C965" i="6"/>
  <c r="C210" i="9" s="1"/>
  <c r="C93" i="6"/>
  <c r="C24" i="6"/>
  <c r="C56" i="6"/>
  <c r="C88" i="6"/>
  <c r="C154" i="6"/>
  <c r="C177" i="6"/>
  <c r="C204" i="6"/>
  <c r="C308" i="6"/>
  <c r="C443" i="6"/>
  <c r="C442" i="6"/>
  <c r="C571" i="6"/>
  <c r="C570" i="6"/>
  <c r="C13" i="6"/>
  <c r="C40" i="6"/>
  <c r="C52" i="6"/>
  <c r="C104" i="6"/>
  <c r="C116" i="6"/>
  <c r="C124" i="6"/>
  <c r="D126" i="6" s="1"/>
  <c r="C147" i="6"/>
  <c r="C153" i="6"/>
  <c r="C165" i="6"/>
  <c r="C170" i="6"/>
  <c r="C180" i="6"/>
  <c r="C190" i="6"/>
  <c r="C202" i="6"/>
  <c r="C211" i="6"/>
  <c r="C216" i="6"/>
  <c r="C221" i="6"/>
  <c r="C236" i="6"/>
  <c r="C244" i="6"/>
  <c r="C277" i="6"/>
  <c r="C296" i="6"/>
  <c r="C307" i="6"/>
  <c r="C312" i="6"/>
  <c r="C327" i="6"/>
  <c r="C355" i="6"/>
  <c r="C445" i="6"/>
  <c r="C475" i="6"/>
  <c r="C474" i="6"/>
  <c r="C487" i="6"/>
  <c r="C573" i="6"/>
  <c r="C603" i="6"/>
  <c r="C602" i="6"/>
  <c r="C615" i="6"/>
  <c r="C616" i="6"/>
  <c r="C641" i="6"/>
  <c r="C680" i="6"/>
  <c r="C721" i="6"/>
  <c r="C750" i="6"/>
  <c r="C758" i="6"/>
  <c r="C768" i="6"/>
  <c r="C773" i="6"/>
  <c r="C18" i="9" s="1"/>
  <c r="C786" i="6"/>
  <c r="C31" i="9" s="1"/>
  <c r="C795" i="6"/>
  <c r="C40" i="9" s="1"/>
  <c r="C822" i="6"/>
  <c r="C67" i="9" s="1"/>
  <c r="C832" i="6"/>
  <c r="C77" i="9" s="1"/>
  <c r="C837" i="6"/>
  <c r="C850" i="6"/>
  <c r="C95" i="9" s="1"/>
  <c r="C859" i="6"/>
  <c r="C104" i="9" s="1"/>
  <c r="C886" i="6"/>
  <c r="C131" i="9" s="1"/>
  <c r="C896" i="6"/>
  <c r="C141" i="9" s="1"/>
  <c r="C901" i="6"/>
  <c r="C146" i="9" s="1"/>
  <c r="C914" i="6"/>
  <c r="C159" i="9" s="1"/>
  <c r="C923" i="6"/>
  <c r="C168" i="9" s="1"/>
  <c r="C950" i="6"/>
  <c r="C195" i="9" s="1"/>
  <c r="C968" i="6"/>
  <c r="C213" i="9" s="1"/>
  <c r="C100" i="6"/>
  <c r="C44" i="6"/>
  <c r="C108" i="6"/>
  <c r="C131" i="6"/>
  <c r="C149" i="6"/>
  <c r="C217" i="6"/>
  <c r="C20" i="6"/>
  <c r="C72" i="6"/>
  <c r="C84" i="6"/>
  <c r="C21" i="6"/>
  <c r="C53" i="6"/>
  <c r="C85" i="6"/>
  <c r="C117" i="6"/>
  <c r="C132" i="6"/>
  <c r="C155" i="6"/>
  <c r="C161" i="6"/>
  <c r="C173" i="6"/>
  <c r="C179" i="6"/>
  <c r="C184" i="6"/>
  <c r="C205" i="6"/>
  <c r="C210" i="6"/>
  <c r="C220" i="6"/>
  <c r="C225" i="6"/>
  <c r="C234" i="6"/>
  <c r="C239" i="6"/>
  <c r="C248" i="6"/>
  <c r="C253" i="6"/>
  <c r="C254" i="6"/>
  <c r="C294" i="6"/>
  <c r="C301" i="6"/>
  <c r="C311" i="6"/>
  <c r="C317" i="6"/>
  <c r="C318" i="6"/>
  <c r="C363" i="6"/>
  <c r="C368" i="6"/>
  <c r="C430" i="6"/>
  <c r="C438" i="6"/>
  <c r="C456" i="6"/>
  <c r="C499" i="6"/>
  <c r="C558" i="6"/>
  <c r="C566" i="6"/>
  <c r="C584" i="6"/>
  <c r="C627" i="6"/>
  <c r="C662" i="6"/>
  <c r="C670" i="6"/>
  <c r="C688" i="6"/>
  <c r="C740" i="6"/>
  <c r="C745" i="6"/>
  <c r="C794" i="6"/>
  <c r="C39" i="9" s="1"/>
  <c r="C812" i="6"/>
  <c r="C57" i="9" s="1"/>
  <c r="C858" i="6"/>
  <c r="C876" i="6"/>
  <c r="C121" i="9" s="1"/>
  <c r="C922" i="6"/>
  <c r="C940" i="6"/>
  <c r="C375" i="6"/>
  <c r="C382" i="6"/>
  <c r="C407" i="6"/>
  <c r="C414" i="6"/>
  <c r="D414" i="6" s="1"/>
  <c r="C439" i="6"/>
  <c r="C446" i="6"/>
  <c r="C471" i="6"/>
  <c r="D472" i="6" s="1"/>
  <c r="C478" i="6"/>
  <c r="C503" i="6"/>
  <c r="C510" i="6"/>
  <c r="C535" i="6"/>
  <c r="C542" i="6"/>
  <c r="C567" i="6"/>
  <c r="C574" i="6"/>
  <c r="C599" i="6"/>
  <c r="C606" i="6"/>
  <c r="C628" i="6"/>
  <c r="C633" i="6"/>
  <c r="D633" i="6" s="1"/>
  <c r="C659" i="6"/>
  <c r="C671" i="6"/>
  <c r="C707" i="6"/>
  <c r="C711" i="6"/>
  <c r="C726" i="6"/>
  <c r="C741" i="6"/>
  <c r="C747" i="6"/>
  <c r="C759" i="6"/>
  <c r="C764" i="6"/>
  <c r="C9" i="9" s="1"/>
  <c r="C769" i="6"/>
  <c r="C14" i="9" s="1"/>
  <c r="C774" i="6"/>
  <c r="C796" i="6"/>
  <c r="C41" i="9" s="1"/>
  <c r="C801" i="6"/>
  <c r="C46" i="9" s="1"/>
  <c r="C806" i="6"/>
  <c r="C51" i="9" s="1"/>
  <c r="C828" i="6"/>
  <c r="C833" i="6"/>
  <c r="C78" i="9" s="1"/>
  <c r="C838" i="6"/>
  <c r="C83" i="9" s="1"/>
  <c r="C860" i="6"/>
  <c r="C105" i="9" s="1"/>
  <c r="C865" i="6"/>
  <c r="C110" i="9" s="1"/>
  <c r="C870" i="6"/>
  <c r="C115" i="9" s="1"/>
  <c r="C892" i="6"/>
  <c r="C897" i="6"/>
  <c r="C142" i="9" s="1"/>
  <c r="C902" i="6"/>
  <c r="C147" i="9" s="1"/>
  <c r="C924" i="6"/>
  <c r="C169" i="9" s="1"/>
  <c r="C929" i="6"/>
  <c r="C174" i="9" s="1"/>
  <c r="C934" i="6"/>
  <c r="C179" i="9" s="1"/>
  <c r="C956" i="6"/>
  <c r="C961" i="6"/>
  <c r="C206" i="9" s="1"/>
  <c r="C989" i="6"/>
  <c r="C234" i="9" s="1"/>
  <c r="C1003" i="6"/>
  <c r="C248" i="9" s="1"/>
  <c r="C1007" i="6"/>
  <c r="C252" i="9" s="1"/>
  <c r="C993" i="6"/>
  <c r="C238" i="9" s="1"/>
  <c r="C983" i="6"/>
  <c r="C228" i="9" s="1"/>
  <c r="C988" i="6"/>
  <c r="C233" i="9" s="1"/>
  <c r="C1006" i="6"/>
  <c r="C251" i="9" s="1"/>
  <c r="C352" i="6"/>
  <c r="C357" i="6"/>
  <c r="C395" i="6"/>
  <c r="C396" i="6"/>
  <c r="C401" i="6"/>
  <c r="C427" i="6"/>
  <c r="C428" i="6"/>
  <c r="C433" i="6"/>
  <c r="C459" i="6"/>
  <c r="C460" i="6"/>
  <c r="C465" i="6"/>
  <c r="C491" i="6"/>
  <c r="C492" i="6"/>
  <c r="C497" i="6"/>
  <c r="C523" i="6"/>
  <c r="C524" i="6"/>
  <c r="C529" i="6"/>
  <c r="C555" i="6"/>
  <c r="C556" i="6"/>
  <c r="C561" i="6"/>
  <c r="C587" i="6"/>
  <c r="C588" i="6"/>
  <c r="D590" i="6" s="1"/>
  <c r="C593" i="6"/>
  <c r="C619" i="6"/>
  <c r="C620" i="6"/>
  <c r="C625" i="6"/>
  <c r="C630" i="6"/>
  <c r="D632" i="6" s="1"/>
  <c r="C645" i="6"/>
  <c r="C651" i="6"/>
  <c r="C655" i="6"/>
  <c r="C660" i="6"/>
  <c r="C665" i="6"/>
  <c r="C691" i="6"/>
  <c r="C703" i="6"/>
  <c r="C739" i="6"/>
  <c r="C743" i="6"/>
  <c r="C748" i="6"/>
  <c r="C753" i="6"/>
  <c r="C766" i="6"/>
  <c r="C11" i="9" s="1"/>
  <c r="C788" i="6"/>
  <c r="C33" i="9" s="1"/>
  <c r="C793" i="6"/>
  <c r="C38" i="9" s="1"/>
  <c r="C798" i="6"/>
  <c r="C43" i="9" s="1"/>
  <c r="C820" i="6"/>
  <c r="C65" i="9" s="1"/>
  <c r="C825" i="6"/>
  <c r="C70" i="9" s="1"/>
  <c r="C830" i="6"/>
  <c r="C75" i="9" s="1"/>
  <c r="C852" i="6"/>
  <c r="C97" i="9" s="1"/>
  <c r="C857" i="6"/>
  <c r="C102" i="9" s="1"/>
  <c r="C862" i="6"/>
  <c r="C107" i="9" s="1"/>
  <c r="C884" i="6"/>
  <c r="C129" i="9" s="1"/>
  <c r="C889" i="6"/>
  <c r="C134" i="9" s="1"/>
  <c r="C894" i="6"/>
  <c r="C139" i="9" s="1"/>
  <c r="C916" i="6"/>
  <c r="C921" i="6"/>
  <c r="C166" i="9" s="1"/>
  <c r="C926" i="6"/>
  <c r="C171" i="9" s="1"/>
  <c r="C948" i="6"/>
  <c r="C193" i="9" s="1"/>
  <c r="C953" i="6"/>
  <c r="C198" i="9" s="1"/>
  <c r="C958" i="6"/>
  <c r="C203" i="9" s="1"/>
  <c r="C973" i="6"/>
  <c r="C978" i="6"/>
  <c r="C223" i="9" s="1"/>
  <c r="C987" i="6"/>
  <c r="C232" i="9" s="1"/>
  <c r="C991" i="6"/>
  <c r="C236" i="9" s="1"/>
  <c r="C996" i="6"/>
  <c r="C241" i="9" s="1"/>
  <c r="C328" i="6"/>
  <c r="C350" i="6"/>
  <c r="C365" i="6"/>
  <c r="C384" i="6"/>
  <c r="C394" i="6"/>
  <c r="C399" i="6"/>
  <c r="C404" i="6"/>
  <c r="C409" i="6"/>
  <c r="C416" i="6"/>
  <c r="C426" i="6"/>
  <c r="C431" i="6"/>
  <c r="C436" i="6"/>
  <c r="C441" i="6"/>
  <c r="C448" i="6"/>
  <c r="C458" i="6"/>
  <c r="C463" i="6"/>
  <c r="C468" i="6"/>
  <c r="C473" i="6"/>
  <c r="C480" i="6"/>
  <c r="D481" i="6" s="1"/>
  <c r="C490" i="6"/>
  <c r="C495" i="6"/>
  <c r="C500" i="6"/>
  <c r="C505" i="6"/>
  <c r="C512" i="6"/>
  <c r="C522" i="6"/>
  <c r="C527" i="6"/>
  <c r="C532" i="6"/>
  <c r="C537" i="6"/>
  <c r="C544" i="6"/>
  <c r="C554" i="6"/>
  <c r="C559" i="6"/>
  <c r="C564" i="6"/>
  <c r="C569" i="6"/>
  <c r="C576" i="6"/>
  <c r="C586" i="6"/>
  <c r="C591" i="6"/>
  <c r="C596" i="6"/>
  <c r="C601" i="6"/>
  <c r="C608" i="6"/>
  <c r="C618" i="6"/>
  <c r="C623" i="6"/>
  <c r="C638" i="6"/>
  <c r="C650" i="6"/>
  <c r="C663" i="6"/>
  <c r="C668" i="6"/>
  <c r="C673" i="6"/>
  <c r="C678" i="6"/>
  <c r="C699" i="6"/>
  <c r="C708" i="6"/>
  <c r="C713" i="6"/>
  <c r="C718" i="6"/>
  <c r="C728" i="6"/>
  <c r="C738" i="6"/>
  <c r="D739" i="6" s="1"/>
  <c r="C751" i="6"/>
  <c r="C756" i="6"/>
  <c r="C761" i="6"/>
  <c r="C6" i="9" s="1"/>
  <c r="C776" i="6"/>
  <c r="C787" i="6"/>
  <c r="C32" i="9" s="1"/>
  <c r="C791" i="6"/>
  <c r="C36" i="9" s="1"/>
  <c r="C808" i="6"/>
  <c r="C53" i="9" s="1"/>
  <c r="C813" i="6"/>
  <c r="C58" i="9" s="1"/>
  <c r="C819" i="6"/>
  <c r="C64" i="9" s="1"/>
  <c r="C823" i="6"/>
  <c r="C840" i="6"/>
  <c r="C85" i="9" s="1"/>
  <c r="C845" i="6"/>
  <c r="C851" i="6"/>
  <c r="C96" i="9" s="1"/>
  <c r="C855" i="6"/>
  <c r="C100" i="9" s="1"/>
  <c r="C872" i="6"/>
  <c r="C117" i="9" s="1"/>
  <c r="C877" i="6"/>
  <c r="C122" i="9" s="1"/>
  <c r="C883" i="6"/>
  <c r="C128" i="9" s="1"/>
  <c r="C887" i="6"/>
  <c r="C132" i="9" s="1"/>
  <c r="C904" i="6"/>
  <c r="C149" i="9" s="1"/>
  <c r="C909" i="6"/>
  <c r="C154" i="9" s="1"/>
  <c r="C915" i="6"/>
  <c r="C160" i="9" s="1"/>
  <c r="C919" i="6"/>
  <c r="C164" i="9" s="1"/>
  <c r="C936" i="6"/>
  <c r="C181" i="9" s="1"/>
  <c r="C941" i="6"/>
  <c r="C186" i="9" s="1"/>
  <c r="C947" i="6"/>
  <c r="C192" i="9" s="1"/>
  <c r="C951" i="6"/>
  <c r="C196" i="9" s="1"/>
  <c r="C966" i="6"/>
  <c r="C981" i="6"/>
  <c r="D981" i="6" s="1"/>
  <c r="C986" i="6"/>
  <c r="C231" i="9" s="1"/>
  <c r="C995" i="6"/>
  <c r="C240" i="9" s="1"/>
  <c r="C999" i="6"/>
  <c r="C244" i="9" s="1"/>
  <c r="C1004" i="6"/>
  <c r="C120" i="6"/>
  <c r="D122" i="6" s="1"/>
  <c r="C152" i="6"/>
  <c r="C279" i="6"/>
  <c r="C321" i="6"/>
  <c r="C322" i="6"/>
  <c r="C346" i="6"/>
  <c r="C65" i="6"/>
  <c r="C498" i="6"/>
  <c r="R18" i="1"/>
  <c r="C208" i="6"/>
  <c r="C218" i="6"/>
  <c r="C258" i="6"/>
  <c r="D266" i="6"/>
  <c r="C337" i="6"/>
  <c r="C338" i="6"/>
  <c r="C669" i="6"/>
  <c r="C701" i="6"/>
  <c r="C733" i="6"/>
  <c r="C765" i="6"/>
  <c r="C42" i="9"/>
  <c r="C52" i="9"/>
  <c r="C84" i="9"/>
  <c r="C138" i="9"/>
  <c r="C148" i="9"/>
  <c r="C180" i="9"/>
  <c r="C15" i="9"/>
  <c r="C28" i="9"/>
  <c r="C92" i="9"/>
  <c r="D849" i="6"/>
  <c r="C114" i="9"/>
  <c r="C178" i="9"/>
  <c r="C746" i="6"/>
  <c r="C188" i="6"/>
  <c r="D188" i="6" s="1"/>
  <c r="C113" i="6"/>
  <c r="C514" i="6"/>
  <c r="C530" i="6"/>
  <c r="C562" i="6"/>
  <c r="C578" i="6"/>
  <c r="C594" i="6"/>
  <c r="C610" i="6"/>
  <c r="C629" i="6"/>
  <c r="C653" i="6"/>
  <c r="C685" i="6"/>
  <c r="D687" i="6" s="1"/>
  <c r="C717" i="6"/>
  <c r="C749" i="6"/>
  <c r="C781" i="6"/>
  <c r="C144" i="6"/>
  <c r="C160" i="6"/>
  <c r="C168" i="6"/>
  <c r="C25" i="6"/>
  <c r="C57" i="6"/>
  <c r="C386" i="6"/>
  <c r="C434" i="6"/>
  <c r="C183" i="6"/>
  <c r="C203" i="6"/>
  <c r="C223" i="6"/>
  <c r="C231" i="6"/>
  <c r="D233" i="6" s="1"/>
  <c r="C306" i="6"/>
  <c r="C314" i="6"/>
  <c r="D316" i="6" s="1"/>
  <c r="C330" i="6"/>
  <c r="C332" i="6"/>
  <c r="C634" i="6"/>
  <c r="C658" i="6"/>
  <c r="C690" i="6"/>
  <c r="C722" i="6"/>
  <c r="C754" i="6"/>
  <c r="C19" i="9"/>
  <c r="C200" i="6"/>
  <c r="C247" i="6"/>
  <c r="C348" i="6"/>
  <c r="C17" i="6"/>
  <c r="C33" i="6"/>
  <c r="C41" i="6"/>
  <c r="C81" i="6"/>
  <c r="C89" i="6"/>
  <c r="C105" i="6"/>
  <c r="C215" i="6"/>
  <c r="C353" i="6"/>
  <c r="C466" i="6"/>
  <c r="C482" i="6"/>
  <c r="C546" i="6"/>
  <c r="C22" i="6"/>
  <c r="C23" i="6"/>
  <c r="C30" i="6"/>
  <c r="C31" i="6"/>
  <c r="C46" i="6"/>
  <c r="C47" i="6"/>
  <c r="C54" i="6"/>
  <c r="C55" i="6"/>
  <c r="D60" i="6"/>
  <c r="C79" i="6"/>
  <c r="C78" i="6"/>
  <c r="C94" i="6"/>
  <c r="C95" i="6"/>
  <c r="C118" i="6"/>
  <c r="C119" i="6"/>
  <c r="C191" i="6"/>
  <c r="D193" i="6" s="1"/>
  <c r="D197" i="6"/>
  <c r="C199" i="6"/>
  <c r="C272" i="6"/>
  <c r="C360" i="6"/>
  <c r="C389" i="6"/>
  <c r="C405" i="6"/>
  <c r="C421" i="6"/>
  <c r="C437" i="6"/>
  <c r="C453" i="6"/>
  <c r="D455" i="6" s="1"/>
  <c r="C469" i="6"/>
  <c r="C485" i="6"/>
  <c r="C501" i="6"/>
  <c r="C517" i="6"/>
  <c r="C533" i="6"/>
  <c r="C549" i="6"/>
  <c r="D551" i="6" s="1"/>
  <c r="C565" i="6"/>
  <c r="C581" i="6"/>
  <c r="C597" i="6"/>
  <c r="C613" i="6"/>
  <c r="C637" i="6"/>
  <c r="C661" i="6"/>
  <c r="C693" i="6"/>
  <c r="D695" i="6" s="1"/>
  <c r="C725" i="6"/>
  <c r="C757" i="6"/>
  <c r="C8" i="9"/>
  <c r="C12" i="9"/>
  <c r="C34" i="9"/>
  <c r="C44" i="9"/>
  <c r="C66" i="9"/>
  <c r="C98" i="9"/>
  <c r="C108" i="9"/>
  <c r="C130" i="9"/>
  <c r="C162" i="9"/>
  <c r="C172" i="9"/>
  <c r="C204" i="9"/>
  <c r="C128" i="6"/>
  <c r="D130" i="6" s="1"/>
  <c r="C136" i="6"/>
  <c r="C372" i="6"/>
  <c r="C373" i="6"/>
  <c r="R16" i="1"/>
  <c r="C49" i="6"/>
  <c r="C73" i="6"/>
  <c r="C97" i="6"/>
  <c r="C402" i="6"/>
  <c r="C418" i="6"/>
  <c r="C450" i="6"/>
  <c r="Q17" i="1"/>
  <c r="R17" i="1" s="1"/>
  <c r="C14" i="6"/>
  <c r="C38" i="6"/>
  <c r="C39" i="6"/>
  <c r="C62" i="6"/>
  <c r="C63" i="6"/>
  <c r="C70" i="6"/>
  <c r="C71" i="6"/>
  <c r="C87" i="6"/>
  <c r="C86" i="6"/>
  <c r="C102" i="6"/>
  <c r="C103" i="6"/>
  <c r="C110" i="6"/>
  <c r="C111" i="6"/>
  <c r="C282" i="6"/>
  <c r="C242" i="6"/>
  <c r="C250" i="6"/>
  <c r="D252" i="6" s="1"/>
  <c r="D268" i="6"/>
  <c r="C284" i="6"/>
  <c r="D288" i="6"/>
  <c r="C290" i="6"/>
  <c r="D381" i="6"/>
  <c r="D413" i="6"/>
  <c r="D509" i="6"/>
  <c r="C666" i="6"/>
  <c r="C698" i="6"/>
  <c r="C730" i="6"/>
  <c r="C762" i="6"/>
  <c r="C212" i="9"/>
  <c r="C182" i="6"/>
  <c r="C15" i="6"/>
  <c r="C174" i="6"/>
  <c r="C206" i="6"/>
  <c r="C238" i="6"/>
  <c r="C270" i="6"/>
  <c r="C302" i="6"/>
  <c r="D304" i="6" s="1"/>
  <c r="C326" i="6"/>
  <c r="C342" i="6"/>
  <c r="C366" i="6"/>
  <c r="D869" i="6"/>
  <c r="D933" i="6"/>
  <c r="C217" i="9"/>
  <c r="C230" i="9"/>
  <c r="C220" i="9"/>
  <c r="C225" i="9"/>
  <c r="C243" i="9"/>
  <c r="C224" i="9"/>
  <c r="C63" i="9"/>
  <c r="C71" i="9"/>
  <c r="C79" i="9"/>
  <c r="D836" i="6"/>
  <c r="C81" i="9"/>
  <c r="C111" i="9"/>
  <c r="C113" i="9"/>
  <c r="C127" i="9"/>
  <c r="C135" i="9"/>
  <c r="C143" i="9"/>
  <c r="D932" i="6"/>
  <c r="C177" i="9"/>
  <c r="C191" i="9"/>
  <c r="C199" i="9"/>
  <c r="C962" i="6"/>
  <c r="C209" i="9"/>
  <c r="D989" i="6"/>
  <c r="D818" i="6"/>
  <c r="D848" i="6"/>
  <c r="D880" i="6"/>
  <c r="D882" i="6"/>
  <c r="D946" i="6"/>
  <c r="C226" i="9"/>
  <c r="C249" i="9"/>
  <c r="C214" i="6"/>
  <c r="C246" i="6"/>
  <c r="C329" i="6"/>
  <c r="C345" i="6"/>
  <c r="C358" i="6"/>
  <c r="C214" i="9"/>
  <c r="C219" i="9"/>
  <c r="C242" i="9"/>
  <c r="C278" i="6"/>
  <c r="C310" i="6"/>
  <c r="C377" i="6"/>
  <c r="C227" i="9"/>
  <c r="C246" i="9"/>
  <c r="C8" i="7"/>
  <c r="E15" i="7"/>
  <c r="E23" i="7"/>
  <c r="C67" i="7"/>
  <c r="E78" i="7"/>
  <c r="C99" i="7"/>
  <c r="E110" i="7"/>
  <c r="C116" i="7"/>
  <c r="C122" i="7"/>
  <c r="C145" i="7"/>
  <c r="C189" i="7"/>
  <c r="C188" i="7"/>
  <c r="E206" i="7"/>
  <c r="E207" i="7"/>
  <c r="C301" i="7"/>
  <c r="C300" i="7"/>
  <c r="C333" i="7"/>
  <c r="C332" i="7"/>
  <c r="C365" i="7"/>
  <c r="C364" i="7"/>
  <c r="C493" i="7"/>
  <c r="C492" i="7"/>
  <c r="C976" i="6"/>
  <c r="C984" i="6"/>
  <c r="C992" i="6"/>
  <c r="C1000" i="6"/>
  <c r="C1008" i="6"/>
  <c r="E64" i="7"/>
  <c r="E65" i="7"/>
  <c r="E96" i="7"/>
  <c r="E97" i="7"/>
  <c r="E134" i="7"/>
  <c r="E133" i="7"/>
  <c r="E140" i="7"/>
  <c r="E139" i="7"/>
  <c r="C308" i="7"/>
  <c r="C307" i="7"/>
  <c r="C340" i="7"/>
  <c r="C339" i="7"/>
  <c r="C372" i="7"/>
  <c r="C371" i="7"/>
  <c r="C378" i="7"/>
  <c r="C379" i="7"/>
  <c r="C394" i="7"/>
  <c r="C395" i="7"/>
  <c r="C417" i="7"/>
  <c r="C418" i="7"/>
  <c r="C438" i="7"/>
  <c r="C437" i="7"/>
  <c r="E462" i="7"/>
  <c r="E463" i="7"/>
  <c r="C500" i="7"/>
  <c r="C499" i="7"/>
  <c r="C506" i="7"/>
  <c r="C507" i="7"/>
  <c r="C522" i="7"/>
  <c r="C523" i="7"/>
  <c r="C570" i="7"/>
  <c r="C571" i="7"/>
  <c r="E8" i="7"/>
  <c r="E29" i="7"/>
  <c r="E37" i="7"/>
  <c r="E45" i="7"/>
  <c r="E53" i="7"/>
  <c r="E125" i="7"/>
  <c r="C131" i="7"/>
  <c r="C163" i="7"/>
  <c r="C180" i="7"/>
  <c r="C179" i="7"/>
  <c r="E182" i="7"/>
  <c r="E183" i="7"/>
  <c r="C195" i="7"/>
  <c r="C204" i="7"/>
  <c r="C230" i="7"/>
  <c r="C229" i="7"/>
  <c r="C245" i="7"/>
  <c r="C291" i="7"/>
  <c r="C323" i="7"/>
  <c r="C355" i="7"/>
  <c r="C461" i="7"/>
  <c r="C460" i="7"/>
  <c r="C483" i="7"/>
  <c r="C129" i="7"/>
  <c r="C140" i="7"/>
  <c r="E151" i="7"/>
  <c r="E160" i="7"/>
  <c r="E161" i="7"/>
  <c r="E179" i="7"/>
  <c r="C226" i="7"/>
  <c r="C237" i="7"/>
  <c r="C236" i="7"/>
  <c r="C282" i="7"/>
  <c r="C283" i="7"/>
  <c r="C298" i="7"/>
  <c r="C299" i="7"/>
  <c r="C314" i="7"/>
  <c r="C315" i="7"/>
  <c r="C330" i="7"/>
  <c r="C331" i="7"/>
  <c r="C346" i="7"/>
  <c r="C347" i="7"/>
  <c r="C362" i="7"/>
  <c r="C363" i="7"/>
  <c r="C385" i="7"/>
  <c r="C386" i="7"/>
  <c r="C406" i="7"/>
  <c r="C405" i="7"/>
  <c r="E430" i="7"/>
  <c r="E431" i="7"/>
  <c r="C468" i="7"/>
  <c r="C467" i="7"/>
  <c r="C474" i="7"/>
  <c r="C475" i="7"/>
  <c r="C490" i="7"/>
  <c r="C491" i="7"/>
  <c r="C513" i="7"/>
  <c r="C514" i="7"/>
  <c r="C548" i="7"/>
  <c r="C547" i="7"/>
  <c r="C17" i="7"/>
  <c r="E71" i="7"/>
  <c r="E103" i="7"/>
  <c r="E118" i="7"/>
  <c r="E117" i="7"/>
  <c r="E124" i="7"/>
  <c r="E123" i="7"/>
  <c r="C152" i="7"/>
  <c r="E166" i="7"/>
  <c r="E167" i="7"/>
  <c r="E239" i="7"/>
  <c r="C429" i="7"/>
  <c r="C428" i="7"/>
  <c r="C451" i="7"/>
  <c r="E533" i="7"/>
  <c r="C12" i="7"/>
  <c r="C20" i="7"/>
  <c r="C28" i="7"/>
  <c r="C36" i="7"/>
  <c r="C44" i="7"/>
  <c r="C52" i="7"/>
  <c r="C60" i="7"/>
  <c r="C72" i="7"/>
  <c r="E80" i="7"/>
  <c r="E81" i="7"/>
  <c r="E86" i="7"/>
  <c r="C92" i="7"/>
  <c r="C104" i="7"/>
  <c r="C138" i="7"/>
  <c r="C155" i="7"/>
  <c r="E176" i="7"/>
  <c r="E177" i="7"/>
  <c r="C184" i="7"/>
  <c r="C193" i="7"/>
  <c r="E208" i="7"/>
  <c r="E209" i="7"/>
  <c r="C218" i="7"/>
  <c r="C219" i="7"/>
  <c r="E261" i="7"/>
  <c r="C278" i="7"/>
  <c r="C277" i="7"/>
  <c r="C289" i="7"/>
  <c r="C290" i="7"/>
  <c r="C310" i="7"/>
  <c r="C309" i="7"/>
  <c r="C321" i="7"/>
  <c r="C322" i="7"/>
  <c r="C342" i="7"/>
  <c r="C341" i="7"/>
  <c r="C353" i="7"/>
  <c r="C354" i="7"/>
  <c r="C374" i="7"/>
  <c r="C373" i="7"/>
  <c r="E398" i="7"/>
  <c r="E399" i="7"/>
  <c r="C436" i="7"/>
  <c r="C435" i="7"/>
  <c r="C442" i="7"/>
  <c r="C443" i="7"/>
  <c r="C458" i="7"/>
  <c r="C459" i="7"/>
  <c r="C481" i="7"/>
  <c r="C482" i="7"/>
  <c r="C502" i="7"/>
  <c r="C501" i="7"/>
  <c r="E526" i="7"/>
  <c r="E527" i="7"/>
  <c r="C15" i="7"/>
  <c r="C75" i="7"/>
  <c r="C81" i="7"/>
  <c r="C107" i="7"/>
  <c r="C113" i="7"/>
  <c r="E150" i="7"/>
  <c r="E149" i="7"/>
  <c r="E158" i="7"/>
  <c r="E159" i="7"/>
  <c r="C177" i="7"/>
  <c r="C178" i="7"/>
  <c r="E215" i="7"/>
  <c r="C234" i="7"/>
  <c r="C235" i="7"/>
  <c r="C259" i="7"/>
  <c r="E277" i="7"/>
  <c r="E309" i="7"/>
  <c r="E341" i="7"/>
  <c r="E373" i="7"/>
  <c r="C397" i="7"/>
  <c r="C396" i="7"/>
  <c r="E501" i="7"/>
  <c r="C525" i="7"/>
  <c r="C524" i="7"/>
  <c r="C538" i="7"/>
  <c r="C539" i="7"/>
  <c r="C10" i="7"/>
  <c r="C18" i="7"/>
  <c r="C26" i="7"/>
  <c r="C34" i="7"/>
  <c r="C42" i="7"/>
  <c r="C50" i="7"/>
  <c r="C58" i="7"/>
  <c r="E63" i="7"/>
  <c r="E69" i="7"/>
  <c r="C90" i="7"/>
  <c r="E95" i="7"/>
  <c r="E101" i="7"/>
  <c r="C136" i="7"/>
  <c r="E141" i="7"/>
  <c r="C159" i="7"/>
  <c r="C168" i="7"/>
  <c r="E190" i="7"/>
  <c r="E191" i="7"/>
  <c r="C194" i="7"/>
  <c r="E224" i="7"/>
  <c r="E225" i="7"/>
  <c r="E255" i="7"/>
  <c r="E302" i="7"/>
  <c r="E303" i="7"/>
  <c r="E334" i="7"/>
  <c r="E335" i="7"/>
  <c r="E366" i="7"/>
  <c r="E367" i="7"/>
  <c r="C404" i="7"/>
  <c r="C403" i="7"/>
  <c r="C410" i="7"/>
  <c r="C411" i="7"/>
  <c r="C426" i="7"/>
  <c r="C427" i="7"/>
  <c r="C449" i="7"/>
  <c r="C450" i="7"/>
  <c r="C470" i="7"/>
  <c r="C469" i="7"/>
  <c r="E494" i="7"/>
  <c r="E495" i="7"/>
  <c r="C532" i="7"/>
  <c r="C531" i="7"/>
  <c r="E602" i="7"/>
  <c r="E603" i="7"/>
  <c r="E614" i="7"/>
  <c r="E615" i="7"/>
  <c r="C700" i="7"/>
  <c r="C701" i="7"/>
  <c r="E964" i="7"/>
  <c r="E965" i="7"/>
  <c r="C977" i="7"/>
  <c r="C976" i="7"/>
  <c r="E558" i="7"/>
  <c r="E559" i="7"/>
  <c r="C579" i="7"/>
  <c r="E590" i="7"/>
  <c r="E591" i="7"/>
  <c r="C629" i="7"/>
  <c r="E672" i="7"/>
  <c r="E673" i="7"/>
  <c r="C692" i="7"/>
  <c r="C738" i="7"/>
  <c r="C784" i="7"/>
  <c r="C806" i="7"/>
  <c r="E870" i="7"/>
  <c r="E871" i="7"/>
  <c r="C883" i="7"/>
  <c r="C882" i="7"/>
  <c r="E950" i="7"/>
  <c r="E951" i="7"/>
  <c r="E192" i="7"/>
  <c r="E193" i="7"/>
  <c r="E198" i="7"/>
  <c r="E288" i="7"/>
  <c r="E289" i="7"/>
  <c r="E320" i="7"/>
  <c r="E321" i="7"/>
  <c r="E352" i="7"/>
  <c r="E353" i="7"/>
  <c r="E384" i="7"/>
  <c r="E385" i="7"/>
  <c r="E416" i="7"/>
  <c r="E417" i="7"/>
  <c r="E448" i="7"/>
  <c r="E449" i="7"/>
  <c r="E480" i="7"/>
  <c r="E481" i="7"/>
  <c r="E512" i="7"/>
  <c r="E513" i="7"/>
  <c r="C533" i="7"/>
  <c r="E544" i="7"/>
  <c r="E545" i="7"/>
  <c r="C556" i="7"/>
  <c r="C565" i="7"/>
  <c r="E576" i="7"/>
  <c r="E577" i="7"/>
  <c r="C588" i="7"/>
  <c r="E594" i="7"/>
  <c r="E595" i="7"/>
  <c r="C612" i="7"/>
  <c r="E626" i="7"/>
  <c r="E627" i="7"/>
  <c r="C641" i="7"/>
  <c r="C642" i="7"/>
  <c r="C653" i="7"/>
  <c r="C670" i="7"/>
  <c r="C718" i="7"/>
  <c r="E738" i="7"/>
  <c r="E739" i="7"/>
  <c r="C764" i="7"/>
  <c r="C765" i="7"/>
  <c r="E806" i="7"/>
  <c r="E807" i="7"/>
  <c r="C545" i="7"/>
  <c r="E565" i="7"/>
  <c r="C577" i="7"/>
  <c r="C598" i="7"/>
  <c r="C599" i="7"/>
  <c r="C627" i="7"/>
  <c r="E747" i="7"/>
  <c r="C869" i="7"/>
  <c r="C868" i="7"/>
  <c r="C554" i="7"/>
  <c r="C555" i="7"/>
  <c r="C586" i="7"/>
  <c r="C587" i="7"/>
  <c r="C595" i="7"/>
  <c r="C604" i="7"/>
  <c r="C610" i="7"/>
  <c r="C611" i="7"/>
  <c r="E638" i="7"/>
  <c r="E639" i="7"/>
  <c r="C668" i="7"/>
  <c r="C669" i="7"/>
  <c r="C710" i="7"/>
  <c r="C716" i="7"/>
  <c r="C717" i="7"/>
  <c r="E759" i="7"/>
  <c r="C805" i="7"/>
  <c r="C804" i="7"/>
  <c r="E856" i="7"/>
  <c r="E857" i="7"/>
  <c r="C862" i="7"/>
  <c r="C863" i="7"/>
  <c r="E60" i="7"/>
  <c r="E76" i="7"/>
  <c r="E92" i="7"/>
  <c r="E108" i="7"/>
  <c r="E156" i="7"/>
  <c r="E164" i="7"/>
  <c r="E174" i="7"/>
  <c r="C191" i="7"/>
  <c r="C202" i="7"/>
  <c r="E223" i="7"/>
  <c r="C232" i="7"/>
  <c r="E245" i="7"/>
  <c r="C251" i="7"/>
  <c r="E272" i="7"/>
  <c r="E273" i="7"/>
  <c r="E275" i="7"/>
  <c r="E278" i="7"/>
  <c r="E286" i="7"/>
  <c r="E287" i="7"/>
  <c r="E318" i="7"/>
  <c r="E319" i="7"/>
  <c r="E350" i="7"/>
  <c r="E351" i="7"/>
  <c r="E382" i="7"/>
  <c r="E383" i="7"/>
  <c r="E414" i="7"/>
  <c r="E415" i="7"/>
  <c r="E446" i="7"/>
  <c r="E447" i="7"/>
  <c r="E478" i="7"/>
  <c r="E479" i="7"/>
  <c r="E510" i="7"/>
  <c r="E511" i="7"/>
  <c r="E542" i="7"/>
  <c r="E543" i="7"/>
  <c r="C563" i="7"/>
  <c r="E574" i="7"/>
  <c r="E575" i="7"/>
  <c r="E607" i="7"/>
  <c r="C622" i="7"/>
  <c r="C623" i="7"/>
  <c r="C651" i="7"/>
  <c r="E665" i="7"/>
  <c r="E682" i="7"/>
  <c r="E683" i="7"/>
  <c r="E713" i="7"/>
  <c r="C734" i="7"/>
  <c r="C735" i="7"/>
  <c r="C754" i="7"/>
  <c r="C774" i="7"/>
  <c r="C780" i="7"/>
  <c r="C781" i="7"/>
  <c r="E850" i="7"/>
  <c r="E851" i="7"/>
  <c r="E58" i="7"/>
  <c r="E74" i="7"/>
  <c r="E90" i="7"/>
  <c r="E106" i="7"/>
  <c r="E115" i="7"/>
  <c r="E131" i="7"/>
  <c r="E147" i="7"/>
  <c r="C172" i="7"/>
  <c r="C175" i="7"/>
  <c r="C186" i="7"/>
  <c r="C213" i="7"/>
  <c r="C216" i="7"/>
  <c r="E229" i="7"/>
  <c r="E256" i="7"/>
  <c r="E257" i="7"/>
  <c r="E259" i="7"/>
  <c r="E262" i="7"/>
  <c r="C273" i="7"/>
  <c r="C284" i="7"/>
  <c r="C287" i="7"/>
  <c r="C293" i="7"/>
  <c r="C296" i="7"/>
  <c r="E304" i="7"/>
  <c r="E305" i="7"/>
  <c r="E307" i="7"/>
  <c r="C316" i="7"/>
  <c r="C319" i="7"/>
  <c r="C325" i="7"/>
  <c r="C328" i="7"/>
  <c r="E336" i="7"/>
  <c r="E337" i="7"/>
  <c r="E339" i="7"/>
  <c r="C348" i="7"/>
  <c r="C351" i="7"/>
  <c r="C357" i="7"/>
  <c r="C360" i="7"/>
  <c r="E368" i="7"/>
  <c r="E369" i="7"/>
  <c r="E371" i="7"/>
  <c r="C380" i="7"/>
  <c r="C383" i="7"/>
  <c r="C389" i="7"/>
  <c r="C392" i="7"/>
  <c r="E400" i="7"/>
  <c r="E401" i="7"/>
  <c r="E403" i="7"/>
  <c r="C412" i="7"/>
  <c r="C415" i="7"/>
  <c r="C421" i="7"/>
  <c r="C424" i="7"/>
  <c r="E432" i="7"/>
  <c r="E433" i="7"/>
  <c r="E435" i="7"/>
  <c r="C444" i="7"/>
  <c r="C447" i="7"/>
  <c r="C453" i="7"/>
  <c r="C456" i="7"/>
  <c r="E464" i="7"/>
  <c r="E465" i="7"/>
  <c r="E467" i="7"/>
  <c r="C476" i="7"/>
  <c r="C479" i="7"/>
  <c r="C485" i="7"/>
  <c r="C488" i="7"/>
  <c r="E496" i="7"/>
  <c r="E497" i="7"/>
  <c r="E499" i="7"/>
  <c r="C508" i="7"/>
  <c r="C511" i="7"/>
  <c r="C517" i="7"/>
  <c r="C520" i="7"/>
  <c r="E528" i="7"/>
  <c r="E529" i="7"/>
  <c r="E531" i="7"/>
  <c r="C540" i="7"/>
  <c r="C543" i="7"/>
  <c r="C546" i="7"/>
  <c r="C549" i="7"/>
  <c r="C552" i="7"/>
  <c r="E560" i="7"/>
  <c r="E561" i="7"/>
  <c r="E563" i="7"/>
  <c r="C572" i="7"/>
  <c r="C575" i="7"/>
  <c r="C578" i="7"/>
  <c r="C581" i="7"/>
  <c r="C584" i="7"/>
  <c r="C628" i="7"/>
  <c r="C631" i="7"/>
  <c r="E651" i="7"/>
  <c r="C660" i="7"/>
  <c r="E674" i="7"/>
  <c r="E675" i="7"/>
  <c r="E731" i="7"/>
  <c r="E777" i="7"/>
  <c r="C798" i="7"/>
  <c r="C799" i="7"/>
  <c r="E836" i="7"/>
  <c r="E837" i="7"/>
  <c r="C849" i="7"/>
  <c r="C848" i="7"/>
  <c r="E984" i="7"/>
  <c r="E985" i="7"/>
  <c r="C990" i="7"/>
  <c r="C991" i="7"/>
  <c r="E56" i="7"/>
  <c r="E72" i="7"/>
  <c r="E88" i="7"/>
  <c r="E104" i="7"/>
  <c r="C200" i="7"/>
  <c r="E213" i="7"/>
  <c r="E240" i="7"/>
  <c r="E241" i="7"/>
  <c r="E243" i="7"/>
  <c r="E246" i="7"/>
  <c r="C257" i="7"/>
  <c r="E270" i="7"/>
  <c r="E293" i="7"/>
  <c r="C305" i="7"/>
  <c r="E325" i="7"/>
  <c r="C337" i="7"/>
  <c r="E357" i="7"/>
  <c r="C369" i="7"/>
  <c r="E389" i="7"/>
  <c r="C401" i="7"/>
  <c r="E421" i="7"/>
  <c r="C433" i="7"/>
  <c r="E453" i="7"/>
  <c r="C465" i="7"/>
  <c r="E485" i="7"/>
  <c r="C497" i="7"/>
  <c r="E517" i="7"/>
  <c r="C529" i="7"/>
  <c r="E549" i="7"/>
  <c r="C561" i="7"/>
  <c r="E581" i="7"/>
  <c r="C593" i="7"/>
  <c r="C594" i="7"/>
  <c r="C605" i="7"/>
  <c r="C620" i="7"/>
  <c r="C634" i="7"/>
  <c r="C635" i="7"/>
  <c r="C637" i="7"/>
  <c r="E648" i="7"/>
  <c r="E649" i="7"/>
  <c r="E663" i="7"/>
  <c r="E677" i="7"/>
  <c r="C708" i="7"/>
  <c r="E808" i="7"/>
  <c r="E809" i="7"/>
  <c r="E822" i="7"/>
  <c r="E823" i="7"/>
  <c r="E884" i="7"/>
  <c r="E885" i="7"/>
  <c r="E898" i="7"/>
  <c r="E899" i="7"/>
  <c r="E978" i="7"/>
  <c r="E979" i="7"/>
  <c r="E294" i="7"/>
  <c r="E310" i="7"/>
  <c r="E326" i="7"/>
  <c r="E342" i="7"/>
  <c r="E358" i="7"/>
  <c r="E374" i="7"/>
  <c r="E390" i="7"/>
  <c r="E406" i="7"/>
  <c r="E422" i="7"/>
  <c r="E438" i="7"/>
  <c r="E454" i="7"/>
  <c r="E470" i="7"/>
  <c r="E486" i="7"/>
  <c r="E502" i="7"/>
  <c r="E518" i="7"/>
  <c r="E534" i="7"/>
  <c r="E550" i="7"/>
  <c r="E566" i="7"/>
  <c r="E582" i="7"/>
  <c r="E608" i="7"/>
  <c r="E642" i="7"/>
  <c r="E654" i="7"/>
  <c r="E802" i="7"/>
  <c r="E824" i="7"/>
  <c r="E825" i="7"/>
  <c r="C830" i="7"/>
  <c r="C831" i="7"/>
  <c r="E918" i="7"/>
  <c r="E919" i="7"/>
  <c r="E932" i="7"/>
  <c r="E933" i="7"/>
  <c r="E946" i="7"/>
  <c r="E947" i="7"/>
  <c r="E952" i="7"/>
  <c r="E953" i="7"/>
  <c r="C958" i="7"/>
  <c r="C959" i="7"/>
  <c r="E1046" i="7"/>
  <c r="E1047" i="7"/>
  <c r="E1060" i="7"/>
  <c r="E1061" i="7"/>
  <c r="E1074" i="7"/>
  <c r="E1075" i="7"/>
  <c r="E1080" i="7"/>
  <c r="E1081" i="7"/>
  <c r="C1086" i="7"/>
  <c r="C1087" i="7"/>
  <c r="E1174" i="7"/>
  <c r="E1175" i="7"/>
  <c r="E1188" i="7"/>
  <c r="E1189" i="7"/>
  <c r="E1202" i="7"/>
  <c r="E1203" i="7"/>
  <c r="E1208" i="7"/>
  <c r="E1209" i="7"/>
  <c r="C1214" i="7"/>
  <c r="C1215" i="7"/>
  <c r="C1278" i="7"/>
  <c r="C1279" i="7"/>
  <c r="E1357" i="7"/>
  <c r="E1356" i="7"/>
  <c r="C1433" i="7"/>
  <c r="C1432" i="7"/>
  <c r="C1559" i="7"/>
  <c r="C1558" i="7"/>
  <c r="C1595" i="7"/>
  <c r="C1594" i="7"/>
  <c r="C2077" i="7"/>
  <c r="C2076" i="7"/>
  <c r="C2083" i="7"/>
  <c r="C2082" i="7"/>
  <c r="E904" i="7"/>
  <c r="E905" i="7"/>
  <c r="C910" i="7"/>
  <c r="C911" i="7"/>
  <c r="E998" i="7"/>
  <c r="E999" i="7"/>
  <c r="E1012" i="7"/>
  <c r="E1013" i="7"/>
  <c r="E1026" i="7"/>
  <c r="E1027" i="7"/>
  <c r="E1032" i="7"/>
  <c r="E1033" i="7"/>
  <c r="C1038" i="7"/>
  <c r="C1039" i="7"/>
  <c r="E1126" i="7"/>
  <c r="E1127" i="7"/>
  <c r="E1140" i="7"/>
  <c r="E1141" i="7"/>
  <c r="E1154" i="7"/>
  <c r="E1155" i="7"/>
  <c r="E1160" i="7"/>
  <c r="E1161" i="7"/>
  <c r="C1166" i="7"/>
  <c r="C1167" i="7"/>
  <c r="E1254" i="7"/>
  <c r="E1255" i="7"/>
  <c r="C1294" i="7"/>
  <c r="C1295" i="7"/>
  <c r="C1367" i="7"/>
  <c r="C1366" i="7"/>
  <c r="E1385" i="7"/>
  <c r="E1384" i="7"/>
  <c r="C1445" i="7"/>
  <c r="C1444" i="7"/>
  <c r="E1510" i="7"/>
  <c r="E1511" i="7"/>
  <c r="C1751" i="7"/>
  <c r="C1750" i="7"/>
  <c r="E1078" i="7"/>
  <c r="E1079" i="7"/>
  <c r="E1092" i="7"/>
  <c r="E1093" i="7"/>
  <c r="E1106" i="7"/>
  <c r="E1107" i="7"/>
  <c r="E1112" i="7"/>
  <c r="E1113" i="7"/>
  <c r="C1118" i="7"/>
  <c r="C1119" i="7"/>
  <c r="E1206" i="7"/>
  <c r="E1207" i="7"/>
  <c r="E1220" i="7"/>
  <c r="E1221" i="7"/>
  <c r="E1234" i="7"/>
  <c r="E1235" i="7"/>
  <c r="E1240" i="7"/>
  <c r="E1241" i="7"/>
  <c r="C1246" i="7"/>
  <c r="C1247" i="7"/>
  <c r="C1284" i="7"/>
  <c r="C1310" i="7"/>
  <c r="C1311" i="7"/>
  <c r="C1427" i="7"/>
  <c r="C1426" i="7"/>
  <c r="E902" i="7"/>
  <c r="E903" i="7"/>
  <c r="E916" i="7"/>
  <c r="E917" i="7"/>
  <c r="E930" i="7"/>
  <c r="E931" i="7"/>
  <c r="E936" i="7"/>
  <c r="E937" i="7"/>
  <c r="C942" i="7"/>
  <c r="C943" i="7"/>
  <c r="C996" i="7"/>
  <c r="C1010" i="7"/>
  <c r="E1030" i="7"/>
  <c r="E1031" i="7"/>
  <c r="E1044" i="7"/>
  <c r="E1045" i="7"/>
  <c r="E1058" i="7"/>
  <c r="E1059" i="7"/>
  <c r="E1064" i="7"/>
  <c r="E1065" i="7"/>
  <c r="C1070" i="7"/>
  <c r="C1071" i="7"/>
  <c r="C1104" i="7"/>
  <c r="C1124" i="7"/>
  <c r="C1138" i="7"/>
  <c r="E1158" i="7"/>
  <c r="E1159" i="7"/>
  <c r="E1172" i="7"/>
  <c r="E1173" i="7"/>
  <c r="E1186" i="7"/>
  <c r="E1187" i="7"/>
  <c r="E1192" i="7"/>
  <c r="E1193" i="7"/>
  <c r="C1198" i="7"/>
  <c r="C1199" i="7"/>
  <c r="C1232" i="7"/>
  <c r="C1252" i="7"/>
  <c r="C1326" i="7"/>
  <c r="C1327" i="7"/>
  <c r="E1421" i="7"/>
  <c r="E1420" i="7"/>
  <c r="C1509" i="7"/>
  <c r="C1508" i="7"/>
  <c r="C1629" i="7"/>
  <c r="C1628" i="7"/>
  <c r="E1727" i="7"/>
  <c r="E1726" i="7"/>
  <c r="C1815" i="7"/>
  <c r="C1814" i="7"/>
  <c r="E854" i="7"/>
  <c r="E855" i="7"/>
  <c r="E868" i="7"/>
  <c r="E869" i="7"/>
  <c r="E882" i="7"/>
  <c r="E883" i="7"/>
  <c r="E888" i="7"/>
  <c r="E889" i="7"/>
  <c r="C894" i="7"/>
  <c r="C895" i="7"/>
  <c r="C928" i="7"/>
  <c r="C948" i="7"/>
  <c r="E982" i="7"/>
  <c r="E983" i="7"/>
  <c r="E996" i="7"/>
  <c r="E997" i="7"/>
  <c r="E1010" i="7"/>
  <c r="E1011" i="7"/>
  <c r="E1016" i="7"/>
  <c r="E1017" i="7"/>
  <c r="C1022" i="7"/>
  <c r="C1023" i="7"/>
  <c r="C1056" i="7"/>
  <c r="C1076" i="7"/>
  <c r="C1090" i="7"/>
  <c r="E1110" i="7"/>
  <c r="E1111" i="7"/>
  <c r="E1124" i="7"/>
  <c r="E1125" i="7"/>
  <c r="E1138" i="7"/>
  <c r="E1139" i="7"/>
  <c r="E1144" i="7"/>
  <c r="E1145" i="7"/>
  <c r="C1150" i="7"/>
  <c r="C1151" i="7"/>
  <c r="C1184" i="7"/>
  <c r="C1204" i="7"/>
  <c r="C1218" i="7"/>
  <c r="E1238" i="7"/>
  <c r="E1239" i="7"/>
  <c r="E1252" i="7"/>
  <c r="E1253" i="7"/>
  <c r="C1282" i="7"/>
  <c r="C1316" i="7"/>
  <c r="C1347" i="7"/>
  <c r="C1346" i="7"/>
  <c r="C1352" i="7"/>
  <c r="E1371" i="7"/>
  <c r="E1370" i="7"/>
  <c r="E1382" i="7"/>
  <c r="E1383" i="7"/>
  <c r="C1431" i="7"/>
  <c r="C1430" i="7"/>
  <c r="E1703" i="7"/>
  <c r="E1702" i="7"/>
  <c r="E172" i="7"/>
  <c r="E188" i="7"/>
  <c r="E204" i="7"/>
  <c r="E220" i="7"/>
  <c r="E236" i="7"/>
  <c r="E252" i="7"/>
  <c r="E268" i="7"/>
  <c r="E284" i="7"/>
  <c r="E300" i="7"/>
  <c r="E316" i="7"/>
  <c r="E332" i="7"/>
  <c r="E348" i="7"/>
  <c r="E364" i="7"/>
  <c r="E380" i="7"/>
  <c r="E396" i="7"/>
  <c r="E412" i="7"/>
  <c r="E428" i="7"/>
  <c r="E444" i="7"/>
  <c r="E460" i="7"/>
  <c r="E476" i="7"/>
  <c r="E492" i="7"/>
  <c r="E508" i="7"/>
  <c r="E524" i="7"/>
  <c r="E540" i="7"/>
  <c r="E556" i="7"/>
  <c r="E572" i="7"/>
  <c r="E588" i="7"/>
  <c r="E600" i="7"/>
  <c r="E624" i="7"/>
  <c r="E629" i="7"/>
  <c r="E634" i="7"/>
  <c r="E646" i="7"/>
  <c r="E658" i="7"/>
  <c r="E670" i="7"/>
  <c r="E680" i="7"/>
  <c r="E690" i="7"/>
  <c r="E698" i="7"/>
  <c r="E736" i="7"/>
  <c r="E744" i="7"/>
  <c r="E754" i="7"/>
  <c r="E762" i="7"/>
  <c r="E793" i="7"/>
  <c r="E820" i="7"/>
  <c r="E821" i="7"/>
  <c r="E834" i="7"/>
  <c r="E835" i="7"/>
  <c r="E840" i="7"/>
  <c r="E841" i="7"/>
  <c r="C846" i="7"/>
  <c r="C847" i="7"/>
  <c r="C880" i="7"/>
  <c r="C900" i="7"/>
  <c r="C914" i="7"/>
  <c r="E934" i="7"/>
  <c r="E935" i="7"/>
  <c r="E948" i="7"/>
  <c r="E949" i="7"/>
  <c r="E962" i="7"/>
  <c r="E963" i="7"/>
  <c r="E968" i="7"/>
  <c r="E969" i="7"/>
  <c r="C974" i="7"/>
  <c r="C975" i="7"/>
  <c r="C1008" i="7"/>
  <c r="C1028" i="7"/>
  <c r="C1042" i="7"/>
  <c r="E1062" i="7"/>
  <c r="E1063" i="7"/>
  <c r="E1076" i="7"/>
  <c r="E1077" i="7"/>
  <c r="E1090" i="7"/>
  <c r="E1091" i="7"/>
  <c r="E1096" i="7"/>
  <c r="E1097" i="7"/>
  <c r="C1102" i="7"/>
  <c r="C1103" i="7"/>
  <c r="C1136" i="7"/>
  <c r="C1156" i="7"/>
  <c r="C1170" i="7"/>
  <c r="E1190" i="7"/>
  <c r="E1191" i="7"/>
  <c r="E1204" i="7"/>
  <c r="E1205" i="7"/>
  <c r="E1218" i="7"/>
  <c r="E1219" i="7"/>
  <c r="E1224" i="7"/>
  <c r="E1225" i="7"/>
  <c r="C1230" i="7"/>
  <c r="C1231" i="7"/>
  <c r="C1264" i="7"/>
  <c r="C1298" i="7"/>
  <c r="C1332" i="7"/>
  <c r="E1340" i="7"/>
  <c r="C1369" i="7"/>
  <c r="C1368" i="7"/>
  <c r="C1573" i="7"/>
  <c r="C1572" i="7"/>
  <c r="E1623" i="7"/>
  <c r="E1622" i="7"/>
  <c r="E1791" i="7"/>
  <c r="E1790" i="7"/>
  <c r="E2176" i="7"/>
  <c r="E2177" i="7"/>
  <c r="C2181" i="7"/>
  <c r="C2180" i="7"/>
  <c r="E154" i="7"/>
  <c r="E170" i="7"/>
  <c r="E186" i="7"/>
  <c r="E202" i="7"/>
  <c r="E218" i="7"/>
  <c r="E234" i="7"/>
  <c r="E250" i="7"/>
  <c r="E266" i="7"/>
  <c r="E282" i="7"/>
  <c r="E298" i="7"/>
  <c r="E314" i="7"/>
  <c r="E330" i="7"/>
  <c r="E346" i="7"/>
  <c r="E362" i="7"/>
  <c r="E378" i="7"/>
  <c r="E394" i="7"/>
  <c r="E410" i="7"/>
  <c r="E426" i="7"/>
  <c r="E442" i="7"/>
  <c r="E458" i="7"/>
  <c r="E474" i="7"/>
  <c r="E490" i="7"/>
  <c r="E506" i="7"/>
  <c r="E522" i="7"/>
  <c r="E538" i="7"/>
  <c r="E554" i="7"/>
  <c r="E570" i="7"/>
  <c r="E586" i="7"/>
  <c r="E598" i="7"/>
  <c r="E610" i="7"/>
  <c r="E622" i="7"/>
  <c r="C625" i="7"/>
  <c r="C656" i="7"/>
  <c r="C688" i="7"/>
  <c r="E693" i="7"/>
  <c r="C706" i="7"/>
  <c r="E711" i="7"/>
  <c r="C752" i="7"/>
  <c r="E757" i="7"/>
  <c r="C770" i="7"/>
  <c r="E775" i="7"/>
  <c r="C788" i="7"/>
  <c r="E804" i="7"/>
  <c r="E805" i="7"/>
  <c r="C818" i="7"/>
  <c r="C832" i="7"/>
  <c r="C852" i="7"/>
  <c r="C866" i="7"/>
  <c r="E886" i="7"/>
  <c r="E887" i="7"/>
  <c r="E900" i="7"/>
  <c r="E901" i="7"/>
  <c r="E914" i="7"/>
  <c r="E915" i="7"/>
  <c r="E920" i="7"/>
  <c r="E921" i="7"/>
  <c r="C926" i="7"/>
  <c r="C927" i="7"/>
  <c r="C960" i="7"/>
  <c r="C980" i="7"/>
  <c r="C994" i="7"/>
  <c r="E1014" i="7"/>
  <c r="E1015" i="7"/>
  <c r="E1028" i="7"/>
  <c r="E1029" i="7"/>
  <c r="E1042" i="7"/>
  <c r="E1043" i="7"/>
  <c r="E1048" i="7"/>
  <c r="E1049" i="7"/>
  <c r="C1054" i="7"/>
  <c r="C1055" i="7"/>
  <c r="C1088" i="7"/>
  <c r="C1108" i="7"/>
  <c r="C1122" i="7"/>
  <c r="E1142" i="7"/>
  <c r="E1143" i="7"/>
  <c r="E1156" i="7"/>
  <c r="E1157" i="7"/>
  <c r="E1170" i="7"/>
  <c r="E1171" i="7"/>
  <c r="E1176" i="7"/>
  <c r="E1177" i="7"/>
  <c r="C1182" i="7"/>
  <c r="C1183" i="7"/>
  <c r="C1216" i="7"/>
  <c r="C1236" i="7"/>
  <c r="C1250" i="7"/>
  <c r="C1280" i="7"/>
  <c r="C1314" i="7"/>
  <c r="C1338" i="7"/>
  <c r="C1381" i="7"/>
  <c r="C1380" i="7"/>
  <c r="C1495" i="7"/>
  <c r="C1494" i="7"/>
  <c r="C2175" i="7"/>
  <c r="C2174" i="7"/>
  <c r="E168" i="7"/>
  <c r="E184" i="7"/>
  <c r="E200" i="7"/>
  <c r="E216" i="7"/>
  <c r="E232" i="7"/>
  <c r="E248" i="7"/>
  <c r="E264" i="7"/>
  <c r="E280" i="7"/>
  <c r="E296" i="7"/>
  <c r="E312" i="7"/>
  <c r="E328" i="7"/>
  <c r="E344" i="7"/>
  <c r="E360" i="7"/>
  <c r="E376" i="7"/>
  <c r="E392" i="7"/>
  <c r="E408" i="7"/>
  <c r="E424" i="7"/>
  <c r="E440" i="7"/>
  <c r="E456" i="7"/>
  <c r="E472" i="7"/>
  <c r="E488" i="7"/>
  <c r="E504" i="7"/>
  <c r="E520" i="7"/>
  <c r="E536" i="7"/>
  <c r="E552" i="7"/>
  <c r="E568" i="7"/>
  <c r="E584" i="7"/>
  <c r="C618" i="7"/>
  <c r="E632" i="7"/>
  <c r="E656" i="7"/>
  <c r="E661" i="7"/>
  <c r="E666" i="7"/>
  <c r="E688" i="7"/>
  <c r="E696" i="7"/>
  <c r="E706" i="7"/>
  <c r="E714" i="7"/>
  <c r="E752" i="7"/>
  <c r="E760" i="7"/>
  <c r="E770" i="7"/>
  <c r="E778" i="7"/>
  <c r="E791" i="7"/>
  <c r="E794" i="7"/>
  <c r="C802" i="7"/>
  <c r="E838" i="7"/>
  <c r="E839" i="7"/>
  <c r="E852" i="7"/>
  <c r="E853" i="7"/>
  <c r="E866" i="7"/>
  <c r="E867" i="7"/>
  <c r="E872" i="7"/>
  <c r="E873" i="7"/>
  <c r="C878" i="7"/>
  <c r="C879" i="7"/>
  <c r="C912" i="7"/>
  <c r="C932" i="7"/>
  <c r="C946" i="7"/>
  <c r="E966" i="7"/>
  <c r="E967" i="7"/>
  <c r="E980" i="7"/>
  <c r="E981" i="7"/>
  <c r="E994" i="7"/>
  <c r="E995" i="7"/>
  <c r="E1000" i="7"/>
  <c r="E1001" i="7"/>
  <c r="C1006" i="7"/>
  <c r="C1007" i="7"/>
  <c r="C1040" i="7"/>
  <c r="C1060" i="7"/>
  <c r="C1074" i="7"/>
  <c r="E1094" i="7"/>
  <c r="E1095" i="7"/>
  <c r="E1108" i="7"/>
  <c r="E1109" i="7"/>
  <c r="E1122" i="7"/>
  <c r="E1123" i="7"/>
  <c r="E1128" i="7"/>
  <c r="E1129" i="7"/>
  <c r="C1134" i="7"/>
  <c r="C1135" i="7"/>
  <c r="C1168" i="7"/>
  <c r="E1222" i="7"/>
  <c r="E1223" i="7"/>
  <c r="E1236" i="7"/>
  <c r="E1237" i="7"/>
  <c r="E1250" i="7"/>
  <c r="E1251" i="7"/>
  <c r="E1256" i="7"/>
  <c r="E1257" i="7"/>
  <c r="C1262" i="7"/>
  <c r="C1263" i="7"/>
  <c r="C1296" i="7"/>
  <c r="C1330" i="7"/>
  <c r="E1335" i="7"/>
  <c r="C1363" i="7"/>
  <c r="C1362" i="7"/>
  <c r="E1446" i="7"/>
  <c r="E1447" i="7"/>
  <c r="C1687" i="7"/>
  <c r="C1686" i="7"/>
  <c r="E1350" i="7"/>
  <c r="E1351" i="7"/>
  <c r="E1414" i="7"/>
  <c r="E1415" i="7"/>
  <c r="E1478" i="7"/>
  <c r="E1479" i="7"/>
  <c r="E1542" i="7"/>
  <c r="E1543" i="7"/>
  <c r="E1584" i="7"/>
  <c r="E1585" i="7"/>
  <c r="C1653" i="7"/>
  <c r="C1652" i="7"/>
  <c r="E1659" i="7"/>
  <c r="E1658" i="7"/>
  <c r="E1671" i="7"/>
  <c r="E1670" i="7"/>
  <c r="C1879" i="7"/>
  <c r="C1878" i="7"/>
  <c r="C1491" i="7"/>
  <c r="C1490" i="7"/>
  <c r="C1555" i="7"/>
  <c r="C1554" i="7"/>
  <c r="C1583" i="7"/>
  <c r="C1582" i="7"/>
  <c r="C1611" i="7"/>
  <c r="C1610" i="7"/>
  <c r="C1645" i="7"/>
  <c r="C1644" i="7"/>
  <c r="C1669" i="7"/>
  <c r="C1668" i="7"/>
  <c r="E1675" i="7"/>
  <c r="E1674" i="7"/>
  <c r="C1689" i="7"/>
  <c r="C1688" i="7"/>
  <c r="C1699" i="7"/>
  <c r="C1698" i="7"/>
  <c r="E1739" i="7"/>
  <c r="E1738" i="7"/>
  <c r="C1763" i="7"/>
  <c r="C1762" i="7"/>
  <c r="E1803" i="7"/>
  <c r="E1802" i="7"/>
  <c r="C1827" i="7"/>
  <c r="C1826" i="7"/>
  <c r="E2003" i="7"/>
  <c r="E2002" i="7"/>
  <c r="E2035" i="7"/>
  <c r="E2034" i="7"/>
  <c r="E1398" i="7"/>
  <c r="E1399" i="7"/>
  <c r="E1434" i="7"/>
  <c r="E1448" i="7"/>
  <c r="E1462" i="7"/>
  <c r="E1463" i="7"/>
  <c r="E1484" i="7"/>
  <c r="C1496" i="7"/>
  <c r="E1498" i="7"/>
  <c r="E1512" i="7"/>
  <c r="E1526" i="7"/>
  <c r="E1527" i="7"/>
  <c r="E1548" i="7"/>
  <c r="C1560" i="7"/>
  <c r="E1562" i="7"/>
  <c r="C1574" i="7"/>
  <c r="E1576" i="7"/>
  <c r="E1598" i="7"/>
  <c r="E1599" i="7"/>
  <c r="C1617" i="7"/>
  <c r="C1616" i="7"/>
  <c r="C1713" i="7"/>
  <c r="C1712" i="7"/>
  <c r="C1777" i="7"/>
  <c r="C1776" i="7"/>
  <c r="E2397" i="7"/>
  <c r="E2396" i="7"/>
  <c r="C1382" i="7"/>
  <c r="C1411" i="7"/>
  <c r="C1410" i="7"/>
  <c r="C1446" i="7"/>
  <c r="C1460" i="7"/>
  <c r="C1475" i="7"/>
  <c r="C1474" i="7"/>
  <c r="C1510" i="7"/>
  <c r="C1524" i="7"/>
  <c r="C1539" i="7"/>
  <c r="C1538" i="7"/>
  <c r="E1610" i="7"/>
  <c r="E1624" i="7"/>
  <c r="C1630" i="7"/>
  <c r="E1632" i="7"/>
  <c r="E1668" i="7"/>
  <c r="C1692" i="7"/>
  <c r="E1713" i="7"/>
  <c r="E1712" i="7"/>
  <c r="E1732" i="7"/>
  <c r="C1756" i="7"/>
  <c r="E1777" i="7"/>
  <c r="E1776" i="7"/>
  <c r="E1796" i="7"/>
  <c r="C1820" i="7"/>
  <c r="C1867" i="7"/>
  <c r="C1866" i="7"/>
  <c r="E800" i="7"/>
  <c r="C1395" i="7"/>
  <c r="C1394" i="7"/>
  <c r="C1459" i="7"/>
  <c r="C1458" i="7"/>
  <c r="C1523" i="7"/>
  <c r="C1522" i="7"/>
  <c r="C1643" i="7"/>
  <c r="C1642" i="7"/>
  <c r="C1701" i="7"/>
  <c r="C1700" i="7"/>
  <c r="E1707" i="7"/>
  <c r="E1706" i="7"/>
  <c r="C1731" i="7"/>
  <c r="C1730" i="7"/>
  <c r="E1771" i="7"/>
  <c r="E1770" i="7"/>
  <c r="C1795" i="7"/>
  <c r="C1794" i="7"/>
  <c r="C1953" i="7"/>
  <c r="C1952" i="7"/>
  <c r="E2194" i="7"/>
  <c r="E2203" i="7"/>
  <c r="E2202" i="7"/>
  <c r="E2317" i="7"/>
  <c r="E2316" i="7"/>
  <c r="E686" i="7"/>
  <c r="E702" i="7"/>
  <c r="E718" i="7"/>
  <c r="E734" i="7"/>
  <c r="E750" i="7"/>
  <c r="E766" i="7"/>
  <c r="E782" i="7"/>
  <c r="E798" i="7"/>
  <c r="C1336" i="7"/>
  <c r="E1338" i="7"/>
  <c r="E1352" i="7"/>
  <c r="E1366" i="7"/>
  <c r="E1367" i="7"/>
  <c r="E1388" i="7"/>
  <c r="C1400" i="7"/>
  <c r="E1402" i="7"/>
  <c r="E1416" i="7"/>
  <c r="E1430" i="7"/>
  <c r="E1431" i="7"/>
  <c r="E1452" i="7"/>
  <c r="C1464" i="7"/>
  <c r="E1466" i="7"/>
  <c r="E1480" i="7"/>
  <c r="E1494" i="7"/>
  <c r="E1495" i="7"/>
  <c r="E1516" i="7"/>
  <c r="C1528" i="7"/>
  <c r="E1530" i="7"/>
  <c r="E1544" i="7"/>
  <c r="E1558" i="7"/>
  <c r="E1559" i="7"/>
  <c r="E1586" i="7"/>
  <c r="E1608" i="7"/>
  <c r="E1609" i="7"/>
  <c r="C1620" i="7"/>
  <c r="E1637" i="7"/>
  <c r="E1636" i="7"/>
  <c r="E1642" i="7"/>
  <c r="E1643" i="7"/>
  <c r="E1654" i="7"/>
  <c r="E1655" i="7"/>
  <c r="E1666" i="7"/>
  <c r="E1667" i="7"/>
  <c r="E1677" i="7"/>
  <c r="E1676" i="7"/>
  <c r="C1681" i="7"/>
  <c r="C1680" i="7"/>
  <c r="C1745" i="7"/>
  <c r="C1744" i="7"/>
  <c r="E1926" i="7"/>
  <c r="E1927" i="7"/>
  <c r="E2048" i="7"/>
  <c r="E2049" i="7"/>
  <c r="C2053" i="7"/>
  <c r="C2052" i="7"/>
  <c r="E2162" i="7"/>
  <c r="E2169" i="7"/>
  <c r="E2168" i="7"/>
  <c r="E2305" i="7"/>
  <c r="E2304" i="7"/>
  <c r="E604" i="7"/>
  <c r="E620" i="7"/>
  <c r="E636" i="7"/>
  <c r="E652" i="7"/>
  <c r="E668" i="7"/>
  <c r="E684" i="7"/>
  <c r="E700" i="7"/>
  <c r="E716" i="7"/>
  <c r="E732" i="7"/>
  <c r="E748" i="7"/>
  <c r="E764" i="7"/>
  <c r="E780" i="7"/>
  <c r="E796" i="7"/>
  <c r="C1350" i="7"/>
  <c r="C1364" i="7"/>
  <c r="C1379" i="7"/>
  <c r="C1378" i="7"/>
  <c r="C1414" i="7"/>
  <c r="C1428" i="7"/>
  <c r="C1443" i="7"/>
  <c r="C1442" i="7"/>
  <c r="C1478" i="7"/>
  <c r="C1492" i="7"/>
  <c r="C1507" i="7"/>
  <c r="C1506" i="7"/>
  <c r="C1542" i="7"/>
  <c r="C1556" i="7"/>
  <c r="C1571" i="7"/>
  <c r="C1570" i="7"/>
  <c r="C1584" i="7"/>
  <c r="C1606" i="7"/>
  <c r="E1621" i="7"/>
  <c r="E1620" i="7"/>
  <c r="C1664" i="7"/>
  <c r="E1681" i="7"/>
  <c r="E1680" i="7"/>
  <c r="C1695" i="7"/>
  <c r="C1694" i="7"/>
  <c r="E1700" i="7"/>
  <c r="C1724" i="7"/>
  <c r="E1745" i="7"/>
  <c r="E1744" i="7"/>
  <c r="E1764" i="7"/>
  <c r="C1788" i="7"/>
  <c r="E1809" i="7"/>
  <c r="E1808" i="7"/>
  <c r="C1841" i="7"/>
  <c r="C1840" i="7"/>
  <c r="C1880" i="7"/>
  <c r="C1890" i="7"/>
  <c r="C1891" i="7"/>
  <c r="C1902" i="7"/>
  <c r="C1903" i="7"/>
  <c r="C2047" i="7"/>
  <c r="C2046" i="7"/>
  <c r="C2144" i="7"/>
  <c r="C2161" i="7"/>
  <c r="C2160" i="7"/>
  <c r="E2271" i="7"/>
  <c r="E2270" i="7"/>
  <c r="C1659" i="7"/>
  <c r="C1658" i="7"/>
  <c r="E1691" i="7"/>
  <c r="E1690" i="7"/>
  <c r="E1723" i="7"/>
  <c r="E1722" i="7"/>
  <c r="E1755" i="7"/>
  <c r="E1754" i="7"/>
  <c r="E1787" i="7"/>
  <c r="E1786" i="7"/>
  <c r="C1873" i="7"/>
  <c r="C1872" i="7"/>
  <c r="C1906" i="7"/>
  <c r="C1907" i="7"/>
  <c r="C1963" i="7"/>
  <c r="C1962" i="7"/>
  <c r="C1983" i="7"/>
  <c r="C1982" i="7"/>
  <c r="C2015" i="7"/>
  <c r="C2014" i="7"/>
  <c r="C2031" i="7"/>
  <c r="C2030" i="7"/>
  <c r="E2131" i="7"/>
  <c r="E2130" i="7"/>
  <c r="E2253" i="7"/>
  <c r="E2252" i="7"/>
  <c r="E2347" i="7"/>
  <c r="E2346" i="7"/>
  <c r="E2523" i="7"/>
  <c r="E2522" i="7"/>
  <c r="E2671" i="7"/>
  <c r="E2670" i="7"/>
  <c r="C1721" i="7"/>
  <c r="C1720" i="7"/>
  <c r="C1753" i="7"/>
  <c r="C1752" i="7"/>
  <c r="C1785" i="7"/>
  <c r="C1784" i="7"/>
  <c r="E1918" i="7"/>
  <c r="E1919" i="7"/>
  <c r="C1947" i="7"/>
  <c r="C1946" i="7"/>
  <c r="E1956" i="7"/>
  <c r="C1971" i="7"/>
  <c r="C1970" i="7"/>
  <c r="C2084" i="7"/>
  <c r="C2098" i="7"/>
  <c r="E2116" i="7"/>
  <c r="C2129" i="7"/>
  <c r="C2128" i="7"/>
  <c r="E2183" i="7"/>
  <c r="E2182" i="7"/>
  <c r="E2208" i="7"/>
  <c r="E2220" i="7"/>
  <c r="E2241" i="7"/>
  <c r="E2240" i="7"/>
  <c r="E2320" i="7"/>
  <c r="E2332" i="7"/>
  <c r="E2462" i="7"/>
  <c r="E2475" i="7"/>
  <c r="E2474" i="7"/>
  <c r="E2509" i="7"/>
  <c r="E2508" i="7"/>
  <c r="E1683" i="7"/>
  <c r="E1682" i="7"/>
  <c r="E1708" i="7"/>
  <c r="E1715" i="7"/>
  <c r="E1714" i="7"/>
  <c r="C1726" i="7"/>
  <c r="C1732" i="7"/>
  <c r="E1734" i="7"/>
  <c r="E1740" i="7"/>
  <c r="E1747" i="7"/>
  <c r="E1746" i="7"/>
  <c r="C1758" i="7"/>
  <c r="C1764" i="7"/>
  <c r="E1766" i="7"/>
  <c r="E1772" i="7"/>
  <c r="E1779" i="7"/>
  <c r="E1778" i="7"/>
  <c r="C1790" i="7"/>
  <c r="C1796" i="7"/>
  <c r="E1798" i="7"/>
  <c r="E1804" i="7"/>
  <c r="C1822" i="7"/>
  <c r="C1832" i="7"/>
  <c r="C1844" i="7"/>
  <c r="C1857" i="7"/>
  <c r="C1856" i="7"/>
  <c r="C1904" i="7"/>
  <c r="C1905" i="7"/>
  <c r="C1916" i="7"/>
  <c r="C1954" i="7"/>
  <c r="E2008" i="7"/>
  <c r="E2009" i="7"/>
  <c r="E2085" i="7"/>
  <c r="E2084" i="7"/>
  <c r="C2115" i="7"/>
  <c r="C2114" i="7"/>
  <c r="E2206" i="7"/>
  <c r="E2219" i="7"/>
  <c r="E2218" i="7"/>
  <c r="E2318" i="7"/>
  <c r="E2331" i="7"/>
  <c r="E2330" i="7"/>
  <c r="E2460" i="7"/>
  <c r="E2459" i="7"/>
  <c r="E2458" i="7"/>
  <c r="E2411" i="7"/>
  <c r="E2410" i="7"/>
  <c r="E2445" i="7"/>
  <c r="E2444" i="7"/>
  <c r="E1647" i="7"/>
  <c r="C1673" i="7"/>
  <c r="C1672" i="7"/>
  <c r="C1705" i="7"/>
  <c r="C1704" i="7"/>
  <c r="C1737" i="7"/>
  <c r="C1736" i="7"/>
  <c r="C1769" i="7"/>
  <c r="C1768" i="7"/>
  <c r="C1801" i="7"/>
  <c r="C1800" i="7"/>
  <c r="E1990" i="7"/>
  <c r="E1991" i="7"/>
  <c r="C2001" i="7"/>
  <c r="C2000" i="7"/>
  <c r="E2064" i="7"/>
  <c r="E2065" i="7"/>
  <c r="E2071" i="7"/>
  <c r="E2070" i="7"/>
  <c r="E2144" i="7"/>
  <c r="E2145" i="7"/>
  <c r="E2283" i="7"/>
  <c r="E2282" i="7"/>
  <c r="E2574" i="7"/>
  <c r="E2587" i="7"/>
  <c r="E2586" i="7"/>
  <c r="C1344" i="7"/>
  <c r="C1360" i="7"/>
  <c r="C1376" i="7"/>
  <c r="C1392" i="7"/>
  <c r="C1408" i="7"/>
  <c r="C1424" i="7"/>
  <c r="C1440" i="7"/>
  <c r="C1456" i="7"/>
  <c r="C1472" i="7"/>
  <c r="C1488" i="7"/>
  <c r="C1504" i="7"/>
  <c r="C1520" i="7"/>
  <c r="C1536" i="7"/>
  <c r="C1552" i="7"/>
  <c r="C1568" i="7"/>
  <c r="E1572" i="7"/>
  <c r="C1580" i="7"/>
  <c r="C1604" i="7"/>
  <c r="C1627" i="7"/>
  <c r="C1626" i="7"/>
  <c r="C1638" i="7"/>
  <c r="C1650" i="7"/>
  <c r="C1662" i="7"/>
  <c r="C1678" i="7"/>
  <c r="C1684" i="7"/>
  <c r="E1686" i="7"/>
  <c r="E1692" i="7"/>
  <c r="E1699" i="7"/>
  <c r="E1698" i="7"/>
  <c r="C1710" i="7"/>
  <c r="C1716" i="7"/>
  <c r="E1718" i="7"/>
  <c r="E1724" i="7"/>
  <c r="E1731" i="7"/>
  <c r="E1730" i="7"/>
  <c r="C1742" i="7"/>
  <c r="C1748" i="7"/>
  <c r="E1750" i="7"/>
  <c r="E1756" i="7"/>
  <c r="E1763" i="7"/>
  <c r="E1762" i="7"/>
  <c r="C1774" i="7"/>
  <c r="C1780" i="7"/>
  <c r="E1782" i="7"/>
  <c r="E1788" i="7"/>
  <c r="E1795" i="7"/>
  <c r="E1794" i="7"/>
  <c r="C1806" i="7"/>
  <c r="C1812" i="7"/>
  <c r="E1814" i="7"/>
  <c r="E1820" i="7"/>
  <c r="C1864" i="7"/>
  <c r="C1876" i="7"/>
  <c r="C1889" i="7"/>
  <c r="C1888" i="7"/>
  <c r="C2032" i="7"/>
  <c r="E2040" i="7"/>
  <c r="C2062" i="7"/>
  <c r="C2069" i="7"/>
  <c r="C2068" i="7"/>
  <c r="E2132" i="7"/>
  <c r="C2143" i="7"/>
  <c r="C2142" i="7"/>
  <c r="E2256" i="7"/>
  <c r="E2268" i="7"/>
  <c r="E2382" i="7"/>
  <c r="E2395" i="7"/>
  <c r="E2394" i="7"/>
  <c r="E2526" i="7"/>
  <c r="E2539" i="7"/>
  <c r="E2538" i="7"/>
  <c r="E2573" i="7"/>
  <c r="E2572" i="7"/>
  <c r="C1342" i="7"/>
  <c r="C1358" i="7"/>
  <c r="C1374" i="7"/>
  <c r="C1390" i="7"/>
  <c r="C1406" i="7"/>
  <c r="C1422" i="7"/>
  <c r="C1438" i="7"/>
  <c r="C1454" i="7"/>
  <c r="C1470" i="7"/>
  <c r="C1486" i="7"/>
  <c r="C1502" i="7"/>
  <c r="C1518" i="7"/>
  <c r="C1534" i="7"/>
  <c r="C1550" i="7"/>
  <c r="C1566" i="7"/>
  <c r="C1579" i="7"/>
  <c r="C1578" i="7"/>
  <c r="C1590" i="7"/>
  <c r="C1602" i="7"/>
  <c r="C1614" i="7"/>
  <c r="C1648" i="7"/>
  <c r="E1652" i="7"/>
  <c r="C1660" i="7"/>
  <c r="E1672" i="7"/>
  <c r="C1690" i="7"/>
  <c r="C1697" i="7"/>
  <c r="C1696" i="7"/>
  <c r="E1704" i="7"/>
  <c r="C1722" i="7"/>
  <c r="C1729" i="7"/>
  <c r="C1728" i="7"/>
  <c r="E1736" i="7"/>
  <c r="C1754" i="7"/>
  <c r="C1761" i="7"/>
  <c r="C1760" i="7"/>
  <c r="E1768" i="7"/>
  <c r="C1786" i="7"/>
  <c r="C1793" i="7"/>
  <c r="C1792" i="7"/>
  <c r="E1800" i="7"/>
  <c r="C1818" i="7"/>
  <c r="C1850" i="7"/>
  <c r="C1862" i="7"/>
  <c r="C1874" i="7"/>
  <c r="C1964" i="7"/>
  <c r="E1973" i="7"/>
  <c r="E1972" i="7"/>
  <c r="E1984" i="7"/>
  <c r="C1989" i="7"/>
  <c r="C1988" i="7"/>
  <c r="E2016" i="7"/>
  <c r="E2017" i="7"/>
  <c r="E2032" i="7"/>
  <c r="E2033" i="7"/>
  <c r="E2056" i="7"/>
  <c r="C2130" i="7"/>
  <c r="E2235" i="7"/>
  <c r="E2234" i="7"/>
  <c r="E2254" i="7"/>
  <c r="E2267" i="7"/>
  <c r="E2266" i="7"/>
  <c r="E2381" i="7"/>
  <c r="E2380" i="7"/>
  <c r="E2524" i="7"/>
  <c r="E2299" i="7"/>
  <c r="E2298" i="7"/>
  <c r="E2363" i="7"/>
  <c r="E2362" i="7"/>
  <c r="E2427" i="7"/>
  <c r="E2426" i="7"/>
  <c r="E2491" i="7"/>
  <c r="E2490" i="7"/>
  <c r="E2555" i="7"/>
  <c r="E2554" i="7"/>
  <c r="E2619" i="7"/>
  <c r="E2618" i="7"/>
  <c r="E2699" i="7"/>
  <c r="E2698" i="7"/>
  <c r="E2590" i="7"/>
  <c r="E2603" i="7"/>
  <c r="E2602" i="7"/>
  <c r="E2651" i="7"/>
  <c r="E2650" i="7"/>
  <c r="E2686" i="7"/>
  <c r="E2638" i="7"/>
  <c r="E2684" i="7"/>
  <c r="E2683" i="7"/>
  <c r="E2682" i="7"/>
  <c r="E1955" i="7"/>
  <c r="E1954" i="7"/>
  <c r="C2061" i="7"/>
  <c r="C2060" i="7"/>
  <c r="C2109" i="7"/>
  <c r="C2108" i="7"/>
  <c r="E2136" i="7"/>
  <c r="E2137" i="7"/>
  <c r="E2160" i="7"/>
  <c r="E2161" i="7"/>
  <c r="E2635" i="7"/>
  <c r="E2634" i="7"/>
  <c r="C1900" i="7"/>
  <c r="C1901" i="7"/>
  <c r="E1982" i="7"/>
  <c r="E1983" i="7"/>
  <c r="E2024" i="7"/>
  <c r="E2115" i="7"/>
  <c r="E2114" i="7"/>
  <c r="C2158" i="7"/>
  <c r="E2184" i="7"/>
  <c r="E2192" i="7"/>
  <c r="E2193" i="7"/>
  <c r="E2238" i="7"/>
  <c r="E2251" i="7"/>
  <c r="E2250" i="7"/>
  <c r="E2302" i="7"/>
  <c r="E2315" i="7"/>
  <c r="E2314" i="7"/>
  <c r="E2366" i="7"/>
  <c r="E2379" i="7"/>
  <c r="E2378" i="7"/>
  <c r="E2430" i="7"/>
  <c r="E2443" i="7"/>
  <c r="E2442" i="7"/>
  <c r="E2494" i="7"/>
  <c r="E2507" i="7"/>
  <c r="E2506" i="7"/>
  <c r="E2558" i="7"/>
  <c r="E2571" i="7"/>
  <c r="E2570" i="7"/>
  <c r="E2622" i="7"/>
  <c r="E2668" i="7"/>
  <c r="C1808" i="7"/>
  <c r="E1810" i="7"/>
  <c r="C1816" i="7"/>
  <c r="E1818" i="7"/>
  <c r="C1824" i="7"/>
  <c r="C1838" i="7"/>
  <c r="C1854" i="7"/>
  <c r="C1870" i="7"/>
  <c r="C1886" i="7"/>
  <c r="E1920" i="7"/>
  <c r="C1925" i="7"/>
  <c r="C1924" i="7"/>
  <c r="E1944" i="7"/>
  <c r="E1945" i="7"/>
  <c r="E1974" i="7"/>
  <c r="C1980" i="7"/>
  <c r="E1992" i="7"/>
  <c r="C1998" i="7"/>
  <c r="E2000" i="7"/>
  <c r="E2018" i="7"/>
  <c r="E2055" i="7"/>
  <c r="E2054" i="7"/>
  <c r="C2093" i="7"/>
  <c r="C2092" i="7"/>
  <c r="C2100" i="7"/>
  <c r="E2102" i="7"/>
  <c r="C2113" i="7"/>
  <c r="C2112" i="7"/>
  <c r="E2152" i="7"/>
  <c r="E2224" i="7"/>
  <c r="E2236" i="7"/>
  <c r="E2288" i="7"/>
  <c r="E2300" i="7"/>
  <c r="E2352" i="7"/>
  <c r="E2364" i="7"/>
  <c r="E2428" i="7"/>
  <c r="E2492" i="7"/>
  <c r="E2556" i="7"/>
  <c r="E2620" i="7"/>
  <c r="E2667" i="7"/>
  <c r="E2666" i="7"/>
  <c r="E2702" i="7"/>
  <c r="C2125" i="7"/>
  <c r="C2124" i="7"/>
  <c r="C2763" i="7"/>
  <c r="C2764" i="7"/>
  <c r="C2767" i="7"/>
  <c r="C2768" i="7"/>
  <c r="E2794" i="7"/>
  <c r="C2795" i="7"/>
  <c r="C2796" i="7"/>
  <c r="C1915" i="7"/>
  <c r="C1914" i="7"/>
  <c r="C1979" i="7"/>
  <c r="C1978" i="7"/>
  <c r="C2045" i="7"/>
  <c r="C2044" i="7"/>
  <c r="C2173" i="7"/>
  <c r="C2172" i="7"/>
  <c r="C2735" i="7"/>
  <c r="C2736" i="7"/>
  <c r="E2783" i="7"/>
  <c r="C2787" i="7"/>
  <c r="C2788" i="7"/>
  <c r="C2029" i="7"/>
  <c r="C2028" i="7"/>
  <c r="C2157" i="7"/>
  <c r="C2156" i="7"/>
  <c r="E2632" i="7"/>
  <c r="E2648" i="7"/>
  <c r="E2664" i="7"/>
  <c r="E2680" i="7"/>
  <c r="E2696" i="7"/>
  <c r="E2774" i="7"/>
  <c r="E2775" i="7"/>
  <c r="C1922" i="7"/>
  <c r="E1924" i="7"/>
  <c r="C1931" i="7"/>
  <c r="C1930" i="7"/>
  <c r="C1940" i="7"/>
  <c r="E1970" i="7"/>
  <c r="C1986" i="7"/>
  <c r="E1988" i="7"/>
  <c r="C1995" i="7"/>
  <c r="C1994" i="7"/>
  <c r="C2004" i="7"/>
  <c r="C2013" i="7"/>
  <c r="C2012" i="7"/>
  <c r="C2020" i="7"/>
  <c r="E2022" i="7"/>
  <c r="C2050" i="7"/>
  <c r="E2052" i="7"/>
  <c r="C2080" i="7"/>
  <c r="E2082" i="7"/>
  <c r="C2110" i="7"/>
  <c r="C2141" i="7"/>
  <c r="C2140" i="7"/>
  <c r="C2148" i="7"/>
  <c r="E2150" i="7"/>
  <c r="C2178" i="7"/>
  <c r="E2180" i="7"/>
  <c r="E2198" i="7"/>
  <c r="E2214" i="7"/>
  <c r="E2230" i="7"/>
  <c r="E2246" i="7"/>
  <c r="E2262" i="7"/>
  <c r="E2278" i="7"/>
  <c r="E2294" i="7"/>
  <c r="E2310" i="7"/>
  <c r="E2326" i="7"/>
  <c r="E2342" i="7"/>
  <c r="E2358" i="7"/>
  <c r="E2374" i="7"/>
  <c r="E2390" i="7"/>
  <c r="E2406" i="7"/>
  <c r="E2422" i="7"/>
  <c r="E2438" i="7"/>
  <c r="E2454" i="7"/>
  <c r="E2470" i="7"/>
  <c r="E2486" i="7"/>
  <c r="E2502" i="7"/>
  <c r="E2518" i="7"/>
  <c r="E2534" i="7"/>
  <c r="E2550" i="7"/>
  <c r="E2566" i="7"/>
  <c r="E2582" i="7"/>
  <c r="E2598" i="7"/>
  <c r="E2614" i="7"/>
  <c r="E2630" i="7"/>
  <c r="E2646" i="7"/>
  <c r="E2662" i="7"/>
  <c r="E2678" i="7"/>
  <c r="E2694" i="7"/>
  <c r="E2735" i="7"/>
  <c r="E2793" i="7"/>
  <c r="C2783" i="7"/>
  <c r="C2784" i="7"/>
  <c r="E2815" i="7"/>
  <c r="E2806" i="7"/>
  <c r="E2807" i="7"/>
  <c r="C2739" i="7"/>
  <c r="C2747" i="7"/>
  <c r="C2750" i="7"/>
  <c r="E2758" i="7"/>
  <c r="E2798" i="7"/>
  <c r="C2830" i="7"/>
  <c r="C2010" i="7"/>
  <c r="C2026" i="7"/>
  <c r="C2042" i="7"/>
  <c r="C2058" i="7"/>
  <c r="C2074" i="7"/>
  <c r="C2090" i="7"/>
  <c r="C2106" i="7"/>
  <c r="C2122" i="7"/>
  <c r="C2138" i="7"/>
  <c r="C2154" i="7"/>
  <c r="C2170" i="7"/>
  <c r="E2750" i="7"/>
  <c r="E2761" i="7"/>
  <c r="E2770" i="7"/>
  <c r="E2778" i="7"/>
  <c r="C2799" i="7"/>
  <c r="C2800" i="7"/>
  <c r="E2810" i="7"/>
  <c r="C2814" i="7"/>
  <c r="C1928" i="7"/>
  <c r="C1944" i="7"/>
  <c r="C1960" i="7"/>
  <c r="C1976" i="7"/>
  <c r="C1992" i="7"/>
  <c r="C2008" i="7"/>
  <c r="C2024" i="7"/>
  <c r="C2040" i="7"/>
  <c r="C2056" i="7"/>
  <c r="C2072" i="7"/>
  <c r="C2088" i="7"/>
  <c r="C2104" i="7"/>
  <c r="C2120" i="7"/>
  <c r="C2136" i="7"/>
  <c r="C2152" i="7"/>
  <c r="C2168" i="7"/>
  <c r="E2730" i="7"/>
  <c r="C2751" i="7"/>
  <c r="C2752" i="7"/>
  <c r="C2771" i="7"/>
  <c r="C2779" i="7"/>
  <c r="C2782" i="7"/>
  <c r="E2790" i="7"/>
  <c r="E2802" i="7"/>
  <c r="C2811" i="7"/>
  <c r="C2812" i="7"/>
  <c r="E2814" i="7"/>
  <c r="C2803" i="7"/>
  <c r="C2819" i="7"/>
  <c r="E2823" i="7"/>
  <c r="C2828" i="7"/>
  <c r="E2832" i="7"/>
  <c r="C2844" i="7"/>
  <c r="E2866" i="7"/>
  <c r="E2819" i="7"/>
  <c r="C2824" i="7"/>
  <c r="C2831" i="7"/>
  <c r="E2835" i="7"/>
  <c r="C2856" i="7"/>
  <c r="C2857" i="7"/>
  <c r="E2856" i="7"/>
  <c r="C2729" i="7"/>
  <c r="C2745" i="7"/>
  <c r="C2761" i="7"/>
  <c r="C2777" i="7"/>
  <c r="C2793" i="7"/>
  <c r="C2809" i="7"/>
  <c r="C2825" i="7"/>
  <c r="C2860" i="7"/>
  <c r="C2868" i="7"/>
  <c r="C2871" i="7"/>
  <c r="E2879" i="7"/>
  <c r="C2885" i="7"/>
  <c r="C2743" i="7"/>
  <c r="C2759" i="7"/>
  <c r="C2775" i="7"/>
  <c r="C2791" i="7"/>
  <c r="C2807" i="7"/>
  <c r="C2816" i="7"/>
  <c r="E2871" i="7"/>
  <c r="E2882" i="7"/>
  <c r="C2741" i="7"/>
  <c r="C2757" i="7"/>
  <c r="C2773" i="7"/>
  <c r="C2789" i="7"/>
  <c r="C2805" i="7"/>
  <c r="C2821" i="7"/>
  <c r="E2843" i="7"/>
  <c r="E2851" i="7"/>
  <c r="C2872" i="7"/>
  <c r="C2873" i="7"/>
  <c r="C2850" i="7"/>
  <c r="C2866" i="7"/>
  <c r="C2882" i="7"/>
  <c r="C2848" i="7"/>
  <c r="C2864" i="7"/>
  <c r="C2880" i="7"/>
  <c r="C2846" i="7"/>
  <c r="C2862" i="7"/>
  <c r="C2878" i="7"/>
  <c r="D158" i="6" l="1"/>
  <c r="D44" i="6"/>
  <c r="D831" i="6"/>
  <c r="D868" i="6"/>
  <c r="C76" i="9"/>
  <c r="D736" i="6"/>
  <c r="D134" i="6"/>
  <c r="D269" i="6"/>
  <c r="D341" i="6"/>
  <c r="D784" i="6"/>
  <c r="D417" i="6"/>
  <c r="D592" i="6"/>
  <c r="D385" i="6"/>
  <c r="D974" i="6"/>
  <c r="D892" i="6"/>
  <c r="D371" i="6"/>
  <c r="D816" i="6"/>
  <c r="D945" i="6"/>
  <c r="D704" i="6"/>
  <c r="D295" i="6"/>
  <c r="D712" i="6"/>
  <c r="D817" i="6"/>
  <c r="D245" i="6"/>
  <c r="D944" i="6"/>
  <c r="D244" i="6"/>
  <c r="D386" i="6"/>
  <c r="D260" i="6"/>
  <c r="D427" i="6"/>
  <c r="D369" i="6"/>
  <c r="D706" i="6"/>
  <c r="D542" i="6"/>
  <c r="D890" i="6"/>
  <c r="D777" i="6"/>
  <c r="C27" i="9"/>
  <c r="D372" i="6"/>
  <c r="D439" i="6"/>
  <c r="D754" i="6"/>
  <c r="D881" i="6"/>
  <c r="D771" i="6"/>
  <c r="D900" i="6"/>
  <c r="D656" i="6"/>
  <c r="D398" i="6"/>
  <c r="D140" i="6"/>
  <c r="D649" i="6"/>
  <c r="D257" i="6"/>
  <c r="D75" i="6"/>
  <c r="D281" i="6"/>
  <c r="D292" i="6"/>
  <c r="D972" i="6"/>
  <c r="D893" i="6"/>
  <c r="D265" i="6"/>
  <c r="D19" i="6"/>
  <c r="D157" i="6"/>
  <c r="D837" i="6"/>
  <c r="D267" i="6"/>
  <c r="D912" i="6"/>
  <c r="D362" i="6"/>
  <c r="D321" i="6"/>
  <c r="D525" i="6"/>
  <c r="D956" i="6"/>
  <c r="D776" i="6"/>
  <c r="D860" i="6"/>
  <c r="D1013" i="6"/>
  <c r="D805" i="6"/>
  <c r="D671" i="6"/>
  <c r="D513" i="6"/>
  <c r="D429" i="6"/>
  <c r="D320" i="6"/>
  <c r="D744" i="6"/>
  <c r="D376" i="6"/>
  <c r="D508" i="6"/>
  <c r="D380" i="6"/>
  <c r="C145" i="9"/>
  <c r="D976" i="6"/>
  <c r="D935" i="6"/>
  <c r="D678" i="6"/>
  <c r="D812" i="6"/>
  <c r="D138" i="6"/>
  <c r="C103" i="9"/>
  <c r="D804" i="6"/>
  <c r="D151" i="6"/>
  <c r="D681" i="6"/>
  <c r="D28" i="6"/>
  <c r="D850" i="6"/>
  <c r="D914" i="6"/>
  <c r="D934" i="6"/>
  <c r="D654" i="6"/>
  <c r="D115" i="6"/>
  <c r="D324" i="6"/>
  <c r="D650" i="6"/>
  <c r="D587" i="6"/>
  <c r="D256" i="6"/>
  <c r="D171" i="6"/>
  <c r="D954" i="6"/>
  <c r="D856" i="6"/>
  <c r="D901" i="6"/>
  <c r="D729" i="6"/>
  <c r="D665" i="6"/>
  <c r="D538" i="6"/>
  <c r="D492" i="6"/>
  <c r="D627" i="6"/>
  <c r="D462" i="6"/>
  <c r="D325" i="6"/>
  <c r="D230" i="6"/>
  <c r="D92" i="6"/>
  <c r="D228" i="6"/>
  <c r="D261" i="6"/>
  <c r="D707" i="6"/>
  <c r="D76" i="6"/>
  <c r="C201" i="9"/>
  <c r="D910" i="6"/>
  <c r="D846" i="6"/>
  <c r="D709" i="6"/>
  <c r="D624" i="6"/>
  <c r="D365" i="6"/>
  <c r="D196" i="6"/>
  <c r="D312" i="6"/>
  <c r="D375" i="6"/>
  <c r="D897" i="6"/>
  <c r="D241" i="6"/>
  <c r="D85" i="6"/>
  <c r="D770" i="6"/>
  <c r="D572" i="6"/>
  <c r="D166" i="6"/>
  <c r="D792" i="6"/>
  <c r="D428" i="6"/>
  <c r="D181" i="6"/>
  <c r="D957" i="6"/>
  <c r="D64" i="6"/>
  <c r="D418" i="6"/>
  <c r="D423" i="6"/>
  <c r="D43" i="6"/>
  <c r="D146" i="6"/>
  <c r="D927" i="6"/>
  <c r="D769" i="6"/>
  <c r="D165" i="6"/>
  <c r="D866" i="6"/>
  <c r="D794" i="6"/>
  <c r="C17" i="9"/>
  <c r="D589" i="6"/>
  <c r="D199" i="6"/>
  <c r="D99" i="6"/>
  <c r="D232" i="6"/>
  <c r="D865" i="6"/>
  <c r="D615" i="6"/>
  <c r="D59" i="6"/>
  <c r="C90" i="9"/>
  <c r="D779" i="6"/>
  <c r="D913" i="6"/>
  <c r="D735" i="6"/>
  <c r="D507" i="6"/>
  <c r="D653" i="6"/>
  <c r="D317" i="6"/>
  <c r="D235" i="6"/>
  <c r="D213" i="6"/>
  <c r="D187" i="6"/>
  <c r="D696" i="6"/>
  <c r="D864" i="6"/>
  <c r="D296" i="6"/>
  <c r="D599" i="6"/>
  <c r="D471" i="6"/>
  <c r="D107" i="6"/>
  <c r="D249" i="6"/>
  <c r="D263" i="6"/>
  <c r="D27" i="6"/>
  <c r="D701" i="6"/>
  <c r="D674" i="6"/>
  <c r="D647" i="6"/>
  <c r="D828" i="6"/>
  <c r="D628" i="6"/>
  <c r="D313" i="6"/>
  <c r="D227" i="6"/>
  <c r="D21" i="6"/>
  <c r="D275" i="6"/>
  <c r="D928" i="6"/>
  <c r="D858" i="6"/>
  <c r="D773" i="6"/>
  <c r="D526" i="6"/>
  <c r="D583" i="6"/>
  <c r="D91" i="6"/>
  <c r="D194" i="6"/>
  <c r="C21" i="9"/>
  <c r="D785" i="6"/>
  <c r="D1006" i="6"/>
  <c r="D545" i="6"/>
  <c r="D940" i="6"/>
  <c r="D689" i="6"/>
  <c r="D301" i="6"/>
  <c r="D222" i="6"/>
  <c r="D297" i="6"/>
  <c r="D169" i="6"/>
  <c r="D125" i="6"/>
  <c r="D697" i="6"/>
  <c r="D922" i="6"/>
  <c r="D919" i="6"/>
  <c r="D719" i="6"/>
  <c r="D219" i="6"/>
  <c r="D602" i="6"/>
  <c r="D401" i="6"/>
  <c r="D561" i="6"/>
  <c r="D493" i="6"/>
  <c r="D605" i="6"/>
  <c r="D77" i="6"/>
  <c r="D676" i="6"/>
  <c r="D164" i="6"/>
  <c r="D412" i="6"/>
  <c r="D708" i="6"/>
  <c r="D294" i="6"/>
  <c r="D272" i="6"/>
  <c r="D557" i="6"/>
  <c r="D888" i="6"/>
  <c r="D839" i="6"/>
  <c r="D799" i="6"/>
  <c r="D715" i="6"/>
  <c r="D640" i="6"/>
  <c r="D474" i="6"/>
  <c r="D621" i="6"/>
  <c r="D1011" i="6"/>
  <c r="D643" i="6"/>
  <c r="D476" i="6"/>
  <c r="D178" i="6"/>
  <c r="D832" i="6"/>
  <c r="D798" i="6"/>
  <c r="D176" i="6"/>
  <c r="D787" i="6"/>
  <c r="D778" i="6"/>
  <c r="D648" i="6"/>
  <c r="D109" i="6"/>
  <c r="D335" i="6"/>
  <c r="D996" i="6"/>
  <c r="D930" i="6"/>
  <c r="D929" i="6"/>
  <c r="D487" i="6"/>
  <c r="D36" i="6"/>
  <c r="D520" i="6"/>
  <c r="D392" i="6"/>
  <c r="D287" i="6"/>
  <c r="D916" i="6"/>
  <c r="D314" i="6"/>
  <c r="D552" i="6"/>
  <c r="D415" i="6"/>
  <c r="D896" i="6"/>
  <c r="D884" i="6"/>
  <c r="D862" i="6"/>
  <c r="D634" i="6"/>
  <c r="D503" i="6"/>
  <c r="D702" i="6"/>
  <c r="D714" i="6"/>
  <c r="D682" i="6"/>
  <c r="D677" i="6"/>
  <c r="D52" i="6"/>
  <c r="D936" i="6"/>
  <c r="C185" i="9"/>
  <c r="D878" i="6"/>
  <c r="D829" i="6"/>
  <c r="D477" i="6"/>
  <c r="D961" i="6"/>
  <c r="D733" i="6"/>
  <c r="D825" i="6"/>
  <c r="D740" i="6"/>
  <c r="D210" i="6"/>
  <c r="D430" i="6"/>
  <c r="D237" i="6"/>
  <c r="D123" i="6"/>
  <c r="D521" i="6"/>
  <c r="D999" i="6"/>
  <c r="D821" i="6"/>
  <c r="D422" i="6"/>
  <c r="D871" i="6"/>
  <c r="D966" i="6"/>
  <c r="D673" i="6"/>
  <c r="D543" i="6"/>
  <c r="D45" i="6"/>
  <c r="D356" i="6"/>
  <c r="D159" i="6"/>
  <c r="D277" i="6"/>
  <c r="D1003" i="6"/>
  <c r="D962" i="6"/>
  <c r="D965" i="6"/>
  <c r="D813" i="6"/>
  <c r="D205" i="6"/>
  <c r="D340" i="6"/>
  <c r="D953" i="6"/>
  <c r="D824" i="6"/>
  <c r="D173" i="6"/>
  <c r="D84" i="6"/>
  <c r="D768" i="6"/>
  <c r="D142" i="6"/>
  <c r="D1012" i="6"/>
  <c r="D937" i="6"/>
  <c r="D781" i="6"/>
  <c r="D855" i="6"/>
  <c r="D609" i="6"/>
  <c r="D177" i="6"/>
  <c r="D498" i="6"/>
  <c r="D100" i="6"/>
  <c r="D556" i="6"/>
  <c r="D560" i="6"/>
  <c r="D223" i="6"/>
  <c r="D363" i="6"/>
  <c r="D840" i="6"/>
  <c r="D104" i="6"/>
  <c r="D402" i="6"/>
  <c r="C68" i="9"/>
  <c r="D877" i="6"/>
  <c r="D669" i="6"/>
  <c r="D396" i="6"/>
  <c r="D741" i="6"/>
  <c r="D397" i="6"/>
  <c r="D505" i="6"/>
  <c r="D742" i="6"/>
  <c r="D163" i="6"/>
  <c r="D969" i="6"/>
  <c r="D604" i="6"/>
  <c r="D149" i="6"/>
  <c r="D843" i="6"/>
  <c r="D536" i="6"/>
  <c r="D172" i="6"/>
  <c r="D293" i="6"/>
  <c r="D608" i="6"/>
  <c r="D752" i="6"/>
  <c r="D395" i="6"/>
  <c r="D347" i="6"/>
  <c r="D826" i="6"/>
  <c r="D948" i="6"/>
  <c r="D820" i="6"/>
  <c r="D606" i="6"/>
  <c r="D322" i="6"/>
  <c r="D40" i="6"/>
  <c r="D567" i="6"/>
  <c r="D626" i="6"/>
  <c r="D675" i="6"/>
  <c r="D720" i="6"/>
  <c r="D588" i="6"/>
  <c r="D886" i="6"/>
  <c r="D622" i="6"/>
  <c r="D460" i="6"/>
  <c r="D672" i="6"/>
  <c r="D458" i="6"/>
  <c r="D309" i="6"/>
  <c r="D118" i="6"/>
  <c r="D445" i="6"/>
  <c r="D811" i="6"/>
  <c r="D336" i="6"/>
  <c r="D262" i="6"/>
  <c r="D331" i="6"/>
  <c r="D904" i="6"/>
  <c r="D926" i="6"/>
  <c r="D368" i="6"/>
  <c r="D284" i="6"/>
  <c r="D833" i="6"/>
  <c r="D355" i="6"/>
  <c r="D782" i="6"/>
  <c r="D357" i="6"/>
  <c r="D298" i="6"/>
  <c r="D305" i="6"/>
  <c r="D141" i="6"/>
  <c r="D273" i="6"/>
  <c r="D449" i="6"/>
  <c r="D135" i="6"/>
  <c r="D992" i="6"/>
  <c r="D898" i="6"/>
  <c r="D942" i="6"/>
  <c r="D838" i="6"/>
  <c r="D987" i="6"/>
  <c r="D885" i="6"/>
  <c r="D688" i="6"/>
  <c r="D221" i="6"/>
  <c r="D229" i="6"/>
  <c r="D170" i="6"/>
  <c r="D879" i="6"/>
  <c r="D751" i="6"/>
  <c r="D790" i="6"/>
  <c r="D651" i="6"/>
  <c r="C25" i="9"/>
  <c r="D863" i="6"/>
  <c r="D765" i="6"/>
  <c r="D593" i="6"/>
  <c r="D168" i="6"/>
  <c r="D983" i="6"/>
  <c r="D847" i="6"/>
  <c r="D131" i="6"/>
  <c r="D299" i="6"/>
  <c r="D716" i="6"/>
  <c r="D127" i="6"/>
  <c r="D88" i="6"/>
  <c r="D38" i="6"/>
  <c r="D156" i="6"/>
  <c r="D907" i="6"/>
  <c r="D597" i="6"/>
  <c r="D400" i="6"/>
  <c r="D101" i="6"/>
  <c r="D947" i="6"/>
  <c r="D80" i="6"/>
  <c r="D573" i="6"/>
  <c r="D554" i="6"/>
  <c r="D496" i="6"/>
  <c r="D658" i="6"/>
  <c r="D743" i="6"/>
  <c r="D480" i="6"/>
  <c r="D443" i="6"/>
  <c r="D394" i="6"/>
  <c r="D540" i="6"/>
  <c r="D601" i="6"/>
  <c r="D722" i="6"/>
  <c r="D37" i="6"/>
  <c r="D93" i="6"/>
  <c r="D988" i="6"/>
  <c r="D995" i="6"/>
  <c r="D248" i="6"/>
  <c r="D960" i="6"/>
  <c r="D958" i="6"/>
  <c r="D918" i="6"/>
  <c r="D814" i="6"/>
  <c r="D478" i="6"/>
  <c r="D20" i="6"/>
  <c r="D209" i="6"/>
  <c r="D951" i="6"/>
  <c r="D759" i="6"/>
  <c r="D24" i="6"/>
  <c r="D943" i="6"/>
  <c r="D652" i="6"/>
  <c r="C82" i="9"/>
  <c r="C13" i="9"/>
  <c r="D745" i="6"/>
  <c r="D555" i="6"/>
  <c r="D577" i="6"/>
  <c r="D529" i="6"/>
  <c r="D352" i="6"/>
  <c r="D433" i="6"/>
  <c r="D713" i="6"/>
  <c r="D448" i="6"/>
  <c r="D876" i="6"/>
  <c r="D489" i="6"/>
  <c r="D29" i="6"/>
  <c r="D980" i="6"/>
  <c r="D979" i="6"/>
  <c r="D216" i="6"/>
  <c r="D920" i="6"/>
  <c r="D808" i="6"/>
  <c r="D975" i="6"/>
  <c r="C161" i="9"/>
  <c r="D894" i="6"/>
  <c r="D105" i="6"/>
  <c r="D791" i="6"/>
  <c r="D663" i="6"/>
  <c r="D83" i="6"/>
  <c r="D225" i="6"/>
  <c r="D815" i="6"/>
  <c r="D738" i="6"/>
  <c r="D895" i="6"/>
  <c r="D459" i="6"/>
  <c r="D67" i="6"/>
  <c r="D154" i="6"/>
  <c r="D911" i="6"/>
  <c r="D625" i="6"/>
  <c r="D571" i="6"/>
  <c r="D524" i="6"/>
  <c r="D470" i="6"/>
  <c r="D950" i="6"/>
  <c r="D54" i="6"/>
  <c r="D641" i="6"/>
  <c r="D1009" i="6"/>
  <c r="D991" i="6"/>
  <c r="D952" i="6"/>
  <c r="D802" i="6"/>
  <c r="C218" i="9"/>
  <c r="C137" i="9"/>
  <c r="D852" i="6"/>
  <c r="D830" i="6"/>
  <c r="D990" i="6"/>
  <c r="D973" i="6"/>
  <c r="D949" i="6"/>
  <c r="D861" i="6"/>
  <c r="D184" i="6"/>
  <c r="D645" i="6"/>
  <c r="D646" i="6"/>
  <c r="D226" i="6"/>
  <c r="D959" i="6"/>
  <c r="D809" i="6"/>
  <c r="D603" i="6"/>
  <c r="D148" i="6"/>
  <c r="D147" i="6"/>
  <c r="D967" i="6"/>
  <c r="D620" i="6"/>
  <c r="D463" i="6"/>
  <c r="D411" i="6"/>
  <c r="D854" i="6"/>
  <c r="D657" i="6"/>
  <c r="D497" i="6"/>
  <c r="D584" i="6"/>
  <c r="D370" i="6"/>
  <c r="D255" i="6"/>
  <c r="D186" i="6"/>
  <c r="D108" i="6"/>
  <c r="D623" i="6"/>
  <c r="D143" i="6"/>
  <c r="D68" i="6"/>
  <c r="D1000" i="6"/>
  <c r="D971" i="6"/>
  <c r="D872" i="6"/>
  <c r="D834" i="6"/>
  <c r="D800" i="6"/>
  <c r="D970" i="6"/>
  <c r="C73" i="9"/>
  <c r="C55" i="9"/>
  <c r="D941" i="6"/>
  <c r="D328" i="6"/>
  <c r="D730" i="6"/>
  <c r="D541" i="6"/>
  <c r="D461" i="6"/>
  <c r="D51" i="6"/>
  <c r="D786" i="6"/>
  <c r="D519" i="6"/>
  <c r="D391" i="6"/>
  <c r="D96" i="6"/>
  <c r="D35" i="6"/>
  <c r="D631" i="6"/>
  <c r="D807" i="6"/>
  <c r="D873" i="6"/>
  <c r="D523" i="6"/>
  <c r="D444" i="6"/>
  <c r="D236" i="6"/>
  <c r="D117" i="6"/>
  <c r="D506" i="6"/>
  <c r="D568" i="6"/>
  <c r="D180" i="6"/>
  <c r="D679" i="6"/>
  <c r="D408" i="6"/>
  <c r="D61" i="6"/>
  <c r="D931" i="6"/>
  <c r="D345" i="6"/>
  <c r="D761" i="6"/>
  <c r="D512" i="6"/>
  <c r="D384" i="6"/>
  <c r="D591" i="6"/>
  <c r="D426" i="6"/>
  <c r="D490" i="6"/>
  <c r="D479" i="6"/>
  <c r="D254" i="6"/>
  <c r="D319" i="6"/>
  <c r="D65" i="6"/>
  <c r="D16" i="6"/>
  <c r="D258" i="6"/>
  <c r="D55" i="6"/>
  <c r="D788" i="6"/>
  <c r="D734" i="6"/>
  <c r="D889" i="6"/>
  <c r="D762" i="6"/>
  <c r="D475" i="6"/>
  <c r="D469" i="6"/>
  <c r="D82" i="6"/>
  <c r="D915" i="6"/>
  <c r="D575" i="6"/>
  <c r="D488" i="6"/>
  <c r="D150" i="6"/>
  <c r="D527" i="6"/>
  <c r="D393" i="6"/>
  <c r="D234" i="6"/>
  <c r="D253" i="6"/>
  <c r="D899" i="6"/>
  <c r="D211" i="6"/>
  <c r="D511" i="6"/>
  <c r="D875" i="6"/>
  <c r="D711" i="6"/>
  <c r="D464" i="6"/>
  <c r="D195" i="6"/>
  <c r="D410" i="6"/>
  <c r="D48" i="6"/>
  <c r="D465" i="6"/>
  <c r="D366" i="6"/>
  <c r="D728" i="6"/>
  <c r="D473" i="6"/>
  <c r="D923" i="6"/>
  <c r="D955" i="6"/>
  <c r="D642" i="6"/>
  <c r="D425" i="6"/>
  <c r="D456" i="6"/>
  <c r="D607" i="6"/>
  <c r="D69" i="6"/>
  <c r="D598" i="6"/>
  <c r="D576" i="6"/>
  <c r="D664" i="6"/>
  <c r="D618" i="6"/>
  <c r="D364" i="6"/>
  <c r="D883" i="6"/>
  <c r="D399" i="6"/>
  <c r="D867" i="6"/>
  <c r="D600" i="6"/>
  <c r="D570" i="6"/>
  <c r="D997" i="6"/>
  <c r="D998" i="6"/>
  <c r="D924" i="6"/>
  <c r="D908" i="6"/>
  <c r="D844" i="6"/>
  <c r="D796" i="6"/>
  <c r="D925" i="6"/>
  <c r="D797" i="6"/>
  <c r="D574" i="6"/>
  <c r="D510" i="6"/>
  <c r="D446" i="6"/>
  <c r="D382" i="6"/>
  <c r="D453" i="6"/>
  <c r="D887" i="6"/>
  <c r="D823" i="6"/>
  <c r="D727" i="6"/>
  <c r="D300" i="6"/>
  <c r="D121" i="6"/>
  <c r="D81" i="6"/>
  <c r="D502" i="6"/>
  <c r="D202" i="6"/>
  <c r="D766" i="6"/>
  <c r="D185" i="6"/>
  <c r="D921" i="6"/>
  <c r="D857" i="6"/>
  <c r="D793" i="6"/>
  <c r="D539" i="6"/>
  <c r="D339" i="6"/>
  <c r="D139" i="6"/>
  <c r="D53" i="6"/>
  <c r="D569" i="6"/>
  <c r="D441" i="6"/>
  <c r="D859" i="6"/>
  <c r="D440" i="6"/>
  <c r="D559" i="6"/>
  <c r="D617" i="6"/>
  <c r="D835" i="6"/>
  <c r="D528" i="6"/>
  <c r="D891" i="6"/>
  <c r="D616" i="6"/>
  <c r="D819" i="6"/>
  <c r="D351" i="6"/>
  <c r="D721" i="6"/>
  <c r="D318" i="6"/>
  <c r="D332" i="6"/>
  <c r="D1007" i="6"/>
  <c r="D1005" i="6"/>
  <c r="D968" i="6"/>
  <c r="C167" i="9"/>
  <c r="C151" i="9"/>
  <c r="C87" i="9"/>
  <c r="D982" i="6"/>
  <c r="D917" i="6"/>
  <c r="D853" i="6"/>
  <c r="D789" i="6"/>
  <c r="D240" i="6"/>
  <c r="D710" i="6"/>
  <c r="D116" i="6"/>
  <c r="D124" i="6"/>
  <c r="D535" i="6"/>
  <c r="D407" i="6"/>
  <c r="D276" i="6"/>
  <c r="D217" i="6"/>
  <c r="D680" i="6"/>
  <c r="D308" i="6"/>
  <c r="D162" i="6"/>
  <c r="D780" i="6"/>
  <c r="D683" i="6"/>
  <c r="D903" i="6"/>
  <c r="D775" i="6"/>
  <c r="D132" i="6"/>
  <c r="D760" i="6"/>
  <c r="D905" i="6"/>
  <c r="D841" i="6"/>
  <c r="D619" i="6"/>
  <c r="D491" i="6"/>
  <c r="D133" i="6"/>
  <c r="D753" i="6"/>
  <c r="D544" i="6"/>
  <c r="D416" i="6"/>
  <c r="D432" i="6"/>
  <c r="D212" i="6"/>
  <c r="D457" i="6"/>
  <c r="D851" i="6"/>
  <c r="D447" i="6"/>
  <c r="D167" i="6"/>
  <c r="D522" i="6"/>
  <c r="D383" i="6"/>
  <c r="D553" i="6"/>
  <c r="D231" i="6"/>
  <c r="D1004" i="6"/>
  <c r="D280" i="6"/>
  <c r="D360" i="6"/>
  <c r="D938" i="6"/>
  <c r="D906" i="6"/>
  <c r="D874" i="6"/>
  <c r="D842" i="6"/>
  <c r="D810" i="6"/>
  <c r="C211" i="9"/>
  <c r="D902" i="6"/>
  <c r="D870" i="6"/>
  <c r="D822" i="6"/>
  <c r="D806" i="6"/>
  <c r="D909" i="6"/>
  <c r="D845" i="6"/>
  <c r="D208" i="6"/>
  <c r="D774" i="6"/>
  <c r="D558" i="6"/>
  <c r="D494" i="6"/>
  <c r="D113" i="6"/>
  <c r="D73" i="6"/>
  <c r="D406" i="6"/>
  <c r="D801" i="6"/>
  <c r="D705" i="6"/>
  <c r="D639" i="6"/>
  <c r="D274" i="6"/>
  <c r="D25" i="6"/>
  <c r="D350" i="6"/>
  <c r="D670" i="6"/>
  <c r="D434" i="6"/>
  <c r="D655" i="6"/>
  <c r="D514" i="6"/>
  <c r="D703" i="6"/>
  <c r="D66" i="6"/>
  <c r="D442" i="6"/>
  <c r="D537" i="6"/>
  <c r="D409" i="6"/>
  <c r="D795" i="6"/>
  <c r="D586" i="6"/>
  <c r="D424" i="6"/>
  <c r="D431" i="6"/>
  <c r="D155" i="6"/>
  <c r="D585" i="6"/>
  <c r="D179" i="6"/>
  <c r="D827" i="6"/>
  <c r="D504" i="6"/>
  <c r="D939" i="6"/>
  <c r="D803" i="6"/>
  <c r="D495" i="6"/>
  <c r="C253" i="9"/>
  <c r="D1010" i="6"/>
  <c r="D1008" i="6"/>
  <c r="D342" i="6"/>
  <c r="D344" i="6"/>
  <c r="D668" i="6"/>
  <c r="D667" i="6"/>
  <c r="D353" i="6"/>
  <c r="D49" i="6"/>
  <c r="D484" i="6"/>
  <c r="D483" i="6"/>
  <c r="D334" i="6"/>
  <c r="D333" i="6"/>
  <c r="D204" i="6"/>
  <c r="D693" i="6"/>
  <c r="D612" i="6"/>
  <c r="D611" i="6"/>
  <c r="D614" i="6"/>
  <c r="D550" i="6"/>
  <c r="D329" i="6"/>
  <c r="D348" i="6"/>
  <c r="D182" i="6"/>
  <c r="D136" i="6"/>
  <c r="D145" i="6"/>
  <c r="D250" i="6"/>
  <c r="D87" i="6"/>
  <c r="D128" i="6"/>
  <c r="D15" i="6"/>
  <c r="C245" i="9"/>
  <c r="D1002" i="6"/>
  <c r="D246" i="6"/>
  <c r="D468" i="6"/>
  <c r="D467" i="6"/>
  <c r="D692" i="6"/>
  <c r="D691" i="6"/>
  <c r="D596" i="6"/>
  <c r="D595" i="6"/>
  <c r="D86" i="6"/>
  <c r="D758" i="6"/>
  <c r="D613" i="6"/>
  <c r="D549" i="6"/>
  <c r="D629" i="6"/>
  <c r="D666" i="6"/>
  <c r="D500" i="6"/>
  <c r="D499" i="6"/>
  <c r="D302" i="6"/>
  <c r="D34" i="6"/>
  <c r="D367" i="6"/>
  <c r="D42" i="6"/>
  <c r="D215" i="6"/>
  <c r="D279" i="6"/>
  <c r="D174" i="6"/>
  <c r="D346" i="6"/>
  <c r="D5" i="6"/>
  <c r="C237" i="9"/>
  <c r="D994" i="6"/>
  <c r="D732" i="6"/>
  <c r="D731" i="6"/>
  <c r="D112" i="6"/>
  <c r="D72" i="6"/>
  <c r="D102" i="6"/>
  <c r="D757" i="6"/>
  <c r="D580" i="6"/>
  <c r="D579" i="6"/>
  <c r="D748" i="6"/>
  <c r="D747" i="6"/>
  <c r="D662" i="6"/>
  <c r="D534" i="6"/>
  <c r="D749" i="6"/>
  <c r="D200" i="6"/>
  <c r="D686" i="6"/>
  <c r="D315" i="6"/>
  <c r="D251" i="6"/>
  <c r="D282" i="6"/>
  <c r="D326" i="6"/>
  <c r="D307" i="6"/>
  <c r="D247" i="6"/>
  <c r="D203" i="6"/>
  <c r="D90" i="6"/>
  <c r="D160" i="6"/>
  <c r="D175" i="6"/>
  <c r="D361" i="6"/>
  <c r="D349" i="6"/>
  <c r="D111" i="6"/>
  <c r="D3" i="6"/>
  <c r="C229" i="9"/>
  <c r="D986" i="6"/>
  <c r="D379" i="6"/>
  <c r="D378" i="6"/>
  <c r="D1001" i="6"/>
  <c r="C207" i="9"/>
  <c r="D964" i="6"/>
  <c r="D963" i="6"/>
  <c r="D6" i="6"/>
  <c r="D33" i="6"/>
  <c r="D78" i="6"/>
  <c r="D756" i="6"/>
  <c r="D755" i="6"/>
  <c r="D310" i="6"/>
  <c r="D517" i="6"/>
  <c r="D70" i="6"/>
  <c r="D661" i="6"/>
  <c r="D564" i="6"/>
  <c r="D563" i="6"/>
  <c r="D533" i="6"/>
  <c r="D343" i="6"/>
  <c r="D206" i="6"/>
  <c r="D327" i="6"/>
  <c r="D153" i="6"/>
  <c r="D239" i="6"/>
  <c r="D191" i="6"/>
  <c r="D270" i="6"/>
  <c r="D58" i="6"/>
  <c r="D311" i="6"/>
  <c r="D594" i="6"/>
  <c r="D291" i="6"/>
  <c r="D4" i="6"/>
  <c r="C221" i="9"/>
  <c r="D978" i="6"/>
  <c r="D985" i="6"/>
  <c r="D977" i="6"/>
  <c r="D120" i="6"/>
  <c r="D32" i="6"/>
  <c r="D660" i="6"/>
  <c r="D659" i="6"/>
  <c r="D454" i="6"/>
  <c r="D62" i="6"/>
  <c r="D746" i="6"/>
  <c r="D532" i="6"/>
  <c r="D531" i="6"/>
  <c r="D726" i="6"/>
  <c r="D582" i="6"/>
  <c r="D518" i="6"/>
  <c r="D717" i="6"/>
  <c r="D750" i="6"/>
  <c r="C10" i="9"/>
  <c r="D767" i="6"/>
  <c r="D486" i="6"/>
  <c r="D110" i="6"/>
  <c r="D161" i="6"/>
  <c r="D103" i="6"/>
  <c r="D306" i="6"/>
  <c r="D152" i="6"/>
  <c r="D259" i="6"/>
  <c r="D26" i="6"/>
  <c r="D238" i="6"/>
  <c r="D562" i="6"/>
  <c r="D271" i="6"/>
  <c r="D79" i="6"/>
  <c r="D330" i="6"/>
  <c r="D700" i="6"/>
  <c r="D699" i="6"/>
  <c r="D373" i="6"/>
  <c r="D278" i="6"/>
  <c r="D452" i="6"/>
  <c r="D451" i="6"/>
  <c r="D374" i="6"/>
  <c r="D437" i="6"/>
  <c r="D636" i="6"/>
  <c r="D635" i="6"/>
  <c r="D436" i="6"/>
  <c r="D435" i="6"/>
  <c r="D405" i="6"/>
  <c r="D46" i="6"/>
  <c r="D725" i="6"/>
  <c r="D637" i="6"/>
  <c r="D516" i="6"/>
  <c r="D515" i="6"/>
  <c r="D638" i="6"/>
  <c r="D581" i="6"/>
  <c r="D501" i="6"/>
  <c r="D698" i="6"/>
  <c r="D220" i="6"/>
  <c r="D218" i="6"/>
  <c r="D94" i="6"/>
  <c r="D71" i="6"/>
  <c r="D114" i="6"/>
  <c r="D137" i="6"/>
  <c r="D242" i="6"/>
  <c r="D610" i="6"/>
  <c r="D129" i="6"/>
  <c r="D106" i="6"/>
  <c r="D530" i="6"/>
  <c r="D243" i="6"/>
  <c r="D63" i="6"/>
  <c r="D358" i="6"/>
  <c r="D286" i="6"/>
  <c r="D285" i="6"/>
  <c r="D420" i="6"/>
  <c r="D419" i="6"/>
  <c r="D283" i="6"/>
  <c r="D690" i="6"/>
  <c r="D57" i="6"/>
  <c r="D421" i="6"/>
  <c r="D724" i="6"/>
  <c r="D723" i="6"/>
  <c r="D388" i="6"/>
  <c r="D387" i="6"/>
  <c r="D30" i="6"/>
  <c r="D566" i="6"/>
  <c r="D685" i="6"/>
  <c r="D630" i="6"/>
  <c r="D337" i="6"/>
  <c r="D214" i="6"/>
  <c r="D438" i="6"/>
  <c r="D323" i="6"/>
  <c r="D22" i="6"/>
  <c r="D303" i="6"/>
  <c r="D39" i="6"/>
  <c r="D95" i="6"/>
  <c r="D207" i="6"/>
  <c r="D578" i="6"/>
  <c r="D50" i="6"/>
  <c r="D183" i="6"/>
  <c r="D47" i="6"/>
  <c r="D359" i="6"/>
  <c r="D984" i="6"/>
  <c r="D993" i="6"/>
  <c r="D17" i="6"/>
  <c r="C7" i="9"/>
  <c r="D764" i="6"/>
  <c r="D763" i="6"/>
  <c r="D89" i="6"/>
  <c r="D41" i="6"/>
  <c r="D404" i="6"/>
  <c r="D403" i="6"/>
  <c r="D485" i="6"/>
  <c r="D201" i="6"/>
  <c r="D97" i="6"/>
  <c r="D56" i="6"/>
  <c r="D548" i="6"/>
  <c r="D547" i="6"/>
  <c r="D390" i="6"/>
  <c r="D192" i="6"/>
  <c r="D338" i="6"/>
  <c r="D377" i="6"/>
  <c r="D224" i="6"/>
  <c r="C26" i="9"/>
  <c r="D783" i="6"/>
  <c r="D190" i="6"/>
  <c r="D189" i="6"/>
  <c r="D694" i="6"/>
  <c r="D565" i="6"/>
  <c r="D718" i="6"/>
  <c r="D354" i="6"/>
  <c r="D290" i="6"/>
  <c r="D389" i="6"/>
  <c r="D98" i="6"/>
  <c r="D450" i="6"/>
  <c r="D23" i="6"/>
  <c r="D482" i="6"/>
  <c r="D31" i="6"/>
  <c r="D119" i="6"/>
  <c r="D546" i="6"/>
  <c r="D18" i="6"/>
  <c r="D74" i="6"/>
  <c r="D466" i="6"/>
  <c r="D144"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<sst xmlns="http://schemas.openxmlformats.org/spreadsheetml/2006/main" count="149" uniqueCount="108">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</sst>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ont>
        <color rgb="FF00B050"/>
      </font>
      <fill>
        <patternFill>
          <bgColor theme="0"/>
        </patternFill>
      </fill>
    </dxf>
    <dxf>
      <font>
        <color rgb="FFFF0000"/>
      </font>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NFP!$A$120:$A$1016</c:f>
              <c:numCache>
                <c:formatCode>yyyy\-mm\-dd</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NFP!$E$120:$E$1016</c:f>
              <c:numCache>
                <c:formatCode>General</c:formatCode>
                <c:ptCount val="89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pt idx="890">
                  <c:v>3.6</c:v>
                </c:pt>
                <c:pt idx="891">
                  <c:v>3.6</c:v>
                </c:pt>
                <c:pt idx="892">
                  <c:v>3.6</c:v>
                </c:pt>
                <c:pt idx="893">
                  <c:v>3.6</c:v>
                </c:pt>
              </c:numCache>
            </c:numRef>
          </c:val>
          <c:smooth val="0"/>
          <c:extLst>
            <c:ext xmlns:c16="http://schemas.microsoft.com/office/drawing/2014/chart" uri="{C3380CC4-5D6E-409C-BE32-E72D297353CC}">
              <c16:uniqueId val="{00000000-4067-444F-B416-6087CEA4D009}"/>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pt idx="890">
                  <c:v>3.6</c:v>
                </c:pt>
                <c:pt idx="891">
                  <c:v>3.6</c:v>
                </c:pt>
                <c:pt idx="892">
                  <c:v>3.6</c:v>
                </c:pt>
                <c:pt idx="893">
                  <c:v>3.6</c:v>
                </c:pt>
              </c:numCache>
            </c:numRef>
          </c:val>
          <c:smooth val="0"/>
          <c:extLst>
            <c:ext xmlns:c16="http://schemas.microsoft.com/office/drawing/2014/chart" uri="{C3380CC4-5D6E-409C-BE32-E72D297353CC}">
              <c16:uniqueId val="{00000000-509A-BD48-9C40-50CF9C5A16D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NFP!$F$120:$F$1022</c:f>
              <c:numCache>
                <c:formatCode>General</c:formatCode>
                <c:ptCount val="90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pt idx="889">
                  <c:v>62.3</c:v>
                </c:pt>
                <c:pt idx="890">
                  <c:v>62.4</c:v>
                </c:pt>
                <c:pt idx="891">
                  <c:v>62.2</c:v>
                </c:pt>
                <c:pt idx="892">
                  <c:v>62.3</c:v>
                </c:pt>
                <c:pt idx="893">
                  <c:v>62.2</c:v>
                </c:pt>
              </c:numCache>
            </c:numRef>
          </c:val>
          <c:smooth val="0"/>
          <c:extLst>
            <c:ext xmlns:c16="http://schemas.microsoft.com/office/drawing/2014/chart" uri="{C3380CC4-5D6E-409C-BE32-E72D297353CC}">
              <c16:uniqueId val="{00000000-FA11-854C-AE65-0172BE28373B}"/>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numCache>
            </c:numRef>
          </c:cat>
          <c:val>
            <c:numRef>
              <c:f>Claims!$B$2670:$B$2917</c:f>
              <c:numCache>
                <c:formatCode>#,##0</c:formatCode>
                <c:ptCount val="248"/>
                <c:pt idx="0">
                  <c:v>224000</c:v>
                </c:pt>
                <c:pt idx="1">
                  <c:v>227000</c:v>
                </c:pt>
                <c:pt idx="2">
                  <c:v>220000</c:v>
                </c:pt>
                <c:pt idx="3">
                  <c:v>215000</c:v>
                </c:pt>
                <c:pt idx="4">
                  <c:v>226000</c:v>
                </c:pt>
                <c:pt idx="5">
                  <c:v>223000</c:v>
                </c:pt>
                <c:pt idx="6">
                  <c:v>224000</c:v>
                </c:pt>
                <c:pt idx="7">
                  <c:v>220000</c:v>
                </c:pt>
                <c:pt idx="8">
                  <c:v>235000</c:v>
                </c:pt>
                <c:pt idx="9">
                  <c:v>235000</c:v>
                </c:pt>
                <c:pt idx="10">
                  <c:v>235000</c:v>
                </c:pt>
                <c:pt idx="11">
                  <c:v>208000</c:v>
                </c:pt>
                <c:pt idx="12">
                  <c:v>212000</c:v>
                </c:pt>
                <c:pt idx="13">
                  <c:v>210000</c:v>
                </c:pt>
                <c:pt idx="14">
                  <c:v>224000</c:v>
                </c:pt>
                <c:pt idx="15">
                  <c:v>230000</c:v>
                </c:pt>
                <c:pt idx="16">
                  <c:v>221000</c:v>
                </c:pt>
                <c:pt idx="17">
                  <c:v>221000</c:v>
                </c:pt>
                <c:pt idx="18">
                  <c:v>218000</c:v>
                </c:pt>
                <c:pt idx="19">
                  <c:v>220000</c:v>
                </c:pt>
                <c:pt idx="20">
                  <c:v>220000</c:v>
                </c:pt>
                <c:pt idx="21">
                  <c:v>229000</c:v>
                </c:pt>
                <c:pt idx="22">
                  <c:v>229000</c:v>
                </c:pt>
                <c:pt idx="23">
                  <c:v>212000</c:v>
                </c:pt>
                <c:pt idx="24">
                  <c:v>220000</c:v>
                </c:pt>
                <c:pt idx="25">
                  <c:v>218000</c:v>
                </c:pt>
                <c:pt idx="26">
                  <c:v>217000</c:v>
                </c:pt>
                <c:pt idx="27">
                  <c:v>212000</c:v>
                </c:pt>
                <c:pt idx="28">
                  <c:v>215000</c:v>
                </c:pt>
                <c:pt idx="29">
                  <c:v>214000</c:v>
                </c:pt>
                <c:pt idx="30">
                  <c:v>209000</c:v>
                </c:pt>
                <c:pt idx="31">
                  <c:v>210000</c:v>
                </c:pt>
                <c:pt idx="32">
                  <c:v>212000</c:v>
                </c:pt>
                <c:pt idx="33">
                  <c:v>212000</c:v>
                </c:pt>
                <c:pt idx="34">
                  <c:v>216000</c:v>
                </c:pt>
                <c:pt idx="35">
                  <c:v>212000</c:v>
                </c:pt>
                <c:pt idx="36">
                  <c:v>212000</c:v>
                </c:pt>
                <c:pt idx="37">
                  <c:v>219000</c:v>
                </c:pt>
                <c:pt idx="38">
                  <c:v>216000</c:v>
                </c:pt>
                <c:pt idx="39">
                  <c:v>216000</c:v>
                </c:pt>
                <c:pt idx="40">
                  <c:v>217000</c:v>
                </c:pt>
                <c:pt idx="41">
                  <c:v>220000</c:v>
                </c:pt>
                <c:pt idx="42">
                  <c:v>230000</c:v>
                </c:pt>
                <c:pt idx="43">
                  <c:v>225000</c:v>
                </c:pt>
                <c:pt idx="44">
                  <c:v>203000</c:v>
                </c:pt>
                <c:pt idx="45">
                  <c:v>214000</c:v>
                </c:pt>
                <c:pt idx="46">
                  <c:v>220000</c:v>
                </c:pt>
                <c:pt idx="47">
                  <c:v>226000</c:v>
                </c:pt>
                <c:pt idx="48">
                  <c:v>218000</c:v>
                </c:pt>
                <c:pt idx="49">
                  <c:v>215000</c:v>
                </c:pt>
                <c:pt idx="50">
                  <c:v>211000</c:v>
                </c:pt>
                <c:pt idx="51">
                  <c:v>236000</c:v>
                </c:pt>
                <c:pt idx="52">
                  <c:v>233000</c:v>
                </c:pt>
                <c:pt idx="53">
                  <c:v>232000</c:v>
                </c:pt>
                <c:pt idx="54">
                  <c:v>218000</c:v>
                </c:pt>
                <c:pt idx="55">
                  <c:v>223000</c:v>
                </c:pt>
                <c:pt idx="56">
                  <c:v>220000</c:v>
                </c:pt>
                <c:pt idx="57">
                  <c:v>225000</c:v>
                </c:pt>
                <c:pt idx="58">
                  <c:v>218000</c:v>
                </c:pt>
                <c:pt idx="59">
                  <c:v>215000</c:v>
                </c:pt>
                <c:pt idx="60">
                  <c:v>211000</c:v>
                </c:pt>
                <c:pt idx="61">
                  <c:v>203000</c:v>
                </c:pt>
                <c:pt idx="62">
                  <c:v>203000</c:v>
                </c:pt>
                <c:pt idx="63">
                  <c:v>224000</c:v>
                </c:pt>
                <c:pt idx="64">
                  <c:v>230000</c:v>
                </c:pt>
                <c:pt idx="65">
                  <c:v>225000</c:v>
                </c:pt>
                <c:pt idx="66">
                  <c:v>216000</c:v>
                </c:pt>
                <c:pt idx="67">
                  <c:v>213000</c:v>
                </c:pt>
                <c:pt idx="68">
                  <c:v>218000</c:v>
                </c:pt>
                <c:pt idx="69">
                  <c:v>220000</c:v>
                </c:pt>
                <c:pt idx="70">
                  <c:v>220000</c:v>
                </c:pt>
                <c:pt idx="71">
                  <c:v>219000</c:v>
                </c:pt>
                <c:pt idx="72">
                  <c:v>224000</c:v>
                </c:pt>
                <c:pt idx="73">
                  <c:v>223000</c:v>
                </c:pt>
                <c:pt idx="74">
                  <c:v>205000</c:v>
                </c:pt>
                <c:pt idx="75">
                  <c:v>217000</c:v>
                </c:pt>
                <c:pt idx="76">
                  <c:v>210000</c:v>
                </c:pt>
                <c:pt idx="77">
                  <c:v>216000</c:v>
                </c:pt>
                <c:pt idx="78">
                  <c:v>214000</c:v>
                </c:pt>
                <c:pt idx="79">
                  <c:v>218000</c:v>
                </c:pt>
                <c:pt idx="80">
                  <c:v>214000</c:v>
                </c:pt>
                <c:pt idx="81">
                  <c:v>215000</c:v>
                </c:pt>
                <c:pt idx="82">
                  <c:v>218000</c:v>
                </c:pt>
                <c:pt idx="83">
                  <c:v>208000</c:v>
                </c:pt>
                <c:pt idx="84">
                  <c:v>211000</c:v>
                </c:pt>
                <c:pt idx="85">
                  <c:v>215000</c:v>
                </c:pt>
                <c:pt idx="86">
                  <c:v>217000</c:v>
                </c:pt>
                <c:pt idx="87">
                  <c:v>212000</c:v>
                </c:pt>
                <c:pt idx="88">
                  <c:v>217000</c:v>
                </c:pt>
                <c:pt idx="89">
                  <c:v>212000</c:v>
                </c:pt>
                <c:pt idx="90">
                  <c:v>216000</c:v>
                </c:pt>
                <c:pt idx="91">
                  <c:v>211000</c:v>
                </c:pt>
                <c:pt idx="92">
                  <c:v>222000</c:v>
                </c:pt>
                <c:pt idx="93">
                  <c:v>221000</c:v>
                </c:pt>
                <c:pt idx="94">
                  <c:v>215000</c:v>
                </c:pt>
                <c:pt idx="95">
                  <c:v>219000</c:v>
                </c:pt>
                <c:pt idx="96">
                  <c:v>238000</c:v>
                </c:pt>
                <c:pt idx="97">
                  <c:v>227000</c:v>
                </c:pt>
                <c:pt idx="98">
                  <c:v>218000</c:v>
                </c:pt>
                <c:pt idx="99">
                  <c:v>218000</c:v>
                </c:pt>
                <c:pt idx="100">
                  <c:v>210000</c:v>
                </c:pt>
                <c:pt idx="101">
                  <c:v>206000</c:v>
                </c:pt>
                <c:pt idx="102">
                  <c:v>219000</c:v>
                </c:pt>
                <c:pt idx="103">
                  <c:v>210000</c:v>
                </c:pt>
                <c:pt idx="104">
                  <c:v>205000</c:v>
                </c:pt>
                <c:pt idx="105">
                  <c:v>207000</c:v>
                </c:pt>
                <c:pt idx="106">
                  <c:v>215000</c:v>
                </c:pt>
                <c:pt idx="107">
                  <c:v>218000</c:v>
                </c:pt>
                <c:pt idx="108">
                  <c:v>216000</c:v>
                </c:pt>
                <c:pt idx="109">
                  <c:v>212000</c:v>
                </c:pt>
                <c:pt idx="110">
                  <c:v>256000</c:v>
                </c:pt>
                <c:pt idx="111">
                  <c:v>2923000</c:v>
                </c:pt>
                <c:pt idx="112">
                  <c:v>5985000</c:v>
                </c:pt>
                <c:pt idx="113">
                  <c:v>6149000</c:v>
                </c:pt>
                <c:pt idx="114">
                  <c:v>4869000</c:v>
                </c:pt>
                <c:pt idx="115">
                  <c:v>4202000</c:v>
                </c:pt>
                <c:pt idx="116">
                  <c:v>3451000</c:v>
                </c:pt>
                <c:pt idx="117">
                  <c:v>2784000</c:v>
                </c:pt>
                <c:pt idx="118">
                  <c:v>2315000</c:v>
                </c:pt>
                <c:pt idx="119">
                  <c:v>2149000</c:v>
                </c:pt>
                <c:pt idx="120">
                  <c:v>1887000</c:v>
                </c:pt>
                <c:pt idx="121">
                  <c:v>1605000</c:v>
                </c:pt>
                <c:pt idx="122">
                  <c:v>1537000</c:v>
                </c:pt>
                <c:pt idx="123">
                  <c:v>1472000</c:v>
                </c:pt>
                <c:pt idx="124">
                  <c:v>1460000</c:v>
                </c:pt>
                <c:pt idx="125">
                  <c:v>1436000</c:v>
                </c:pt>
                <c:pt idx="126">
                  <c:v>1398000</c:v>
                </c:pt>
                <c:pt idx="127">
                  <c:v>1479000</c:v>
                </c:pt>
                <c:pt idx="128">
                  <c:v>1398000</c:v>
                </c:pt>
                <c:pt idx="129">
                  <c:v>1262000</c:v>
                </c:pt>
                <c:pt idx="130">
                  <c:v>1043000</c:v>
                </c:pt>
                <c:pt idx="131">
                  <c:v>883000</c:v>
                </c:pt>
                <c:pt idx="132">
                  <c:v>920000</c:v>
                </c:pt>
                <c:pt idx="133">
                  <c:v>872000</c:v>
                </c:pt>
                <c:pt idx="134">
                  <c:v>875000</c:v>
                </c:pt>
                <c:pt idx="135">
                  <c:v>881000</c:v>
                </c:pt>
                <c:pt idx="136">
                  <c:v>860000</c:v>
                </c:pt>
                <c:pt idx="137">
                  <c:v>860000</c:v>
                </c:pt>
                <c:pt idx="138">
                  <c:v>803000</c:v>
                </c:pt>
                <c:pt idx="139">
                  <c:v>782000</c:v>
                </c:pt>
                <c:pt idx="140">
                  <c:v>833000</c:v>
                </c:pt>
                <c:pt idx="141">
                  <c:v>798000</c:v>
                </c:pt>
                <c:pt idx="142">
                  <c:v>768000</c:v>
                </c:pt>
                <c:pt idx="143">
                  <c:v>765000</c:v>
                </c:pt>
                <c:pt idx="144">
                  <c:v>728000</c:v>
                </c:pt>
                <c:pt idx="145">
                  <c:v>732000</c:v>
                </c:pt>
                <c:pt idx="146">
                  <c:v>762000</c:v>
                </c:pt>
                <c:pt idx="147">
                  <c:v>719000</c:v>
                </c:pt>
                <c:pt idx="148">
                  <c:v>853000</c:v>
                </c:pt>
                <c:pt idx="149">
                  <c:v>873000</c:v>
                </c:pt>
                <c:pt idx="150">
                  <c:v>803000</c:v>
                </c:pt>
                <c:pt idx="151">
                  <c:v>763000</c:v>
                </c:pt>
                <c:pt idx="152">
                  <c:v>781000</c:v>
                </c:pt>
                <c:pt idx="153">
                  <c:v>904000</c:v>
                </c:pt>
                <c:pt idx="154">
                  <c:v>886000</c:v>
                </c:pt>
                <c:pt idx="155">
                  <c:v>836000</c:v>
                </c:pt>
                <c:pt idx="156">
                  <c:v>837000</c:v>
                </c:pt>
                <c:pt idx="157">
                  <c:v>863000</c:v>
                </c:pt>
                <c:pt idx="158">
                  <c:v>847000</c:v>
                </c:pt>
                <c:pt idx="159">
                  <c:v>747000</c:v>
                </c:pt>
                <c:pt idx="160">
                  <c:v>761000</c:v>
                </c:pt>
                <c:pt idx="161">
                  <c:v>734000</c:v>
                </c:pt>
                <c:pt idx="162">
                  <c:v>765000</c:v>
                </c:pt>
                <c:pt idx="163">
                  <c:v>658000</c:v>
                </c:pt>
                <c:pt idx="164">
                  <c:v>729000</c:v>
                </c:pt>
                <c:pt idx="165">
                  <c:v>742000</c:v>
                </c:pt>
                <c:pt idx="166">
                  <c:v>586000</c:v>
                </c:pt>
                <c:pt idx="167">
                  <c:v>566000</c:v>
                </c:pt>
                <c:pt idx="168">
                  <c:v>590000</c:v>
                </c:pt>
                <c:pt idx="169">
                  <c:v>507000</c:v>
                </c:pt>
                <c:pt idx="170">
                  <c:v>478000</c:v>
                </c:pt>
                <c:pt idx="171">
                  <c:v>444000</c:v>
                </c:pt>
                <c:pt idx="172">
                  <c:v>405000</c:v>
                </c:pt>
                <c:pt idx="173">
                  <c:v>388000</c:v>
                </c:pt>
                <c:pt idx="174">
                  <c:v>374000</c:v>
                </c:pt>
                <c:pt idx="175">
                  <c:v>418000</c:v>
                </c:pt>
                <c:pt idx="176">
                  <c:v>416000</c:v>
                </c:pt>
                <c:pt idx="177">
                  <c:v>368000</c:v>
                </c:pt>
                <c:pt idx="178">
                  <c:v>386000</c:v>
                </c:pt>
                <c:pt idx="179">
                  <c:v>368000</c:v>
                </c:pt>
                <c:pt idx="180">
                  <c:v>424000</c:v>
                </c:pt>
                <c:pt idx="181">
                  <c:v>399000</c:v>
                </c:pt>
                <c:pt idx="182">
                  <c:v>387000</c:v>
                </c:pt>
                <c:pt idx="183">
                  <c:v>377000</c:v>
                </c:pt>
                <c:pt idx="184">
                  <c:v>349000</c:v>
                </c:pt>
                <c:pt idx="185">
                  <c:v>354000</c:v>
                </c:pt>
                <c:pt idx="186">
                  <c:v>345000</c:v>
                </c:pt>
                <c:pt idx="187">
                  <c:v>312000</c:v>
                </c:pt>
                <c:pt idx="188">
                  <c:v>335000</c:v>
                </c:pt>
                <c:pt idx="189">
                  <c:v>351000</c:v>
                </c:pt>
                <c:pt idx="190">
                  <c:v>364000</c:v>
                </c:pt>
                <c:pt idx="191">
                  <c:v>329000</c:v>
                </c:pt>
                <c:pt idx="192">
                  <c:v>296000</c:v>
                </c:pt>
                <c:pt idx="193">
                  <c:v>291000</c:v>
                </c:pt>
                <c:pt idx="194">
                  <c:v>283000</c:v>
                </c:pt>
                <c:pt idx="195">
                  <c:v>271000</c:v>
                </c:pt>
                <c:pt idx="196">
                  <c:v>269000</c:v>
                </c:pt>
                <c:pt idx="197">
                  <c:v>270000</c:v>
                </c:pt>
                <c:pt idx="198">
                  <c:v>194000</c:v>
                </c:pt>
                <c:pt idx="199">
                  <c:v>227000</c:v>
                </c:pt>
                <c:pt idx="200">
                  <c:v>188000</c:v>
                </c:pt>
                <c:pt idx="201">
                  <c:v>206000</c:v>
                </c:pt>
                <c:pt idx="202">
                  <c:v>206000</c:v>
                </c:pt>
                <c:pt idx="203">
                  <c:v>200000</c:v>
                </c:pt>
                <c:pt idx="204">
                  <c:v>207000</c:v>
                </c:pt>
                <c:pt idx="205">
                  <c:v>231000</c:v>
                </c:pt>
                <c:pt idx="206">
                  <c:v>286000</c:v>
                </c:pt>
                <c:pt idx="207">
                  <c:v>261000</c:v>
                </c:pt>
                <c:pt idx="208">
                  <c:v>238000</c:v>
                </c:pt>
                <c:pt idx="209">
                  <c:v>223000</c:v>
                </c:pt>
                <c:pt idx="210">
                  <c:v>248000</c:v>
                </c:pt>
                <c:pt idx="211">
                  <c:v>232000</c:v>
                </c:pt>
                <c:pt idx="212">
                  <c:v>215000</c:v>
                </c:pt>
                <c:pt idx="213">
                  <c:v>227000</c:v>
                </c:pt>
                <c:pt idx="214">
                  <c:v>214000</c:v>
                </c:pt>
                <c:pt idx="215">
                  <c:v>187000</c:v>
                </c:pt>
                <c:pt idx="216">
                  <c:v>202000</c:v>
                </c:pt>
                <c:pt idx="217">
                  <c:v>166000</c:v>
                </c:pt>
                <c:pt idx="218">
                  <c:v>185000</c:v>
                </c:pt>
                <c:pt idx="219">
                  <c:v>185000</c:v>
                </c:pt>
                <c:pt idx="220">
                  <c:v>180000</c:v>
                </c:pt>
                <c:pt idx="221">
                  <c:v>202000</c:v>
                </c:pt>
                <c:pt idx="222">
                  <c:v>203000</c:v>
                </c:pt>
                <c:pt idx="223">
                  <c:v>218000</c:v>
                </c:pt>
                <c:pt idx="224">
                  <c:v>210000</c:v>
                </c:pt>
                <c:pt idx="225">
                  <c:v>200000</c:v>
                </c:pt>
                <c:pt idx="226">
                  <c:v>229000</c:v>
                </c:pt>
                <c:pt idx="227">
                  <c:v>229000</c:v>
                </c:pt>
                <c:pt idx="228">
                  <c:v>229000</c:v>
                </c:pt>
                <c:pt idx="229">
                  <c:v>231000</c:v>
                </c:pt>
                <c:pt idx="230">
                  <c:v>235000</c:v>
                </c:pt>
                <c:pt idx="231">
                  <c:v>244000</c:v>
                </c:pt>
              </c:numCache>
            </c:numRef>
          </c:val>
          <c:smooth val="0"/>
          <c:extLst>
            <c:ext xmlns:c16="http://schemas.microsoft.com/office/drawing/2014/chart" uri="{C3380CC4-5D6E-409C-BE32-E72D297353CC}">
              <c16:uniqueId val="{00000000-6C69-BB40-8D46-DE3644562302}"/>
            </c:ext>
          </c:extLst>
        </c:ser>
        <c:dLbls>
          <c:showLegendKey val="0"/>
          <c:showVal val="0"/>
          <c:showCatName val="0"/>
          <c:showSerName val="0"/>
          <c:showPercent val="0"/>
          <c:showBubbleSize val="0"/>
        </c:dLbls>
        <c:smooth val="0"/>
        <c:axId val="1717239216"/>
        <c:axId val="1717239544"/>
      </c:lineChart>
      <c:dateAx>
        <c:axId val="1717239216"/>
        <c:scaling>
          <c:orientation val="minMax"/>
          <c:max val="4475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NFP!$A$300:$A$1031</c:f>
              <c:numCache>
                <c:formatCode>yyyy\-mm\-dd</c:formatCode>
                <c:ptCount val="73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numCache>
            </c:numRef>
          </c:cat>
          <c:val>
            <c:numRef>
              <c:f>NFP!$C$300:$C$1031</c:f>
              <c:numCache>
                <c:formatCode>0</c:formatCode>
                <c:ptCount val="73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pt idx="708">
                  <c:v>678</c:v>
                </c:pt>
                <c:pt idx="709">
                  <c:v>770</c:v>
                </c:pt>
                <c:pt idx="710">
                  <c:v>526</c:v>
                </c:pt>
                <c:pt idx="711">
                  <c:v>389</c:v>
                </c:pt>
                <c:pt idx="712">
                  <c:v>368</c:v>
                </c:pt>
                <c:pt idx="713">
                  <c:v>298</c:v>
                </c:pt>
              </c:numCache>
            </c:numRef>
          </c:val>
          <c:smooth val="0"/>
          <c:extLst>
            <c:ext xmlns:c16="http://schemas.microsoft.com/office/drawing/2014/chart" uri="{C3380CC4-5D6E-409C-BE32-E72D297353CC}">
              <c16:uniqueId val="{00000000-802B-1642-9FED-E4D5B9D21A50}"/>
            </c:ext>
          </c:extLst>
        </c:ser>
        <c:dLbls>
          <c:showLegendKey val="0"/>
          <c:showVal val="0"/>
          <c:showCatName val="0"/>
          <c:showSerName val="0"/>
          <c:showPercent val="0"/>
          <c:showBubbleSize val="0"/>
        </c:dLbls>
        <c:smooth val="0"/>
        <c:axId val="1034261896"/>
        <c:axId val="1034262288"/>
      </c:lineChart>
      <c:dateAx>
        <c:axId val="1034261896"/>
        <c:scaling>
          <c:orientation val="minMax"/>
          <c:max val="44652"/>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NFP!$A$800:$A$1031</c:f>
              <c:numCache>
                <c:formatCode>yyyy\-mm\-dd</c:formatCode>
                <c:ptCount val="23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numCache>
            </c:numRef>
          </c:cat>
          <c:val>
            <c:numRef>
              <c:f>NFP!$C$800:$C$1031</c:f>
              <c:numCache>
                <c:formatCode>0</c:formatCode>
                <c:ptCount val="23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pt idx="208">
                  <c:v>678</c:v>
                </c:pt>
                <c:pt idx="209">
                  <c:v>770</c:v>
                </c:pt>
                <c:pt idx="210">
                  <c:v>526</c:v>
                </c:pt>
                <c:pt idx="211">
                  <c:v>389</c:v>
                </c:pt>
                <c:pt idx="212">
                  <c:v>368</c:v>
                </c:pt>
                <c:pt idx="213">
                  <c:v>298</c:v>
                </c:pt>
              </c:numCache>
            </c:numRef>
          </c:val>
          <c:smooth val="0"/>
          <c:extLst>
            <c:ext xmlns:c16="http://schemas.microsoft.com/office/drawing/2014/chart" uri="{C3380CC4-5D6E-409C-BE32-E72D297353CC}">
              <c16:uniqueId val="{00000000-D9EF-5048-BD47-E62C107AC96D}"/>
            </c:ext>
          </c:extLst>
        </c:ser>
        <c:dLbls>
          <c:showLegendKey val="0"/>
          <c:showVal val="0"/>
          <c:showCatName val="0"/>
          <c:showSerName val="0"/>
          <c:showPercent val="0"/>
          <c:showBubbleSize val="0"/>
        </c:dLbls>
        <c:smooth val="0"/>
        <c:axId val="1034263072"/>
        <c:axId val="1034263464"/>
      </c:lineChart>
      <c:dateAx>
        <c:axId val="1034263072"/>
        <c:scaling>
          <c:orientation val="minMax"/>
          <c:min val="4279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NFP!$A$13:$A$1031</c:f>
              <c:numCache>
                <c:formatCode>yyyy\-mm\-dd</c:formatCode>
                <c:ptCount val="101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numCache>
            </c:numRef>
          </c:cat>
          <c:val>
            <c:numRef>
              <c:f>NFP!$C$13:$C$1031</c:f>
              <c:numCache>
                <c:formatCode>0</c:formatCode>
                <c:ptCount val="101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pt idx="996">
                  <c:v>770</c:v>
                </c:pt>
                <c:pt idx="997">
                  <c:v>526</c:v>
                </c:pt>
                <c:pt idx="998">
                  <c:v>389</c:v>
                </c:pt>
                <c:pt idx="999">
                  <c:v>368</c:v>
                </c:pt>
                <c:pt idx="1000">
                  <c:v>298</c:v>
                </c:pt>
              </c:numCache>
            </c:numRef>
          </c:val>
          <c:extLst>
            <c:ext xmlns:c16="http://schemas.microsoft.com/office/drawing/2014/chart" uri="{C3380CC4-5D6E-409C-BE32-E72D297353CC}">
              <c16:uniqueId val="{00000000-1A2B-104E-A314-60AB7DC4EA7B}"/>
            </c:ext>
          </c:extLst>
        </c:ser>
        <c:dLbls>
          <c:showLegendKey val="0"/>
          <c:showVal val="0"/>
          <c:showCatName val="0"/>
          <c:showSerName val="0"/>
          <c:showPercent val="0"/>
          <c:showBubbleSize val="0"/>
        </c:dLbls>
        <c:gapWidth val="150"/>
        <c:axId val="827929136"/>
        <c:axId val="827929792"/>
      </c:barChart>
      <c:dateAx>
        <c:axId val="827929136"/>
        <c:scaling>
          <c:orientation val="minMax"/>
          <c:max val="4465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NFP!$A$13:$A$1031</c:f>
              <c:numCache>
                <c:formatCode>yyyy\-mm\-dd</c:formatCode>
                <c:ptCount val="101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numCache>
            </c:numRef>
          </c:cat>
          <c:val>
            <c:numRef>
              <c:f>NFP!$C$13:$C$1031</c:f>
              <c:numCache>
                <c:formatCode>0</c:formatCode>
                <c:ptCount val="101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pt idx="996">
                  <c:v>770</c:v>
                </c:pt>
                <c:pt idx="997">
                  <c:v>526</c:v>
                </c:pt>
                <c:pt idx="998">
                  <c:v>389</c:v>
                </c:pt>
                <c:pt idx="999">
                  <c:v>368</c:v>
                </c:pt>
                <c:pt idx="1000">
                  <c:v>298</c:v>
                </c:pt>
              </c:numCache>
            </c:numRef>
          </c:val>
          <c:extLst>
            <c:ext xmlns:c16="http://schemas.microsoft.com/office/drawing/2014/chart" uri="{C3380CC4-5D6E-409C-BE32-E72D297353CC}">
              <c16:uniqueId val="{00000000-9C2D-4949-BE6E-C0AE22BAD9BE}"/>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0CD9-3546-BC81-10A6AA640410}"/>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pt idx="889">
                  <c:v>62.3</c:v>
                </c:pt>
              </c:numCache>
            </c:numRef>
          </c:val>
          <c:smooth val="0"/>
          <c:extLst>
            <c:ext xmlns:c16="http://schemas.microsoft.com/office/drawing/2014/chart" uri="{C3380CC4-5D6E-409C-BE32-E72D297353CC}">
              <c16:uniqueId val="{00000000-7D00-294E-AD01-81BF5F71A896}"/>
            </c:ext>
          </c:extLst>
        </c:ser>
        <c:dLbls>
          <c:showLegendKey val="0"/>
          <c:showVal val="0"/>
          <c:showCatName val="0"/>
          <c:showSerName val="0"/>
          <c:showPercent val="0"/>
          <c:showBubbleSize val="0"/>
        </c:dLbls>
        <c:smooth val="0"/>
        <c:axId val="1046199384"/>
        <c:axId val="1018478600"/>
      </c:lineChart>
      <c:dateAx>
        <c:axId val="1046199384"/>
        <c:scaling>
          <c:orientation val="minMax"/>
          <c:max val="44682"/>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ADP!$A$6:$A$259</c:f>
              <c:numCache>
                <c:formatCode>m/d/yy</c:formatCode>
                <c:ptCount val="254"/>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numCache>
            </c:numRef>
          </c:cat>
          <c:val>
            <c:numRef>
              <c:f>ADP!$B$6:$B$259</c:f>
              <c:numCache>
                <c:formatCode>0.00</c:formatCode>
                <c:ptCount val="254"/>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numCache>
            </c:numRef>
          </c:val>
          <c:smooth val="0"/>
          <c:extLst>
            <c:ext xmlns:c16="http://schemas.microsoft.com/office/drawing/2014/chart" uri="{C3380CC4-5D6E-409C-BE32-E72D297353CC}">
              <c16:uniqueId val="{00000000-AB5F-4046-8F8E-81B2FBB00E62}"/>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ADP!$A$6:$A$259</c:f>
              <c:numCache>
                <c:formatCode>m/d/yy</c:formatCode>
                <c:ptCount val="254"/>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numCache>
            </c:numRef>
          </c:cat>
          <c:val>
            <c:numRef>
              <c:f>ADP!$C$6:$C$259</c:f>
              <c:numCache>
                <c:formatCode>0.00</c:formatCode>
                <c:ptCount val="254"/>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678</c:v>
                </c:pt>
                <c:pt idx="248">
                  <c:v>770</c:v>
                </c:pt>
                <c:pt idx="249">
                  <c:v>526</c:v>
                </c:pt>
                <c:pt idx="250">
                  <c:v>389</c:v>
                </c:pt>
                <c:pt idx="251">
                  <c:v>368</c:v>
                </c:pt>
                <c:pt idx="252">
                  <c:v>298</c:v>
                </c:pt>
                <c:pt idx="253">
                  <c:v>298</c:v>
                </c:pt>
              </c:numCache>
            </c:numRef>
          </c:val>
          <c:smooth val="0"/>
          <c:extLst>
            <c:ext xmlns:c16="http://schemas.microsoft.com/office/drawing/2014/chart" uri="{C3380CC4-5D6E-409C-BE32-E72D297353CC}">
              <c16:uniqueId val="{00000001-AB5F-4046-8F8E-81B2FBB00E62}"/>
            </c:ext>
          </c:extLst>
        </c:ser>
        <c:dLbls>
          <c:showLegendKey val="0"/>
          <c:showVal val="0"/>
          <c:showCatName val="0"/>
          <c:showSerName val="0"/>
          <c:showPercent val="0"/>
          <c:showBubbleSize val="0"/>
        </c:dLbls>
        <c:smooth val="0"/>
        <c:axId val="896756728"/>
        <c:axId val="896754432"/>
      </c:lineChart>
      <c:dateAx>
        <c:axId val="896756728"/>
        <c:scaling>
          <c:orientation val="minMax"/>
          <c:min val="43435"/>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5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17</xdr:col>
      <xdr:colOff>547078</xdr:colOff>
      <xdr:row>2900</xdr:row>
      <xdr:rowOff>175844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205154</xdr:colOff>
      <xdr:row>230</xdr:row>
      <xdr:rowOff>132860</xdr:rowOff>
    </xdr:from>
    <xdr:to>
      <xdr:col>14</xdr:col>
      <xdr:colOff>290880</xdr:colOff>
      <xdr:row>253</xdr:row>
      <xdr:rowOff>47135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3" totalsRowShown="0" headerRowDxfId="21" dataDxfId="20">
  <autoFilter ref="A11:F1013"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9" totalsRowShown="0" headerRowDxfId="4" dataDxfId="3">
  <autoFilter ref="A5:C259"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zoomScale="140" zoomScaleNormal="140" workbookViewId="0">
      <selection activeCell="L243" sqref="L243"/>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39" width="9.1640625" style="59" customWidth="1"/>
    <col min="40"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44470</v>
      </c>
      <c r="Q14" s="37">
        <f>DATE(YEAR(P14),MONTH(P14)-1,DAY(P14))</f>
        <v>44440</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148401</v>
      </c>
      <c r="Q16" s="41">
        <f>VLOOKUP($Q$14,Database!A:D,MATCH(Note!S16,Database!A1:D1,),)</f>
        <v>147855</v>
      </c>
      <c r="R16" s="44">
        <f>P16-Q16</f>
        <v>546</v>
      </c>
      <c r="S16" s="42" t="s">
        <v>16</v>
      </c>
    </row>
    <row r="17" spans="2:19" x14ac:dyDescent="0.2">
      <c r="B17" s="4" t="s">
        <v>16</v>
      </c>
      <c r="G17" s="59" t="s">
        <v>17</v>
      </c>
      <c r="N17" s="69" t="s">
        <v>18</v>
      </c>
      <c r="O17" s="66"/>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59" t="s">
        <v>20</v>
      </c>
      <c r="N18" s="70" t="s">
        <v>21</v>
      </c>
      <c r="O18" s="71"/>
      <c r="P18" s="52">
        <f>VLOOKUP($P$14,Database!A:D,MATCH(Note!S18,Database!A1:D1,),)</f>
        <v>61.6</v>
      </c>
      <c r="Q18" s="52">
        <f>VLOOKUP($Q$14,Database!A:D,MATCH(Note!S18,Database!A1:D1,),)</f>
        <v>61.6</v>
      </c>
      <c r="R18" s="53">
        <f>P18-Q18</f>
        <v>0</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6" priority="1" operator="lessThan">
      <formula>0</formula>
    </cfRule>
    <cfRule type="cellIs" dxfId="5"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3"/>
  <sheetViews>
    <sheetView zoomScale="160" zoomScaleNormal="160" workbookViewId="0">
      <pane ySplit="1" topLeftCell="A982"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row r="998" spans="1:4" x14ac:dyDescent="0.2">
      <c r="A998" s="61">
        <v>44562</v>
      </c>
      <c r="B998">
        <v>62.2</v>
      </c>
      <c r="C998">
        <v>149629</v>
      </c>
      <c r="D998">
        <v>4</v>
      </c>
    </row>
    <row r="999" spans="1:4" x14ac:dyDescent="0.2">
      <c r="A999" s="61">
        <v>44593</v>
      </c>
      <c r="B999">
        <v>62.3</v>
      </c>
      <c r="C999">
        <v>150399</v>
      </c>
      <c r="D999">
        <v>3.8</v>
      </c>
    </row>
    <row r="1000" spans="1:4" x14ac:dyDescent="0.2">
      <c r="A1000" s="61">
        <v>44621</v>
      </c>
      <c r="B1000">
        <v>62.4</v>
      </c>
      <c r="C1000">
        <v>150925</v>
      </c>
      <c r="D1000">
        <v>3.6</v>
      </c>
    </row>
    <row r="1001" spans="1:4" x14ac:dyDescent="0.2">
      <c r="A1001" s="61">
        <v>44652</v>
      </c>
      <c r="B1001">
        <v>62.2</v>
      </c>
      <c r="C1001">
        <v>151314</v>
      </c>
      <c r="D1001">
        <v>3.6</v>
      </c>
    </row>
    <row r="1002" spans="1:4" x14ac:dyDescent="0.2">
      <c r="A1002" s="61">
        <v>44682</v>
      </c>
      <c r="B1002">
        <v>62.3</v>
      </c>
      <c r="C1002">
        <v>151682</v>
      </c>
      <c r="D1002">
        <v>3.6</v>
      </c>
    </row>
    <row r="1003" spans="1:4" x14ac:dyDescent="0.2">
      <c r="A1003" s="61">
        <v>44713</v>
      </c>
      <c r="B1003">
        <v>62.2</v>
      </c>
      <c r="C1003">
        <v>151980</v>
      </c>
      <c r="D1003">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98"/>
  <sheetViews>
    <sheetView zoomScale="170" zoomScaleNormal="170" workbookViewId="0">
      <pane ySplit="1" topLeftCell="A2862"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20" width="8.83203125" style="49" customWidth="1"/>
    <col min="21"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B2873">
        <v>1672000</v>
      </c>
      <c r="C2873">
        <v>286000</v>
      </c>
    </row>
    <row r="2874" spans="1:3" x14ac:dyDescent="0.2">
      <c r="A2874" s="61">
        <v>44583</v>
      </c>
      <c r="B2874">
        <v>1628000</v>
      </c>
      <c r="C2874">
        <v>261000</v>
      </c>
    </row>
    <row r="2875" spans="1:3" x14ac:dyDescent="0.2">
      <c r="A2875" s="61">
        <v>44590</v>
      </c>
      <c r="B2875">
        <v>1621000</v>
      </c>
      <c r="C2875">
        <v>238000</v>
      </c>
    </row>
    <row r="2876" spans="1:3" x14ac:dyDescent="0.2">
      <c r="A2876" s="61">
        <v>44597</v>
      </c>
      <c r="B2876">
        <v>1593000</v>
      </c>
      <c r="C2876">
        <v>223000</v>
      </c>
    </row>
    <row r="2877" spans="1:3" x14ac:dyDescent="0.2">
      <c r="A2877" s="61">
        <v>44604</v>
      </c>
      <c r="B2877">
        <v>1476000</v>
      </c>
      <c r="C2877">
        <v>248000</v>
      </c>
    </row>
    <row r="2878" spans="1:3" x14ac:dyDescent="0.2">
      <c r="A2878" s="61">
        <v>44611</v>
      </c>
      <c r="B2878">
        <v>1476000</v>
      </c>
      <c r="C2878">
        <v>232000</v>
      </c>
    </row>
    <row r="2879" spans="1:3" x14ac:dyDescent="0.2">
      <c r="A2879" s="61">
        <v>44618</v>
      </c>
      <c r="B2879">
        <v>1494000</v>
      </c>
      <c r="C2879">
        <v>215000</v>
      </c>
    </row>
    <row r="2880" spans="1:3" x14ac:dyDescent="0.2">
      <c r="A2880" s="61">
        <v>44625</v>
      </c>
      <c r="B2880">
        <v>1419000</v>
      </c>
      <c r="C2880">
        <v>227000</v>
      </c>
    </row>
    <row r="2881" spans="1:3" x14ac:dyDescent="0.2">
      <c r="A2881" s="61">
        <v>44632</v>
      </c>
      <c r="B2881">
        <v>1350000</v>
      </c>
      <c r="C2881">
        <v>214000</v>
      </c>
    </row>
    <row r="2882" spans="1:3" x14ac:dyDescent="0.2">
      <c r="A2882" s="61">
        <v>44639</v>
      </c>
      <c r="B2882">
        <v>1307000</v>
      </c>
      <c r="C2882">
        <v>187000</v>
      </c>
    </row>
    <row r="2883" spans="1:3" x14ac:dyDescent="0.2">
      <c r="A2883" s="61">
        <v>44646</v>
      </c>
      <c r="B2883">
        <v>1523000</v>
      </c>
      <c r="C2883">
        <v>202000</v>
      </c>
    </row>
    <row r="2884" spans="1:3" x14ac:dyDescent="0.2">
      <c r="A2884" s="61">
        <v>44653</v>
      </c>
      <c r="B2884">
        <v>1475000</v>
      </c>
      <c r="C2884">
        <v>166000</v>
      </c>
    </row>
    <row r="2885" spans="1:3" x14ac:dyDescent="0.2">
      <c r="A2885" s="61">
        <v>44660</v>
      </c>
      <c r="B2885">
        <v>1409000</v>
      </c>
      <c r="C2885">
        <v>185000</v>
      </c>
    </row>
    <row r="2886" spans="1:3" x14ac:dyDescent="0.2">
      <c r="A2886" s="61">
        <v>44667</v>
      </c>
      <c r="B2886">
        <v>1408000</v>
      </c>
      <c r="C2886">
        <v>185000</v>
      </c>
    </row>
    <row r="2887" spans="1:3" x14ac:dyDescent="0.2">
      <c r="A2887" s="61">
        <v>44674</v>
      </c>
      <c r="B2887">
        <v>1387000</v>
      </c>
      <c r="C2887">
        <v>180000</v>
      </c>
    </row>
    <row r="2888" spans="1:3" x14ac:dyDescent="0.2">
      <c r="A2888" s="61">
        <v>44681</v>
      </c>
      <c r="B2888">
        <v>1343000</v>
      </c>
      <c r="C2888">
        <v>202000</v>
      </c>
    </row>
    <row r="2889" spans="1:3" x14ac:dyDescent="0.2">
      <c r="A2889" s="61">
        <v>44688</v>
      </c>
      <c r="B2889">
        <v>1317000</v>
      </c>
      <c r="C2889">
        <v>203000</v>
      </c>
    </row>
    <row r="2890" spans="1:3" x14ac:dyDescent="0.2">
      <c r="A2890" s="61">
        <v>44695</v>
      </c>
      <c r="B2890">
        <v>1346000</v>
      </c>
      <c r="C2890">
        <v>218000</v>
      </c>
    </row>
    <row r="2891" spans="1:3" x14ac:dyDescent="0.2">
      <c r="A2891" s="61">
        <v>44702</v>
      </c>
      <c r="B2891">
        <v>1309000</v>
      </c>
      <c r="C2891">
        <v>210000</v>
      </c>
    </row>
    <row r="2892" spans="1:3" x14ac:dyDescent="0.2">
      <c r="A2892" s="61">
        <v>44709</v>
      </c>
      <c r="B2892">
        <v>1306000</v>
      </c>
      <c r="C2892">
        <v>200000</v>
      </c>
    </row>
    <row r="2893" spans="1:3" x14ac:dyDescent="0.2">
      <c r="A2893" s="61">
        <v>44716</v>
      </c>
      <c r="B2893">
        <v>1312000</v>
      </c>
      <c r="C2893">
        <v>229000</v>
      </c>
    </row>
    <row r="2894" spans="1:3" x14ac:dyDescent="0.2">
      <c r="A2894" s="61">
        <v>44723</v>
      </c>
      <c r="B2894">
        <v>1315000</v>
      </c>
      <c r="C2894">
        <v>229000</v>
      </c>
    </row>
    <row r="2895" spans="1:3" x14ac:dyDescent="0.2">
      <c r="A2895" s="61">
        <v>44730</v>
      </c>
      <c r="B2895">
        <v>1328000</v>
      </c>
      <c r="C2895">
        <v>229000</v>
      </c>
    </row>
    <row r="2896" spans="1:3" x14ac:dyDescent="0.2">
      <c r="A2896" s="61">
        <v>44737</v>
      </c>
      <c r="B2896">
        <v>1375000</v>
      </c>
      <c r="C2896">
        <v>231000</v>
      </c>
    </row>
    <row r="2897" spans="1:3" x14ac:dyDescent="0.2">
      <c r="A2897" s="61">
        <v>44744</v>
      </c>
      <c r="B2897">
        <v>1331000</v>
      </c>
      <c r="C2897">
        <v>235000</v>
      </c>
    </row>
    <row r="2898" spans="1:3" x14ac:dyDescent="0.2">
      <c r="A2898" s="61">
        <v>44751</v>
      </c>
      <c r="C2898">
        <v>244000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9" width="8.83203125" style="49" customWidth="1"/>
    <col min="20"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6" width="9.1640625" style="49" customWidth="1"/>
    <col min="27"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E554">
        <v>6.4543480000000004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E555">
        <v>6.4749600000000003</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E556">
        <v>6.473846</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E557">
        <v>6.4974559999999997</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E558">
        <v>6.5198859999999996</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E559">
        <v>6.5736869999999996</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E560">
        <v>6.6501580000000002</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E561">
        <v>6.7505220000000001</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E562">
        <v>6.7932490000000003</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E563">
        <v>6.9692439999999998</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E564">
        <v>7.0467700000000004</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E565">
        <v>7.1230710000000004</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E566">
        <v>7.1332110000000002</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E567">
        <v>7.1448039999999997</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E568">
        <v>7.1449990000000003</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E569">
        <v>7.2136760000000004</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E570">
        <v>7.1934339999999999</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E571">
        <v>7.2096049999999998</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E572">
        <v>7.2327859999999999</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E573">
        <v>7.2573280000000002</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E574">
        <v>7.2392820000000002</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E575">
        <v>7.2561309999999999</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E576">
        <v>7.2804989999999998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E577">
        <v>7.3101019999999997</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E578">
        <v>7.2934429999999999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E579">
        <v>7.283137</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E580">
        <v>7.3169529999999998</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E581">
        <v>7.3602689999999997</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E582">
        <v>7.3940999999999999</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E583">
        <v>7.4524749999999997</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E584">
        <v>7.3830119999999999</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E585">
        <v>7.3462740000000002</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E586">
        <v>7.353694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E587">
        <v>7.2917180000000004</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E588">
        <v>7.2666409999999999</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E589">
        <v>7.209632</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E590">
        <v>7.2951230000000002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E591">
        <v>7.2708110000000001</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E592">
        <v>7.3148590000000002</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E593">
        <v>7.2203080000000002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E594">
        <v>7.2071730000000001</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E595">
        <v>7.2014959999999997</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E596">
        <v>7.1810150000000004</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E597">
        <v>7.1550560000000001</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E598">
        <v>7.1293230000000003</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E599">
        <v>7.1164370000000003</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E600">
        <v>7.0882829999999997</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E601">
        <v>7.0507970000000002</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G804">
        <v>7.75983</v>
      </c>
      <c r="H804">
        <v>2.2000000000000002</v>
      </c>
      <c r="I804">
        <v>3.2</v>
      </c>
      <c r="J804">
        <v>5</v>
      </c>
      <c r="K804">
        <v>7.2</v>
      </c>
      <c r="L804">
        <v>14.1</v>
      </c>
      <c r="M804">
        <v>5</v>
      </c>
      <c r="N804">
        <v>6.8</v>
      </c>
      <c r="O804">
        <v>7.5</v>
      </c>
      <c r="P804">
        <v>4.5184240000000004</v>
      </c>
      <c r="Q804">
        <v>4.0999999999999996</v>
      </c>
      <c r="R804">
        <v>13.4</v>
      </c>
      <c r="S804">
        <v>3.8</v>
      </c>
      <c r="T804">
        <v>5.2</v>
      </c>
      <c r="U804">
        <v>5</v>
      </c>
      <c r="V804">
        <v>4.5244220000000004</v>
      </c>
      <c r="W804">
        <v>9.1999999999999993</v>
      </c>
      <c r="X804">
        <v>2.8</v>
      </c>
      <c r="Y804">
        <v>3.1</v>
      </c>
      <c r="Z804">
        <v>5</v>
      </c>
      <c r="AA804">
        <v>7.3</v>
      </c>
      <c r="AB804">
        <v>3.796662</v>
      </c>
      <c r="AC804">
        <v>2.7</v>
      </c>
      <c r="AD804">
        <v>3.5</v>
      </c>
      <c r="AE804">
        <v>5.4992460000000003</v>
      </c>
      <c r="AF804">
        <v>3</v>
      </c>
      <c r="AG804">
        <v>6.3</v>
      </c>
      <c r="AH804">
        <v>6.3</v>
      </c>
      <c r="AI804">
        <v>4.8</v>
      </c>
      <c r="AJ804">
        <v>8.3000000000000007</v>
      </c>
      <c r="AK804">
        <v>11.2</v>
      </c>
      <c r="AL804">
        <v>4.2</v>
      </c>
    </row>
    <row r="805" spans="1:38" x14ac:dyDescent="0.2">
      <c r="A805" s="61">
        <v>44531</v>
      </c>
      <c r="B805">
        <v>4.1574239999999998</v>
      </c>
      <c r="C805">
        <v>4.9000000000000004</v>
      </c>
      <c r="D805">
        <v>5.7</v>
      </c>
      <c r="E805">
        <v>5.9</v>
      </c>
      <c r="G805">
        <v>7.6839219999999999</v>
      </c>
      <c r="H805">
        <v>2.1</v>
      </c>
      <c r="I805">
        <v>3.2</v>
      </c>
      <c r="J805">
        <v>5.0999999999999996</v>
      </c>
      <c r="K805">
        <v>7</v>
      </c>
      <c r="L805">
        <v>13</v>
      </c>
      <c r="M805">
        <v>5.2</v>
      </c>
      <c r="N805">
        <v>7.2</v>
      </c>
      <c r="O805">
        <v>7.4</v>
      </c>
      <c r="P805">
        <v>4.3424659999999999</v>
      </c>
      <c r="Q805">
        <v>3.9</v>
      </c>
      <c r="R805">
        <v>12.7</v>
      </c>
      <c r="S805">
        <v>3.7</v>
      </c>
      <c r="T805">
        <v>5.0999999999999996</v>
      </c>
      <c r="U805">
        <v>4.9000000000000004</v>
      </c>
      <c r="V805">
        <v>4.2647640000000004</v>
      </c>
      <c r="W805">
        <v>9</v>
      </c>
      <c r="X805">
        <v>2.7</v>
      </c>
      <c r="Y805">
        <v>3.8</v>
      </c>
      <c r="Z805">
        <v>5</v>
      </c>
      <c r="AA805">
        <v>7.5</v>
      </c>
      <c r="AB805">
        <v>3.8876539999999999</v>
      </c>
      <c r="AC805">
        <v>3.8</v>
      </c>
      <c r="AD805">
        <v>3.3</v>
      </c>
      <c r="AE805">
        <v>5.3723159999999996</v>
      </c>
      <c r="AF805">
        <v>2.9</v>
      </c>
      <c r="AG805">
        <v>5.9</v>
      </c>
      <c r="AH805">
        <v>6.4</v>
      </c>
      <c r="AI805">
        <v>4.5999999999999996</v>
      </c>
      <c r="AJ805">
        <v>8</v>
      </c>
      <c r="AK805">
        <v>11.2</v>
      </c>
      <c r="AL805">
        <v>3.9</v>
      </c>
    </row>
    <row r="806" spans="1:38" x14ac:dyDescent="0.2">
      <c r="A806" s="61">
        <v>44562</v>
      </c>
      <c r="B806">
        <v>4.1926160000000001</v>
      </c>
      <c r="C806">
        <v>4.9000000000000004</v>
      </c>
      <c r="D806">
        <v>5.6</v>
      </c>
      <c r="E806">
        <v>6.5</v>
      </c>
      <c r="G806">
        <v>7.7653679999999996</v>
      </c>
      <c r="H806">
        <v>2.2000000000000002</v>
      </c>
      <c r="I806">
        <v>3.1</v>
      </c>
      <c r="J806">
        <v>4.7</v>
      </c>
      <c r="K806">
        <v>6.8</v>
      </c>
      <c r="L806">
        <v>12.7</v>
      </c>
      <c r="M806">
        <v>5.3</v>
      </c>
      <c r="N806">
        <v>7.1</v>
      </c>
      <c r="O806">
        <v>7</v>
      </c>
      <c r="P806">
        <v>4.3547789999999997</v>
      </c>
      <c r="Q806">
        <v>3.8</v>
      </c>
      <c r="R806">
        <v>13.3</v>
      </c>
      <c r="S806">
        <v>3.8</v>
      </c>
      <c r="T806">
        <v>5.3</v>
      </c>
      <c r="U806">
        <v>4.2</v>
      </c>
      <c r="V806">
        <v>3.8873850000000001</v>
      </c>
      <c r="W806">
        <v>8.8000000000000007</v>
      </c>
      <c r="X806">
        <v>2.8</v>
      </c>
      <c r="Y806">
        <v>3.6</v>
      </c>
      <c r="Z806">
        <v>4.7</v>
      </c>
      <c r="AA806">
        <v>7.3</v>
      </c>
      <c r="AB806">
        <v>3.5382289999999998</v>
      </c>
      <c r="AC806">
        <v>3.6</v>
      </c>
      <c r="AD806">
        <v>3.2</v>
      </c>
      <c r="AE806">
        <v>5.3267899999999999</v>
      </c>
      <c r="AF806">
        <v>2.8</v>
      </c>
      <c r="AG806">
        <v>6</v>
      </c>
      <c r="AH806">
        <v>6.4</v>
      </c>
      <c r="AI806">
        <v>4.2</v>
      </c>
      <c r="AJ806">
        <v>8.1</v>
      </c>
      <c r="AK806">
        <v>11.4</v>
      </c>
      <c r="AL806">
        <v>4</v>
      </c>
    </row>
    <row r="807" spans="1:38" x14ac:dyDescent="0.2">
      <c r="A807" s="61">
        <v>44593</v>
      </c>
      <c r="B807">
        <v>4.042395</v>
      </c>
      <c r="C807">
        <v>4.8</v>
      </c>
      <c r="D807">
        <v>5.6</v>
      </c>
      <c r="E807">
        <v>5.5</v>
      </c>
      <c r="G807">
        <v>7.775239</v>
      </c>
      <c r="H807">
        <v>2.4</v>
      </c>
      <c r="I807">
        <v>3.1</v>
      </c>
      <c r="J807">
        <v>4.5999999999999996</v>
      </c>
      <c r="K807">
        <v>6.8</v>
      </c>
      <c r="L807">
        <v>12.6</v>
      </c>
      <c r="M807">
        <v>5.9</v>
      </c>
      <c r="N807">
        <v>6.5</v>
      </c>
      <c r="O807">
        <v>7.4</v>
      </c>
      <c r="P807">
        <v>4.2332530000000004</v>
      </c>
      <c r="Q807">
        <v>3.9</v>
      </c>
      <c r="R807">
        <v>11.9</v>
      </c>
      <c r="S807">
        <v>3.7</v>
      </c>
      <c r="T807">
        <v>5.2</v>
      </c>
      <c r="U807">
        <v>4.4000000000000004</v>
      </c>
      <c r="V807">
        <v>3.8974700000000002</v>
      </c>
      <c r="W807">
        <v>8.5</v>
      </c>
      <c r="X807">
        <v>2.7</v>
      </c>
      <c r="Y807">
        <v>2.7</v>
      </c>
      <c r="Z807">
        <v>4.5999999999999996</v>
      </c>
      <c r="AA807">
        <v>7.2</v>
      </c>
      <c r="AB807">
        <v>3.7331210000000001</v>
      </c>
      <c r="AC807">
        <v>3.4</v>
      </c>
      <c r="AD807">
        <v>3.1</v>
      </c>
      <c r="AE807">
        <v>5.2106909999999997</v>
      </c>
      <c r="AF807">
        <v>3</v>
      </c>
      <c r="AG807">
        <v>5.8</v>
      </c>
      <c r="AH807">
        <v>6.5</v>
      </c>
      <c r="AI807">
        <v>4.0999999999999996</v>
      </c>
      <c r="AJ807">
        <v>7.3</v>
      </c>
      <c r="AK807">
        <v>10.7</v>
      </c>
      <c r="AL807">
        <v>3.8</v>
      </c>
    </row>
    <row r="808" spans="1:38" x14ac:dyDescent="0.2">
      <c r="A808" s="61">
        <v>44621</v>
      </c>
      <c r="B808">
        <v>3.9542380000000001</v>
      </c>
      <c r="C808">
        <v>4.2</v>
      </c>
      <c r="D808">
        <v>5.6</v>
      </c>
      <c r="E808">
        <v>5.3</v>
      </c>
      <c r="G808">
        <v>7.730588</v>
      </c>
      <c r="H808">
        <v>2.2999999999999998</v>
      </c>
      <c r="I808">
        <v>2.9</v>
      </c>
      <c r="J808">
        <v>4.5</v>
      </c>
      <c r="K808">
        <v>6.8</v>
      </c>
      <c r="L808">
        <v>13.5</v>
      </c>
      <c r="M808">
        <v>5.4</v>
      </c>
      <c r="N808">
        <v>6.4</v>
      </c>
      <c r="O808">
        <v>7.4</v>
      </c>
      <c r="P808">
        <v>4.0619579999999997</v>
      </c>
      <c r="Q808">
        <v>3.8</v>
      </c>
      <c r="R808">
        <v>12.9</v>
      </c>
      <c r="S808">
        <v>3.2</v>
      </c>
      <c r="T808">
        <v>5.5</v>
      </c>
      <c r="U808">
        <v>4.3</v>
      </c>
      <c r="V808">
        <v>3.7976589999999999</v>
      </c>
      <c r="W808">
        <v>8.3000000000000007</v>
      </c>
      <c r="X808">
        <v>2.6</v>
      </c>
      <c r="Y808">
        <v>2.7</v>
      </c>
      <c r="Z808">
        <v>4.5</v>
      </c>
      <c r="AA808">
        <v>7</v>
      </c>
      <c r="AB808">
        <v>3.340287</v>
      </c>
      <c r="AC808">
        <v>3.3</v>
      </c>
      <c r="AD808">
        <v>2.9</v>
      </c>
      <c r="AE808">
        <v>5.1153510000000004</v>
      </c>
      <c r="AF808">
        <v>3</v>
      </c>
      <c r="AG808">
        <v>5.7</v>
      </c>
      <c r="AH808">
        <v>6.5</v>
      </c>
      <c r="AI808">
        <v>4</v>
      </c>
      <c r="AJ808">
        <v>7.6</v>
      </c>
      <c r="AK808">
        <v>11.5</v>
      </c>
      <c r="AL808">
        <v>3.6</v>
      </c>
    </row>
    <row r="809" spans="1:38" x14ac:dyDescent="0.2">
      <c r="A809" s="61">
        <v>44652</v>
      </c>
      <c r="B809">
        <v>3.8530410000000002</v>
      </c>
      <c r="C809">
        <v>4.4000000000000004</v>
      </c>
      <c r="D809">
        <v>5.7</v>
      </c>
      <c r="E809">
        <v>5.2</v>
      </c>
      <c r="G809">
        <v>7.5519670000000003</v>
      </c>
      <c r="H809">
        <v>2.4</v>
      </c>
      <c r="I809">
        <v>3</v>
      </c>
      <c r="J809">
        <v>4.3</v>
      </c>
      <c r="K809">
        <v>6.8</v>
      </c>
      <c r="L809">
        <v>13.3</v>
      </c>
      <c r="M809">
        <v>5.6</v>
      </c>
      <c r="N809">
        <v>6.2</v>
      </c>
      <c r="O809">
        <v>7.2</v>
      </c>
      <c r="P809">
        <v>4.0460409999999998</v>
      </c>
      <c r="R809">
        <v>12.7</v>
      </c>
      <c r="S809">
        <v>3.4</v>
      </c>
      <c r="T809">
        <v>4.8</v>
      </c>
      <c r="U809">
        <v>3.7</v>
      </c>
      <c r="V809">
        <v>3.5044439999999999</v>
      </c>
      <c r="W809">
        <v>8.4</v>
      </c>
      <c r="X809">
        <v>2.5</v>
      </c>
      <c r="Y809">
        <v>2.7</v>
      </c>
      <c r="Z809">
        <v>4.2</v>
      </c>
      <c r="AA809">
        <v>6.6</v>
      </c>
      <c r="AB809">
        <v>3.1785369999999999</v>
      </c>
      <c r="AC809">
        <v>3.2</v>
      </c>
      <c r="AD809">
        <v>2.7</v>
      </c>
      <c r="AE809">
        <v>5.0238839999999998</v>
      </c>
      <c r="AF809">
        <v>3</v>
      </c>
      <c r="AG809">
        <v>5.8</v>
      </c>
      <c r="AH809">
        <v>6.3</v>
      </c>
      <c r="AI809">
        <v>4</v>
      </c>
      <c r="AJ809">
        <v>7.7</v>
      </c>
      <c r="AK809">
        <v>11.3</v>
      </c>
      <c r="AL809">
        <v>3.6</v>
      </c>
    </row>
    <row r="810" spans="1:38" x14ac:dyDescent="0.2">
      <c r="A810" s="61">
        <v>44682</v>
      </c>
      <c r="B810">
        <v>3.8987910000000001</v>
      </c>
      <c r="C810">
        <v>4.8</v>
      </c>
      <c r="D810">
        <v>5.5</v>
      </c>
      <c r="E810">
        <v>5.0999999999999996</v>
      </c>
      <c r="H810">
        <v>2.5</v>
      </c>
      <c r="I810">
        <v>2.8</v>
      </c>
      <c r="J810">
        <v>4.8</v>
      </c>
      <c r="K810">
        <v>6.6</v>
      </c>
      <c r="L810">
        <v>13.1</v>
      </c>
      <c r="M810">
        <v>5.5</v>
      </c>
      <c r="N810">
        <v>6.2</v>
      </c>
      <c r="O810">
        <v>7.2</v>
      </c>
      <c r="P810">
        <v>4.014157</v>
      </c>
      <c r="S810">
        <v>3.6</v>
      </c>
      <c r="T810">
        <v>4.7</v>
      </c>
      <c r="U810">
        <v>3.5</v>
      </c>
      <c r="V810">
        <v>3.736119</v>
      </c>
      <c r="W810">
        <v>8.1</v>
      </c>
      <c r="X810">
        <v>2.6</v>
      </c>
      <c r="Y810">
        <v>2.8</v>
      </c>
      <c r="Z810">
        <v>4.2</v>
      </c>
      <c r="AA810">
        <v>6.5</v>
      </c>
      <c r="AB810">
        <v>3.3739379999999999</v>
      </c>
      <c r="AC810">
        <v>3.3</v>
      </c>
      <c r="AD810">
        <v>3.7</v>
      </c>
      <c r="AE810">
        <v>4.9928499999999998</v>
      </c>
      <c r="AF810">
        <v>2.7</v>
      </c>
      <c r="AG810">
        <v>6.1</v>
      </c>
      <c r="AH810">
        <v>6.2</v>
      </c>
      <c r="AI810">
        <v>3.9</v>
      </c>
      <c r="AJ810">
        <v>7.8</v>
      </c>
      <c r="AL810">
        <v>3.6</v>
      </c>
    </row>
    <row r="811" spans="1:38" x14ac:dyDescent="0.2">
      <c r="A811" s="61">
        <v>44713</v>
      </c>
      <c r="E811">
        <v>4.9000000000000004</v>
      </c>
      <c r="AL811">
        <v>3.6</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3"/>
  <sheetViews>
    <sheetView zoomScale="120" zoomScaleNormal="120" workbookViewId="0">
      <pane ySplit="11" topLeftCell="A968" activePane="bottomLeft" state="frozen"/>
      <selection activeCell="F8" sqref="F8"/>
      <selection pane="bottomLeft" activeCell="A1009" sqref="A1009:F1013"/>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MAX(C13:C1036)</f>
        <v>4846</v>
      </c>
      <c r="E3" s="15"/>
      <c r="F3" s="16"/>
    </row>
    <row r="4" spans="1:36" s="59" customFormat="1" x14ac:dyDescent="0.2">
      <c r="A4" s="17"/>
      <c r="B4" s="15"/>
      <c r="C4" s="23" t="s">
        <v>77</v>
      </c>
      <c r="D4" s="19">
        <f>MIN(C13:C1036)</f>
        <v>-20679</v>
      </c>
      <c r="E4" s="15"/>
      <c r="F4" s="15"/>
    </row>
    <row r="5" spans="1:36" s="59" customFormat="1" x14ac:dyDescent="0.2">
      <c r="B5" s="15"/>
      <c r="C5" s="23" t="s">
        <v>78</v>
      </c>
      <c r="D5" s="20">
        <f>AVERAGE(C13:C1536)</f>
        <v>121.93506493506493</v>
      </c>
      <c r="E5" s="15"/>
      <c r="F5" s="15"/>
    </row>
    <row r="6" spans="1:36" s="59" customFormat="1" ht="16" customHeight="1" thickBot="1" x14ac:dyDescent="0.25">
      <c r="B6" s="15"/>
      <c r="C6" s="24" t="s">
        <v>79</v>
      </c>
      <c r="D6" s="21">
        <f>AVERAGE(C864:C1036)</f>
        <v>147.94666666666666</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59">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59">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59">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59">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59">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59">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59">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59">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59">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13"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13"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row r="1008" spans="1:11" x14ac:dyDescent="0.2">
      <c r="A1008" s="54">
        <v>44562</v>
      </c>
      <c r="B1008" s="25">
        <f>VLOOKUP(Table1[[#This Row],[Date]],Database!A:D,3,)</f>
        <v>149629</v>
      </c>
      <c r="C1008" s="26">
        <f t="shared" si="30"/>
        <v>678</v>
      </c>
      <c r="D1008" s="26">
        <f t="shared" si="31"/>
        <v>409.33333333333331</v>
      </c>
      <c r="E1008" s="58">
        <f>VLOOKUP(Table1[[#This Row],[Date]],Database!A:D,4,)</f>
        <v>4</v>
      </c>
      <c r="F1008" s="58">
        <f>VLOOKUP(Table1[[#This Row],[Date]],Database!A:D,2,)</f>
        <v>62.2</v>
      </c>
    </row>
    <row r="1009" spans="1:6" x14ac:dyDescent="0.2">
      <c r="A1009" s="54">
        <v>44593</v>
      </c>
      <c r="B1009" s="27">
        <f>VLOOKUP(Table1[[#This Row],[Date]],Database!A:D,3,)</f>
        <v>150399</v>
      </c>
      <c r="C1009" s="26">
        <f t="shared" si="30"/>
        <v>770</v>
      </c>
      <c r="D1009" s="26">
        <f t="shared" si="31"/>
        <v>596</v>
      </c>
      <c r="E1009" s="58">
        <f>VLOOKUP(Table1[[#This Row],[Date]],Database!A:D,4,)</f>
        <v>3.8</v>
      </c>
      <c r="F1009" s="58">
        <f>VLOOKUP(Table1[[#This Row],[Date]],Database!A:D,2,)</f>
        <v>62.3</v>
      </c>
    </row>
    <row r="1010" spans="1:6" x14ac:dyDescent="0.2">
      <c r="A1010" s="54">
        <v>44621</v>
      </c>
      <c r="B1010" s="27">
        <f>VLOOKUP(Table1[[#This Row],[Date]],Database!A:D,3,)</f>
        <v>150925</v>
      </c>
      <c r="C1010" s="26">
        <f t="shared" si="30"/>
        <v>526</v>
      </c>
      <c r="D1010" s="26">
        <f t="shared" si="31"/>
        <v>658</v>
      </c>
      <c r="E1010" s="58">
        <f>VLOOKUP(Table1[[#This Row],[Date]],Database!A:D,4,)</f>
        <v>3.6</v>
      </c>
      <c r="F1010" s="58">
        <f>VLOOKUP(Table1[[#This Row],[Date]],Database!A:D,2,)</f>
        <v>62.4</v>
      </c>
    </row>
    <row r="1011" spans="1:6" x14ac:dyDescent="0.2">
      <c r="A1011" s="54">
        <v>44652</v>
      </c>
      <c r="B1011" s="27">
        <f>VLOOKUP(Table1[[#This Row],[Date]],Database!A:D,3,)</f>
        <v>151314</v>
      </c>
      <c r="C1011" s="26">
        <f t="shared" si="30"/>
        <v>389</v>
      </c>
      <c r="D1011" s="26">
        <f t="shared" si="31"/>
        <v>561.66666666666663</v>
      </c>
      <c r="E1011" s="58">
        <f>VLOOKUP(Table1[[#This Row],[Date]],Database!A:D,4,)</f>
        <v>3.6</v>
      </c>
      <c r="F1011" s="58">
        <f>VLOOKUP(Table1[[#This Row],[Date]],Database!A:D,2,)</f>
        <v>62.2</v>
      </c>
    </row>
    <row r="1012" spans="1:6" x14ac:dyDescent="0.2">
      <c r="A1012" s="54">
        <v>44682</v>
      </c>
      <c r="B1012" s="27">
        <f>VLOOKUP(Table1[[#This Row],[Date]],Database!A:D,3,)</f>
        <v>151682</v>
      </c>
      <c r="C1012" s="26">
        <f t="shared" si="30"/>
        <v>368</v>
      </c>
      <c r="D1012" s="26">
        <f t="shared" si="31"/>
        <v>427.66666666666669</v>
      </c>
      <c r="E1012" s="58">
        <f>VLOOKUP(Table1[[#This Row],[Date]],Database!A:D,4,)</f>
        <v>3.6</v>
      </c>
      <c r="F1012" s="58">
        <f>VLOOKUP(Table1[[#This Row],[Date]],Database!A:D,2,)</f>
        <v>62.3</v>
      </c>
    </row>
    <row r="1013" spans="1:6" x14ac:dyDescent="0.2">
      <c r="A1013" s="54">
        <v>44713</v>
      </c>
      <c r="B1013" s="25">
        <f>VLOOKUP(Table1[[#This Row],[Date]],Database!A:D,3,)</f>
        <v>151980</v>
      </c>
      <c r="C1013" s="26">
        <f t="shared" si="30"/>
        <v>298</v>
      </c>
      <c r="D1013" s="26">
        <f t="shared" si="31"/>
        <v>351.66666666666669</v>
      </c>
      <c r="E1013" s="58">
        <f>VLOOKUP(Table1[[#This Row],[Date]],Database!A:D,4,)</f>
        <v>3.6</v>
      </c>
      <c r="F1013" s="58">
        <f>VLOOKUP(Table1[[#This Row],[Date]],Database!A:D,2,)</f>
        <v>62.2</v>
      </c>
    </row>
  </sheetData>
  <conditionalFormatting sqref="C864:C1013">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60" activePane="bottomLeft" state="frozen"/>
      <selection activeCell="K1" sqref="K1"/>
      <selection pane="bottomLeft" activeCell="U2901" sqref="U2901"/>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59" customFormat="1" x14ac:dyDescent="0.2">
      <c r="A2745" s="28">
        <v>43659</v>
      </c>
      <c r="B2745" s="25">
        <f>VLOOKUP(A2745,'Database Claims'!$A:$C,3,)</f>
        <v>217000</v>
      </c>
      <c r="C2745" s="29">
        <f t="shared" si="84"/>
        <v>12000</v>
      </c>
      <c r="D2745" s="25">
        <f>VLOOKUP(A2745,'Database Claims'!$A:$C,2,)</f>
        <v>1679000</v>
      </c>
      <c r="E2745" s="29">
        <f t="shared" si="85"/>
        <v>-9000</v>
      </c>
    </row>
    <row r="2746" spans="1:5" s="59" customFormat="1" x14ac:dyDescent="0.2">
      <c r="A2746" s="28">
        <v>43666</v>
      </c>
      <c r="B2746" s="29">
        <f>VLOOKUP(A2746,'Database Claims'!$A:$C,3,)</f>
        <v>210000</v>
      </c>
      <c r="C2746" s="29">
        <f t="shared" si="84"/>
        <v>-7000</v>
      </c>
      <c r="D2746" s="29">
        <f>VLOOKUP(A2746,'Database Claims'!$A:$C,2,)</f>
        <v>1692000</v>
      </c>
      <c r="E2746" s="29">
        <f t="shared" si="85"/>
        <v>13000</v>
      </c>
    </row>
    <row r="2747" spans="1:5" s="59" customFormat="1" x14ac:dyDescent="0.2">
      <c r="A2747" s="28">
        <v>43673</v>
      </c>
      <c r="B2747" s="25">
        <f>VLOOKUP(A2747,'Database Claims'!$A:$C,3,)</f>
        <v>216000</v>
      </c>
      <c r="C2747" s="29">
        <f t="shared" si="84"/>
        <v>6000</v>
      </c>
      <c r="D2747" s="25">
        <f>VLOOKUP(A2747,'Database Claims'!$A:$C,2,)</f>
        <v>1689000</v>
      </c>
      <c r="E2747" s="29">
        <f t="shared" si="85"/>
        <v>-3000</v>
      </c>
    </row>
    <row r="2748" spans="1:5" s="59" customFormat="1" x14ac:dyDescent="0.2">
      <c r="A2748" s="28">
        <v>43680</v>
      </c>
      <c r="B2748" s="29">
        <f>VLOOKUP(A2748,'Database Claims'!$A:$C,3,)</f>
        <v>214000</v>
      </c>
      <c r="C2748" s="29">
        <f t="shared" si="84"/>
        <v>-2000</v>
      </c>
      <c r="D2748" s="29">
        <f>VLOOKUP(A2748,'Database Claims'!$A:$C,2,)</f>
        <v>1714000</v>
      </c>
      <c r="E2748" s="29">
        <f t="shared" si="85"/>
        <v>25000</v>
      </c>
    </row>
    <row r="2749" spans="1:5" s="59" customFormat="1" x14ac:dyDescent="0.2">
      <c r="A2749" s="28">
        <v>43687</v>
      </c>
      <c r="B2749" s="25">
        <f>VLOOKUP(A2749,'Database Claims'!$A:$C,3,)</f>
        <v>218000</v>
      </c>
      <c r="C2749" s="29">
        <f t="shared" si="84"/>
        <v>4000</v>
      </c>
      <c r="D2749" s="25">
        <f>VLOOKUP(A2749,'Database Claims'!$A:$C,2,)</f>
        <v>1682000</v>
      </c>
      <c r="E2749" s="29">
        <f t="shared" si="85"/>
        <v>-32000</v>
      </c>
    </row>
    <row r="2750" spans="1:5" s="59" customFormat="1" x14ac:dyDescent="0.2">
      <c r="A2750" s="28">
        <v>43694</v>
      </c>
      <c r="B2750" s="29">
        <f>VLOOKUP(A2750,'Database Claims'!$A:$C,3,)</f>
        <v>214000</v>
      </c>
      <c r="C2750" s="29">
        <f t="shared" si="84"/>
        <v>-4000</v>
      </c>
      <c r="D2750" s="29">
        <f>VLOOKUP(A2750,'Database Claims'!$A:$C,2,)</f>
        <v>1697000</v>
      </c>
      <c r="E2750" s="29">
        <f t="shared" si="85"/>
        <v>15000</v>
      </c>
    </row>
    <row r="2751" spans="1:5" s="59" customFormat="1" x14ac:dyDescent="0.2">
      <c r="A2751" s="28">
        <v>43701</v>
      </c>
      <c r="B2751" s="25">
        <f>VLOOKUP(A2751,'Database Claims'!$A:$C,3,)</f>
        <v>215000</v>
      </c>
      <c r="C2751" s="29">
        <f t="shared" si="84"/>
        <v>1000</v>
      </c>
      <c r="D2751" s="25">
        <f>VLOOKUP(A2751,'Database Claims'!$A:$C,2,)</f>
        <v>1678000</v>
      </c>
      <c r="E2751" s="29">
        <f t="shared" si="85"/>
        <v>-19000</v>
      </c>
    </row>
    <row r="2752" spans="1:5" s="59" customFormat="1" x14ac:dyDescent="0.2">
      <c r="A2752" s="28">
        <v>43708</v>
      </c>
      <c r="B2752" s="29">
        <f>VLOOKUP(A2752,'Database Claims'!$A:$C,3,)</f>
        <v>218000</v>
      </c>
      <c r="C2752" s="29">
        <f t="shared" si="84"/>
        <v>3000</v>
      </c>
      <c r="D2752" s="29">
        <f>VLOOKUP(A2752,'Database Claims'!$A:$C,2,)</f>
        <v>1679000</v>
      </c>
      <c r="E2752" s="29">
        <f t="shared" si="85"/>
        <v>1000</v>
      </c>
    </row>
    <row r="2753" spans="1:5" s="59" customFormat="1" x14ac:dyDescent="0.2">
      <c r="A2753" s="28">
        <v>43715</v>
      </c>
      <c r="B2753" s="25">
        <f>VLOOKUP(A2753,'Database Claims'!$A:$C,3,)</f>
        <v>208000</v>
      </c>
      <c r="C2753" s="29">
        <f t="shared" si="84"/>
        <v>-10000</v>
      </c>
      <c r="D2753" s="25">
        <f>VLOOKUP(A2753,'Database Claims'!$A:$C,2,)</f>
        <v>1673000</v>
      </c>
      <c r="E2753" s="29">
        <f t="shared" si="85"/>
        <v>-6000</v>
      </c>
    </row>
    <row r="2754" spans="1:5" s="59" customFormat="1" x14ac:dyDescent="0.2">
      <c r="A2754" s="28">
        <v>43722</v>
      </c>
      <c r="B2754" s="29">
        <f>VLOOKUP(A2754,'Database Claims'!$A:$C,3,)</f>
        <v>211000</v>
      </c>
      <c r="C2754" s="29">
        <f t="shared" si="84"/>
        <v>3000</v>
      </c>
      <c r="D2754" s="29">
        <f>VLOOKUP(A2754,'Database Claims'!$A:$C,2,)</f>
        <v>1668000</v>
      </c>
      <c r="E2754" s="29">
        <f t="shared" si="85"/>
        <v>-5000</v>
      </c>
    </row>
    <row r="2755" spans="1:5" s="59" customFormat="1" x14ac:dyDescent="0.2">
      <c r="A2755" s="28">
        <v>43729</v>
      </c>
      <c r="B2755" s="25">
        <f>VLOOKUP(A2755,'Database Claims'!$A:$C,3,)</f>
        <v>215000</v>
      </c>
      <c r="C2755" s="29">
        <f t="shared" si="84"/>
        <v>4000</v>
      </c>
      <c r="D2755" s="25">
        <f>VLOOKUP(A2755,'Database Claims'!$A:$C,2,)</f>
        <v>1665000</v>
      </c>
      <c r="E2755" s="29">
        <f t="shared" si="85"/>
        <v>-3000</v>
      </c>
    </row>
    <row r="2756" spans="1:5" s="59" customFormat="1" x14ac:dyDescent="0.2">
      <c r="A2756" s="28">
        <v>43736</v>
      </c>
      <c r="B2756" s="29">
        <f>VLOOKUP(A2756,'Database Claims'!$A:$C,3,)</f>
        <v>217000</v>
      </c>
      <c r="C2756" s="29">
        <f t="shared" si="84"/>
        <v>2000</v>
      </c>
      <c r="D2756" s="29">
        <f>VLOOKUP(A2756,'Database Claims'!$A:$C,2,)</f>
        <v>1696000</v>
      </c>
      <c r="E2756" s="29">
        <f t="shared" si="85"/>
        <v>31000</v>
      </c>
    </row>
    <row r="2757" spans="1:5" s="59" customFormat="1" x14ac:dyDescent="0.2">
      <c r="A2757" s="28">
        <v>43743</v>
      </c>
      <c r="B2757" s="25">
        <f>VLOOKUP(A2757,'Database Claims'!$A:$C,3,)</f>
        <v>212000</v>
      </c>
      <c r="C2757" s="29">
        <f t="shared" si="84"/>
        <v>-5000</v>
      </c>
      <c r="D2757" s="25">
        <f>VLOOKUP(A2757,'Database Claims'!$A:$C,2,)</f>
        <v>1687000</v>
      </c>
      <c r="E2757" s="29">
        <f t="shared" si="85"/>
        <v>-9000</v>
      </c>
    </row>
    <row r="2758" spans="1:5" s="59"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59" customFormat="1" x14ac:dyDescent="0.2">
      <c r="A2759" s="28">
        <v>43757</v>
      </c>
      <c r="B2759" s="25">
        <f>VLOOKUP(A2759,'Database Claims'!$A:$C,3,)</f>
        <v>212000</v>
      </c>
      <c r="C2759" s="29">
        <f t="shared" si="86"/>
        <v>-5000</v>
      </c>
      <c r="D2759" s="25">
        <f>VLOOKUP(A2759,'Database Claims'!$A:$C,2,)</f>
        <v>1694000</v>
      </c>
      <c r="E2759" s="29">
        <f t="shared" si="87"/>
        <v>1000</v>
      </c>
    </row>
    <row r="2760" spans="1:5" s="59" customFormat="1" x14ac:dyDescent="0.2">
      <c r="A2760" s="28">
        <v>43764</v>
      </c>
      <c r="B2760" s="29">
        <f>VLOOKUP(A2760,'Database Claims'!$A:$C,3,)</f>
        <v>216000</v>
      </c>
      <c r="C2760" s="29">
        <f t="shared" si="86"/>
        <v>4000</v>
      </c>
      <c r="D2760" s="29">
        <f>VLOOKUP(A2760,'Database Claims'!$A:$C,2,)</f>
        <v>1695000</v>
      </c>
      <c r="E2760" s="29">
        <f t="shared" si="87"/>
        <v>1000</v>
      </c>
    </row>
    <row r="2761" spans="1:5" s="59" customFormat="1" x14ac:dyDescent="0.2">
      <c r="A2761" s="28">
        <v>43771</v>
      </c>
      <c r="B2761" s="25">
        <f>VLOOKUP(A2761,'Database Claims'!$A:$C,3,)</f>
        <v>211000</v>
      </c>
      <c r="C2761" s="29">
        <f t="shared" si="86"/>
        <v>-5000</v>
      </c>
      <c r="D2761" s="25">
        <f>VLOOKUP(A2761,'Database Claims'!$A:$C,2,)</f>
        <v>1692000</v>
      </c>
      <c r="E2761" s="29">
        <f t="shared" si="87"/>
        <v>-3000</v>
      </c>
    </row>
    <row r="2762" spans="1:5" s="59" customFormat="1" x14ac:dyDescent="0.2">
      <c r="A2762" s="28">
        <v>43778</v>
      </c>
      <c r="B2762" s="29">
        <f>VLOOKUP(A2762,'Database Claims'!$A:$C,3,)</f>
        <v>222000</v>
      </c>
      <c r="C2762" s="29">
        <f t="shared" si="86"/>
        <v>11000</v>
      </c>
      <c r="D2762" s="29">
        <f>VLOOKUP(A2762,'Database Claims'!$A:$C,2,)</f>
        <v>1695000</v>
      </c>
      <c r="E2762" s="29">
        <f t="shared" si="87"/>
        <v>3000</v>
      </c>
    </row>
    <row r="2763" spans="1:5" s="59" customFormat="1" x14ac:dyDescent="0.2">
      <c r="A2763" s="28">
        <v>43785</v>
      </c>
      <c r="B2763" s="25">
        <f>VLOOKUP(A2763,'Database Claims'!$A:$C,3,)</f>
        <v>221000</v>
      </c>
      <c r="C2763" s="29">
        <f t="shared" si="86"/>
        <v>-1000</v>
      </c>
      <c r="D2763" s="25">
        <f>VLOOKUP(A2763,'Database Claims'!$A:$C,2,)</f>
        <v>1678000</v>
      </c>
      <c r="E2763" s="29">
        <f t="shared" si="87"/>
        <v>-17000</v>
      </c>
    </row>
    <row r="2764" spans="1:5" s="59" customFormat="1" x14ac:dyDescent="0.2">
      <c r="A2764" s="28">
        <v>43792</v>
      </c>
      <c r="B2764" s="29">
        <f>VLOOKUP(A2764,'Database Claims'!$A:$C,3,)</f>
        <v>215000</v>
      </c>
      <c r="C2764" s="29">
        <f t="shared" si="86"/>
        <v>-6000</v>
      </c>
      <c r="D2764" s="29">
        <f>VLOOKUP(A2764,'Database Claims'!$A:$C,2,)</f>
        <v>1699000</v>
      </c>
      <c r="E2764" s="29">
        <f t="shared" si="87"/>
        <v>21000</v>
      </c>
    </row>
    <row r="2765" spans="1:5" s="59" customFormat="1" x14ac:dyDescent="0.2">
      <c r="A2765" s="28">
        <v>43799</v>
      </c>
      <c r="B2765" s="25">
        <f>VLOOKUP(A2765,'Database Claims'!$A:$C,3,)</f>
        <v>219000</v>
      </c>
      <c r="C2765" s="29">
        <f t="shared" si="86"/>
        <v>4000</v>
      </c>
      <c r="D2765" s="25">
        <f>VLOOKUP(A2765,'Database Claims'!$A:$C,2,)</f>
        <v>1705000</v>
      </c>
      <c r="E2765" s="29">
        <f t="shared" si="87"/>
        <v>6000</v>
      </c>
    </row>
    <row r="2766" spans="1:5" s="59" customFormat="1" x14ac:dyDescent="0.2">
      <c r="A2766" s="28">
        <v>43806</v>
      </c>
      <c r="B2766" s="29">
        <f>VLOOKUP(A2766,'Database Claims'!$A:$C,3,)</f>
        <v>238000</v>
      </c>
      <c r="C2766" s="29">
        <f t="shared" si="86"/>
        <v>19000</v>
      </c>
      <c r="D2766" s="29">
        <f>VLOOKUP(A2766,'Database Claims'!$A:$C,2,)</f>
        <v>1726000</v>
      </c>
      <c r="E2766" s="29">
        <f t="shared" si="87"/>
        <v>21000</v>
      </c>
    </row>
    <row r="2767" spans="1:5" s="59" customFormat="1" x14ac:dyDescent="0.2">
      <c r="A2767" s="28">
        <v>43813</v>
      </c>
      <c r="B2767" s="25">
        <f>VLOOKUP(A2767,'Database Claims'!$A:$C,3,)</f>
        <v>227000</v>
      </c>
      <c r="C2767" s="29">
        <f t="shared" si="86"/>
        <v>-11000</v>
      </c>
      <c r="D2767" s="25">
        <f>VLOOKUP(A2767,'Database Claims'!$A:$C,2,)</f>
        <v>1718000</v>
      </c>
      <c r="E2767" s="29">
        <f t="shared" si="87"/>
        <v>-8000</v>
      </c>
    </row>
    <row r="2768" spans="1:5" s="59" customFormat="1" x14ac:dyDescent="0.2">
      <c r="A2768" s="28">
        <v>43820</v>
      </c>
      <c r="B2768" s="29">
        <f>VLOOKUP(A2768,'Database Claims'!$A:$C,3,)</f>
        <v>218000</v>
      </c>
      <c r="C2768" s="29">
        <f t="shared" si="86"/>
        <v>-9000</v>
      </c>
      <c r="D2768" s="29">
        <f>VLOOKUP(A2768,'Database Claims'!$A:$C,2,)</f>
        <v>1725000</v>
      </c>
      <c r="E2768" s="29">
        <f t="shared" si="87"/>
        <v>7000</v>
      </c>
    </row>
    <row r="2769" spans="1:5" s="59" customFormat="1" x14ac:dyDescent="0.2">
      <c r="A2769" s="28">
        <v>43827</v>
      </c>
      <c r="B2769" s="25">
        <f>VLOOKUP(A2769,'Database Claims'!$A:$C,3,)</f>
        <v>218000</v>
      </c>
      <c r="C2769" s="29">
        <f t="shared" si="86"/>
        <v>0</v>
      </c>
      <c r="D2769" s="25">
        <f>VLOOKUP(A2769,'Database Claims'!$A:$C,2,)</f>
        <v>1779000</v>
      </c>
      <c r="E2769" s="29">
        <f t="shared" si="87"/>
        <v>54000</v>
      </c>
    </row>
    <row r="2770" spans="1:5" s="59" customFormat="1" x14ac:dyDescent="0.2">
      <c r="A2770" s="28">
        <v>43834</v>
      </c>
      <c r="B2770" s="29">
        <f>VLOOKUP(A2770,'Database Claims'!$A:$C,3,)</f>
        <v>210000</v>
      </c>
      <c r="C2770" s="29">
        <f t="shared" si="86"/>
        <v>-8000</v>
      </c>
      <c r="D2770" s="29">
        <f>VLOOKUP(A2770,'Database Claims'!$A:$C,2,)</f>
        <v>1766000</v>
      </c>
      <c r="E2770" s="29">
        <f t="shared" si="87"/>
        <v>-13000</v>
      </c>
    </row>
    <row r="2771" spans="1:5" s="59" customFormat="1" x14ac:dyDescent="0.2">
      <c r="A2771" s="28">
        <v>43841</v>
      </c>
      <c r="B2771" s="25">
        <f>VLOOKUP(A2771,'Database Claims'!$A:$C,3,)</f>
        <v>206000</v>
      </c>
      <c r="C2771" s="29">
        <f t="shared" si="86"/>
        <v>-4000</v>
      </c>
      <c r="D2771" s="25">
        <f>VLOOKUP(A2771,'Database Claims'!$A:$C,2,)</f>
        <v>1739000</v>
      </c>
      <c r="E2771" s="29">
        <f t="shared" si="87"/>
        <v>-27000</v>
      </c>
    </row>
    <row r="2772" spans="1:5" s="59" customFormat="1" x14ac:dyDescent="0.2">
      <c r="A2772" s="28">
        <v>43848</v>
      </c>
      <c r="B2772" s="29">
        <f>VLOOKUP(A2772,'Database Claims'!$A:$C,3,)</f>
        <v>219000</v>
      </c>
      <c r="C2772" s="29">
        <f t="shared" si="86"/>
        <v>13000</v>
      </c>
      <c r="D2772" s="29">
        <f>VLOOKUP(A2772,'Database Claims'!$A:$C,2,)</f>
        <v>1709000</v>
      </c>
      <c r="E2772" s="29">
        <f t="shared" si="87"/>
        <v>-30000</v>
      </c>
    </row>
    <row r="2773" spans="1:5" s="59" customFormat="1" x14ac:dyDescent="0.2">
      <c r="A2773" s="28">
        <v>43855</v>
      </c>
      <c r="B2773" s="25">
        <f>VLOOKUP(A2773,'Database Claims'!$A:$C,3,)</f>
        <v>210000</v>
      </c>
      <c r="C2773" s="29">
        <f t="shared" si="86"/>
        <v>-9000</v>
      </c>
      <c r="D2773" s="25">
        <f>VLOOKUP(A2773,'Database Claims'!$A:$C,2,)</f>
        <v>1752000</v>
      </c>
      <c r="E2773" s="29">
        <f t="shared" si="87"/>
        <v>43000</v>
      </c>
    </row>
    <row r="2774" spans="1:5" s="59" customFormat="1" x14ac:dyDescent="0.2">
      <c r="A2774" s="28">
        <v>43862</v>
      </c>
      <c r="B2774" s="29">
        <f>VLOOKUP(A2774,'Database Claims'!$A:$C,3,)</f>
        <v>205000</v>
      </c>
      <c r="C2774" s="29">
        <f t="shared" si="86"/>
        <v>-5000</v>
      </c>
      <c r="D2774" s="29">
        <f>VLOOKUP(A2774,'Database Claims'!$A:$C,2,)</f>
        <v>1698000</v>
      </c>
      <c r="E2774" s="29">
        <f t="shared" si="87"/>
        <v>-54000</v>
      </c>
    </row>
    <row r="2775" spans="1:5" s="59" customFormat="1" x14ac:dyDescent="0.2">
      <c r="A2775" s="28">
        <v>43869</v>
      </c>
      <c r="B2775" s="25">
        <f>VLOOKUP(A2775,'Database Claims'!$A:$C,3,)</f>
        <v>207000</v>
      </c>
      <c r="C2775" s="29">
        <f t="shared" si="86"/>
        <v>2000</v>
      </c>
      <c r="D2775" s="25">
        <f>VLOOKUP(A2775,'Database Claims'!$A:$C,2,)</f>
        <v>1734000</v>
      </c>
      <c r="E2775" s="29">
        <f t="shared" si="87"/>
        <v>36000</v>
      </c>
    </row>
    <row r="2776" spans="1:5" s="59" customFormat="1" x14ac:dyDescent="0.2">
      <c r="A2776" s="28">
        <v>43876</v>
      </c>
      <c r="B2776" s="29">
        <f>VLOOKUP(A2776,'Database Claims'!$A:$C,3,)</f>
        <v>215000</v>
      </c>
      <c r="C2776" s="29">
        <f t="shared" si="86"/>
        <v>8000</v>
      </c>
      <c r="D2776" s="29">
        <f>VLOOKUP(A2776,'Database Claims'!$A:$C,2,)</f>
        <v>1705000</v>
      </c>
      <c r="E2776" s="29">
        <f t="shared" si="87"/>
        <v>-29000</v>
      </c>
    </row>
    <row r="2777" spans="1:5" s="59" customFormat="1" x14ac:dyDescent="0.2">
      <c r="A2777" s="28">
        <v>43883</v>
      </c>
      <c r="B2777" s="25">
        <f>VLOOKUP(A2777,'Database Claims'!$A:$C,3,)</f>
        <v>218000</v>
      </c>
      <c r="C2777" s="29">
        <f t="shared" si="86"/>
        <v>3000</v>
      </c>
      <c r="D2777" s="25">
        <f>VLOOKUP(A2777,'Database Claims'!$A:$C,2,)</f>
        <v>1730000</v>
      </c>
      <c r="E2777" s="29">
        <f t="shared" si="87"/>
        <v>25000</v>
      </c>
    </row>
    <row r="2778" spans="1:5" s="59" customFormat="1" x14ac:dyDescent="0.2">
      <c r="A2778" s="28">
        <v>43890</v>
      </c>
      <c r="B2778" s="29">
        <f>VLOOKUP(A2778,'Database Claims'!$A:$C,3,)</f>
        <v>216000</v>
      </c>
      <c r="C2778" s="29">
        <f t="shared" si="86"/>
        <v>-2000</v>
      </c>
      <c r="D2778" s="29">
        <f>VLOOKUP(A2778,'Database Claims'!$A:$C,2,)</f>
        <v>1708000</v>
      </c>
      <c r="E2778" s="29">
        <f t="shared" si="87"/>
        <v>-22000</v>
      </c>
    </row>
    <row r="2779" spans="1:5" s="59" customFormat="1" x14ac:dyDescent="0.2">
      <c r="A2779" s="28">
        <v>43897</v>
      </c>
      <c r="B2779" s="25">
        <f>VLOOKUP(A2779,'Database Claims'!$A:$C,3,)</f>
        <v>212000</v>
      </c>
      <c r="C2779" s="29">
        <f t="shared" si="86"/>
        <v>-4000</v>
      </c>
      <c r="D2779" s="25">
        <f>VLOOKUP(A2779,'Database Claims'!$A:$C,2,)</f>
        <v>1715000</v>
      </c>
      <c r="E2779" s="29">
        <f t="shared" si="87"/>
        <v>7000</v>
      </c>
    </row>
    <row r="2780" spans="1:5" s="59" customFormat="1" x14ac:dyDescent="0.2">
      <c r="A2780" s="28">
        <v>43904</v>
      </c>
      <c r="B2780" s="29">
        <f>VLOOKUP(A2780,'Database Claims'!$A:$C,3,)</f>
        <v>256000</v>
      </c>
      <c r="C2780" s="29">
        <f t="shared" si="86"/>
        <v>44000</v>
      </c>
      <c r="D2780" s="29">
        <f>VLOOKUP(A2780,'Database Claims'!$A:$C,2,)</f>
        <v>1770000</v>
      </c>
      <c r="E2780" s="29">
        <f t="shared" si="87"/>
        <v>55000</v>
      </c>
    </row>
    <row r="2781" spans="1:5" s="59" customFormat="1" x14ac:dyDescent="0.2">
      <c r="A2781" s="28">
        <v>43911</v>
      </c>
      <c r="B2781" s="25">
        <f>VLOOKUP(A2781,'Database Claims'!$A:$C,3,)</f>
        <v>2923000</v>
      </c>
      <c r="C2781" s="29">
        <f t="shared" si="86"/>
        <v>2667000</v>
      </c>
      <c r="D2781" s="25">
        <f>VLOOKUP(A2781,'Database Claims'!$A:$C,2,)</f>
        <v>3094000</v>
      </c>
      <c r="E2781" s="29">
        <f t="shared" si="87"/>
        <v>1324000</v>
      </c>
    </row>
    <row r="2782" spans="1:5" s="59" customFormat="1" x14ac:dyDescent="0.2">
      <c r="A2782" s="28">
        <v>43918</v>
      </c>
      <c r="B2782" s="29">
        <f>VLOOKUP(A2782,'Database Claims'!$A:$C,3,)</f>
        <v>5985000</v>
      </c>
      <c r="C2782" s="29">
        <f t="shared" si="86"/>
        <v>3062000</v>
      </c>
      <c r="D2782" s="29">
        <f>VLOOKUP(A2782,'Database Claims'!$A:$C,2,)</f>
        <v>7868000</v>
      </c>
      <c r="E2782" s="29">
        <f t="shared" si="87"/>
        <v>4774000</v>
      </c>
    </row>
    <row r="2783" spans="1:5" s="59" customFormat="1" x14ac:dyDescent="0.2">
      <c r="A2783" s="28">
        <v>43925</v>
      </c>
      <c r="B2783" s="25">
        <f>VLOOKUP(A2783,'Database Claims'!$A:$C,3,)</f>
        <v>6149000</v>
      </c>
      <c r="C2783" s="29">
        <f t="shared" si="86"/>
        <v>164000</v>
      </c>
      <c r="D2783" s="25">
        <f>VLOOKUP(A2783,'Database Claims'!$A:$C,2,)</f>
        <v>12261000</v>
      </c>
      <c r="E2783" s="29">
        <f t="shared" si="87"/>
        <v>4393000</v>
      </c>
    </row>
    <row r="2784" spans="1:5" s="59" customFormat="1" x14ac:dyDescent="0.2">
      <c r="A2784" s="28">
        <v>43932</v>
      </c>
      <c r="B2784" s="29">
        <f>VLOOKUP(A2784,'Database Claims'!$A:$C,3,)</f>
        <v>4869000</v>
      </c>
      <c r="C2784" s="29">
        <f t="shared" si="86"/>
        <v>-1280000</v>
      </c>
      <c r="D2784" s="29">
        <f>VLOOKUP(A2784,'Database Claims'!$A:$C,2,)</f>
        <v>16070000</v>
      </c>
      <c r="E2784" s="29">
        <f t="shared" si="87"/>
        <v>3809000</v>
      </c>
    </row>
    <row r="2785" spans="1:5" s="59" customFormat="1" x14ac:dyDescent="0.2">
      <c r="A2785" s="28">
        <v>43939</v>
      </c>
      <c r="B2785" s="25">
        <f>VLOOKUP(A2785,'Database Claims'!$A:$C,3,)</f>
        <v>4202000</v>
      </c>
      <c r="C2785" s="29">
        <f t="shared" si="86"/>
        <v>-667000</v>
      </c>
      <c r="D2785" s="25">
        <f>VLOOKUP(A2785,'Database Claims'!$A:$C,2,)</f>
        <v>17656000</v>
      </c>
      <c r="E2785" s="29">
        <f t="shared" si="87"/>
        <v>1586000</v>
      </c>
    </row>
    <row r="2786" spans="1:5" s="59" customFormat="1" x14ac:dyDescent="0.2">
      <c r="A2786" s="28">
        <v>43946</v>
      </c>
      <c r="B2786" s="29">
        <f>VLOOKUP(A2786,'Database Claims'!$A:$C,3,)</f>
        <v>3451000</v>
      </c>
      <c r="C2786" s="29">
        <f t="shared" si="86"/>
        <v>-751000</v>
      </c>
      <c r="D2786" s="29">
        <f>VLOOKUP(A2786,'Database Claims'!$A:$C,2,)</f>
        <v>21664000</v>
      </c>
      <c r="E2786" s="29">
        <f t="shared" si="87"/>
        <v>4008000</v>
      </c>
    </row>
    <row r="2787" spans="1:5" s="59" customFormat="1" x14ac:dyDescent="0.2">
      <c r="A2787" s="28">
        <v>43953</v>
      </c>
      <c r="B2787" s="25">
        <f>VLOOKUP(A2787,'Database Claims'!$A:$C,3,)</f>
        <v>2784000</v>
      </c>
      <c r="C2787" s="29">
        <f t="shared" si="86"/>
        <v>-667000</v>
      </c>
      <c r="D2787" s="25">
        <f>VLOOKUP(A2787,'Database Claims'!$A:$C,2,)</f>
        <v>20823000</v>
      </c>
      <c r="E2787" s="29">
        <f t="shared" si="87"/>
        <v>-841000</v>
      </c>
    </row>
    <row r="2788" spans="1:5" s="59" customFormat="1" x14ac:dyDescent="0.2">
      <c r="A2788" s="28">
        <v>43960</v>
      </c>
      <c r="B2788" s="29">
        <f>VLOOKUP(A2788,'Database Claims'!$A:$C,3,)</f>
        <v>2315000</v>
      </c>
      <c r="C2788" s="29">
        <f t="shared" si="86"/>
        <v>-469000</v>
      </c>
      <c r="D2788" s="29">
        <f>VLOOKUP(A2788,'Database Claims'!$A:$C,2,)</f>
        <v>23128000</v>
      </c>
      <c r="E2788" s="29">
        <f t="shared" si="87"/>
        <v>2305000</v>
      </c>
    </row>
    <row r="2789" spans="1:5" s="59" customFormat="1" x14ac:dyDescent="0.2">
      <c r="A2789" s="28">
        <v>43967</v>
      </c>
      <c r="B2789" s="25">
        <f>VLOOKUP(A2789,'Database Claims'!$A:$C,3,)</f>
        <v>2149000</v>
      </c>
      <c r="C2789" s="29">
        <f t="shared" si="86"/>
        <v>-166000</v>
      </c>
      <c r="D2789" s="25">
        <f>VLOOKUP(A2789,'Database Claims'!$A:$C,2,)</f>
        <v>19181000</v>
      </c>
      <c r="E2789" s="29">
        <f t="shared" si="87"/>
        <v>-3947000</v>
      </c>
    </row>
    <row r="2790" spans="1:5" s="59" customFormat="1" x14ac:dyDescent="0.2">
      <c r="A2790" s="28">
        <v>43974</v>
      </c>
      <c r="B2790" s="29">
        <f>VLOOKUP(A2790,'Database Claims'!$A:$C,3,)</f>
        <v>1887000</v>
      </c>
      <c r="C2790" s="29">
        <f t="shared" si="86"/>
        <v>-262000</v>
      </c>
      <c r="D2790" s="29">
        <f>VLOOKUP(A2790,'Database Claims'!$A:$C,2,)</f>
        <v>19396000</v>
      </c>
      <c r="E2790" s="29">
        <f t="shared" si="87"/>
        <v>215000</v>
      </c>
    </row>
    <row r="2791" spans="1:5" s="59" customFormat="1" x14ac:dyDescent="0.2">
      <c r="A2791" s="28">
        <v>43981</v>
      </c>
      <c r="B2791" s="25">
        <f>VLOOKUP(A2791,'Database Claims'!$A:$C,3,)</f>
        <v>1605000</v>
      </c>
      <c r="C2791" s="29">
        <f t="shared" si="86"/>
        <v>-282000</v>
      </c>
      <c r="D2791" s="25">
        <f>VLOOKUP(A2791,'Database Claims'!$A:$C,2,)</f>
        <v>19287000</v>
      </c>
      <c r="E2791" s="29">
        <f t="shared" si="87"/>
        <v>-109000</v>
      </c>
    </row>
    <row r="2792" spans="1:5" s="59" customFormat="1" x14ac:dyDescent="0.2">
      <c r="A2792" s="28">
        <v>43988</v>
      </c>
      <c r="B2792" s="29">
        <f>VLOOKUP(A2792,'Database Claims'!$A:$C,3,)</f>
        <v>1537000</v>
      </c>
      <c r="C2792" s="29">
        <f t="shared" si="86"/>
        <v>-68000</v>
      </c>
      <c r="D2792" s="29">
        <f>VLOOKUP(A2792,'Database Claims'!$A:$C,2,)</f>
        <v>18927000</v>
      </c>
      <c r="E2792" s="29">
        <f t="shared" si="87"/>
        <v>-360000</v>
      </c>
    </row>
    <row r="2793" spans="1:5" s="59" customFormat="1" x14ac:dyDescent="0.2">
      <c r="A2793" s="28">
        <v>43995</v>
      </c>
      <c r="B2793" s="25">
        <f>VLOOKUP(A2793,'Database Claims'!$A:$C,3,)</f>
        <v>1472000</v>
      </c>
      <c r="C2793" s="29">
        <f t="shared" si="86"/>
        <v>-65000</v>
      </c>
      <c r="D2793" s="25">
        <f>VLOOKUP(A2793,'Database Claims'!$A:$C,2,)</f>
        <v>17993000</v>
      </c>
      <c r="E2793" s="29">
        <f t="shared" si="87"/>
        <v>-934000</v>
      </c>
    </row>
    <row r="2794" spans="1:5" s="59" customFormat="1" x14ac:dyDescent="0.2">
      <c r="A2794" s="28">
        <v>44002</v>
      </c>
      <c r="B2794" s="29">
        <f>VLOOKUP(A2794,'Database Claims'!$A:$C,3,)</f>
        <v>1460000</v>
      </c>
      <c r="C2794" s="29">
        <f t="shared" si="86"/>
        <v>-12000</v>
      </c>
      <c r="D2794" s="29">
        <f>VLOOKUP(A2794,'Database Claims'!$A:$C,2,)</f>
        <v>17713000</v>
      </c>
      <c r="E2794" s="29">
        <f t="shared" si="87"/>
        <v>-280000</v>
      </c>
    </row>
    <row r="2795" spans="1:5" s="59" customFormat="1" x14ac:dyDescent="0.2">
      <c r="A2795" s="28">
        <v>44009</v>
      </c>
      <c r="B2795" s="25">
        <f>VLOOKUP(A2795,'Database Claims'!$A:$C,3,)</f>
        <v>1436000</v>
      </c>
      <c r="C2795" s="29">
        <f t="shared" si="86"/>
        <v>-24000</v>
      </c>
      <c r="D2795" s="25">
        <f>VLOOKUP(A2795,'Database Claims'!$A:$C,2,)</f>
        <v>16780000</v>
      </c>
      <c r="E2795" s="29">
        <f t="shared" si="87"/>
        <v>-933000</v>
      </c>
    </row>
    <row r="2796" spans="1:5" s="59" customFormat="1" x14ac:dyDescent="0.2">
      <c r="A2796" s="28">
        <v>44016</v>
      </c>
      <c r="B2796" s="29">
        <f>VLOOKUP(A2796,'Database Claims'!$A:$C,3,)</f>
        <v>1398000</v>
      </c>
      <c r="C2796" s="29">
        <f t="shared" si="86"/>
        <v>-38000</v>
      </c>
      <c r="D2796" s="29">
        <f>VLOOKUP(A2796,'Database Claims'!$A:$C,2,)</f>
        <v>17413000</v>
      </c>
      <c r="E2796" s="29">
        <f t="shared" si="87"/>
        <v>633000</v>
      </c>
    </row>
    <row r="2797" spans="1:5" s="59" customFormat="1" x14ac:dyDescent="0.2">
      <c r="A2797" s="28">
        <v>44023</v>
      </c>
      <c r="B2797" s="25">
        <f>VLOOKUP(A2797,'Database Claims'!$A:$C,3,)</f>
        <v>1479000</v>
      </c>
      <c r="C2797" s="29">
        <f t="shared" si="86"/>
        <v>81000</v>
      </c>
      <c r="D2797" s="25">
        <f>VLOOKUP(A2797,'Database Claims'!$A:$C,2,)</f>
        <v>16385000</v>
      </c>
      <c r="E2797" s="29">
        <f t="shared" si="87"/>
        <v>-1028000</v>
      </c>
    </row>
    <row r="2798" spans="1:5" s="59" customFormat="1" x14ac:dyDescent="0.2">
      <c r="A2798" s="28">
        <v>44030</v>
      </c>
      <c r="B2798" s="29">
        <f>VLOOKUP(A2798,'Database Claims'!$A:$C,3,)</f>
        <v>1398000</v>
      </c>
      <c r="C2798" s="29">
        <f t="shared" si="86"/>
        <v>-81000</v>
      </c>
      <c r="D2798" s="29">
        <f>VLOOKUP(A2798,'Database Claims'!$A:$C,2,)</f>
        <v>16913000</v>
      </c>
      <c r="E2798" s="29">
        <f t="shared" si="87"/>
        <v>528000</v>
      </c>
    </row>
    <row r="2799" spans="1:5" s="59" customFormat="1" x14ac:dyDescent="0.2">
      <c r="A2799" s="28">
        <v>44037</v>
      </c>
      <c r="B2799" s="25">
        <f>VLOOKUP(A2799,'Database Claims'!$A:$C,3,)</f>
        <v>1262000</v>
      </c>
      <c r="C2799" s="29">
        <f t="shared" si="86"/>
        <v>-136000</v>
      </c>
      <c r="D2799" s="25">
        <f>VLOOKUP(A2799,'Database Claims'!$A:$C,2,)</f>
        <v>15964000</v>
      </c>
      <c r="E2799" s="29">
        <f t="shared" si="87"/>
        <v>-949000</v>
      </c>
    </row>
    <row r="2800" spans="1:5" s="59" customFormat="1" x14ac:dyDescent="0.2">
      <c r="A2800" s="28">
        <v>44044</v>
      </c>
      <c r="B2800" s="29">
        <f>VLOOKUP(A2800,'Database Claims'!$A:$C,3,)</f>
        <v>1043000</v>
      </c>
      <c r="C2800" s="29">
        <f t="shared" si="86"/>
        <v>-219000</v>
      </c>
      <c r="D2800" s="29">
        <f>VLOOKUP(A2800,'Database Claims'!$A:$C,2,)</f>
        <v>15303000</v>
      </c>
      <c r="E2800" s="29">
        <f t="shared" si="87"/>
        <v>-661000</v>
      </c>
    </row>
    <row r="2801" spans="1:5" s="59" customFormat="1" x14ac:dyDescent="0.2">
      <c r="A2801" s="28">
        <v>44051</v>
      </c>
      <c r="B2801" s="25">
        <f>VLOOKUP(A2801,'Database Claims'!$A:$C,3,)</f>
        <v>883000</v>
      </c>
      <c r="C2801" s="29">
        <f t="shared" si="86"/>
        <v>-160000</v>
      </c>
      <c r="D2801" s="25">
        <f>VLOOKUP(A2801,'Database Claims'!$A:$C,2,)</f>
        <v>14217000</v>
      </c>
      <c r="E2801" s="29">
        <f t="shared" si="87"/>
        <v>-1086000</v>
      </c>
    </row>
    <row r="2802" spans="1:5" s="59" customFormat="1" x14ac:dyDescent="0.2">
      <c r="A2802" s="28">
        <v>44058</v>
      </c>
      <c r="B2802" s="29">
        <f>VLOOKUP(A2802,'Database Claims'!$A:$C,3,)</f>
        <v>920000</v>
      </c>
      <c r="C2802" s="29">
        <f t="shared" si="86"/>
        <v>37000</v>
      </c>
      <c r="D2802" s="29">
        <f>VLOOKUP(A2802,'Database Claims'!$A:$C,2,)</f>
        <v>13948000</v>
      </c>
      <c r="E2802" s="29">
        <f t="shared" si="87"/>
        <v>-269000</v>
      </c>
    </row>
    <row r="2803" spans="1:5" s="59" customFormat="1" x14ac:dyDescent="0.2">
      <c r="A2803" s="28">
        <v>44065</v>
      </c>
      <c r="B2803" s="25">
        <f>VLOOKUP(A2803,'Database Claims'!$A:$C,3,)</f>
        <v>872000</v>
      </c>
      <c r="C2803" s="29">
        <f t="shared" si="86"/>
        <v>-48000</v>
      </c>
      <c r="D2803" s="25">
        <f>VLOOKUP(A2803,'Database Claims'!$A:$C,2,)</f>
        <v>13246000</v>
      </c>
      <c r="E2803" s="29">
        <f t="shared" si="87"/>
        <v>-702000</v>
      </c>
    </row>
    <row r="2804" spans="1:5" s="59" customFormat="1" x14ac:dyDescent="0.2">
      <c r="A2804" s="28">
        <v>44072</v>
      </c>
      <c r="B2804" s="29">
        <f>VLOOKUP(A2804,'Database Claims'!$A:$C,3,)</f>
        <v>875000</v>
      </c>
      <c r="C2804" s="29">
        <f t="shared" si="86"/>
        <v>3000</v>
      </c>
      <c r="D2804" s="29">
        <f>VLOOKUP(A2804,'Database Claims'!$A:$C,2,)</f>
        <v>13528000</v>
      </c>
      <c r="E2804" s="29">
        <f t="shared" si="87"/>
        <v>282000</v>
      </c>
    </row>
    <row r="2805" spans="1:5" s="59" customFormat="1" x14ac:dyDescent="0.2">
      <c r="A2805" s="28">
        <v>44079</v>
      </c>
      <c r="B2805" s="25">
        <f>VLOOKUP(A2805,'Database Claims'!$A:$C,3,)</f>
        <v>881000</v>
      </c>
      <c r="C2805" s="29">
        <f t="shared" si="86"/>
        <v>6000</v>
      </c>
      <c r="D2805" s="25">
        <f>VLOOKUP(A2805,'Database Claims'!$A:$C,2,)</f>
        <v>12755000</v>
      </c>
      <c r="E2805" s="29">
        <f t="shared" si="87"/>
        <v>-773000</v>
      </c>
    </row>
    <row r="2806" spans="1:5" s="59" customFormat="1" x14ac:dyDescent="0.2">
      <c r="A2806" s="28">
        <v>44086</v>
      </c>
      <c r="B2806" s="29">
        <f>VLOOKUP(A2806,'Database Claims'!$A:$C,3,)</f>
        <v>860000</v>
      </c>
      <c r="C2806" s="29">
        <f t="shared" si="86"/>
        <v>-21000</v>
      </c>
      <c r="D2806" s="29">
        <f>VLOOKUP(A2806,'Database Claims'!$A:$C,2,)</f>
        <v>12706000</v>
      </c>
      <c r="E2806" s="29">
        <f t="shared" si="87"/>
        <v>-49000</v>
      </c>
    </row>
    <row r="2807" spans="1:5" s="59" customFormat="1" x14ac:dyDescent="0.2">
      <c r="A2807" s="28">
        <v>44093</v>
      </c>
      <c r="B2807" s="25">
        <f>VLOOKUP(A2807,'Database Claims'!$A:$C,3,)</f>
        <v>860000</v>
      </c>
      <c r="C2807" s="29">
        <f t="shared" si="86"/>
        <v>0</v>
      </c>
      <c r="D2807" s="25">
        <f>VLOOKUP(A2807,'Database Claims'!$A:$C,2,)</f>
        <v>11381000</v>
      </c>
      <c r="E2807" s="29">
        <f t="shared" si="87"/>
        <v>-1325000</v>
      </c>
    </row>
    <row r="2808" spans="1:5" s="59" customFormat="1" x14ac:dyDescent="0.2">
      <c r="A2808" s="28">
        <v>44100</v>
      </c>
      <c r="B2808" s="29">
        <f>VLOOKUP(A2808,'Database Claims'!$A:$C,3,)</f>
        <v>803000</v>
      </c>
      <c r="C2808" s="29">
        <f t="shared" si="86"/>
        <v>-57000</v>
      </c>
      <c r="D2808" s="29">
        <f>VLOOKUP(A2808,'Database Claims'!$A:$C,2,)</f>
        <v>10477000</v>
      </c>
      <c r="E2808" s="29">
        <f t="shared" si="87"/>
        <v>-904000</v>
      </c>
    </row>
    <row r="2809" spans="1:5" s="59" customFormat="1" x14ac:dyDescent="0.2">
      <c r="A2809" s="28">
        <v>44107</v>
      </c>
      <c r="B2809" s="25">
        <f>VLOOKUP(A2809,'Database Claims'!$A:$C,3,)</f>
        <v>782000</v>
      </c>
      <c r="C2809" s="29">
        <f t="shared" si="86"/>
        <v>-21000</v>
      </c>
      <c r="D2809" s="25">
        <f>VLOOKUP(A2809,'Database Claims'!$A:$C,2,)</f>
        <v>9259000</v>
      </c>
      <c r="E2809" s="29">
        <f t="shared" si="87"/>
        <v>-1218000</v>
      </c>
    </row>
    <row r="2810" spans="1:5" s="59" customFormat="1" x14ac:dyDescent="0.2">
      <c r="A2810" s="28">
        <v>44114</v>
      </c>
      <c r="B2810" s="29">
        <f>VLOOKUP(A2810,'Database Claims'!$A:$C,3,)</f>
        <v>833000</v>
      </c>
      <c r="C2810" s="29">
        <f t="shared" si="86"/>
        <v>51000</v>
      </c>
      <c r="D2810" s="29">
        <f>VLOOKUP(A2810,'Database Claims'!$A:$C,2,)</f>
        <v>8384000</v>
      </c>
      <c r="E2810" s="29">
        <f t="shared" si="87"/>
        <v>-875000</v>
      </c>
    </row>
    <row r="2811" spans="1:5" s="59" customFormat="1" x14ac:dyDescent="0.2">
      <c r="A2811" s="28">
        <v>44121</v>
      </c>
      <c r="B2811" s="25">
        <f>VLOOKUP(A2811,'Database Claims'!$A:$C,3,)</f>
        <v>798000</v>
      </c>
      <c r="C2811" s="29">
        <f t="shared" si="86"/>
        <v>-35000</v>
      </c>
      <c r="D2811" s="25">
        <f>VLOOKUP(A2811,'Database Claims'!$A:$C,2,)</f>
        <v>7699000</v>
      </c>
      <c r="E2811" s="29">
        <f t="shared" si="87"/>
        <v>-685000</v>
      </c>
    </row>
    <row r="2812" spans="1:5" s="59" customFormat="1" x14ac:dyDescent="0.2">
      <c r="A2812" s="28">
        <v>44128</v>
      </c>
      <c r="B2812" s="29">
        <f>VLOOKUP(A2812,'Database Claims'!$A:$C,3,)</f>
        <v>768000</v>
      </c>
      <c r="C2812" s="29">
        <f t="shared" si="86"/>
        <v>-30000</v>
      </c>
      <c r="D2812" s="29">
        <f>VLOOKUP(A2812,'Database Claims'!$A:$C,2,)</f>
        <v>7076000</v>
      </c>
      <c r="E2812" s="29">
        <f t="shared" si="87"/>
        <v>-623000</v>
      </c>
    </row>
    <row r="2813" spans="1:5" s="59" customFormat="1" x14ac:dyDescent="0.2">
      <c r="A2813" s="28">
        <v>44135</v>
      </c>
      <c r="B2813" s="25">
        <f>VLOOKUP(A2813,'Database Claims'!$A:$C,3,)</f>
        <v>765000</v>
      </c>
      <c r="C2813" s="29">
        <f t="shared" si="86"/>
        <v>-3000</v>
      </c>
      <c r="D2813" s="25">
        <f>VLOOKUP(A2813,'Database Claims'!$A:$C,2,)</f>
        <v>6724000</v>
      </c>
      <c r="E2813" s="29">
        <f t="shared" si="87"/>
        <v>-352000</v>
      </c>
    </row>
    <row r="2814" spans="1:5" s="59" customFormat="1" x14ac:dyDescent="0.2">
      <c r="A2814" s="28">
        <v>44142</v>
      </c>
      <c r="B2814" s="29">
        <f>VLOOKUP(A2814,'Database Claims'!$A:$C,3,)</f>
        <v>728000</v>
      </c>
      <c r="C2814" s="29">
        <f t="shared" si="86"/>
        <v>-37000</v>
      </c>
      <c r="D2814" s="29">
        <f>VLOOKUP(A2814,'Database Claims'!$A:$C,2,)</f>
        <v>6389000</v>
      </c>
      <c r="E2814" s="29">
        <f t="shared" si="87"/>
        <v>-335000</v>
      </c>
    </row>
    <row r="2815" spans="1:5" s="59" customFormat="1" x14ac:dyDescent="0.2">
      <c r="A2815" s="28">
        <v>44149</v>
      </c>
      <c r="B2815" s="25">
        <f>VLOOKUP(A2815,'Database Claims'!$A:$C,3,)</f>
        <v>732000</v>
      </c>
      <c r="C2815" s="29">
        <f t="shared" si="86"/>
        <v>4000</v>
      </c>
      <c r="D2815" s="25">
        <f>VLOOKUP(A2815,'Database Claims'!$A:$C,2,)</f>
        <v>6138000</v>
      </c>
      <c r="E2815" s="29">
        <f t="shared" si="87"/>
        <v>-251000</v>
      </c>
    </row>
    <row r="2816" spans="1:5" s="59" customFormat="1" x14ac:dyDescent="0.2">
      <c r="A2816" s="28">
        <v>44156</v>
      </c>
      <c r="B2816" s="29">
        <f>VLOOKUP(A2816,'Database Claims'!$A:$C,3,)</f>
        <v>762000</v>
      </c>
      <c r="C2816" s="29">
        <f t="shared" si="86"/>
        <v>30000</v>
      </c>
      <c r="D2816" s="29">
        <f>VLOOKUP(A2816,'Database Claims'!$A:$C,2,)</f>
        <v>5606000</v>
      </c>
      <c r="E2816" s="29">
        <f t="shared" si="87"/>
        <v>-532000</v>
      </c>
    </row>
    <row r="2817" spans="1:5" s="59" customFormat="1" x14ac:dyDescent="0.2">
      <c r="A2817" s="28">
        <v>44163</v>
      </c>
      <c r="B2817" s="25">
        <f>VLOOKUP(A2817,'Database Claims'!$A:$C,3,)</f>
        <v>719000</v>
      </c>
      <c r="C2817" s="29">
        <f t="shared" si="86"/>
        <v>-43000</v>
      </c>
      <c r="D2817" s="25">
        <f>VLOOKUP(A2817,'Database Claims'!$A:$C,2,)</f>
        <v>5829000</v>
      </c>
      <c r="E2817" s="29">
        <f t="shared" si="87"/>
        <v>223000</v>
      </c>
    </row>
    <row r="2818" spans="1:5" s="59" customFormat="1" x14ac:dyDescent="0.2">
      <c r="A2818" s="28">
        <v>44170</v>
      </c>
      <c r="B2818" s="29">
        <f>VLOOKUP(A2818,'Database Claims'!$A:$C,3,)</f>
        <v>853000</v>
      </c>
      <c r="C2818" s="29">
        <f t="shared" si="86"/>
        <v>134000</v>
      </c>
      <c r="D2818" s="29">
        <f>VLOOKUP(A2818,'Database Claims'!$A:$C,2,)</f>
        <v>5614000</v>
      </c>
      <c r="E2818" s="29">
        <f t="shared" si="87"/>
        <v>-215000</v>
      </c>
    </row>
    <row r="2819" spans="1:5" s="59" customFormat="1" x14ac:dyDescent="0.2">
      <c r="A2819" s="28">
        <v>44177</v>
      </c>
      <c r="B2819" s="25">
        <f>VLOOKUP(A2819,'Database Claims'!$A:$C,3,)</f>
        <v>873000</v>
      </c>
      <c r="C2819" s="29">
        <f t="shared" si="86"/>
        <v>20000</v>
      </c>
      <c r="D2819" s="25">
        <f>VLOOKUP(A2819,'Database Claims'!$A:$C,2,)</f>
        <v>5433000</v>
      </c>
      <c r="E2819" s="29">
        <f t="shared" si="87"/>
        <v>-181000</v>
      </c>
    </row>
    <row r="2820" spans="1:5" s="59" customFormat="1" x14ac:dyDescent="0.2">
      <c r="A2820" s="28">
        <v>44184</v>
      </c>
      <c r="B2820" s="29">
        <f>VLOOKUP(A2820,'Database Claims'!$A:$C,3,)</f>
        <v>803000</v>
      </c>
      <c r="C2820" s="29">
        <f t="shared" si="86"/>
        <v>-70000</v>
      </c>
      <c r="D2820" s="29">
        <f>VLOOKUP(A2820,'Database Claims'!$A:$C,2,)</f>
        <v>5311000</v>
      </c>
      <c r="E2820" s="29">
        <f t="shared" si="87"/>
        <v>-122000</v>
      </c>
    </row>
    <row r="2821" spans="1:5" s="59" customFormat="1" x14ac:dyDescent="0.2">
      <c r="A2821" s="28">
        <v>44191</v>
      </c>
      <c r="B2821" s="25">
        <f>VLOOKUP(A2821,'Database Claims'!$A:$C,3,)</f>
        <v>763000</v>
      </c>
      <c r="C2821" s="29">
        <f t="shared" si="86"/>
        <v>-40000</v>
      </c>
      <c r="D2821" s="25">
        <f>VLOOKUP(A2821,'Database Claims'!$A:$C,2,)</f>
        <v>5180000</v>
      </c>
      <c r="E2821" s="29">
        <f t="shared" si="87"/>
        <v>-131000</v>
      </c>
    </row>
    <row r="2822" spans="1:5" s="59"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59" customFormat="1" x14ac:dyDescent="0.2">
      <c r="A2823" s="28">
        <v>44205</v>
      </c>
      <c r="B2823" s="25">
        <f>VLOOKUP(A2823,'Database Claims'!$A:$C,3,)</f>
        <v>904000</v>
      </c>
      <c r="C2823" s="29">
        <f t="shared" si="88"/>
        <v>123000</v>
      </c>
      <c r="D2823" s="25">
        <f>VLOOKUP(A2823,'Database Claims'!$A:$C,2,)</f>
        <v>5061000</v>
      </c>
      <c r="E2823" s="29">
        <f t="shared" si="89"/>
        <v>-179000</v>
      </c>
    </row>
    <row r="2824" spans="1:5" s="59" customFormat="1" x14ac:dyDescent="0.2">
      <c r="A2824" s="28">
        <v>44212</v>
      </c>
      <c r="B2824" s="29">
        <f>VLOOKUP(A2824,'Database Claims'!$A:$C,3,)</f>
        <v>886000</v>
      </c>
      <c r="C2824" s="29">
        <f t="shared" si="88"/>
        <v>-18000</v>
      </c>
      <c r="D2824" s="29">
        <f>VLOOKUP(A2824,'Database Claims'!$A:$C,2,)</f>
        <v>4878000</v>
      </c>
      <c r="E2824" s="29">
        <f t="shared" si="89"/>
        <v>-183000</v>
      </c>
    </row>
    <row r="2825" spans="1:5" s="59" customFormat="1" x14ac:dyDescent="0.2">
      <c r="A2825" s="28">
        <v>44219</v>
      </c>
      <c r="B2825" s="25">
        <f>VLOOKUP(A2825,'Database Claims'!$A:$C,3,)</f>
        <v>836000</v>
      </c>
      <c r="C2825" s="29">
        <f t="shared" si="88"/>
        <v>-50000</v>
      </c>
      <c r="D2825" s="25">
        <f>VLOOKUP(A2825,'Database Claims'!$A:$C,2,)</f>
        <v>4791000</v>
      </c>
      <c r="E2825" s="29">
        <f t="shared" si="89"/>
        <v>-87000</v>
      </c>
    </row>
    <row r="2826" spans="1:5" s="59" customFormat="1" x14ac:dyDescent="0.2">
      <c r="A2826" s="28">
        <v>44226</v>
      </c>
      <c r="B2826" s="29">
        <f>VLOOKUP(A2826,'Database Claims'!$A:$C,3,)</f>
        <v>837000</v>
      </c>
      <c r="C2826" s="29">
        <f t="shared" si="88"/>
        <v>1000</v>
      </c>
      <c r="D2826" s="29">
        <f>VLOOKUP(A2826,'Database Claims'!$A:$C,2,)</f>
        <v>4655000</v>
      </c>
      <c r="E2826" s="29">
        <f t="shared" si="89"/>
        <v>-136000</v>
      </c>
    </row>
    <row r="2827" spans="1:5" s="59" customFormat="1" x14ac:dyDescent="0.2">
      <c r="A2827" s="28">
        <v>44233</v>
      </c>
      <c r="B2827" s="25">
        <f>VLOOKUP(A2827,'Database Claims'!$A:$C,3,)</f>
        <v>863000</v>
      </c>
      <c r="C2827" s="29">
        <f t="shared" si="88"/>
        <v>26000</v>
      </c>
      <c r="D2827" s="25">
        <f>VLOOKUP(A2827,'Database Claims'!$A:$C,2,)</f>
        <v>4592000</v>
      </c>
      <c r="E2827" s="29">
        <f t="shared" si="89"/>
        <v>-63000</v>
      </c>
    </row>
    <row r="2828" spans="1:5" s="59" customFormat="1" x14ac:dyDescent="0.2">
      <c r="A2828" s="28">
        <v>44240</v>
      </c>
      <c r="B2828" s="29">
        <f>VLOOKUP(A2828,'Database Claims'!$A:$C,3,)</f>
        <v>847000</v>
      </c>
      <c r="C2828" s="29">
        <f t="shared" si="88"/>
        <v>-16000</v>
      </c>
      <c r="D2828" s="29">
        <f>VLOOKUP(A2828,'Database Claims'!$A:$C,2,)</f>
        <v>4469000</v>
      </c>
      <c r="E2828" s="29">
        <f t="shared" si="89"/>
        <v>-123000</v>
      </c>
    </row>
    <row r="2829" spans="1:5" s="59" customFormat="1" x14ac:dyDescent="0.2">
      <c r="A2829" s="28">
        <v>44247</v>
      </c>
      <c r="B2829" s="25">
        <f>VLOOKUP(A2829,'Database Claims'!$A:$C,3,)</f>
        <v>747000</v>
      </c>
      <c r="C2829" s="29">
        <f t="shared" si="88"/>
        <v>-100000</v>
      </c>
      <c r="D2829" s="25">
        <f>VLOOKUP(A2829,'Database Claims'!$A:$C,2,)</f>
        <v>4383000</v>
      </c>
      <c r="E2829" s="29">
        <f t="shared" si="89"/>
        <v>-86000</v>
      </c>
    </row>
    <row r="2830" spans="1:5" s="59" customFormat="1" x14ac:dyDescent="0.2">
      <c r="A2830" s="28">
        <v>44254</v>
      </c>
      <c r="B2830" s="29">
        <f>VLOOKUP(A2830,'Database Claims'!$A:$C,3,)</f>
        <v>761000</v>
      </c>
      <c r="C2830" s="29">
        <f t="shared" si="88"/>
        <v>14000</v>
      </c>
      <c r="D2830" s="29">
        <f>VLOOKUP(A2830,'Database Claims'!$A:$C,2,)</f>
        <v>4157000</v>
      </c>
      <c r="E2830" s="29">
        <f t="shared" si="89"/>
        <v>-226000</v>
      </c>
    </row>
    <row r="2831" spans="1:5" s="59" customFormat="1" x14ac:dyDescent="0.2">
      <c r="A2831" s="28">
        <v>44261</v>
      </c>
      <c r="B2831" s="25">
        <f>VLOOKUP(A2831,'Database Claims'!$A:$C,3,)</f>
        <v>734000</v>
      </c>
      <c r="C2831" s="29">
        <f t="shared" si="88"/>
        <v>-27000</v>
      </c>
      <c r="D2831" s="25">
        <f>VLOOKUP(A2831,'Database Claims'!$A:$C,2,)</f>
        <v>4123000</v>
      </c>
      <c r="E2831" s="29">
        <f t="shared" si="89"/>
        <v>-34000</v>
      </c>
    </row>
    <row r="2832" spans="1:5" s="59" customFormat="1" x14ac:dyDescent="0.2">
      <c r="A2832" s="28">
        <v>44268</v>
      </c>
      <c r="B2832" s="29">
        <f>VLOOKUP(A2832,'Database Claims'!$A:$C,3,)</f>
        <v>765000</v>
      </c>
      <c r="C2832" s="29">
        <f t="shared" si="88"/>
        <v>31000</v>
      </c>
      <c r="D2832" s="29">
        <f>VLOOKUP(A2832,'Database Claims'!$A:$C,2,)</f>
        <v>3841000</v>
      </c>
      <c r="E2832" s="29">
        <f t="shared" si="89"/>
        <v>-282000</v>
      </c>
    </row>
    <row r="2833" spans="1:5" s="59" customFormat="1" x14ac:dyDescent="0.2">
      <c r="A2833" s="28">
        <v>44275</v>
      </c>
      <c r="B2833" s="25">
        <f>VLOOKUP(A2833,'Database Claims'!$A:$C,3,)</f>
        <v>658000</v>
      </c>
      <c r="C2833" s="29">
        <f t="shared" si="88"/>
        <v>-107000</v>
      </c>
      <c r="D2833" s="25">
        <f>VLOOKUP(A2833,'Database Claims'!$A:$C,2,)</f>
        <v>3753000</v>
      </c>
      <c r="E2833" s="29">
        <f t="shared" si="89"/>
        <v>-88000</v>
      </c>
    </row>
    <row r="2834" spans="1:5" s="59" customFormat="1" x14ac:dyDescent="0.2">
      <c r="A2834" s="28">
        <v>44282</v>
      </c>
      <c r="B2834" s="29">
        <f>VLOOKUP(A2834,'Database Claims'!$A:$C,3,)</f>
        <v>729000</v>
      </c>
      <c r="C2834" s="29">
        <f t="shared" si="88"/>
        <v>71000</v>
      </c>
      <c r="D2834" s="29">
        <f>VLOOKUP(A2834,'Database Claims'!$A:$C,2,)</f>
        <v>3717000</v>
      </c>
      <c r="E2834" s="29">
        <f t="shared" si="89"/>
        <v>-36000</v>
      </c>
    </row>
    <row r="2835" spans="1:5" s="59" customFormat="1" x14ac:dyDescent="0.2">
      <c r="A2835" s="28">
        <v>44289</v>
      </c>
      <c r="B2835" s="25">
        <f>VLOOKUP(A2835,'Database Claims'!$A:$C,3,)</f>
        <v>742000</v>
      </c>
      <c r="C2835" s="29">
        <f t="shared" si="88"/>
        <v>13000</v>
      </c>
      <c r="D2835" s="25">
        <f>VLOOKUP(A2835,'Database Claims'!$A:$C,2,)</f>
        <v>3708000</v>
      </c>
      <c r="E2835" s="29">
        <f t="shared" si="89"/>
        <v>-9000</v>
      </c>
    </row>
    <row r="2836" spans="1:5" s="59" customFormat="1" x14ac:dyDescent="0.2">
      <c r="A2836" s="28">
        <v>44296</v>
      </c>
      <c r="B2836" s="29">
        <f>VLOOKUP(A2836,'Database Claims'!$A:$C,3,)</f>
        <v>586000</v>
      </c>
      <c r="C2836" s="29">
        <f t="shared" si="88"/>
        <v>-156000</v>
      </c>
      <c r="D2836" s="29">
        <f>VLOOKUP(A2836,'Database Claims'!$A:$C,2,)</f>
        <v>3652000</v>
      </c>
      <c r="E2836" s="29">
        <f t="shared" si="89"/>
        <v>-56000</v>
      </c>
    </row>
    <row r="2837" spans="1:5" s="59" customFormat="1" x14ac:dyDescent="0.2">
      <c r="A2837" s="28">
        <v>44303</v>
      </c>
      <c r="B2837" s="25">
        <f>VLOOKUP(A2837,'Database Claims'!$A:$C,3,)</f>
        <v>566000</v>
      </c>
      <c r="C2837" s="29">
        <f t="shared" si="88"/>
        <v>-20000</v>
      </c>
      <c r="D2837" s="25">
        <f>VLOOKUP(A2837,'Database Claims'!$A:$C,2,)</f>
        <v>3653000</v>
      </c>
      <c r="E2837" s="29">
        <f t="shared" si="89"/>
        <v>1000</v>
      </c>
    </row>
    <row r="2838" spans="1:5" s="59" customFormat="1" x14ac:dyDescent="0.2">
      <c r="A2838" s="28">
        <v>44310</v>
      </c>
      <c r="B2838" s="29">
        <f>VLOOKUP(A2838,'Database Claims'!$A:$C,3,)</f>
        <v>590000</v>
      </c>
      <c r="C2838" s="29">
        <f t="shared" si="88"/>
        <v>24000</v>
      </c>
      <c r="D2838" s="29">
        <f>VLOOKUP(A2838,'Database Claims'!$A:$C,2,)</f>
        <v>3680000</v>
      </c>
      <c r="E2838" s="29">
        <f t="shared" si="89"/>
        <v>27000</v>
      </c>
    </row>
    <row r="2839" spans="1:5" s="59" customFormat="1" x14ac:dyDescent="0.2">
      <c r="A2839" s="28">
        <v>44317</v>
      </c>
      <c r="B2839" s="25">
        <f>VLOOKUP(A2839,'Database Claims'!$A:$C,3,)</f>
        <v>507000</v>
      </c>
      <c r="C2839" s="29">
        <f t="shared" si="88"/>
        <v>-83000</v>
      </c>
      <c r="D2839" s="25">
        <f>VLOOKUP(A2839,'Database Claims'!$A:$C,2,)</f>
        <v>3640000</v>
      </c>
      <c r="E2839" s="29">
        <f t="shared" si="89"/>
        <v>-40000</v>
      </c>
    </row>
    <row r="2840" spans="1:5" s="59" customFormat="1" x14ac:dyDescent="0.2">
      <c r="A2840" s="28">
        <v>44324</v>
      </c>
      <c r="B2840" s="29">
        <f>VLOOKUP(A2840,'Database Claims'!$A:$C,3,)</f>
        <v>478000</v>
      </c>
      <c r="C2840" s="29">
        <f t="shared" si="88"/>
        <v>-29000</v>
      </c>
      <c r="D2840" s="29">
        <f>VLOOKUP(A2840,'Database Claims'!$A:$C,2,)</f>
        <v>3738000</v>
      </c>
      <c r="E2840" s="29">
        <f t="shared" si="89"/>
        <v>98000</v>
      </c>
    </row>
    <row r="2841" spans="1:5" s="59" customFormat="1" x14ac:dyDescent="0.2">
      <c r="A2841" s="28">
        <v>44331</v>
      </c>
      <c r="B2841" s="25">
        <f>VLOOKUP(A2841,'Database Claims'!$A:$C,3,)</f>
        <v>444000</v>
      </c>
      <c r="C2841" s="29">
        <f t="shared" si="88"/>
        <v>-34000</v>
      </c>
      <c r="D2841" s="25">
        <f>VLOOKUP(A2841,'Database Claims'!$A:$C,2,)</f>
        <v>3611000</v>
      </c>
      <c r="E2841" s="29">
        <f t="shared" si="89"/>
        <v>-127000</v>
      </c>
    </row>
    <row r="2842" spans="1:5" s="59" customFormat="1" x14ac:dyDescent="0.2">
      <c r="A2842" s="28">
        <v>44338</v>
      </c>
      <c r="B2842" s="29">
        <f>VLOOKUP(A2842,'Database Claims'!$A:$C,3,)</f>
        <v>405000</v>
      </c>
      <c r="C2842" s="29">
        <f t="shared" si="88"/>
        <v>-39000</v>
      </c>
      <c r="D2842" s="29">
        <f>VLOOKUP(A2842,'Database Claims'!$A:$C,2,)</f>
        <v>3769000</v>
      </c>
      <c r="E2842" s="29">
        <f t="shared" si="89"/>
        <v>158000</v>
      </c>
    </row>
    <row r="2843" spans="1:5" s="59" customFormat="1" x14ac:dyDescent="0.2">
      <c r="A2843" s="28">
        <v>44345</v>
      </c>
      <c r="B2843" s="25">
        <f>VLOOKUP(A2843,'Database Claims'!$A:$C,3,)</f>
        <v>388000</v>
      </c>
      <c r="C2843" s="29">
        <f t="shared" si="88"/>
        <v>-17000</v>
      </c>
      <c r="D2843" s="25">
        <f>VLOOKUP(A2843,'Database Claims'!$A:$C,2,)</f>
        <v>3517000</v>
      </c>
      <c r="E2843" s="29">
        <f t="shared" si="89"/>
        <v>-252000</v>
      </c>
    </row>
    <row r="2844" spans="1:5" s="59" customFormat="1" x14ac:dyDescent="0.2">
      <c r="A2844" s="28">
        <v>44352</v>
      </c>
      <c r="B2844" s="29">
        <f>VLOOKUP(A2844,'Database Claims'!$A:$C,3,)</f>
        <v>374000</v>
      </c>
      <c r="C2844" s="29">
        <f t="shared" si="88"/>
        <v>-14000</v>
      </c>
      <c r="D2844" s="29">
        <f>VLOOKUP(A2844,'Database Claims'!$A:$C,2,)</f>
        <v>3528000</v>
      </c>
      <c r="E2844" s="29">
        <f t="shared" si="89"/>
        <v>11000</v>
      </c>
    </row>
    <row r="2845" spans="1:5" s="59" customFormat="1" x14ac:dyDescent="0.2">
      <c r="A2845" s="28">
        <v>44359</v>
      </c>
      <c r="B2845" s="25">
        <f>VLOOKUP(A2845,'Database Claims'!$A:$C,3,)</f>
        <v>418000</v>
      </c>
      <c r="C2845" s="29">
        <f t="shared" si="88"/>
        <v>44000</v>
      </c>
      <c r="D2845" s="25">
        <f>VLOOKUP(A2845,'Database Claims'!$A:$C,2,)</f>
        <v>3412000</v>
      </c>
      <c r="E2845" s="29">
        <f t="shared" si="89"/>
        <v>-116000</v>
      </c>
    </row>
    <row r="2846" spans="1:5" s="59" customFormat="1" x14ac:dyDescent="0.2">
      <c r="A2846" s="28">
        <v>44366</v>
      </c>
      <c r="B2846" s="29">
        <f>VLOOKUP(A2846,'Database Claims'!$A:$C,3,)</f>
        <v>416000</v>
      </c>
      <c r="C2846" s="29">
        <f t="shared" si="88"/>
        <v>-2000</v>
      </c>
      <c r="D2846" s="29">
        <f>VLOOKUP(A2846,'Database Claims'!$A:$C,2,)</f>
        <v>3484000</v>
      </c>
      <c r="E2846" s="29">
        <f t="shared" si="89"/>
        <v>72000</v>
      </c>
    </row>
    <row r="2847" spans="1:5" s="59" customFormat="1" x14ac:dyDescent="0.2">
      <c r="A2847" s="28">
        <v>44373</v>
      </c>
      <c r="B2847" s="25">
        <f>VLOOKUP(A2847,'Database Claims'!$A:$C,3,)</f>
        <v>368000</v>
      </c>
      <c r="C2847" s="29">
        <f t="shared" si="88"/>
        <v>-48000</v>
      </c>
      <c r="D2847" s="25">
        <f>VLOOKUP(A2847,'Database Claims'!$A:$C,2,)</f>
        <v>3367000</v>
      </c>
      <c r="E2847" s="29">
        <f t="shared" si="89"/>
        <v>-117000</v>
      </c>
    </row>
    <row r="2848" spans="1:5" s="59" customFormat="1" x14ac:dyDescent="0.2">
      <c r="A2848" s="28">
        <v>44380</v>
      </c>
      <c r="B2848" s="29">
        <f>VLOOKUP(A2848,'Database Claims'!$A:$C,3,)</f>
        <v>386000</v>
      </c>
      <c r="C2848" s="29">
        <f t="shared" si="88"/>
        <v>18000</v>
      </c>
      <c r="D2848" s="29">
        <f>VLOOKUP(A2848,'Database Claims'!$A:$C,2,)</f>
        <v>3265000</v>
      </c>
      <c r="E2848" s="29">
        <f t="shared" si="89"/>
        <v>-102000</v>
      </c>
    </row>
    <row r="2849" spans="1:5" s="59" customFormat="1" x14ac:dyDescent="0.2">
      <c r="A2849" s="28">
        <v>44387</v>
      </c>
      <c r="B2849" s="25">
        <f>VLOOKUP(A2849,'Database Claims'!$A:$C,3,)</f>
        <v>368000</v>
      </c>
      <c r="C2849" s="29">
        <f t="shared" si="88"/>
        <v>-18000</v>
      </c>
      <c r="D2849" s="25">
        <f>VLOOKUP(A2849,'Database Claims'!$A:$C,2,)</f>
        <v>3262000</v>
      </c>
      <c r="E2849" s="29">
        <f t="shared" si="89"/>
        <v>-3000</v>
      </c>
    </row>
    <row r="2850" spans="1:5" s="59" customFormat="1" x14ac:dyDescent="0.2">
      <c r="A2850" s="28">
        <v>44394</v>
      </c>
      <c r="B2850" s="29">
        <f>VLOOKUP(A2850,'Database Claims'!$A:$C,3,)</f>
        <v>424000</v>
      </c>
      <c r="C2850" s="29">
        <f t="shared" si="88"/>
        <v>56000</v>
      </c>
      <c r="D2850" s="29">
        <f>VLOOKUP(A2850,'Database Claims'!$A:$C,2,)</f>
        <v>3296000</v>
      </c>
      <c r="E2850" s="29">
        <f t="shared" si="89"/>
        <v>34000</v>
      </c>
    </row>
    <row r="2851" spans="1:5" s="59" customFormat="1" x14ac:dyDescent="0.2">
      <c r="A2851" s="28">
        <v>44401</v>
      </c>
      <c r="B2851" s="25">
        <f>VLOOKUP(A2851,'Database Claims'!$A:$C,3,)</f>
        <v>399000</v>
      </c>
      <c r="C2851" s="29">
        <f t="shared" si="88"/>
        <v>-25000</v>
      </c>
      <c r="D2851" s="25">
        <f>VLOOKUP(A2851,'Database Claims'!$A:$C,2,)</f>
        <v>2980000</v>
      </c>
      <c r="E2851" s="29">
        <f t="shared" si="89"/>
        <v>-316000</v>
      </c>
    </row>
    <row r="2852" spans="1:5" s="59" customFormat="1" x14ac:dyDescent="0.2">
      <c r="A2852" s="28">
        <v>44408</v>
      </c>
      <c r="B2852" s="29">
        <f>VLOOKUP(A2852,'Database Claims'!$A:$C,3,)</f>
        <v>387000</v>
      </c>
      <c r="C2852" s="29">
        <f t="shared" si="88"/>
        <v>-12000</v>
      </c>
      <c r="D2852" s="29">
        <f>VLOOKUP(A2852,'Database Claims'!$A:$C,2,)</f>
        <v>2899000</v>
      </c>
      <c r="E2852" s="29">
        <f t="shared" si="89"/>
        <v>-81000</v>
      </c>
    </row>
    <row r="2853" spans="1:5" s="59" customFormat="1" x14ac:dyDescent="0.2">
      <c r="A2853" s="28">
        <v>44415</v>
      </c>
      <c r="B2853" s="25">
        <f>VLOOKUP(A2853,'Database Claims'!$A:$C,3,)</f>
        <v>377000</v>
      </c>
      <c r="C2853" s="29">
        <f t="shared" si="88"/>
        <v>-10000</v>
      </c>
      <c r="D2853" s="25">
        <f>VLOOKUP(A2853,'Database Claims'!$A:$C,2,)</f>
        <v>2865000</v>
      </c>
      <c r="E2853" s="29">
        <f t="shared" si="89"/>
        <v>-34000</v>
      </c>
    </row>
    <row r="2854" spans="1:5" s="59" customFormat="1" x14ac:dyDescent="0.2">
      <c r="A2854" s="28">
        <v>44422</v>
      </c>
      <c r="B2854" s="29">
        <f>VLOOKUP(A2854,'Database Claims'!$A:$C,3,)</f>
        <v>349000</v>
      </c>
      <c r="C2854" s="29">
        <f t="shared" si="88"/>
        <v>-28000</v>
      </c>
      <c r="D2854" s="29">
        <f>VLOOKUP(A2854,'Database Claims'!$A:$C,2,)</f>
        <v>2908000</v>
      </c>
      <c r="E2854" s="29">
        <f t="shared" si="89"/>
        <v>43000</v>
      </c>
    </row>
    <row r="2855" spans="1:5" s="59" customFormat="1" x14ac:dyDescent="0.2">
      <c r="A2855" s="28">
        <v>44429</v>
      </c>
      <c r="B2855" s="25">
        <f>VLOOKUP(A2855,'Database Claims'!$A:$C,3,)</f>
        <v>354000</v>
      </c>
      <c r="C2855" s="29">
        <f t="shared" si="88"/>
        <v>5000</v>
      </c>
      <c r="D2855" s="25">
        <f>VLOOKUP(A2855,'Database Claims'!$A:$C,2,)</f>
        <v>2805000</v>
      </c>
      <c r="E2855" s="29">
        <f t="shared" si="89"/>
        <v>-103000</v>
      </c>
    </row>
    <row r="2856" spans="1:5" s="59" customFormat="1" x14ac:dyDescent="0.2">
      <c r="A2856" s="28">
        <v>44436</v>
      </c>
      <c r="B2856" s="29">
        <f>VLOOKUP(A2856,'Database Claims'!$A:$C,3,)</f>
        <v>345000</v>
      </c>
      <c r="C2856" s="29">
        <f t="shared" si="88"/>
        <v>-9000</v>
      </c>
      <c r="D2856" s="29">
        <f>VLOOKUP(A2856,'Database Claims'!$A:$C,2,)</f>
        <v>2852000</v>
      </c>
      <c r="E2856" s="29">
        <f t="shared" si="89"/>
        <v>47000</v>
      </c>
    </row>
    <row r="2857" spans="1:5" s="59" customFormat="1" x14ac:dyDescent="0.2">
      <c r="A2857" s="28">
        <v>44443</v>
      </c>
      <c r="B2857" s="25">
        <f>VLOOKUP(A2857,'Database Claims'!$A:$C,3,)</f>
        <v>312000</v>
      </c>
      <c r="C2857" s="29">
        <f t="shared" si="88"/>
        <v>-33000</v>
      </c>
      <c r="D2857" s="25">
        <f>VLOOKUP(A2857,'Database Claims'!$A:$C,2,)</f>
        <v>2715000</v>
      </c>
      <c r="E2857" s="29">
        <f t="shared" si="89"/>
        <v>-137000</v>
      </c>
    </row>
    <row r="2858" spans="1:5" s="59" customFormat="1" x14ac:dyDescent="0.2">
      <c r="A2858" s="28">
        <v>44450</v>
      </c>
      <c r="B2858" s="29">
        <f>VLOOKUP(A2858,'Database Claims'!$A:$C,3,)</f>
        <v>335000</v>
      </c>
      <c r="C2858" s="29">
        <f t="shared" si="88"/>
        <v>23000</v>
      </c>
      <c r="D2858" s="29">
        <f>VLOOKUP(A2858,'Database Claims'!$A:$C,2,)</f>
        <v>2820000</v>
      </c>
      <c r="E2858" s="29">
        <f t="shared" si="89"/>
        <v>105000</v>
      </c>
    </row>
    <row r="2859" spans="1:5" s="59" customFormat="1" x14ac:dyDescent="0.2">
      <c r="A2859" s="28">
        <v>44457</v>
      </c>
      <c r="B2859" s="29">
        <f>VLOOKUP(A2859,'Database Claims'!$A:$C,3,)</f>
        <v>351000</v>
      </c>
      <c r="C2859" s="29">
        <f t="shared" si="88"/>
        <v>16000</v>
      </c>
      <c r="D2859" s="29">
        <f>VLOOKUP(A2859,'Database Claims'!$A:$C,2,)</f>
        <v>2811000</v>
      </c>
      <c r="E2859" s="29">
        <f t="shared" si="89"/>
        <v>-9000</v>
      </c>
    </row>
    <row r="2860" spans="1:5" s="59" customFormat="1" x14ac:dyDescent="0.2">
      <c r="A2860" s="28">
        <v>44464</v>
      </c>
      <c r="B2860" s="29">
        <f>VLOOKUP(A2860,'Database Claims'!$A:$C,3,)</f>
        <v>364000</v>
      </c>
      <c r="C2860" s="29">
        <f t="shared" si="88"/>
        <v>13000</v>
      </c>
      <c r="D2860" s="29">
        <f>VLOOKUP(A2860,'Database Claims'!$A:$C,2,)</f>
        <v>2727000</v>
      </c>
      <c r="E2860" s="29">
        <f t="shared" si="89"/>
        <v>-84000</v>
      </c>
    </row>
    <row r="2861" spans="1:5" s="59" customFormat="1" x14ac:dyDescent="0.2">
      <c r="A2861" s="28">
        <v>44471</v>
      </c>
      <c r="B2861" s="25">
        <f>VLOOKUP(A2861,'Database Claims'!$A:$C,3,)</f>
        <v>329000</v>
      </c>
      <c r="C2861" s="29">
        <f t="shared" si="88"/>
        <v>-35000</v>
      </c>
      <c r="D2861" s="25">
        <f>VLOOKUP(A2861,'Database Claims'!$A:$C,2,)</f>
        <v>2603000</v>
      </c>
      <c r="E2861" s="29">
        <f t="shared" si="89"/>
        <v>-124000</v>
      </c>
    </row>
    <row r="2862" spans="1:5" s="59" customFormat="1" x14ac:dyDescent="0.2">
      <c r="A2862" s="28">
        <v>44478</v>
      </c>
      <c r="B2862" s="29">
        <f>VLOOKUP(A2862,'Database Claims'!$A:$C,3,)</f>
        <v>296000</v>
      </c>
      <c r="C2862" s="29">
        <f t="shared" si="88"/>
        <v>-33000</v>
      </c>
      <c r="D2862" s="29">
        <f>VLOOKUP(A2862,'Database Claims'!$A:$C,2,)</f>
        <v>2480000</v>
      </c>
      <c r="E2862" s="29">
        <f t="shared" si="89"/>
        <v>-123000</v>
      </c>
    </row>
    <row r="2863" spans="1:5" s="59" customFormat="1" x14ac:dyDescent="0.2">
      <c r="A2863" s="28">
        <v>44485</v>
      </c>
      <c r="B2863" s="25">
        <f>VLOOKUP(A2863,'Database Claims'!$A:$C,3,)</f>
        <v>291000</v>
      </c>
      <c r="C2863" s="29">
        <f t="shared" si="88"/>
        <v>-5000</v>
      </c>
      <c r="D2863" s="25">
        <f>VLOOKUP(A2863,'Database Claims'!$A:$C,2,)</f>
        <v>2239000</v>
      </c>
      <c r="E2863" s="29">
        <f t="shared" si="89"/>
        <v>-241000</v>
      </c>
    </row>
    <row r="2864" spans="1:5" s="59" customFormat="1" x14ac:dyDescent="0.2">
      <c r="A2864" s="28">
        <v>44492</v>
      </c>
      <c r="B2864" s="29">
        <f>VLOOKUP(A2864,'Database Claims'!$A:$C,3,)</f>
        <v>283000</v>
      </c>
      <c r="C2864" s="29">
        <f t="shared" si="88"/>
        <v>-8000</v>
      </c>
      <c r="D2864" s="29">
        <f>VLOOKUP(A2864,'Database Claims'!$A:$C,2,)</f>
        <v>2101000</v>
      </c>
      <c r="E2864" s="29">
        <f t="shared" si="89"/>
        <v>-138000</v>
      </c>
    </row>
    <row r="2865" spans="1:5" s="59" customFormat="1" x14ac:dyDescent="0.2">
      <c r="A2865" s="28">
        <v>44499</v>
      </c>
      <c r="B2865" s="25">
        <f>VLOOKUP(A2865,'Database Claims'!$A:$C,3,)</f>
        <v>271000</v>
      </c>
      <c r="C2865" s="29">
        <f t="shared" si="88"/>
        <v>-12000</v>
      </c>
      <c r="D2865" s="25">
        <f>VLOOKUP(A2865,'Database Claims'!$A:$C,2,)</f>
        <v>2209000</v>
      </c>
      <c r="E2865" s="29">
        <f t="shared" si="89"/>
        <v>108000</v>
      </c>
    </row>
    <row r="2866" spans="1:5" s="59" customFormat="1" x14ac:dyDescent="0.2">
      <c r="A2866" s="28">
        <v>44506</v>
      </c>
      <c r="B2866" s="29">
        <f>VLOOKUP(A2866,'Database Claims'!$A:$C,3,)</f>
        <v>269000</v>
      </c>
      <c r="C2866" s="29">
        <f t="shared" si="88"/>
        <v>-2000</v>
      </c>
      <c r="D2866" s="29">
        <f>VLOOKUP(A2866,'Database Claims'!$A:$C,2,)</f>
        <v>2109000</v>
      </c>
      <c r="E2866" s="29">
        <f t="shared" si="89"/>
        <v>-100000</v>
      </c>
    </row>
    <row r="2867" spans="1:5" s="59" customFormat="1" x14ac:dyDescent="0.2">
      <c r="A2867" s="28">
        <v>44513</v>
      </c>
      <c r="B2867" s="25">
        <f>VLOOKUP(A2867,'Database Claims'!$A:$C,3,)</f>
        <v>270000</v>
      </c>
      <c r="C2867" s="29">
        <f t="shared" si="88"/>
        <v>1000</v>
      </c>
      <c r="D2867" s="25">
        <f>VLOOKUP(A2867,'Database Claims'!$A:$C,2,)</f>
        <v>2055000</v>
      </c>
      <c r="E2867" s="29">
        <f t="shared" si="89"/>
        <v>-54000</v>
      </c>
    </row>
    <row r="2868" spans="1:5" s="59" customFormat="1" x14ac:dyDescent="0.2">
      <c r="A2868" s="28">
        <v>44520</v>
      </c>
      <c r="B2868" s="29">
        <f>VLOOKUP(A2868,'Database Claims'!$A:$C,3,)</f>
        <v>194000</v>
      </c>
      <c r="C2868" s="29">
        <f t="shared" si="88"/>
        <v>-76000</v>
      </c>
      <c r="D2868" s="29">
        <f>VLOOKUP(A2868,'Database Claims'!$A:$C,2,)</f>
        <v>1954000</v>
      </c>
      <c r="E2868" s="29">
        <f t="shared" si="89"/>
        <v>-101000</v>
      </c>
    </row>
    <row r="2869" spans="1:5" s="59" customFormat="1" x14ac:dyDescent="0.2">
      <c r="A2869" s="28">
        <v>44527</v>
      </c>
      <c r="B2869" s="29">
        <f>VLOOKUP(A2869,'Database Claims'!$A:$C,3,)</f>
        <v>227000</v>
      </c>
      <c r="C2869" s="29">
        <f t="shared" si="88"/>
        <v>33000</v>
      </c>
      <c r="D2869" s="29">
        <f>VLOOKUP(A2869,'Database Claims'!$A:$C,2,)</f>
        <v>1999000</v>
      </c>
      <c r="E2869" s="29">
        <f t="shared" si="89"/>
        <v>45000</v>
      </c>
    </row>
    <row r="2870" spans="1:5" s="59" customFormat="1" x14ac:dyDescent="0.2">
      <c r="A2870" s="28">
        <v>44534</v>
      </c>
      <c r="B2870" s="25">
        <f>VLOOKUP(A2870,'Database Claims'!$A:$C,3,)</f>
        <v>188000</v>
      </c>
      <c r="C2870" s="29">
        <f t="shared" si="88"/>
        <v>-39000</v>
      </c>
      <c r="D2870" s="25">
        <f>VLOOKUP(A2870,'Database Claims'!$A:$C,2,)</f>
        <v>1845000</v>
      </c>
      <c r="E2870" s="29">
        <f t="shared" si="89"/>
        <v>-154000</v>
      </c>
    </row>
    <row r="2871" spans="1:5" s="59" customFormat="1" x14ac:dyDescent="0.2">
      <c r="A2871" s="28">
        <v>44541</v>
      </c>
      <c r="B2871" s="29">
        <f>VLOOKUP(A2871,'Database Claims'!$A:$C,3,)</f>
        <v>206000</v>
      </c>
      <c r="C2871" s="29">
        <f t="shared" si="88"/>
        <v>18000</v>
      </c>
      <c r="D2871" s="29">
        <f>VLOOKUP(A2871,'Database Claims'!$A:$C,2,)</f>
        <v>1856000</v>
      </c>
      <c r="E2871" s="29">
        <f t="shared" si="89"/>
        <v>11000</v>
      </c>
    </row>
    <row r="2872" spans="1:5" s="59" customFormat="1" x14ac:dyDescent="0.2">
      <c r="A2872" s="28">
        <v>44548</v>
      </c>
      <c r="B2872" s="29">
        <f>VLOOKUP(A2872,'Database Claims'!$A:$C,3,)</f>
        <v>206000</v>
      </c>
      <c r="C2872" s="29">
        <f t="shared" si="88"/>
        <v>0</v>
      </c>
      <c r="D2872" s="29">
        <f>VLOOKUP(A2872,'Database Claims'!$A:$C,2,)</f>
        <v>1718000</v>
      </c>
      <c r="E2872" s="29">
        <f t="shared" si="89"/>
        <v>-138000</v>
      </c>
    </row>
    <row r="2873" spans="1:5" s="59" customFormat="1" x14ac:dyDescent="0.2">
      <c r="A2873" s="28">
        <v>44555</v>
      </c>
      <c r="B2873" s="29">
        <f>VLOOKUP(A2873,'Database Claims'!$A:$C,3,)</f>
        <v>200000</v>
      </c>
      <c r="C2873" s="29">
        <f t="shared" si="88"/>
        <v>-6000</v>
      </c>
      <c r="D2873" s="29">
        <f>VLOOKUP(A2873,'Database Claims'!$A:$C,2,)</f>
        <v>1753000</v>
      </c>
      <c r="E2873" s="29">
        <f t="shared" si="89"/>
        <v>35000</v>
      </c>
    </row>
    <row r="2874" spans="1:5" s="59" customFormat="1" x14ac:dyDescent="0.2">
      <c r="A2874" s="28">
        <v>44562</v>
      </c>
      <c r="B2874" s="29">
        <f>VLOOKUP(A2874,'Database Claims'!$A:$C,3,)</f>
        <v>207000</v>
      </c>
      <c r="C2874" s="29">
        <f t="shared" si="88"/>
        <v>7000</v>
      </c>
      <c r="D2874" s="29">
        <f>VLOOKUP(A2874,'Database Claims'!$A:$C,2,)</f>
        <v>1551000</v>
      </c>
      <c r="E2874" s="29">
        <f t="shared" si="89"/>
        <v>-202000</v>
      </c>
    </row>
    <row r="2875" spans="1:5" s="59" customFormat="1" x14ac:dyDescent="0.2">
      <c r="A2875" s="28">
        <v>44569</v>
      </c>
      <c r="B2875" s="29">
        <f>VLOOKUP(A2875,'Database Claims'!$A:$C,3,)</f>
        <v>231000</v>
      </c>
      <c r="C2875" s="29">
        <f t="shared" si="88"/>
        <v>24000</v>
      </c>
      <c r="D2875" s="29">
        <f>VLOOKUP(A2875,'Database Claims'!$A:$C,2,)</f>
        <v>1635000</v>
      </c>
      <c r="E2875" s="29">
        <f t="shared" si="89"/>
        <v>84000</v>
      </c>
    </row>
    <row r="2876" spans="1:5" s="59" customFormat="1" x14ac:dyDescent="0.2">
      <c r="A2876" s="28">
        <v>44576</v>
      </c>
      <c r="B2876" s="29">
        <f>VLOOKUP(A2876,'Database Claims'!$A:$C,3,)</f>
        <v>286000</v>
      </c>
      <c r="C2876" s="29">
        <f t="shared" si="88"/>
        <v>55000</v>
      </c>
      <c r="D2876" s="29">
        <f>VLOOKUP(A2876,'Database Claims'!$A:$C,2,)</f>
        <v>1672000</v>
      </c>
      <c r="E2876" s="29">
        <f t="shared" si="89"/>
        <v>37000</v>
      </c>
    </row>
    <row r="2877" spans="1:5" s="59" customFormat="1" x14ac:dyDescent="0.2">
      <c r="A2877" s="28">
        <v>44583</v>
      </c>
      <c r="B2877" s="29">
        <f>VLOOKUP(A2877,'Database Claims'!$A:$C,3,)</f>
        <v>261000</v>
      </c>
      <c r="C2877" s="29">
        <f t="shared" si="88"/>
        <v>-25000</v>
      </c>
      <c r="D2877" s="29">
        <f>VLOOKUP(A2877,'Database Claims'!$A:$C,2,)</f>
        <v>1628000</v>
      </c>
      <c r="E2877" s="29">
        <f t="shared" si="89"/>
        <v>-44000</v>
      </c>
    </row>
    <row r="2878" spans="1:5" s="59" customFormat="1" x14ac:dyDescent="0.2">
      <c r="A2878" s="28">
        <v>44590</v>
      </c>
      <c r="B2878" s="29">
        <f>VLOOKUP(A2878,'Database Claims'!$A:$C,3,)</f>
        <v>238000</v>
      </c>
      <c r="C2878" s="29">
        <f t="shared" si="88"/>
        <v>-23000</v>
      </c>
      <c r="D2878" s="29">
        <f>VLOOKUP(A2878,'Database Claims'!$A:$C,2,)</f>
        <v>1621000</v>
      </c>
      <c r="E2878" s="29">
        <f t="shared" si="89"/>
        <v>-7000</v>
      </c>
    </row>
    <row r="2879" spans="1:5" s="59" customFormat="1" x14ac:dyDescent="0.2">
      <c r="A2879" s="28">
        <v>44597</v>
      </c>
      <c r="B2879" s="25">
        <f>VLOOKUP(A2879,'Database Claims'!$A:$C,3,)</f>
        <v>223000</v>
      </c>
      <c r="C2879" s="29">
        <f t="shared" si="88"/>
        <v>-15000</v>
      </c>
      <c r="D2879" s="25">
        <f>VLOOKUP(A2879,'Database Claims'!$A:$C,2,)</f>
        <v>1593000</v>
      </c>
      <c r="E2879" s="29">
        <f t="shared" si="89"/>
        <v>-28000</v>
      </c>
    </row>
    <row r="2880" spans="1:5" s="59" customFormat="1" x14ac:dyDescent="0.2">
      <c r="A2880" s="28">
        <v>44604</v>
      </c>
      <c r="B2880" s="29">
        <f>VLOOKUP(A2880,'Database Claims'!$A:$C,3,)</f>
        <v>248000</v>
      </c>
      <c r="C2880" s="29">
        <f t="shared" si="88"/>
        <v>25000</v>
      </c>
      <c r="D2880" s="29">
        <f>VLOOKUP(A2880,'Database Claims'!$A:$C,2,)</f>
        <v>1476000</v>
      </c>
      <c r="E2880" s="29">
        <f t="shared" si="89"/>
        <v>-117000</v>
      </c>
    </row>
    <row r="2881" spans="1:5" s="59" customFormat="1" x14ac:dyDescent="0.2">
      <c r="A2881" s="28">
        <v>44611</v>
      </c>
      <c r="B2881" s="29">
        <f>VLOOKUP(A2881,'Database Claims'!$A:$C,3,)</f>
        <v>232000</v>
      </c>
      <c r="C2881" s="29">
        <f t="shared" si="88"/>
        <v>-16000</v>
      </c>
      <c r="D2881" s="29">
        <f>VLOOKUP(A2881,'Database Claims'!$A:$C,2,)</f>
        <v>1476000</v>
      </c>
      <c r="E2881" s="29">
        <f t="shared" si="89"/>
        <v>0</v>
      </c>
    </row>
    <row r="2882" spans="1:5" s="59" customFormat="1" x14ac:dyDescent="0.2">
      <c r="A2882" s="28">
        <v>44618</v>
      </c>
      <c r="B2882" s="29">
        <f>VLOOKUP(A2882,'Database Claims'!$A:$C,3,)</f>
        <v>215000</v>
      </c>
      <c r="C2882" s="29">
        <f t="shared" si="88"/>
        <v>-17000</v>
      </c>
      <c r="D2882" s="29">
        <f>VLOOKUP(A2882,'Database Claims'!$A:$C,2,)</f>
        <v>1494000</v>
      </c>
      <c r="E2882" s="29">
        <f t="shared" si="89"/>
        <v>18000</v>
      </c>
    </row>
    <row r="2883" spans="1:5" s="59" customFormat="1" x14ac:dyDescent="0.2">
      <c r="A2883" s="28">
        <v>44625</v>
      </c>
      <c r="B2883" s="29">
        <f>VLOOKUP(A2883,'Database Claims'!$A:$C,3,)</f>
        <v>227000</v>
      </c>
      <c r="C2883" s="29">
        <f t="shared" si="88"/>
        <v>12000</v>
      </c>
      <c r="D2883" s="29">
        <f>VLOOKUP(A2883,'Database Claims'!$A:$C,2,)</f>
        <v>1419000</v>
      </c>
      <c r="E2883" s="29">
        <f t="shared" si="89"/>
        <v>-75000</v>
      </c>
    </row>
    <row r="2884" spans="1:5" s="59" customFormat="1" x14ac:dyDescent="0.2">
      <c r="A2884" s="28">
        <v>44632</v>
      </c>
      <c r="B2884" s="29">
        <f>VLOOKUP(A2884,'Database Claims'!$A:$C,3,)</f>
        <v>214000</v>
      </c>
      <c r="C2884" s="29">
        <f t="shared" si="88"/>
        <v>-13000</v>
      </c>
      <c r="D2884" s="29">
        <f>VLOOKUP(A2884,'Database Claims'!$A:$C,2,)</f>
        <v>1350000</v>
      </c>
      <c r="E2884" s="29">
        <f t="shared" si="89"/>
        <v>-69000</v>
      </c>
    </row>
    <row r="2885" spans="1:5" s="59" customFormat="1" x14ac:dyDescent="0.2">
      <c r="A2885" s="28">
        <v>44639</v>
      </c>
      <c r="B2885" s="29">
        <f>VLOOKUP(A2885,'Database Claims'!$A:$C,3,)</f>
        <v>187000</v>
      </c>
      <c r="C2885" s="29">
        <f t="shared" si="88"/>
        <v>-27000</v>
      </c>
      <c r="D2885" s="29">
        <f>VLOOKUP(A2885,'Database Claims'!$A:$C,2,)</f>
        <v>1307000</v>
      </c>
      <c r="E2885" s="29">
        <f t="shared" si="89"/>
        <v>-43000</v>
      </c>
    </row>
    <row r="2886" spans="1:5" s="59" customFormat="1" x14ac:dyDescent="0.2">
      <c r="A2886" s="28">
        <v>44646</v>
      </c>
      <c r="B2886" s="29">
        <f>VLOOKUP(A2886,'Database Claims'!$A:$C,3,)</f>
        <v>202000</v>
      </c>
      <c r="C2886" s="29">
        <f t="shared" ref="C2886:C2902" si="90">B2886-B2885</f>
        <v>15000</v>
      </c>
      <c r="D2886" s="29">
        <f>VLOOKUP(A2886,'Database Claims'!$A:$C,2,)</f>
        <v>1523000</v>
      </c>
      <c r="E2886" s="29">
        <f t="shared" ref="E2886:E2902" si="91">D2886-D2885</f>
        <v>216000</v>
      </c>
    </row>
    <row r="2887" spans="1:5" s="59" customFormat="1" x14ac:dyDescent="0.2">
      <c r="A2887" s="28">
        <v>44653</v>
      </c>
      <c r="B2887" s="29">
        <f>VLOOKUP(A2887,'Database Claims'!$A:$C,3,)</f>
        <v>166000</v>
      </c>
      <c r="C2887" s="29">
        <f t="shared" si="90"/>
        <v>-36000</v>
      </c>
      <c r="D2887" s="29">
        <f>VLOOKUP(A2887,'Database Claims'!$A:$C,2,)</f>
        <v>1475000</v>
      </c>
      <c r="E2887" s="29">
        <f t="shared" si="91"/>
        <v>-48000</v>
      </c>
    </row>
    <row r="2888" spans="1:5" s="59" customFormat="1" x14ac:dyDescent="0.2">
      <c r="A2888" s="28">
        <v>44660</v>
      </c>
      <c r="B2888" s="29">
        <f>VLOOKUP(A2888,'Database Claims'!$A:$C,3,)</f>
        <v>185000</v>
      </c>
      <c r="C2888" s="29">
        <f t="shared" si="90"/>
        <v>19000</v>
      </c>
      <c r="D2888" s="29">
        <f>VLOOKUP(A2888,'Database Claims'!$A:$C,2,)</f>
        <v>1409000</v>
      </c>
      <c r="E2888" s="29">
        <f t="shared" si="91"/>
        <v>-66000</v>
      </c>
    </row>
    <row r="2889" spans="1:5" s="59" customFormat="1" x14ac:dyDescent="0.2">
      <c r="A2889" s="28">
        <v>44667</v>
      </c>
      <c r="B2889" s="29">
        <f>VLOOKUP(A2889,'Database Claims'!$A:$C,3,)</f>
        <v>185000</v>
      </c>
      <c r="C2889" s="29">
        <f t="shared" si="90"/>
        <v>0</v>
      </c>
      <c r="D2889" s="29">
        <f>VLOOKUP(A2889,'Database Claims'!$A:$C,2,)</f>
        <v>1408000</v>
      </c>
      <c r="E2889" s="29">
        <f t="shared" si="91"/>
        <v>-1000</v>
      </c>
    </row>
    <row r="2890" spans="1:5" s="59" customFormat="1" x14ac:dyDescent="0.2">
      <c r="A2890" s="28">
        <v>44674</v>
      </c>
      <c r="B2890" s="29">
        <f>VLOOKUP(A2890,'Database Claims'!$A:$C,3,)</f>
        <v>180000</v>
      </c>
      <c r="C2890" s="29">
        <f t="shared" si="90"/>
        <v>-5000</v>
      </c>
      <c r="D2890" s="29">
        <f>VLOOKUP(A2890,'Database Claims'!$A:$C,2,)</f>
        <v>1387000</v>
      </c>
      <c r="E2890" s="29">
        <f t="shared" si="91"/>
        <v>-21000</v>
      </c>
    </row>
    <row r="2891" spans="1:5" s="59" customFormat="1" x14ac:dyDescent="0.2">
      <c r="A2891" s="28">
        <v>44681</v>
      </c>
      <c r="B2891" s="29">
        <f>VLOOKUP(A2891,'Database Claims'!$A:$C,3,)</f>
        <v>202000</v>
      </c>
      <c r="C2891" s="29">
        <f t="shared" si="90"/>
        <v>22000</v>
      </c>
      <c r="D2891" s="29">
        <f>VLOOKUP(A2891,'Database Claims'!$A:$C,2,)</f>
        <v>1343000</v>
      </c>
      <c r="E2891" s="29">
        <f t="shared" si="91"/>
        <v>-44000</v>
      </c>
    </row>
    <row r="2892" spans="1:5" s="59" customFormat="1" x14ac:dyDescent="0.2">
      <c r="A2892" s="28">
        <v>44688</v>
      </c>
      <c r="B2892" s="25">
        <f>VLOOKUP(A2892,'Database Claims'!$A:$C,3,)</f>
        <v>203000</v>
      </c>
      <c r="C2892" s="29">
        <f t="shared" si="90"/>
        <v>1000</v>
      </c>
      <c r="D2892" s="25">
        <f>VLOOKUP(A2892,'Database Claims'!$A:$C,2,)</f>
        <v>1317000</v>
      </c>
      <c r="E2892" s="29">
        <f t="shared" si="91"/>
        <v>-26000</v>
      </c>
    </row>
    <row r="2893" spans="1:5" s="59" customFormat="1" x14ac:dyDescent="0.2">
      <c r="A2893" s="28">
        <v>44695</v>
      </c>
      <c r="B2893" s="29">
        <f>VLOOKUP(A2893,'Database Claims'!$A:$C,3,)</f>
        <v>218000</v>
      </c>
      <c r="C2893" s="29">
        <f t="shared" si="90"/>
        <v>15000</v>
      </c>
      <c r="D2893" s="29">
        <f>VLOOKUP(A2893,'Database Claims'!$A:$C,2,)</f>
        <v>1346000</v>
      </c>
      <c r="E2893" s="29">
        <f t="shared" si="91"/>
        <v>29000</v>
      </c>
    </row>
    <row r="2894" spans="1:5" s="59" customFormat="1" x14ac:dyDescent="0.2">
      <c r="A2894" s="28">
        <v>44702</v>
      </c>
      <c r="B2894" s="29">
        <f>VLOOKUP(A2894,'Database Claims'!$A:$C,3,)</f>
        <v>210000</v>
      </c>
      <c r="C2894" s="29">
        <f t="shared" si="90"/>
        <v>-8000</v>
      </c>
      <c r="D2894" s="29">
        <f>VLOOKUP(A2894,'Database Claims'!$A:$C,2,)</f>
        <v>1309000</v>
      </c>
      <c r="E2894" s="29">
        <f t="shared" si="91"/>
        <v>-37000</v>
      </c>
    </row>
    <row r="2895" spans="1:5" s="59" customFormat="1" x14ac:dyDescent="0.2">
      <c r="A2895" s="28">
        <v>44709</v>
      </c>
      <c r="B2895" s="25">
        <f>VLOOKUP(A2895,'Database Claims'!$A:$C,3,)</f>
        <v>200000</v>
      </c>
      <c r="C2895" s="29">
        <f t="shared" si="90"/>
        <v>-10000</v>
      </c>
      <c r="D2895" s="25">
        <f>VLOOKUP(A2895,'Database Claims'!$A:$C,2,)</f>
        <v>1306000</v>
      </c>
      <c r="E2895" s="29">
        <f t="shared" si="91"/>
        <v>-3000</v>
      </c>
    </row>
    <row r="2896" spans="1:5" s="59" customFormat="1" x14ac:dyDescent="0.2">
      <c r="A2896" s="28">
        <v>44716</v>
      </c>
      <c r="B2896" s="29">
        <f>VLOOKUP(A2896,'Database Claims'!$A:$C,3,)</f>
        <v>229000</v>
      </c>
      <c r="C2896" s="29">
        <f t="shared" si="90"/>
        <v>29000</v>
      </c>
      <c r="D2896" s="29">
        <f>VLOOKUP(A2896,'Database Claims'!$A:$C,2,)</f>
        <v>1312000</v>
      </c>
      <c r="E2896" s="29">
        <f t="shared" si="91"/>
        <v>6000</v>
      </c>
    </row>
    <row r="2897" spans="1:5" s="59" customFormat="1" x14ac:dyDescent="0.2">
      <c r="A2897" s="28">
        <v>44723</v>
      </c>
      <c r="B2897" s="29">
        <f>VLOOKUP(A2897,'Database Claims'!$A:$C,3,)</f>
        <v>229000</v>
      </c>
      <c r="C2897" s="29">
        <f t="shared" si="90"/>
        <v>0</v>
      </c>
      <c r="D2897" s="29">
        <f>VLOOKUP(A2897,'Database Claims'!$A:$C,2,)</f>
        <v>1315000</v>
      </c>
      <c r="E2897" s="29">
        <f t="shared" si="91"/>
        <v>3000</v>
      </c>
    </row>
    <row r="2898" spans="1:5" s="59" customFormat="1" x14ac:dyDescent="0.2">
      <c r="A2898" s="28">
        <v>44730</v>
      </c>
      <c r="B2898" s="29">
        <f>VLOOKUP(A2898,'Database Claims'!$A:$C,3,)</f>
        <v>229000</v>
      </c>
      <c r="C2898" s="29">
        <f t="shared" si="90"/>
        <v>0</v>
      </c>
      <c r="D2898" s="29">
        <f>VLOOKUP(A2898,'Database Claims'!$A:$C,2,)</f>
        <v>1328000</v>
      </c>
      <c r="E2898" s="29">
        <f t="shared" si="91"/>
        <v>13000</v>
      </c>
    </row>
    <row r="2899" spans="1:5" s="59" customFormat="1" x14ac:dyDescent="0.2">
      <c r="A2899" s="28">
        <v>44737</v>
      </c>
      <c r="B2899" s="29">
        <f>VLOOKUP(A2899,'Database Claims'!$A:$C,3,)</f>
        <v>231000</v>
      </c>
      <c r="C2899" s="29">
        <f t="shared" si="90"/>
        <v>2000</v>
      </c>
      <c r="D2899" s="29">
        <f>VLOOKUP(A2899,'Database Claims'!$A:$C,2,)</f>
        <v>1375000</v>
      </c>
      <c r="E2899" s="29">
        <f t="shared" si="91"/>
        <v>47000</v>
      </c>
    </row>
    <row r="2900" spans="1:5" s="59" customFormat="1" x14ac:dyDescent="0.2">
      <c r="A2900" s="28">
        <v>44744</v>
      </c>
      <c r="B2900" s="25">
        <f>VLOOKUP(A2900,'Database Claims'!$A:$C,3,)</f>
        <v>235000</v>
      </c>
      <c r="C2900" s="29">
        <f t="shared" si="90"/>
        <v>4000</v>
      </c>
      <c r="D2900" s="25">
        <f>VLOOKUP(A2900,'Database Claims'!$A:$C,2,)</f>
        <v>1331000</v>
      </c>
      <c r="E2900" s="29">
        <f t="shared" si="91"/>
        <v>-44000</v>
      </c>
    </row>
    <row r="2901" spans="1:5" s="59" customFormat="1" x14ac:dyDescent="0.2">
      <c r="A2901" s="28">
        <v>44751</v>
      </c>
      <c r="B2901" s="29">
        <f>VLOOKUP(A2901,'Database Claims'!$A:$C,3,)</f>
        <v>244000</v>
      </c>
      <c r="C2901" s="29">
        <f t="shared" si="90"/>
        <v>9000</v>
      </c>
      <c r="D2901" s="29">
        <f>VLOOKUP(A2901,'Database Claims'!$A:$C,2,)</f>
        <v>0</v>
      </c>
      <c r="E2901" s="29">
        <f t="shared" si="91"/>
        <v>-1331000</v>
      </c>
    </row>
    <row r="2902" spans="1:5" s="59" customFormat="1" x14ac:dyDescent="0.2"/>
    <row r="2903" spans="1:5" s="59" customFormat="1" x14ac:dyDescent="0.2"/>
    <row r="2904" spans="1:5" s="59" customFormat="1" x14ac:dyDescent="0.2"/>
    <row r="2905" spans="1:5" s="59" customFormat="1" x14ac:dyDescent="0.2"/>
    <row r="2906" spans="1:5" s="59" customFormat="1" x14ac:dyDescent="0.2"/>
    <row r="2907" spans="1:5" s="59" customFormat="1" x14ac:dyDescent="0.2"/>
    <row r="2908" spans="1:5" s="59" customFormat="1" x14ac:dyDescent="0.2"/>
    <row r="2909" spans="1:5" s="59" customFormat="1" x14ac:dyDescent="0.2"/>
    <row r="2910" spans="1:5" s="59" customFormat="1" x14ac:dyDescent="0.2"/>
    <row r="2911" spans="1:5" s="59" customFormat="1" x14ac:dyDescent="0.2"/>
    <row r="2912" spans="1:5"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90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7" zoomScale="110" zoomScaleNormal="110" workbookViewId="0">
      <selection activeCell="Y31" sqref="Y31"/>
    </sheetView>
  </sheetViews>
  <sheetFormatPr baseColWidth="10" defaultColWidth="9.1640625" defaultRowHeight="15" x14ac:dyDescent="0.2"/>
  <cols>
    <col min="1" max="20" width="9.1640625" style="59" customWidth="1"/>
    <col min="21"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17" activePane="bottomLeft" state="frozen"/>
      <selection activeCell="L243" sqref="L243"/>
      <selection pane="bottomLeft" activeCell="S243" sqref="S243"/>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59" customFormat="1" x14ac:dyDescent="0.2">
      <c r="A222" s="56">
        <v>43617</v>
      </c>
      <c r="B222" s="57">
        <f>VLOOKUP(A222,'Database ADP'!A:B,2)</f>
        <v>46</v>
      </c>
      <c r="C222" s="57">
        <f>VLOOKUP(A222,NFP!A:C,3)</f>
        <v>175</v>
      </c>
    </row>
    <row r="223" spans="1:3" s="59" customFormat="1" x14ac:dyDescent="0.2">
      <c r="A223" s="56">
        <v>43647</v>
      </c>
      <c r="B223" s="57">
        <f>VLOOKUP(A223,'Database ADP'!A:B,2)</f>
        <v>107</v>
      </c>
      <c r="C223" s="57">
        <f>VLOOKUP(A223,NFP!A:C,3)</f>
        <v>193</v>
      </c>
    </row>
    <row r="224" spans="1:3" s="59" customFormat="1" x14ac:dyDescent="0.2">
      <c r="A224" s="56">
        <v>43678</v>
      </c>
      <c r="B224" s="57">
        <f>VLOOKUP(A224,'Database ADP'!A:B,2)</f>
        <v>143</v>
      </c>
      <c r="C224" s="57">
        <f>VLOOKUP(A224,NFP!A:C,3)</f>
        <v>195</v>
      </c>
    </row>
    <row r="225" spans="1:3" s="59" customFormat="1" x14ac:dyDescent="0.2">
      <c r="A225" s="56">
        <v>43709</v>
      </c>
      <c r="B225" s="57">
        <f>VLOOKUP(A225,'Database ADP'!A:B,2)</f>
        <v>159</v>
      </c>
      <c r="C225" s="57">
        <f>VLOOKUP(A225,NFP!A:C,3)</f>
        <v>221</v>
      </c>
    </row>
    <row r="226" spans="1:3" s="59" customFormat="1" x14ac:dyDescent="0.2">
      <c r="A226" s="56">
        <v>43739</v>
      </c>
      <c r="B226" s="57">
        <f>VLOOKUP(A226,'Database ADP'!A:B,2)</f>
        <v>124</v>
      </c>
      <c r="C226" s="57">
        <f>VLOOKUP(A226,NFP!A:C,3)</f>
        <v>195</v>
      </c>
    </row>
    <row r="227" spans="1:3" s="59" customFormat="1" x14ac:dyDescent="0.2">
      <c r="A227" s="56">
        <v>43770</v>
      </c>
      <c r="B227" s="57">
        <f>VLOOKUP(A227,'Database ADP'!A:B,2)</f>
        <v>151</v>
      </c>
      <c r="C227" s="57">
        <f>VLOOKUP(A227,NFP!A:C,3)</f>
        <v>234</v>
      </c>
    </row>
    <row r="228" spans="1:3" s="59" customFormat="1" x14ac:dyDescent="0.2">
      <c r="A228" s="56">
        <v>43800</v>
      </c>
      <c r="B228" s="57">
        <f>VLOOKUP(A228,'Database ADP'!A:B,2)</f>
        <v>124</v>
      </c>
      <c r="C228" s="57">
        <f>VLOOKUP(A228,NFP!A:C,3)</f>
        <v>161</v>
      </c>
    </row>
    <row r="229" spans="1:3" s="59" customFormat="1" x14ac:dyDescent="0.2">
      <c r="A229" s="56">
        <v>43831</v>
      </c>
      <c r="B229" s="57">
        <f>VLOOKUP(A229,'Database ADP'!A:B,2)</f>
        <v>199</v>
      </c>
      <c r="C229" s="57">
        <f>VLOOKUP(A229,NFP!A:C,3)</f>
        <v>315</v>
      </c>
    </row>
    <row r="230" spans="1:3" s="59" customFormat="1" x14ac:dyDescent="0.2">
      <c r="A230" s="56">
        <v>43862</v>
      </c>
      <c r="B230" s="57">
        <f>VLOOKUP(A230,'Database ADP'!A:B,2)</f>
        <v>209</v>
      </c>
      <c r="C230" s="57">
        <f>VLOOKUP(A230,NFP!A:C,3)</f>
        <v>289</v>
      </c>
    </row>
    <row r="231" spans="1:3" s="59" customFormat="1" x14ac:dyDescent="0.2">
      <c r="A231" s="56">
        <v>43891</v>
      </c>
      <c r="B231" s="57">
        <f>VLOOKUP(A231,'Database ADP'!A:B,2)</f>
        <v>183</v>
      </c>
      <c r="C231" s="57">
        <f>VLOOKUP(A231,NFP!A:C,3)</f>
        <v>-1683</v>
      </c>
    </row>
    <row r="232" spans="1:3" s="59" customFormat="1" x14ac:dyDescent="0.2">
      <c r="A232" s="56">
        <v>43922</v>
      </c>
      <c r="B232" s="57">
        <f>VLOOKUP(A232,'Database ADP'!A:B,2)</f>
        <v>-149</v>
      </c>
      <c r="C232" s="57">
        <f>VLOOKUP(A232,NFP!A:C,3)</f>
        <v>-20679</v>
      </c>
    </row>
    <row r="233" spans="1:3" s="59" customFormat="1" x14ac:dyDescent="0.2">
      <c r="A233" s="56">
        <v>43952</v>
      </c>
      <c r="B233" s="57">
        <f>VLOOKUP(A233,'Database ADP'!A:B,2)</f>
        <v>-19557</v>
      </c>
      <c r="C233" s="57">
        <f>VLOOKUP(A233,NFP!A:C,3)</f>
        <v>2833</v>
      </c>
    </row>
    <row r="234" spans="1:3" s="59" customFormat="1" x14ac:dyDescent="0.2">
      <c r="A234" s="56">
        <v>43983</v>
      </c>
      <c r="B234" s="57">
        <f>VLOOKUP(A234,'Database ADP'!A:B,2)</f>
        <v>3065</v>
      </c>
      <c r="C234" s="57">
        <f>VLOOKUP(A234,NFP!A:C,3)</f>
        <v>4846</v>
      </c>
    </row>
    <row r="235" spans="1:3" s="59" customFormat="1" x14ac:dyDescent="0.2">
      <c r="A235" s="56">
        <v>44013</v>
      </c>
      <c r="B235" s="57">
        <f>VLOOKUP(A235,'Database ADP'!A:B,2)</f>
        <v>2369</v>
      </c>
      <c r="C235" s="57">
        <f>VLOOKUP(A235,NFP!A:C,3)</f>
        <v>1726</v>
      </c>
    </row>
    <row r="236" spans="1:3" s="59" customFormat="1" x14ac:dyDescent="0.2">
      <c r="A236" s="56">
        <v>44044</v>
      </c>
      <c r="B236" s="57">
        <f>VLOOKUP(A236,'Database ADP'!A:B,2)</f>
        <v>167</v>
      </c>
      <c r="C236" s="57">
        <f>VLOOKUP(A236,NFP!A:C,3)</f>
        <v>1583</v>
      </c>
    </row>
    <row r="237" spans="1:3" s="59" customFormat="1" x14ac:dyDescent="0.2">
      <c r="A237" s="56">
        <v>44075</v>
      </c>
      <c r="B237" s="57">
        <f>VLOOKUP(A237,'Database ADP'!A:B,2)</f>
        <v>428</v>
      </c>
      <c r="C237" s="57">
        <f>VLOOKUP(A237,NFP!A:C,3)</f>
        <v>716</v>
      </c>
    </row>
    <row r="238" spans="1:3" s="59" customFormat="1" x14ac:dyDescent="0.2">
      <c r="A238" s="56">
        <v>44105</v>
      </c>
      <c r="B238" s="57">
        <f>VLOOKUP(A238,'Database ADP'!A:B,2)</f>
        <v>749</v>
      </c>
      <c r="C238" s="57">
        <f>VLOOKUP(A238,NFP!A:C,3)</f>
        <v>680</v>
      </c>
    </row>
    <row r="239" spans="1:3" s="59" customFormat="1" x14ac:dyDescent="0.2">
      <c r="A239" s="56">
        <v>44136</v>
      </c>
      <c r="B239" s="57">
        <f>VLOOKUP(A239,'Database ADP'!A:B,2)</f>
        <v>365</v>
      </c>
      <c r="C239" s="57">
        <f>VLOOKUP(A239,NFP!A:C,3)</f>
        <v>264</v>
      </c>
    </row>
    <row r="240" spans="1:3" s="59" customFormat="1" x14ac:dyDescent="0.2">
      <c r="A240" s="56">
        <v>44166</v>
      </c>
      <c r="B240" s="57">
        <f>VLOOKUP(A240,'Database ADP'!A:B,2)</f>
        <v>307</v>
      </c>
      <c r="C240" s="57">
        <f>VLOOKUP(A240,NFP!A:C,3)</f>
        <v>-306</v>
      </c>
    </row>
    <row r="241" spans="1:3" s="59" customFormat="1" x14ac:dyDescent="0.2">
      <c r="A241" s="56">
        <v>44197</v>
      </c>
      <c r="B241" s="57">
        <f>VLOOKUP(A241,'Database ADP'!A:B,2)</f>
        <v>-123</v>
      </c>
      <c r="C241" s="57">
        <f>VLOOKUP(A241,NFP!A:C,3)</f>
        <v>233</v>
      </c>
    </row>
    <row r="242" spans="1:3" s="59" customFormat="1" x14ac:dyDescent="0.2">
      <c r="A242" s="56">
        <v>44228</v>
      </c>
      <c r="B242" s="57">
        <f>VLOOKUP(A242,'Database ADP'!A:B,2)</f>
        <v>174</v>
      </c>
      <c r="C242" s="57">
        <f>VLOOKUP(A242,NFP!A:C,3)</f>
        <v>536</v>
      </c>
    </row>
    <row r="243" spans="1:3" s="59" customFormat="1" x14ac:dyDescent="0.2">
      <c r="A243" s="56">
        <v>44256</v>
      </c>
      <c r="B243" s="57">
        <f>VLOOKUP(A243,'Database ADP'!A:B,2)</f>
        <v>117</v>
      </c>
      <c r="C243" s="57">
        <f>VLOOKUP(A243,NFP!A:C,3)</f>
        <v>785</v>
      </c>
    </row>
    <row r="244" spans="1:3" s="59" customFormat="1" x14ac:dyDescent="0.2">
      <c r="A244" s="56">
        <v>44287</v>
      </c>
      <c r="B244" s="57">
        <f>VLOOKUP(A244,'Database ADP'!A:B,2)</f>
        <v>517</v>
      </c>
      <c r="C244" s="57">
        <f>VLOOKUP(A244,NFP!A:C,3)</f>
        <v>269</v>
      </c>
    </row>
    <row r="245" spans="1:3" s="59" customFormat="1" x14ac:dyDescent="0.2">
      <c r="A245" s="56">
        <v>44317</v>
      </c>
      <c r="B245" s="57">
        <f>VLOOKUP(A245,'Database ADP'!A:B,2)</f>
        <v>742</v>
      </c>
      <c r="C245" s="57">
        <f>VLOOKUP(A245,NFP!A:C,3)</f>
        <v>614</v>
      </c>
    </row>
    <row r="246" spans="1:3" s="59" customFormat="1" x14ac:dyDescent="0.2">
      <c r="A246" s="56">
        <v>44348</v>
      </c>
      <c r="B246" s="57">
        <f>VLOOKUP(A246,'Database ADP'!A:B,2)</f>
        <v>978</v>
      </c>
      <c r="C246" s="57">
        <f>VLOOKUP(A246,NFP!A:C,3)</f>
        <v>962</v>
      </c>
    </row>
    <row r="247" spans="1:3" s="59" customFormat="1" x14ac:dyDescent="0.2">
      <c r="A247" s="56">
        <v>44378</v>
      </c>
      <c r="B247" s="57">
        <f>VLOOKUP(A247,'Database ADP'!A:B,2)</f>
        <v>692</v>
      </c>
      <c r="C247" s="57">
        <f>VLOOKUP(A247,NFP!A:C,3)</f>
        <v>1091</v>
      </c>
    </row>
    <row r="248" spans="1:3" s="59" customFormat="1" x14ac:dyDescent="0.2">
      <c r="A248" s="56">
        <v>44409</v>
      </c>
      <c r="B248" s="57">
        <f>VLOOKUP(A248,'Database ADP'!A:B,2)</f>
        <v>330</v>
      </c>
      <c r="C248" s="57">
        <f>VLOOKUP(A248,NFP!A:C,3)</f>
        <v>483</v>
      </c>
    </row>
    <row r="249" spans="1:3" s="59" customFormat="1" x14ac:dyDescent="0.2">
      <c r="A249" s="56">
        <v>44440</v>
      </c>
      <c r="B249" s="57">
        <f>VLOOKUP(A249,'Database ADP'!A:B,2)</f>
        <v>374</v>
      </c>
      <c r="C249" s="57">
        <f>VLOOKUP(A249,NFP!A:C,3)</f>
        <v>379</v>
      </c>
    </row>
    <row r="250" spans="1:3" s="59" customFormat="1" x14ac:dyDescent="0.2">
      <c r="A250" s="56">
        <v>44470</v>
      </c>
      <c r="B250" s="57">
        <f>VLOOKUP(A250,'Database ADP'!A:B,2)</f>
        <v>568</v>
      </c>
      <c r="C250" s="57">
        <f>VLOOKUP(A250,NFP!A:C,3)</f>
        <v>546</v>
      </c>
    </row>
    <row r="251" spans="1:3" s="59" customFormat="1" x14ac:dyDescent="0.2">
      <c r="A251" s="56">
        <v>44501</v>
      </c>
      <c r="B251" s="57">
        <f>VLOOKUP(A251,'Database ADP'!A:B,2)</f>
        <v>568</v>
      </c>
      <c r="C251" s="57">
        <f>VLOOKUP(A251,NFP!A:C,3)</f>
        <v>210</v>
      </c>
    </row>
    <row r="252" spans="1:3" s="59" customFormat="1" x14ac:dyDescent="0.2">
      <c r="A252" s="56">
        <v>44531</v>
      </c>
      <c r="B252" s="57">
        <f>VLOOKUP(A252,'Database ADP'!A:B,2)</f>
        <v>534</v>
      </c>
      <c r="C252" s="57">
        <f>VLOOKUP(A252,NFP!A:C,3)</f>
        <v>340</v>
      </c>
    </row>
    <row r="253" spans="1:3" s="59" customFormat="1" x14ac:dyDescent="0.2">
      <c r="A253" s="56">
        <v>44562</v>
      </c>
      <c r="B253" s="57">
        <f>VLOOKUP(A253,'Database ADP'!A:B,2)</f>
        <v>534</v>
      </c>
      <c r="C253" s="57">
        <f>VLOOKUP(A253,NFP!A:C,3)</f>
        <v>678</v>
      </c>
    </row>
    <row r="254" spans="1:3" s="59" customFormat="1" x14ac:dyDescent="0.2">
      <c r="A254" s="56">
        <v>44593</v>
      </c>
      <c r="B254" s="57">
        <f>VLOOKUP(A254,'Database ADP'!A:B,2)</f>
        <v>807</v>
      </c>
      <c r="C254" s="57">
        <f>VLOOKUP(A254,NFP!A:C,3)</f>
        <v>770</v>
      </c>
    </row>
    <row r="255" spans="1:3" s="59" customFormat="1" x14ac:dyDescent="0.2">
      <c r="A255" s="56">
        <v>44621</v>
      </c>
      <c r="B255" s="57">
        <f>VLOOKUP(A255,'Database ADP'!A:B,2)</f>
        <v>-30</v>
      </c>
      <c r="C255" s="57">
        <f>VLOOKUP(A255,NFP!A:C,3)</f>
        <v>526</v>
      </c>
    </row>
    <row r="256" spans="1:3" s="59" customFormat="1" x14ac:dyDescent="0.2">
      <c r="A256" s="56">
        <v>44652</v>
      </c>
      <c r="B256" s="57">
        <f>VLOOKUP(A256,'Database ADP'!A:B,2)</f>
        <v>455</v>
      </c>
      <c r="C256" s="57">
        <f>VLOOKUP(A256,NFP!A:C,3)</f>
        <v>389</v>
      </c>
    </row>
    <row r="257" spans="1:3" s="59" customFormat="1" x14ac:dyDescent="0.2">
      <c r="A257" s="56">
        <v>44682</v>
      </c>
      <c r="B257" s="57">
        <f>VLOOKUP(A257,'Database ADP'!A:B,2)</f>
        <v>455</v>
      </c>
      <c r="C257" s="57">
        <f>VLOOKUP(A257,NFP!A:C,3)</f>
        <v>368</v>
      </c>
    </row>
    <row r="258" spans="1:3" s="59" customFormat="1" x14ac:dyDescent="0.2">
      <c r="A258" s="56">
        <v>44713</v>
      </c>
      <c r="B258" s="57">
        <f>VLOOKUP(A258,'Database ADP'!A:B,2)</f>
        <v>247</v>
      </c>
      <c r="C258" s="57">
        <f>VLOOKUP(A258,NFP!A:C,3)</f>
        <v>298</v>
      </c>
    </row>
    <row r="259" spans="1:3" s="59" customFormat="1" x14ac:dyDescent="0.2">
      <c r="A259" s="56">
        <v>44743</v>
      </c>
      <c r="B259" s="57">
        <f>VLOOKUP(A259,'Database ADP'!A:B,2)</f>
        <v>128</v>
      </c>
      <c r="C259" s="57">
        <f>VLOOKUP(A259,NFP!A:C,3)</f>
        <v>298</v>
      </c>
    </row>
    <row r="260" spans="1:3" s="59" customFormat="1" x14ac:dyDescent="0.2">
      <c r="A260" s="15"/>
      <c r="B260" s="15"/>
      <c r="C260" s="15"/>
    </row>
    <row r="261" spans="1:3" s="59" customFormat="1" x14ac:dyDescent="0.2">
      <c r="A261" s="15"/>
      <c r="B261" s="15"/>
      <c r="C261" s="15"/>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70" activePane="bottomRight" state="frozen"/>
      <selection activeCell="L243" sqref="L243"/>
      <selection pane="topRight" activeCell="L243" sqref="L243"/>
      <selection pane="bottomLeft" activeCell="L243" sqref="L243"/>
      <selection pane="bottomRight" activeCell="W93" sqref="W93"/>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4.7</v>
      </c>
      <c r="G5" s="13">
        <f>IF(VLOOKUP(B5,'Data World'!$A:$AL,MATCH(World!$G$1,'Data World'!$A$1:$AL$1,))=0,#N/A,VLOOKUP(B5,'Data World'!$A:$AL,MATCH(World!$G$1,'Data World'!$A$1:$AL$1,)))</f>
        <v>10.4</v>
      </c>
      <c r="H5" s="13">
        <f>IF(VLOOKUP(B5,'Data World'!$A:$AL,MATCH(World!$H$1,'Data World'!$A$1:$AL$1,))=0,#N/A,VLOOKUP(B5,'Data World'!$A:$AL,MATCH(World!$H$1,'Data World'!$A$1:$AL$1,)))</f>
        <v>5.5039170000000004</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7.5</v>
      </c>
      <c r="L5" s="13">
        <f>IF(VLOOKUP(B5,'Data World'!$A:$AL,MATCH(World!$L$1,'Data World'!$A$1:$AL$1,))=0,#N/A,VLOOKUP(B5,'Data World'!$A:$AL,MATCH(World!$L$1,'Data World'!$A$1:$AL$1,)))</f>
        <v>4.2196490000000004</v>
      </c>
      <c r="M5" s="13">
        <f>IF(VLOOKUP(B5,'Data World'!$A:$AL,MATCH(World!$M$1,'Data World'!$A$1:$AL$1,))=0,#N/A,VLOOKUP(B5,'Data World'!$A:$AL,MATCH(World!$M$1,'Data World'!$A$1:$AL$1,)))</f>
        <v>6.9</v>
      </c>
      <c r="N5" s="13">
        <f>IF(VLOOKUP(B5,'Data World'!$A:$AL,MATCH(World!$N$1,'Data World'!$A$1:$AL$1,))=0,#N/A,VLOOKUP(B5,'Data World'!$A:$AL,MATCH(World!$N$1,'Data World'!$A$1:$AL$1,)))</f>
        <v>6.1149740000000001</v>
      </c>
      <c r="O5" s="13">
        <f>IF(VLOOKUP(B5,'Data World'!$A:$AL,MATCH(World!$O$1,'Data World'!$A$1:$AL$1,))=0,#N/A,VLOOKUP(B5,'Data World'!$A:$AL,MATCH(World!$O$1,'Data World'!$A$1:$AL$1,)))</f>
        <v>3.5</v>
      </c>
      <c r="P5" s="13">
        <f>IF(VLOOKUP(B5,'Data World'!$A:$AL,MATCH(World!$P$1,'Data World'!$A$1:$AL$1,))=0,#N/A,VLOOKUP(B5,'Data World'!$A:$AL,MATCH(World!$P$1,'Data World'!$A$1:$AL$1,)))</f>
        <v>26.2</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5.7</v>
      </c>
      <c r="T5" s="13">
        <f>IF(VLOOKUP(B5,'Data World'!$A:$AL,MATCH(World!$T$1,'Data World'!$A$1:$AL$1,))=0,#N/A,VLOOKUP(B5,'Data World'!$A:$AL,MATCH(World!$T$1,'Data World'!$A$1:$AL$1,)))</f>
        <v>7.9</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4.7</v>
      </c>
      <c r="G6" s="13">
        <f>IF(VLOOKUP(B6,'Data World'!$A:$AL,MATCH(World!$G$1,'Data World'!$A$1:$AL$1,))=0,#N/A,VLOOKUP(B6,'Data World'!$A:$AL,MATCH(World!$G$1,'Data World'!$A$1:$AL$1,)))</f>
        <v>10.5</v>
      </c>
      <c r="H6" s="13">
        <f>IF(VLOOKUP(B6,'Data World'!$A:$AL,MATCH(World!$H$1,'Data World'!$A$1:$AL$1,))=0,#N/A,VLOOKUP(B6,'Data World'!$A:$AL,MATCH(World!$H$1,'Data World'!$A$1:$AL$1,)))</f>
        <v>5.6174460000000002</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7.8</v>
      </c>
      <c r="L6" s="13">
        <f>IF(VLOOKUP(B6,'Data World'!$A:$AL,MATCH(World!$L$1,'Data World'!$A$1:$AL$1,))=0,#N/A,VLOOKUP(B6,'Data World'!$A:$AL,MATCH(World!$L$1,'Data World'!$A$1:$AL$1,)))</f>
        <v>4.404274</v>
      </c>
      <c r="M6" s="13">
        <f>IF(VLOOKUP(B6,'Data World'!$A:$AL,MATCH(World!$M$1,'Data World'!$A$1:$AL$1,))=0,#N/A,VLOOKUP(B6,'Data World'!$A:$AL,MATCH(World!$M$1,'Data World'!$A$1:$AL$1,)))</f>
        <v>6.9</v>
      </c>
      <c r="N6" s="13">
        <f>IF(VLOOKUP(B6,'Data World'!$A:$AL,MATCH(World!$N$1,'Data World'!$A$1:$AL$1,))=0,#N/A,VLOOKUP(B6,'Data World'!$A:$AL,MATCH(World!$N$1,'Data World'!$A$1:$AL$1,)))</f>
        <v>6.1216759999999999</v>
      </c>
      <c r="O6" s="13">
        <f>IF(VLOOKUP(B6,'Data World'!$A:$AL,MATCH(World!$O$1,'Data World'!$A$1:$AL$1,))=0,#N/A,VLOOKUP(B6,'Data World'!$A:$AL,MATCH(World!$O$1,'Data World'!$A$1:$AL$1,)))</f>
        <v>3.6</v>
      </c>
      <c r="P6" s="13">
        <f>IF(VLOOKUP(B6,'Data World'!$A:$AL,MATCH(World!$P$1,'Data World'!$A$1:$AL$1,))=0,#N/A,VLOOKUP(B6,'Data World'!$A:$AL,MATCH(World!$P$1,'Data World'!$A$1:$AL$1,)))</f>
        <v>25.2</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5.3</v>
      </c>
      <c r="T6" s="13">
        <f>IF(VLOOKUP(B6,'Data World'!$A:$AL,MATCH(World!$T$1,'Data World'!$A$1:$AL$1,))=0,#N/A,VLOOKUP(B6,'Data World'!$A:$AL,MATCH(World!$T$1,'Data World'!$A$1:$AL$1,)))</f>
        <v>7.7</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4.7</v>
      </c>
      <c r="G7" s="13">
        <f>IF(VLOOKUP(B7,'Data World'!$A:$AL,MATCH(World!$G$1,'Data World'!$A$1:$AL$1,))=0,#N/A,VLOOKUP(B7,'Data World'!$A:$AL,MATCH(World!$G$1,'Data World'!$A$1:$AL$1,)))</f>
        <v>10.5</v>
      </c>
      <c r="H7" s="13">
        <f>IF(VLOOKUP(B7,'Data World'!$A:$AL,MATCH(World!$H$1,'Data World'!$A$1:$AL$1,))=0,#N/A,VLOOKUP(B7,'Data World'!$A:$AL,MATCH(World!$H$1,'Data World'!$A$1:$AL$1,)))</f>
        <v>5.6087600000000002</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7.6</v>
      </c>
      <c r="L7" s="13">
        <f>IF(VLOOKUP(B7,'Data World'!$A:$AL,MATCH(World!$L$1,'Data World'!$A$1:$AL$1,))=0,#N/A,VLOOKUP(B7,'Data World'!$A:$AL,MATCH(World!$L$1,'Data World'!$A$1:$AL$1,)))</f>
        <v>4.5385989999999996</v>
      </c>
      <c r="M7" s="13">
        <f>IF(VLOOKUP(B7,'Data World'!$A:$AL,MATCH(World!$M$1,'Data World'!$A$1:$AL$1,))=0,#N/A,VLOOKUP(B7,'Data World'!$A:$AL,MATCH(World!$M$1,'Data World'!$A$1:$AL$1,)))</f>
        <v>6.9</v>
      </c>
      <c r="N7" s="13">
        <f>IF(VLOOKUP(B7,'Data World'!$A:$AL,MATCH(World!$N$1,'Data World'!$A$1:$AL$1,))=0,#N/A,VLOOKUP(B7,'Data World'!$A:$AL,MATCH(World!$N$1,'Data World'!$A$1:$AL$1,)))</f>
        <v>5.9331829999999997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7.5</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4.7</v>
      </c>
      <c r="G8" s="13">
        <f>IF(VLOOKUP(B8,'Data World'!$A:$AL,MATCH(World!$G$1,'Data World'!$A$1:$AL$1,))=0,#N/A,VLOOKUP(B8,'Data World'!$A:$AL,MATCH(World!$G$1,'Data World'!$A$1:$AL$1,)))</f>
        <v>10.5</v>
      </c>
      <c r="H8" s="13">
        <f>IF(VLOOKUP(B8,'Data World'!$A:$AL,MATCH(World!$H$1,'Data World'!$A$1:$AL$1,))=0,#N/A,VLOOKUP(B8,'Data World'!$A:$AL,MATCH(World!$H$1,'Data World'!$A$1:$AL$1,)))</f>
        <v>5.5188030000000001</v>
      </c>
      <c r="I8" s="13">
        <f>IF(VLOOKUP(B8,'Data World'!$A:$AL,MATCH(World!$I$1,'Data World'!$A$1:$AL$1,))=0,#N/A,VLOOKUP(B8,'Data World'!$A:$AL,MATCH(World!$I$1,'Data World'!$A$1:$AL$1,)))</f>
        <v>12.4</v>
      </c>
      <c r="J8" s="13">
        <f>IF(VLOOKUP(B8,'Data World'!$A:$AL,MATCH(World!$J$1,'Data World'!$A$1:$AL$1,))=0,#N/A,VLOOKUP(B8,'Data World'!$A:$AL,MATCH(World!$J$1,'Data World'!$A$1:$AL$1,)))</f>
        <v>22.2</v>
      </c>
      <c r="K8" s="13">
        <f>IF(VLOOKUP(B8,'Data World'!$A:$AL,MATCH(World!$K$1,'Data World'!$A$1:$AL$1,))=0,#N/A,VLOOKUP(B8,'Data World'!$A:$AL,MATCH(World!$K$1,'Data World'!$A$1:$AL$1,)))</f>
        <v>7.5</v>
      </c>
      <c r="L8" s="13">
        <f>IF(VLOOKUP(B8,'Data World'!$A:$AL,MATCH(World!$L$1,'Data World'!$A$1:$AL$1,))=0,#N/A,VLOOKUP(B8,'Data World'!$A:$AL,MATCH(World!$L$1,'Data World'!$A$1:$AL$1,)))</f>
        <v>4.4367229999999998</v>
      </c>
      <c r="M8" s="13">
        <f>IF(VLOOKUP(B8,'Data World'!$A:$AL,MATCH(World!$M$1,'Data World'!$A$1:$AL$1,))=0,#N/A,VLOOKUP(B8,'Data World'!$A:$AL,MATCH(World!$M$1,'Data World'!$A$1:$AL$1,)))</f>
        <v>6.9</v>
      </c>
      <c r="N8" s="13">
        <f>IF(VLOOKUP(B8,'Data World'!$A:$AL,MATCH(World!$N$1,'Data World'!$A$1:$AL$1,))=0,#N/A,VLOOKUP(B8,'Data World'!$A:$AL,MATCH(World!$N$1,'Data World'!$A$1:$AL$1,)))</f>
        <v>5.9886410000000003</v>
      </c>
      <c r="O8" s="13">
        <f>IF(VLOOKUP(B8,'Data World'!$A:$AL,MATCH(World!$O$1,'Data World'!$A$1:$AL$1,))=0,#N/A,VLOOKUP(B8,'Data World'!$A:$AL,MATCH(World!$O$1,'Data World'!$A$1:$AL$1,)))</f>
        <v>3.8</v>
      </c>
      <c r="P8" s="13">
        <f>IF(VLOOKUP(B8,'Data World'!$A:$AL,MATCH(World!$P$1,'Data World'!$A$1:$AL$1,))=0,#N/A,VLOOKUP(B8,'Data World'!$A:$AL,MATCH(World!$P$1,'Data World'!$A$1:$AL$1,)))</f>
        <v>25.1</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7.4</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4.5999999999999996</v>
      </c>
      <c r="G9" s="13">
        <f>IF(VLOOKUP(B9,'Data World'!$A:$AL,MATCH(World!$G$1,'Data World'!$A$1:$AL$1,))=0,#N/A,VLOOKUP(B9,'Data World'!$A:$AL,MATCH(World!$G$1,'Data World'!$A$1:$AL$1,)))</f>
        <v>10.4</v>
      </c>
      <c r="H9" s="13">
        <f>IF(VLOOKUP(B9,'Data World'!$A:$AL,MATCH(World!$H$1,'Data World'!$A$1:$AL$1,))=0,#N/A,VLOOKUP(B9,'Data World'!$A:$AL,MATCH(World!$H$1,'Data World'!$A$1:$AL$1,)))</f>
        <v>5.3921169999999998</v>
      </c>
      <c r="I9" s="13">
        <f>IF(VLOOKUP(B9,'Data World'!$A:$AL,MATCH(World!$I$1,'Data World'!$A$1:$AL$1,))=0,#N/A,VLOOKUP(B9,'Data World'!$A:$AL,MATCH(World!$I$1,'Data World'!$A$1:$AL$1,)))</f>
        <v>11.8</v>
      </c>
      <c r="J9" s="13">
        <f>IF(VLOOKUP(B9,'Data World'!$A:$AL,MATCH(World!$J$1,'Data World'!$A$1:$AL$1,))=0,#N/A,VLOOKUP(B9,'Data World'!$A:$AL,MATCH(World!$J$1,'Data World'!$A$1:$AL$1,)))</f>
        <v>21.9</v>
      </c>
      <c r="K9" s="13">
        <f>IF(VLOOKUP(B9,'Data World'!$A:$AL,MATCH(World!$K$1,'Data World'!$A$1:$AL$1,))=0,#N/A,VLOOKUP(B9,'Data World'!$A:$AL,MATCH(World!$K$1,'Data World'!$A$1:$AL$1,)))</f>
        <v>7.1</v>
      </c>
      <c r="L9" s="13">
        <f>IF(VLOOKUP(B9,'Data World'!$A:$AL,MATCH(World!$L$1,'Data World'!$A$1:$AL$1,))=0,#N/A,VLOOKUP(B9,'Data World'!$A:$AL,MATCH(World!$L$1,'Data World'!$A$1:$AL$1,)))</f>
        <v>4.4565159999999997</v>
      </c>
      <c r="M9" s="13">
        <f>IF(VLOOKUP(B9,'Data World'!$A:$AL,MATCH(World!$M$1,'Data World'!$A$1:$AL$1,))=0,#N/A,VLOOKUP(B9,'Data World'!$A:$AL,MATCH(World!$M$1,'Data World'!$A$1:$AL$1,)))</f>
        <v>6.9</v>
      </c>
      <c r="N9" s="13">
        <f>IF(VLOOKUP(B9,'Data World'!$A:$AL,MATCH(World!$N$1,'Data World'!$A$1:$AL$1,))=0,#N/A,VLOOKUP(B9,'Data World'!$A:$AL,MATCH(World!$N$1,'Data World'!$A$1:$AL$1,)))</f>
        <v>6.2562319999999998</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7.4</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4.5999999999999996</v>
      </c>
      <c r="G10" s="13">
        <f>IF(VLOOKUP(B10,'Data World'!$A:$AL,MATCH(World!$G$1,'Data World'!$A$1:$AL$1,))=0,#N/A,VLOOKUP(B10,'Data World'!$A:$AL,MATCH(World!$G$1,'Data World'!$A$1:$AL$1,)))</f>
        <v>10.3</v>
      </c>
      <c r="H10" s="13">
        <f>IF(VLOOKUP(B10,'Data World'!$A:$AL,MATCH(World!$H$1,'Data World'!$A$1:$AL$1,))=0,#N/A,VLOOKUP(B10,'Data World'!$A:$AL,MATCH(World!$H$1,'Data World'!$A$1:$AL$1,)))</f>
        <v>5.3193219999999997</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6.9</v>
      </c>
      <c r="L10" s="13">
        <f>IF(VLOOKUP(B10,'Data World'!$A:$AL,MATCH(World!$L$1,'Data World'!$A$1:$AL$1,))=0,#N/A,VLOOKUP(B10,'Data World'!$A:$AL,MATCH(World!$L$1,'Data World'!$A$1:$AL$1,)))</f>
        <v>4.3827249999999998</v>
      </c>
      <c r="M10" s="13">
        <f>IF(VLOOKUP(B10,'Data World'!$A:$AL,MATCH(World!$M$1,'Data World'!$A$1:$AL$1,))=0,#N/A,VLOOKUP(B10,'Data World'!$A:$AL,MATCH(World!$M$1,'Data World'!$A$1:$AL$1,)))</f>
        <v>7</v>
      </c>
      <c r="N10" s="13">
        <f>IF(VLOOKUP(B10,'Data World'!$A:$AL,MATCH(World!$N$1,'Data World'!$A$1:$AL$1,))=0,#N/A,VLOOKUP(B10,'Data World'!$A:$AL,MATCH(World!$N$1,'Data World'!$A$1:$AL$1,)))</f>
        <v>6.0675439999999998</v>
      </c>
      <c r="O10" s="13">
        <f>IF(VLOOKUP(B10,'Data World'!$A:$AL,MATCH(World!$O$1,'Data World'!$A$1:$AL$1,))=0,#N/A,VLOOKUP(B10,'Data World'!$A:$AL,MATCH(World!$O$1,'Data World'!$A$1:$AL$1,)))</f>
        <v>3.6</v>
      </c>
      <c r="P10" s="13">
        <f>IF(VLOOKUP(B10,'Data World'!$A:$AL,MATCH(World!$P$1,'Data World'!$A$1:$AL$1,))=0,#N/A,VLOOKUP(B10,'Data World'!$A:$AL,MATCH(World!$P$1,'Data World'!$A$1:$AL$1,)))</f>
        <v>24.3</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7.3</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4.5</v>
      </c>
      <c r="G11" s="13">
        <f>IF(VLOOKUP(B11,'Data World'!$A:$AL,MATCH(World!$G$1,'Data World'!$A$1:$AL$1,))=0,#N/A,VLOOKUP(B11,'Data World'!$A:$AL,MATCH(World!$G$1,'Data World'!$A$1:$AL$1,)))</f>
        <v>10.3</v>
      </c>
      <c r="H11" s="13">
        <f>IF(VLOOKUP(B11,'Data World'!$A:$AL,MATCH(World!$H$1,'Data World'!$A$1:$AL$1,))=0,#N/A,VLOOKUP(B11,'Data World'!$A:$AL,MATCH(World!$H$1,'Data World'!$A$1:$AL$1,)))</f>
        <v>5.1742730000000003</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7.3</v>
      </c>
      <c r="L11" s="13">
        <f>IF(VLOOKUP(B11,'Data World'!$A:$AL,MATCH(World!$L$1,'Data World'!$A$1:$AL$1,))=0,#N/A,VLOOKUP(B11,'Data World'!$A:$AL,MATCH(World!$L$1,'Data World'!$A$1:$AL$1,)))</f>
        <v>4.187684</v>
      </c>
      <c r="M11" s="13">
        <f>IF(VLOOKUP(B11,'Data World'!$A:$AL,MATCH(World!$M$1,'Data World'!$A$1:$AL$1,))=0,#N/A,VLOOKUP(B11,'Data World'!$A:$AL,MATCH(World!$M$1,'Data World'!$A$1:$AL$1,)))</f>
        <v>7.1</v>
      </c>
      <c r="N11" s="13">
        <f>IF(VLOOKUP(B11,'Data World'!$A:$AL,MATCH(World!$N$1,'Data World'!$A$1:$AL$1,))=0,#N/A,VLOOKUP(B11,'Data World'!$A:$AL,MATCH(World!$N$1,'Data World'!$A$1:$AL$1,)))</f>
        <v>6.1465860000000001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4.7</v>
      </c>
      <c r="T11" s="13">
        <f>IF(VLOOKUP(B11,'Data World'!$A:$AL,MATCH(World!$T$1,'Data World'!$A$1:$AL$1,))=0,#N/A,VLOOKUP(B11,'Data World'!$A:$AL,MATCH(World!$T$1,'Data World'!$A$1:$AL$1,)))</f>
        <v>7.2</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4.5</v>
      </c>
      <c r="G12" s="13">
        <f>IF(VLOOKUP(B12,'Data World'!$A:$AL,MATCH(World!$G$1,'Data World'!$A$1:$AL$1,))=0,#N/A,VLOOKUP(B12,'Data World'!$A:$AL,MATCH(World!$G$1,'Data World'!$A$1:$AL$1,)))</f>
        <v>10.199999999999999</v>
      </c>
      <c r="H12" s="13">
        <f>IF(VLOOKUP(B12,'Data World'!$A:$AL,MATCH(World!$H$1,'Data World'!$A$1:$AL$1,))=0,#N/A,VLOOKUP(B12,'Data World'!$A:$AL,MATCH(World!$H$1,'Data World'!$A$1:$AL$1,)))</f>
        <v>5.0813969999999999</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7.2</v>
      </c>
      <c r="L12" s="13">
        <f>IF(VLOOKUP(B12,'Data World'!$A:$AL,MATCH(World!$L$1,'Data World'!$A$1:$AL$1,))=0,#N/A,VLOOKUP(B12,'Data World'!$A:$AL,MATCH(World!$L$1,'Data World'!$A$1:$AL$1,)))</f>
        <v>4.456226</v>
      </c>
      <c r="M12" s="13">
        <f>IF(VLOOKUP(B12,'Data World'!$A:$AL,MATCH(World!$M$1,'Data World'!$A$1:$AL$1,))=0,#N/A,VLOOKUP(B12,'Data World'!$A:$AL,MATCH(World!$M$1,'Data World'!$A$1:$AL$1,)))</f>
        <v>6.9</v>
      </c>
      <c r="N12" s="13">
        <f>IF(VLOOKUP(B12,'Data World'!$A:$AL,MATCH(World!$N$1,'Data World'!$A$1:$AL$1,))=0,#N/A,VLOOKUP(B12,'Data World'!$A:$AL,MATCH(World!$N$1,'Data World'!$A$1:$AL$1,)))</f>
        <v>5.9114360000000001</v>
      </c>
      <c r="O12" s="13">
        <f>IF(VLOOKUP(B12,'Data World'!$A:$AL,MATCH(World!$O$1,'Data World'!$A$1:$AL$1,))=0,#N/A,VLOOKUP(B12,'Data World'!$A:$AL,MATCH(World!$O$1,'Data World'!$A$1:$AL$1,)))</f>
        <v>3.5</v>
      </c>
      <c r="P12" s="13">
        <f>IF(VLOOKUP(B12,'Data World'!$A:$AL,MATCH(World!$P$1,'Data World'!$A$1:$AL$1,))=0,#N/A,VLOOKUP(B12,'Data World'!$A:$AL,MATCH(World!$P$1,'Data World'!$A$1:$AL$1,)))</f>
        <v>24.6</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7.2</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10.5</v>
      </c>
      <c r="E13" s="13">
        <f>IF(VLOOKUP(B13,'Data World'!$A:$AL,MATCH(World!$E$1,'Data World'!$A$1:$AL$1,))=0,#N/A,VLOOKUP(B13,'Data World'!$A:$AL,MATCH(World!$E$1,'Data World'!$A$1:$AL$1,)))</f>
        <v>3.3</v>
      </c>
      <c r="F13" s="13">
        <f>IF(VLOOKUP(B13,'Data World'!$A:$AL,MATCH(World!$F$1,'Data World'!$A$1:$AL$1,))=0,#N/A,VLOOKUP(B13,'Data World'!$A:$AL,MATCH(World!$F$1,'Data World'!$A$1:$AL$1,)))</f>
        <v>4.5</v>
      </c>
      <c r="G13" s="13">
        <f>IF(VLOOKUP(B13,'Data World'!$A:$AL,MATCH(World!$G$1,'Data World'!$A$1:$AL$1,))=0,#N/A,VLOOKUP(B13,'Data World'!$A:$AL,MATCH(World!$G$1,'Data World'!$A$1:$AL$1,)))</f>
        <v>10.199999999999999</v>
      </c>
      <c r="H13" s="13">
        <f>IF(VLOOKUP(B13,'Data World'!$A:$AL,MATCH(World!$H$1,'Data World'!$A$1:$AL$1,))=0,#N/A,VLOOKUP(B13,'Data World'!$A:$AL,MATCH(World!$H$1,'Data World'!$A$1:$AL$1,)))</f>
        <v>5.0788419999999999</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6.9</v>
      </c>
      <c r="L13" s="13">
        <f>IF(VLOOKUP(B13,'Data World'!$A:$AL,MATCH(World!$L$1,'Data World'!$A$1:$AL$1,))=0,#N/A,VLOOKUP(B13,'Data World'!$A:$AL,MATCH(World!$L$1,'Data World'!$A$1:$AL$1,)))</f>
        <v>4.0896670000000004</v>
      </c>
      <c r="M13" s="13">
        <f>IF(VLOOKUP(B13,'Data World'!$A:$AL,MATCH(World!$M$1,'Data World'!$A$1:$AL$1,))=0,#N/A,VLOOKUP(B13,'Data World'!$A:$AL,MATCH(World!$M$1,'Data World'!$A$1:$AL$1,)))</f>
        <v>7.1</v>
      </c>
      <c r="N13" s="13">
        <f>IF(VLOOKUP(B13,'Data World'!$A:$AL,MATCH(World!$N$1,'Data World'!$A$1:$AL$1,))=0,#N/A,VLOOKUP(B13,'Data World'!$A:$AL,MATCH(World!$N$1,'Data World'!$A$1:$AL$1,)))</f>
        <v>5.8538459999999999</v>
      </c>
      <c r="O13" s="13">
        <f>IF(VLOOKUP(B13,'Data World'!$A:$AL,MATCH(World!$O$1,'Data World'!$A$1:$AL$1,))=0,#N/A,VLOOKUP(B13,'Data World'!$A:$AL,MATCH(World!$O$1,'Data World'!$A$1:$AL$1,)))</f>
        <v>3.6</v>
      </c>
      <c r="P13" s="13">
        <f>IF(VLOOKUP(B13,'Data World'!$A:$AL,MATCH(World!$P$1,'Data World'!$A$1:$AL$1,))=0,#N/A,VLOOKUP(B13,'Data World'!$A:$AL,MATCH(World!$P$1,'Data World'!$A$1:$AL$1,)))</f>
        <v>24.1</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7.1</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4.5</v>
      </c>
      <c r="G14" s="13">
        <f>IF(VLOOKUP(B14,'Data World'!$A:$AL,MATCH(World!$G$1,'Data World'!$A$1:$AL$1,))=0,#N/A,VLOOKUP(B14,'Data World'!$A:$AL,MATCH(World!$G$1,'Data World'!$A$1:$AL$1,)))</f>
        <v>10.199999999999999</v>
      </c>
      <c r="H14" s="13">
        <f>IF(VLOOKUP(B14,'Data World'!$A:$AL,MATCH(World!$H$1,'Data World'!$A$1:$AL$1,))=0,#N/A,VLOOKUP(B14,'Data World'!$A:$AL,MATCH(World!$H$1,'Data World'!$A$1:$AL$1,)))</f>
        <v>5.0692279999999998</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7.2</v>
      </c>
      <c r="L14" s="13">
        <f>IF(VLOOKUP(B14,'Data World'!$A:$AL,MATCH(World!$L$1,'Data World'!$A$1:$AL$1,))=0,#N/A,VLOOKUP(B14,'Data World'!$A:$AL,MATCH(World!$L$1,'Data World'!$A$1:$AL$1,)))</f>
        <v>4.3817409999999999</v>
      </c>
      <c r="M14" s="13">
        <f>IF(VLOOKUP(B14,'Data World'!$A:$AL,MATCH(World!$M$1,'Data World'!$A$1:$AL$1,))=0,#N/A,VLOOKUP(B14,'Data World'!$A:$AL,MATCH(World!$M$1,'Data World'!$A$1:$AL$1,)))</f>
        <v>7.2</v>
      </c>
      <c r="N14" s="13">
        <f>IF(VLOOKUP(B14,'Data World'!$A:$AL,MATCH(World!$N$1,'Data World'!$A$1:$AL$1,))=0,#N/A,VLOOKUP(B14,'Data World'!$A:$AL,MATCH(World!$N$1,'Data World'!$A$1:$AL$1,)))</f>
        <v>5.7470059999999998</v>
      </c>
      <c r="O14" s="13">
        <f>IF(VLOOKUP(B14,'Data World'!$A:$AL,MATCH(World!$O$1,'Data World'!$A$1:$AL$1,))=0,#N/A,VLOOKUP(B14,'Data World'!$A:$AL,MATCH(World!$O$1,'Data World'!$A$1:$AL$1,)))</f>
        <v>3.5</v>
      </c>
      <c r="P14" s="13">
        <f>IF(VLOOKUP(B14,'Data World'!$A:$AL,MATCH(World!$P$1,'Data World'!$A$1:$AL$1,))=0,#N/A,VLOOKUP(B14,'Data World'!$A:$AL,MATCH(World!$P$1,'Data World'!$A$1:$AL$1,)))</f>
        <v>24</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6.9</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4.4000000000000004</v>
      </c>
      <c r="G15" s="13">
        <f>IF(VLOOKUP(B15,'Data World'!$A:$AL,MATCH(World!$G$1,'Data World'!$A$1:$AL$1,))=0,#N/A,VLOOKUP(B15,'Data World'!$A:$AL,MATCH(World!$G$1,'Data World'!$A$1:$AL$1,)))</f>
        <v>10.199999999999999</v>
      </c>
      <c r="H15" s="13">
        <f>IF(VLOOKUP(B15,'Data World'!$A:$AL,MATCH(World!$H$1,'Data World'!$A$1:$AL$1,))=0,#N/A,VLOOKUP(B15,'Data World'!$A:$AL,MATCH(World!$H$1,'Data World'!$A$1:$AL$1,)))</f>
        <v>5.1131789999999997</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v>
      </c>
      <c r="L15" s="13">
        <f>IF(VLOOKUP(B15,'Data World'!$A:$AL,MATCH(World!$L$1,'Data World'!$A$1:$AL$1,))=0,#N/A,VLOOKUP(B15,'Data World'!$A:$AL,MATCH(World!$L$1,'Data World'!$A$1:$AL$1,)))</f>
        <v>4.0724349999999996</v>
      </c>
      <c r="M15" s="13">
        <f>IF(VLOOKUP(B15,'Data World'!$A:$AL,MATCH(World!$M$1,'Data World'!$A$1:$AL$1,))=0,#N/A,VLOOKUP(B15,'Data World'!$A:$AL,MATCH(World!$M$1,'Data World'!$A$1:$AL$1,)))</f>
        <v>7.2</v>
      </c>
      <c r="N15" s="13">
        <f>IF(VLOOKUP(B15,'Data World'!$A:$AL,MATCH(World!$N$1,'Data World'!$A$1:$AL$1,))=0,#N/A,VLOOKUP(B15,'Data World'!$A:$AL,MATCH(World!$N$1,'Data World'!$A$1:$AL$1,)))</f>
        <v>6.0433539999999999</v>
      </c>
      <c r="O15" s="13">
        <f>IF(VLOOKUP(B15,'Data World'!$A:$AL,MATCH(World!$O$1,'Data World'!$A$1:$AL$1,))=0,#N/A,VLOOKUP(B15,'Data World'!$A:$AL,MATCH(World!$O$1,'Data World'!$A$1:$AL$1,)))</f>
        <v>3.6</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6.7</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4.3</v>
      </c>
      <c r="G16" s="13">
        <f>IF(VLOOKUP(B16,'Data World'!$A:$AL,MATCH(World!$G$1,'Data World'!$A$1:$AL$1,))=0,#N/A,VLOOKUP(B16,'Data World'!$A:$AL,MATCH(World!$G$1,'Data World'!$A$1:$AL$1,)))</f>
        <v>10.3</v>
      </c>
      <c r="H16" s="13">
        <f>IF(VLOOKUP(B16,'Data World'!$A:$AL,MATCH(World!$H$1,'Data World'!$A$1:$AL$1,))=0,#N/A,VLOOKUP(B16,'Data World'!$A:$AL,MATCH(World!$H$1,'Data World'!$A$1:$AL$1,)))</f>
        <v>5.0710350000000002</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7.1</v>
      </c>
      <c r="L16" s="13">
        <f>IF(VLOOKUP(B16,'Data World'!$A:$AL,MATCH(World!$L$1,'Data World'!$A$1:$AL$1,))=0,#N/A,VLOOKUP(B16,'Data World'!$A:$AL,MATCH(World!$L$1,'Data World'!$A$1:$AL$1,)))</f>
        <v>4.1755909999999998</v>
      </c>
      <c r="M16" s="13">
        <f>IF(VLOOKUP(B16,'Data World'!$A:$AL,MATCH(World!$M$1,'Data World'!$A$1:$AL$1,))=0,#N/A,VLOOKUP(B16,'Data World'!$A:$AL,MATCH(World!$M$1,'Data World'!$A$1:$AL$1,)))</f>
        <v>7.3</v>
      </c>
      <c r="N16" s="13">
        <f>IF(VLOOKUP(B16,'Data World'!$A:$AL,MATCH(World!$N$1,'Data World'!$A$1:$AL$1,))=0,#N/A,VLOOKUP(B16,'Data World'!$A:$AL,MATCH(World!$N$1,'Data World'!$A$1:$AL$1,)))</f>
        <v>5.7174440000000004</v>
      </c>
      <c r="O16" s="13">
        <f>IF(VLOOKUP(B16,'Data World'!$A:$AL,MATCH(World!$O$1,'Data World'!$A$1:$AL$1,))=0,#N/A,VLOOKUP(B16,'Data World'!$A:$AL,MATCH(World!$O$1,'Data World'!$A$1:$AL$1,)))</f>
        <v>3.9</v>
      </c>
      <c r="P16" s="13">
        <f>IF(VLOOKUP(B16,'Data World'!$A:$AL,MATCH(World!$P$1,'Data World'!$A$1:$AL$1,))=0,#N/A,VLOOKUP(B16,'Data World'!$A:$AL,MATCH(World!$P$1,'Data World'!$A$1:$AL$1,)))</f>
        <v>23.7</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6.6</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4.3</v>
      </c>
      <c r="G17" s="13">
        <f>IF(VLOOKUP(B17,'Data World'!$A:$AL,MATCH(World!$G$1,'Data World'!$A$1:$AL$1,))=0,#N/A,VLOOKUP(B17,'Data World'!$A:$AL,MATCH(World!$G$1,'Data World'!$A$1:$AL$1,)))</f>
        <v>10.199999999999999</v>
      </c>
      <c r="H17" s="13">
        <f>IF(VLOOKUP(B17,'Data World'!$A:$AL,MATCH(World!$H$1,'Data World'!$A$1:$AL$1,))=0,#N/A,VLOOKUP(B17,'Data World'!$A:$AL,MATCH(World!$H$1,'Data World'!$A$1:$AL$1,)))</f>
        <v>5.0070499999999996</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7.3</v>
      </c>
      <c r="L17" s="13">
        <f>IF(VLOOKUP(B17,'Data World'!$A:$AL,MATCH(World!$L$1,'Data World'!$A$1:$AL$1,))=0,#N/A,VLOOKUP(B17,'Data World'!$A:$AL,MATCH(World!$L$1,'Data World'!$A$1:$AL$1,)))</f>
        <v>4.0811419999999998</v>
      </c>
      <c r="M17" s="13">
        <f>IF(VLOOKUP(B17,'Data World'!$A:$AL,MATCH(World!$M$1,'Data World'!$A$1:$AL$1,))=0,#N/A,VLOOKUP(B17,'Data World'!$A:$AL,MATCH(World!$M$1,'Data World'!$A$1:$AL$1,)))</f>
        <v>7.1</v>
      </c>
      <c r="N17" s="13">
        <f>IF(VLOOKUP(B17,'Data World'!$A:$AL,MATCH(World!$N$1,'Data World'!$A$1:$AL$1,))=0,#N/A,VLOOKUP(B17,'Data World'!$A:$AL,MATCH(World!$N$1,'Data World'!$A$1:$AL$1,)))</f>
        <v>5.6722939999999999</v>
      </c>
      <c r="O17" s="13">
        <f>IF(VLOOKUP(B17,'Data World'!$A:$AL,MATCH(World!$O$1,'Data World'!$A$1:$AL$1,))=0,#N/A,VLOOKUP(B17,'Data World'!$A:$AL,MATCH(World!$O$1,'Data World'!$A$1:$AL$1,)))</f>
        <v>3.7</v>
      </c>
      <c r="P17" s="13">
        <f>IF(VLOOKUP(B17,'Data World'!$A:$AL,MATCH(World!$P$1,'Data World'!$A$1:$AL$1,))=0,#N/A,VLOOKUP(B17,'Data World'!$A:$AL,MATCH(World!$P$1,'Data World'!$A$1:$AL$1,)))</f>
        <v>24</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6.4</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4.3</v>
      </c>
      <c r="G18" s="13">
        <f>IF(VLOOKUP(B18,'Data World'!$A:$AL,MATCH(World!$G$1,'Data World'!$A$1:$AL$1,))=0,#N/A,VLOOKUP(B18,'Data World'!$A:$AL,MATCH(World!$G$1,'Data World'!$A$1:$AL$1,)))</f>
        <v>10.1</v>
      </c>
      <c r="H18" s="13">
        <f>IF(VLOOKUP(B18,'Data World'!$A:$AL,MATCH(World!$H$1,'Data World'!$A$1:$AL$1,))=0,#N/A,VLOOKUP(B18,'Data World'!$A:$AL,MATCH(World!$H$1,'Data World'!$A$1:$AL$1,)))</f>
        <v>4.9389659999999997</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6.7</v>
      </c>
      <c r="L18" s="13">
        <f>IF(VLOOKUP(B18,'Data World'!$A:$AL,MATCH(World!$L$1,'Data World'!$A$1:$AL$1,))=0,#N/A,VLOOKUP(B18,'Data World'!$A:$AL,MATCH(World!$L$1,'Data World'!$A$1:$AL$1,)))</f>
        <v>3.8990710000000002</v>
      </c>
      <c r="M18" s="13">
        <f>IF(VLOOKUP(B18,'Data World'!$A:$AL,MATCH(World!$M$1,'Data World'!$A$1:$AL$1,))=0,#N/A,VLOOKUP(B18,'Data World'!$A:$AL,MATCH(World!$M$1,'Data World'!$A$1:$AL$1,)))</f>
        <v>7.2</v>
      </c>
      <c r="N18" s="13">
        <f>IF(VLOOKUP(B18,'Data World'!$A:$AL,MATCH(World!$N$1,'Data World'!$A$1:$AL$1,))=0,#N/A,VLOOKUP(B18,'Data World'!$A:$AL,MATCH(World!$N$1,'Data World'!$A$1:$AL$1,)))</f>
        <v>5.6601889999999999</v>
      </c>
      <c r="O18" s="13">
        <f>IF(VLOOKUP(B18,'Data World'!$A:$AL,MATCH(World!$O$1,'Data World'!$A$1:$AL$1,))=0,#N/A,VLOOKUP(B18,'Data World'!$A:$AL,MATCH(World!$O$1,'Data World'!$A$1:$AL$1,)))</f>
        <v>3.6</v>
      </c>
      <c r="P18" s="13">
        <f>IF(VLOOKUP(B18,'Data World'!$A:$AL,MATCH(World!$P$1,'Data World'!$A$1:$AL$1,))=0,#N/A,VLOOKUP(B18,'Data World'!$A:$AL,MATCH(World!$P$1,'Data World'!$A$1:$AL$1,)))</f>
        <v>23.5</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4.2</v>
      </c>
      <c r="G19" s="13">
        <f>IF(VLOOKUP(B19,'Data World'!$A:$AL,MATCH(World!$G$1,'Data World'!$A$1:$AL$1,))=0,#N/A,VLOOKUP(B19,'Data World'!$A:$AL,MATCH(World!$G$1,'Data World'!$A$1:$AL$1,)))</f>
        <v>10.1</v>
      </c>
      <c r="H19" s="13">
        <f>IF(VLOOKUP(B19,'Data World'!$A:$AL,MATCH(World!$H$1,'Data World'!$A$1:$AL$1,))=0,#N/A,VLOOKUP(B19,'Data World'!$A:$AL,MATCH(World!$H$1,'Data World'!$A$1:$AL$1,)))</f>
        <v>4.9213630000000004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7.2</v>
      </c>
      <c r="L19" s="13">
        <f>IF(VLOOKUP(B19,'Data World'!$A:$AL,MATCH(World!$L$1,'Data World'!$A$1:$AL$1,))=0,#N/A,VLOOKUP(B19,'Data World'!$A:$AL,MATCH(World!$L$1,'Data World'!$A$1:$AL$1,)))</f>
        <v>4.1166070000000001</v>
      </c>
      <c r="M19" s="13">
        <f>IF(VLOOKUP(B19,'Data World'!$A:$AL,MATCH(World!$M$1,'Data World'!$A$1:$AL$1,))=0,#N/A,VLOOKUP(B19,'Data World'!$A:$AL,MATCH(World!$M$1,'Data World'!$A$1:$AL$1,)))</f>
        <v>7</v>
      </c>
      <c r="N19" s="13">
        <f>IF(VLOOKUP(B19,'Data World'!$A:$AL,MATCH(World!$N$1,'Data World'!$A$1:$AL$1,))=0,#N/A,VLOOKUP(B19,'Data World'!$A:$AL,MATCH(World!$N$1,'Data World'!$A$1:$AL$1,)))</f>
        <v>5.7195299999999998</v>
      </c>
      <c r="O19" s="13">
        <f>IF(VLOOKUP(B19,'Data World'!$A:$AL,MATCH(World!$O$1,'Data World'!$A$1:$AL$1,))=0,#N/A,VLOOKUP(B19,'Data World'!$A:$AL,MATCH(World!$O$1,'Data World'!$A$1:$AL$1,)))</f>
        <v>3.6</v>
      </c>
      <c r="P19" s="13">
        <f>IF(VLOOKUP(B19,'Data World'!$A:$AL,MATCH(World!$P$1,'Data World'!$A$1:$AL$1,))=0,#N/A,VLOOKUP(B19,'Data World'!$A:$AL,MATCH(World!$P$1,'Data World'!$A$1:$AL$1,)))</f>
        <v>23.5</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6.3</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4.2</v>
      </c>
      <c r="G20" s="13">
        <f>IF(VLOOKUP(B20,'Data World'!$A:$AL,MATCH(World!$G$1,'Data World'!$A$1:$AL$1,))=0,#N/A,VLOOKUP(B20,'Data World'!$A:$AL,MATCH(World!$G$1,'Data World'!$A$1:$AL$1,)))</f>
        <v>10</v>
      </c>
      <c r="H20" s="13">
        <f>IF(VLOOKUP(B20,'Data World'!$A:$AL,MATCH(World!$H$1,'Data World'!$A$1:$AL$1,))=0,#N/A,VLOOKUP(B20,'Data World'!$A:$AL,MATCH(World!$H$1,'Data World'!$A$1:$AL$1,)))</f>
        <v>4.8936799999999998</v>
      </c>
      <c r="I20" s="13">
        <f>IF(VLOOKUP(B20,'Data World'!$A:$AL,MATCH(World!$I$1,'Data World'!$A$1:$AL$1,))=0,#N/A,VLOOKUP(B20,'Data World'!$A:$AL,MATCH(World!$I$1,'Data World'!$A$1:$AL$1,)))</f>
        <v>11.7</v>
      </c>
      <c r="J20" s="13">
        <f>IF(VLOOKUP(B20,'Data World'!$A:$AL,MATCH(World!$J$1,'Data World'!$A$1:$AL$1,))=0,#N/A,VLOOKUP(B20,'Data World'!$A:$AL,MATCH(World!$J$1,'Data World'!$A$1:$AL$1,)))</f>
        <v>19.8</v>
      </c>
      <c r="K20" s="13">
        <f>IF(VLOOKUP(B20,'Data World'!$A:$AL,MATCH(World!$K$1,'Data World'!$A$1:$AL$1,))=0,#N/A,VLOOKUP(B20,'Data World'!$A:$AL,MATCH(World!$K$1,'Data World'!$A$1:$AL$1,)))</f>
        <v>6.7</v>
      </c>
      <c r="L20" s="13">
        <f>IF(VLOOKUP(B20,'Data World'!$A:$AL,MATCH(World!$L$1,'Data World'!$A$1:$AL$1,))=0,#N/A,VLOOKUP(B20,'Data World'!$A:$AL,MATCH(World!$L$1,'Data World'!$A$1:$AL$1,)))</f>
        <v>3.9591590000000001</v>
      </c>
      <c r="M20" s="13">
        <f>IF(VLOOKUP(B20,'Data World'!$A:$AL,MATCH(World!$M$1,'Data World'!$A$1:$AL$1,))=0,#N/A,VLOOKUP(B20,'Data World'!$A:$AL,MATCH(World!$M$1,'Data World'!$A$1:$AL$1,)))</f>
        <v>6.9</v>
      </c>
      <c r="N20" s="13">
        <f>IF(VLOOKUP(B20,'Data World'!$A:$AL,MATCH(World!$N$1,'Data World'!$A$1:$AL$1,))=0,#N/A,VLOOKUP(B20,'Data World'!$A:$AL,MATCH(World!$N$1,'Data World'!$A$1:$AL$1,)))</f>
        <v>5.6664099999999999</v>
      </c>
      <c r="O20" s="13">
        <f>IF(VLOOKUP(B20,'Data World'!$A:$AL,MATCH(World!$O$1,'Data World'!$A$1:$AL$1,))=0,#N/A,VLOOKUP(B20,'Data World'!$A:$AL,MATCH(World!$O$1,'Data World'!$A$1:$AL$1,)))</f>
        <v>3.6</v>
      </c>
      <c r="P20" s="13">
        <f>IF(VLOOKUP(B20,'Data World'!$A:$AL,MATCH(World!$P$1,'Data World'!$A$1:$AL$1,))=0,#N/A,VLOOKUP(B20,'Data World'!$A:$AL,MATCH(World!$P$1,'Data World'!$A$1:$AL$1,)))</f>
        <v>23.5</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6.2</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4.2</v>
      </c>
      <c r="G21" s="13">
        <f>IF(VLOOKUP(B21,'Data World'!$A:$AL,MATCH(World!$G$1,'Data World'!$A$1:$AL$1,))=0,#N/A,VLOOKUP(B21,'Data World'!$A:$AL,MATCH(World!$G$1,'Data World'!$A$1:$AL$1,)))</f>
        <v>9.8000000000000007</v>
      </c>
      <c r="H21" s="13">
        <f>IF(VLOOKUP(B21,'Data World'!$A:$AL,MATCH(World!$H$1,'Data World'!$A$1:$AL$1,))=0,#N/A,VLOOKUP(B21,'Data World'!$A:$AL,MATCH(World!$H$1,'Data World'!$A$1:$AL$1,)))</f>
        <v>4.9831630000000002</v>
      </c>
      <c r="I21" s="13">
        <f>IF(VLOOKUP(B21,'Data World'!$A:$AL,MATCH(World!$I$1,'Data World'!$A$1:$AL$1,))=0,#N/A,VLOOKUP(B21,'Data World'!$A:$AL,MATCH(World!$I$1,'Data World'!$A$1:$AL$1,)))</f>
        <v>11.7</v>
      </c>
      <c r="J21" s="13">
        <f>IF(VLOOKUP(B21,'Data World'!$A:$AL,MATCH(World!$J$1,'Data World'!$A$1:$AL$1,))=0,#N/A,VLOOKUP(B21,'Data World'!$A:$AL,MATCH(World!$J$1,'Data World'!$A$1:$AL$1,)))</f>
        <v>19.5</v>
      </c>
      <c r="K21" s="13">
        <f>IF(VLOOKUP(B21,'Data World'!$A:$AL,MATCH(World!$K$1,'Data World'!$A$1:$AL$1,))=0,#N/A,VLOOKUP(B21,'Data World'!$A:$AL,MATCH(World!$K$1,'Data World'!$A$1:$AL$1,)))</f>
        <v>6.8</v>
      </c>
      <c r="L21" s="13">
        <f>IF(VLOOKUP(B21,'Data World'!$A:$AL,MATCH(World!$L$1,'Data World'!$A$1:$AL$1,))=0,#N/A,VLOOKUP(B21,'Data World'!$A:$AL,MATCH(World!$L$1,'Data World'!$A$1:$AL$1,)))</f>
        <v>3.7990979999999999</v>
      </c>
      <c r="M21" s="13">
        <f>IF(VLOOKUP(B21,'Data World'!$A:$AL,MATCH(World!$M$1,'Data World'!$A$1:$AL$1,))=0,#N/A,VLOOKUP(B21,'Data World'!$A:$AL,MATCH(World!$M$1,'Data World'!$A$1:$AL$1,)))</f>
        <v>7</v>
      </c>
      <c r="N21" s="13">
        <f>IF(VLOOKUP(B21,'Data World'!$A:$AL,MATCH(World!$N$1,'Data World'!$A$1:$AL$1,))=0,#N/A,VLOOKUP(B21,'Data World'!$A:$AL,MATCH(World!$N$1,'Data World'!$A$1:$AL$1,)))</f>
        <v>5.672841</v>
      </c>
      <c r="O21" s="13">
        <f>IF(VLOOKUP(B21,'Data World'!$A:$AL,MATCH(World!$O$1,'Data World'!$A$1:$AL$1,))=0,#N/A,VLOOKUP(B21,'Data World'!$A:$AL,MATCH(World!$O$1,'Data World'!$A$1:$AL$1,)))</f>
        <v>3.6</v>
      </c>
      <c r="P21" s="13">
        <f>IF(VLOOKUP(B21,'Data World'!$A:$AL,MATCH(World!$P$1,'Data World'!$A$1:$AL$1,))=0,#N/A,VLOOKUP(B21,'Data World'!$A:$AL,MATCH(World!$P$1,'Data World'!$A$1:$AL$1,)))</f>
        <v>23.3</v>
      </c>
      <c r="Q21" s="13">
        <f>IF(VLOOKUP(B21,'Data World'!$A:$AL,MATCH(World!$Q$1,'Data World'!$A$1:$AL$1,))=0,#N/A,VLOOKUP(B21,'Data World'!$A:$AL,MATCH(World!$Q$1,'Data World'!$A$1:$AL$1,)))</f>
        <v>8.4</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6.2</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4.0999999999999996</v>
      </c>
      <c r="G22" s="13">
        <f>IF(VLOOKUP(B22,'Data World'!$A:$AL,MATCH(World!$G$1,'Data World'!$A$1:$AL$1,))=0,#N/A,VLOOKUP(B22,'Data World'!$A:$AL,MATCH(World!$G$1,'Data World'!$A$1:$AL$1,)))</f>
        <v>9.8000000000000007</v>
      </c>
      <c r="H22" s="13">
        <f>IF(VLOOKUP(B22,'Data World'!$A:$AL,MATCH(World!$H$1,'Data World'!$A$1:$AL$1,))=0,#N/A,VLOOKUP(B22,'Data World'!$A:$AL,MATCH(World!$H$1,'Data World'!$A$1:$AL$1,)))</f>
        <v>4.838883</v>
      </c>
      <c r="I22" s="13">
        <f>IF(VLOOKUP(B22,'Data World'!$A:$AL,MATCH(World!$I$1,'Data World'!$A$1:$AL$1,))=0,#N/A,VLOOKUP(B22,'Data World'!$A:$AL,MATCH(World!$I$1,'Data World'!$A$1:$AL$1,)))</f>
        <v>11.6</v>
      </c>
      <c r="J22" s="13">
        <f>IF(VLOOKUP(B22,'Data World'!$A:$AL,MATCH(World!$J$1,'Data World'!$A$1:$AL$1,))=0,#N/A,VLOOKUP(B22,'Data World'!$A:$AL,MATCH(World!$J$1,'Data World'!$A$1:$AL$1,)))</f>
        <v>19.2</v>
      </c>
      <c r="K22" s="13">
        <f>IF(VLOOKUP(B22,'Data World'!$A:$AL,MATCH(World!$K$1,'Data World'!$A$1:$AL$1,))=0,#N/A,VLOOKUP(B22,'Data World'!$A:$AL,MATCH(World!$K$1,'Data World'!$A$1:$AL$1,)))</f>
        <v>7.1</v>
      </c>
      <c r="L22" s="13">
        <f>IF(VLOOKUP(B22,'Data World'!$A:$AL,MATCH(World!$L$1,'Data World'!$A$1:$AL$1,))=0,#N/A,VLOOKUP(B22,'Data World'!$A:$AL,MATCH(World!$L$1,'Data World'!$A$1:$AL$1,)))</f>
        <v>3.7467640000000002</v>
      </c>
      <c r="M22" s="13">
        <f>IF(VLOOKUP(B22,'Data World'!$A:$AL,MATCH(World!$M$1,'Data World'!$A$1:$AL$1,))=0,#N/A,VLOOKUP(B22,'Data World'!$A:$AL,MATCH(World!$M$1,'Data World'!$A$1:$AL$1,)))</f>
        <v>7</v>
      </c>
      <c r="N22" s="13">
        <f>IF(VLOOKUP(B22,'Data World'!$A:$AL,MATCH(World!$N$1,'Data World'!$A$1:$AL$1,))=0,#N/A,VLOOKUP(B22,'Data World'!$A:$AL,MATCH(World!$N$1,'Data World'!$A$1:$AL$1,)))</f>
        <v>5.5874579999999998</v>
      </c>
      <c r="O22" s="13">
        <f>IF(VLOOKUP(B22,'Data World'!$A:$AL,MATCH(World!$O$1,'Data World'!$A$1:$AL$1,))=0,#N/A,VLOOKUP(B22,'Data World'!$A:$AL,MATCH(World!$O$1,'Data World'!$A$1:$AL$1,)))</f>
        <v>3.8</v>
      </c>
      <c r="P22" s="13">
        <f>IF(VLOOKUP(B22,'Data World'!$A:$AL,MATCH(World!$P$1,'Data World'!$A$1:$AL$1,))=0,#N/A,VLOOKUP(B22,'Data World'!$A:$AL,MATCH(World!$P$1,'Data World'!$A$1:$AL$1,)))</f>
        <v>23.5</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6.1</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4.0999999999999996</v>
      </c>
      <c r="G23" s="13">
        <f>IF(VLOOKUP(B23,'Data World'!$A:$AL,MATCH(World!$G$1,'Data World'!$A$1:$AL$1,))=0,#N/A,VLOOKUP(B23,'Data World'!$A:$AL,MATCH(World!$G$1,'Data World'!$A$1:$AL$1,)))</f>
        <v>9.9</v>
      </c>
      <c r="H23" s="13">
        <f>IF(VLOOKUP(B23,'Data World'!$A:$AL,MATCH(World!$H$1,'Data World'!$A$1:$AL$1,))=0,#N/A,VLOOKUP(B23,'Data World'!$A:$AL,MATCH(World!$H$1,'Data World'!$A$1:$AL$1,)))</f>
        <v>4.828989</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6.7</v>
      </c>
      <c r="L23" s="13">
        <f>IF(VLOOKUP(B23,'Data World'!$A:$AL,MATCH(World!$L$1,'Data World'!$A$1:$AL$1,))=0,#N/A,VLOOKUP(B23,'Data World'!$A:$AL,MATCH(World!$L$1,'Data World'!$A$1:$AL$1,)))</f>
        <v>3.8491230000000001</v>
      </c>
      <c r="M23" s="13">
        <f>IF(VLOOKUP(B23,'Data World'!$A:$AL,MATCH(World!$M$1,'Data World'!$A$1:$AL$1,))=0,#N/A,VLOOKUP(B23,'Data World'!$A:$AL,MATCH(World!$M$1,'Data World'!$A$1:$AL$1,)))</f>
        <v>7</v>
      </c>
      <c r="N23" s="13">
        <f>IF(VLOOKUP(B23,'Data World'!$A:$AL,MATCH(World!$N$1,'Data World'!$A$1:$AL$1,))=0,#N/A,VLOOKUP(B23,'Data World'!$A:$AL,MATCH(World!$N$1,'Data World'!$A$1:$AL$1,)))</f>
        <v>5.6244909999999999</v>
      </c>
      <c r="O23" s="13">
        <f>IF(VLOOKUP(B23,'Data World'!$A:$AL,MATCH(World!$O$1,'Data World'!$A$1:$AL$1,))=0,#N/A,VLOOKUP(B23,'Data World'!$A:$AL,MATCH(World!$O$1,'Data World'!$A$1:$AL$1,)))</f>
        <v>3.9</v>
      </c>
      <c r="P23" s="13">
        <f>IF(VLOOKUP(B23,'Data World'!$A:$AL,MATCH(World!$P$1,'Data World'!$A$1:$AL$1,))=0,#N/A,VLOOKUP(B23,'Data World'!$A:$AL,MATCH(World!$P$1,'Data World'!$A$1:$AL$1,)))</f>
        <v>23.1</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4</v>
      </c>
      <c r="G24" s="13">
        <f>IF(VLOOKUP(B24,'Data World'!$A:$AL,MATCH(World!$G$1,'Data World'!$A$1:$AL$1,))=0,#N/A,VLOOKUP(B24,'Data World'!$A:$AL,MATCH(World!$G$1,'Data World'!$A$1:$AL$1,)))</f>
        <v>10</v>
      </c>
      <c r="H24" s="13">
        <f>IF(VLOOKUP(B24,'Data World'!$A:$AL,MATCH(World!$H$1,'Data World'!$A$1:$AL$1,))=0,#N/A,VLOOKUP(B24,'Data World'!$A:$AL,MATCH(World!$H$1,'Data World'!$A$1:$AL$1,)))</f>
        <v>4.7941200000000004</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6.9</v>
      </c>
      <c r="L24" s="13">
        <f>IF(VLOOKUP(B24,'Data World'!$A:$AL,MATCH(World!$L$1,'Data World'!$A$1:$AL$1,))=0,#N/A,VLOOKUP(B24,'Data World'!$A:$AL,MATCH(World!$L$1,'Data World'!$A$1:$AL$1,)))</f>
        <v>3.5847669999999998</v>
      </c>
      <c r="M24" s="13">
        <f>IF(VLOOKUP(B24,'Data World'!$A:$AL,MATCH(World!$M$1,'Data World'!$A$1:$AL$1,))=0,#N/A,VLOOKUP(B24,'Data World'!$A:$AL,MATCH(World!$M$1,'Data World'!$A$1:$AL$1,)))</f>
        <v>7</v>
      </c>
      <c r="N24" s="13">
        <f>IF(VLOOKUP(B24,'Data World'!$A:$AL,MATCH(World!$N$1,'Data World'!$A$1:$AL$1,))=0,#N/A,VLOOKUP(B24,'Data World'!$A:$AL,MATCH(World!$N$1,'Data World'!$A$1:$AL$1,)))</f>
        <v>5.5721350000000003</v>
      </c>
      <c r="O24" s="13">
        <f>IF(VLOOKUP(B24,'Data World'!$A:$AL,MATCH(World!$O$1,'Data World'!$A$1:$AL$1,))=0,#N/A,VLOOKUP(B24,'Data World'!$A:$AL,MATCH(World!$O$1,'Data World'!$A$1:$AL$1,)))</f>
        <v>3.8</v>
      </c>
      <c r="P24" s="13">
        <f>IF(VLOOKUP(B24,'Data World'!$A:$AL,MATCH(World!$P$1,'Data World'!$A$1:$AL$1,))=0,#N/A,VLOOKUP(B24,'Data World'!$A:$AL,MATCH(World!$P$1,'Data World'!$A$1:$AL$1,)))</f>
        <v>23.1</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9.8000000000000007</v>
      </c>
      <c r="E25" s="13">
        <f>IF(VLOOKUP(B25,'Data World'!$A:$AL,MATCH(World!$E$1,'Data World'!$A$1:$AL$1,))=0,#N/A,VLOOKUP(B25,'Data World'!$A:$AL,MATCH(World!$E$1,'Data World'!$A$1:$AL$1,)))</f>
        <v>3</v>
      </c>
      <c r="F25" s="13">
        <f>IF(VLOOKUP(B25,'Data World'!$A:$AL,MATCH(World!$F$1,'Data World'!$A$1:$AL$1,))=0,#N/A,VLOOKUP(B25,'Data World'!$A:$AL,MATCH(World!$F$1,'Data World'!$A$1:$AL$1,)))</f>
        <v>3.9</v>
      </c>
      <c r="G25" s="13">
        <f>IF(VLOOKUP(B25,'Data World'!$A:$AL,MATCH(World!$G$1,'Data World'!$A$1:$AL$1,))=0,#N/A,VLOOKUP(B25,'Data World'!$A:$AL,MATCH(World!$G$1,'Data World'!$A$1:$AL$1,)))</f>
        <v>10.1</v>
      </c>
      <c r="H25" s="13">
        <f>IF(VLOOKUP(B25,'Data World'!$A:$AL,MATCH(World!$H$1,'Data World'!$A$1:$AL$1,))=0,#N/A,VLOOKUP(B25,'Data World'!$A:$AL,MATCH(World!$H$1,'Data World'!$A$1:$AL$1,)))</f>
        <v>4.7421059999999997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6.8</v>
      </c>
      <c r="L25" s="13">
        <f>IF(VLOOKUP(B25,'Data World'!$A:$AL,MATCH(World!$L$1,'Data World'!$A$1:$AL$1,))=0,#N/A,VLOOKUP(B25,'Data World'!$A:$AL,MATCH(World!$L$1,'Data World'!$A$1:$AL$1,)))</f>
        <v>3.6219769999999998</v>
      </c>
      <c r="M25" s="13">
        <f>IF(VLOOKUP(B25,'Data World'!$A:$AL,MATCH(World!$M$1,'Data World'!$A$1:$AL$1,))=0,#N/A,VLOOKUP(B25,'Data World'!$A:$AL,MATCH(World!$M$1,'Data World'!$A$1:$AL$1,)))</f>
        <v>6.9</v>
      </c>
      <c r="N25" s="13">
        <f>IF(VLOOKUP(B25,'Data World'!$A:$AL,MATCH(World!$N$1,'Data World'!$A$1:$AL$1,))=0,#N/A,VLOOKUP(B25,'Data World'!$A:$AL,MATCH(World!$N$1,'Data World'!$A$1:$AL$1,)))</f>
        <v>5.7626419999999996</v>
      </c>
      <c r="O25" s="13">
        <f>IF(VLOOKUP(B25,'Data World'!$A:$AL,MATCH(World!$O$1,'Data World'!$A$1:$AL$1,))=0,#N/A,VLOOKUP(B25,'Data World'!$A:$AL,MATCH(World!$O$1,'Data World'!$A$1:$AL$1,)))</f>
        <v>3.7</v>
      </c>
      <c r="P25" s="13">
        <f>IF(VLOOKUP(B25,'Data World'!$A:$AL,MATCH(World!$P$1,'Data World'!$A$1:$AL$1,))=0,#N/A,VLOOKUP(B25,'Data World'!$A:$AL,MATCH(World!$P$1,'Data World'!$A$1:$AL$1,)))</f>
        <v>23.5</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3.9</v>
      </c>
      <c r="G26" s="13">
        <f>IF(VLOOKUP(B26,'Data World'!$A:$AL,MATCH(World!$G$1,'Data World'!$A$1:$AL$1,))=0,#N/A,VLOOKUP(B26,'Data World'!$A:$AL,MATCH(World!$G$1,'Data World'!$A$1:$AL$1,)))</f>
        <v>10</v>
      </c>
      <c r="H26" s="13">
        <f>IF(VLOOKUP(B26,'Data World'!$A:$AL,MATCH(World!$H$1,'Data World'!$A$1:$AL$1,))=0,#N/A,VLOOKUP(B26,'Data World'!$A:$AL,MATCH(World!$H$1,'Data World'!$A$1:$AL$1,)))</f>
        <v>4.7071170000000002</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6.9</v>
      </c>
      <c r="L26" s="13">
        <f>IF(VLOOKUP(B26,'Data World'!$A:$AL,MATCH(World!$L$1,'Data World'!$A$1:$AL$1,))=0,#N/A,VLOOKUP(B26,'Data World'!$A:$AL,MATCH(World!$L$1,'Data World'!$A$1:$AL$1,)))</f>
        <v>3.7170019999999999</v>
      </c>
      <c r="M26" s="13">
        <f>IF(VLOOKUP(B26,'Data World'!$A:$AL,MATCH(World!$M$1,'Data World'!$A$1:$AL$1,))=0,#N/A,VLOOKUP(B26,'Data World'!$A:$AL,MATCH(World!$M$1,'Data World'!$A$1:$AL$1,)))</f>
        <v>7</v>
      </c>
      <c r="N26" s="13">
        <f>IF(VLOOKUP(B26,'Data World'!$A:$AL,MATCH(World!$N$1,'Data World'!$A$1:$AL$1,))=0,#N/A,VLOOKUP(B26,'Data World'!$A:$AL,MATCH(World!$N$1,'Data World'!$A$1:$AL$1,)))</f>
        <v>5.8334650000000003</v>
      </c>
      <c r="O26" s="13">
        <f>IF(VLOOKUP(B26,'Data World'!$A:$AL,MATCH(World!$O$1,'Data World'!$A$1:$AL$1,))=0,#N/A,VLOOKUP(B26,'Data World'!$A:$AL,MATCH(World!$O$1,'Data World'!$A$1:$AL$1,)))</f>
        <v>3.5</v>
      </c>
      <c r="P26" s="13">
        <f>IF(VLOOKUP(B26,'Data World'!$A:$AL,MATCH(World!$P$1,'Data World'!$A$1:$AL$1,))=0,#N/A,VLOOKUP(B26,'Data World'!$A:$AL,MATCH(World!$P$1,'Data World'!$A$1:$AL$1,)))</f>
        <v>23.5</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3.5</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3.9</v>
      </c>
      <c r="G27" s="13">
        <f>IF(VLOOKUP(B27,'Data World'!$A:$AL,MATCH(World!$G$1,'Data World'!$A$1:$AL$1,))=0,#N/A,VLOOKUP(B27,'Data World'!$A:$AL,MATCH(World!$G$1,'Data World'!$A$1:$AL$1,)))</f>
        <v>9.6999999999999993</v>
      </c>
      <c r="H27" s="13">
        <f>IF(VLOOKUP(B27,'Data World'!$A:$AL,MATCH(World!$H$1,'Data World'!$A$1:$AL$1,))=0,#N/A,VLOOKUP(B27,'Data World'!$A:$AL,MATCH(World!$H$1,'Data World'!$A$1:$AL$1,)))</f>
        <v>4.6404860000000001</v>
      </c>
      <c r="I27" s="13">
        <f>IF(VLOOKUP(B27,'Data World'!$A:$AL,MATCH(World!$I$1,'Data World'!$A$1:$AL$1,))=0,#N/A,VLOOKUP(B27,'Data World'!$A:$AL,MATCH(World!$I$1,'Data World'!$A$1:$AL$1,)))</f>
        <v>11.8</v>
      </c>
      <c r="J27" s="13">
        <f>IF(VLOOKUP(B27,'Data World'!$A:$AL,MATCH(World!$J$1,'Data World'!$A$1:$AL$1,))=0,#N/A,VLOOKUP(B27,'Data World'!$A:$AL,MATCH(World!$J$1,'Data World'!$A$1:$AL$1,)))</f>
        <v>18.399999999999999</v>
      </c>
      <c r="K27" s="13">
        <f>IF(VLOOKUP(B27,'Data World'!$A:$AL,MATCH(World!$K$1,'Data World'!$A$1:$AL$1,))=0,#N/A,VLOOKUP(B27,'Data World'!$A:$AL,MATCH(World!$K$1,'Data World'!$A$1:$AL$1,)))</f>
        <v>6.8</v>
      </c>
      <c r="L27" s="13">
        <f>IF(VLOOKUP(B27,'Data World'!$A:$AL,MATCH(World!$L$1,'Data World'!$A$1:$AL$1,))=0,#N/A,VLOOKUP(B27,'Data World'!$A:$AL,MATCH(World!$L$1,'Data World'!$A$1:$AL$1,)))</f>
        <v>3.4415460000000002</v>
      </c>
      <c r="M27" s="13">
        <f>IF(VLOOKUP(B27,'Data World'!$A:$AL,MATCH(World!$M$1,'Data World'!$A$1:$AL$1,))=0,#N/A,VLOOKUP(B27,'Data World'!$A:$AL,MATCH(World!$M$1,'Data World'!$A$1:$AL$1,)))</f>
        <v>6.8</v>
      </c>
      <c r="N27" s="13">
        <f>IF(VLOOKUP(B27,'Data World'!$A:$AL,MATCH(World!$N$1,'Data World'!$A$1:$AL$1,))=0,#N/A,VLOOKUP(B27,'Data World'!$A:$AL,MATCH(World!$N$1,'Data World'!$A$1:$AL$1,)))</f>
        <v>5.7091900000000004</v>
      </c>
      <c r="O27" s="13">
        <f>IF(VLOOKUP(B27,'Data World'!$A:$AL,MATCH(World!$O$1,'Data World'!$A$1:$AL$1,))=0,#N/A,VLOOKUP(B27,'Data World'!$A:$AL,MATCH(World!$O$1,'Data World'!$A$1:$AL$1,)))</f>
        <v>3.6</v>
      </c>
      <c r="P27" s="13">
        <f>IF(VLOOKUP(B27,'Data World'!$A:$AL,MATCH(World!$P$1,'Data World'!$A$1:$AL$1,))=0,#N/A,VLOOKUP(B27,'Data World'!$A:$AL,MATCH(World!$P$1,'Data World'!$A$1:$AL$1,)))</f>
        <v>22.9</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3.5</v>
      </c>
      <c r="T27" s="13">
        <f>IF(VLOOKUP(B27,'Data World'!$A:$AL,MATCH(World!$T$1,'Data World'!$A$1:$AL$1,))=0,#N/A,VLOOKUP(B27,'Data World'!$A:$AL,MATCH(World!$T$1,'Data World'!$A$1:$AL$1,)))</f>
        <v>5.2</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3.9</v>
      </c>
      <c r="G28" s="13">
        <f>IF(VLOOKUP(B28,'Data World'!$A:$AL,MATCH(World!$G$1,'Data World'!$A$1:$AL$1,))=0,#N/A,VLOOKUP(B28,'Data World'!$A:$AL,MATCH(World!$G$1,'Data World'!$A$1:$AL$1,)))</f>
        <v>9.6</v>
      </c>
      <c r="H28" s="13">
        <f>IF(VLOOKUP(B28,'Data World'!$A:$AL,MATCH(World!$H$1,'Data World'!$A$1:$AL$1,))=0,#N/A,VLOOKUP(B28,'Data World'!$A:$AL,MATCH(World!$H$1,'Data World'!$A$1:$AL$1,)))</f>
        <v>4.5632999999999999</v>
      </c>
      <c r="I28" s="13">
        <f>IF(VLOOKUP(B28,'Data World'!$A:$AL,MATCH(World!$I$1,'Data World'!$A$1:$AL$1,))=0,#N/A,VLOOKUP(B28,'Data World'!$A:$AL,MATCH(World!$I$1,'Data World'!$A$1:$AL$1,)))</f>
        <v>11.5</v>
      </c>
      <c r="J28" s="13">
        <f>IF(VLOOKUP(B28,'Data World'!$A:$AL,MATCH(World!$J$1,'Data World'!$A$1:$AL$1,))=0,#N/A,VLOOKUP(B28,'Data World'!$A:$AL,MATCH(World!$J$1,'Data World'!$A$1:$AL$1,)))</f>
        <v>18.3</v>
      </c>
      <c r="K28" s="13">
        <f>IF(VLOOKUP(B28,'Data World'!$A:$AL,MATCH(World!$K$1,'Data World'!$A$1:$AL$1,))=0,#N/A,VLOOKUP(B28,'Data World'!$A:$AL,MATCH(World!$K$1,'Data World'!$A$1:$AL$1,)))</f>
        <v>6.9</v>
      </c>
      <c r="L28" s="13">
        <f>IF(VLOOKUP(B28,'Data World'!$A:$AL,MATCH(World!$L$1,'Data World'!$A$1:$AL$1,))=0,#N/A,VLOOKUP(B28,'Data World'!$A:$AL,MATCH(World!$L$1,'Data World'!$A$1:$AL$1,)))</f>
        <v>3.4009230000000001</v>
      </c>
      <c r="M28" s="13">
        <f>IF(VLOOKUP(B28,'Data World'!$A:$AL,MATCH(World!$M$1,'Data World'!$A$1:$AL$1,))=0,#N/A,VLOOKUP(B28,'Data World'!$A:$AL,MATCH(World!$M$1,'Data World'!$A$1:$AL$1,)))</f>
        <v>6.6</v>
      </c>
      <c r="N28" s="13">
        <f>IF(VLOOKUP(B28,'Data World'!$A:$AL,MATCH(World!$N$1,'Data World'!$A$1:$AL$1,))=0,#N/A,VLOOKUP(B28,'Data World'!$A:$AL,MATCH(World!$N$1,'Data World'!$A$1:$AL$1,)))</f>
        <v>5.8858860000000002</v>
      </c>
      <c r="O28" s="13">
        <f>IF(VLOOKUP(B28,'Data World'!$A:$AL,MATCH(World!$O$1,'Data World'!$A$1:$AL$1,))=0,#N/A,VLOOKUP(B28,'Data World'!$A:$AL,MATCH(World!$O$1,'Data World'!$A$1:$AL$1,)))</f>
        <v>3.9</v>
      </c>
      <c r="P28" s="13">
        <f>IF(VLOOKUP(B28,'Data World'!$A:$AL,MATCH(World!$P$1,'Data World'!$A$1:$AL$1,))=0,#N/A,VLOOKUP(B28,'Data World'!$A:$AL,MATCH(World!$P$1,'Data World'!$A$1:$AL$1,)))</f>
        <v>22.8</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9.4</v>
      </c>
      <c r="E29" s="13">
        <f>IF(VLOOKUP(B29,'Data World'!$A:$AL,MATCH(World!$E$1,'Data World'!$A$1:$AL$1,))=0,#N/A,VLOOKUP(B29,'Data World'!$A:$AL,MATCH(World!$E$1,'Data World'!$A$1:$AL$1,)))</f>
        <v>2.8</v>
      </c>
      <c r="F29" s="13">
        <f>IF(VLOOKUP(B29,'Data World'!$A:$AL,MATCH(World!$F$1,'Data World'!$A$1:$AL$1,))=0,#N/A,VLOOKUP(B29,'Data World'!$A:$AL,MATCH(World!$F$1,'Data World'!$A$1:$AL$1,)))</f>
        <v>3.9</v>
      </c>
      <c r="G29" s="13">
        <f>IF(VLOOKUP(B29,'Data World'!$A:$AL,MATCH(World!$G$1,'Data World'!$A$1:$AL$1,))=0,#N/A,VLOOKUP(B29,'Data World'!$A:$AL,MATCH(World!$G$1,'Data World'!$A$1:$AL$1,)))</f>
        <v>9.6</v>
      </c>
      <c r="H29" s="13">
        <f>IF(VLOOKUP(B29,'Data World'!$A:$AL,MATCH(World!$H$1,'Data World'!$A$1:$AL$1,))=0,#N/A,VLOOKUP(B29,'Data World'!$A:$AL,MATCH(World!$H$1,'Data World'!$A$1:$AL$1,)))</f>
        <v>4.5402870000000002</v>
      </c>
      <c r="I29" s="13">
        <f>IF(VLOOKUP(B29,'Data World'!$A:$AL,MATCH(World!$I$1,'Data World'!$A$1:$AL$1,))=0,#N/A,VLOOKUP(B29,'Data World'!$A:$AL,MATCH(World!$I$1,'Data World'!$A$1:$AL$1,)))</f>
        <v>11.7</v>
      </c>
      <c r="J29" s="13">
        <f>IF(VLOOKUP(B29,'Data World'!$A:$AL,MATCH(World!$J$1,'Data World'!$A$1:$AL$1,))=0,#N/A,VLOOKUP(B29,'Data World'!$A:$AL,MATCH(World!$J$1,'Data World'!$A$1:$AL$1,)))</f>
        <v>18.100000000000001</v>
      </c>
      <c r="K29" s="13">
        <f>IF(VLOOKUP(B29,'Data World'!$A:$AL,MATCH(World!$K$1,'Data World'!$A$1:$AL$1,))=0,#N/A,VLOOKUP(B29,'Data World'!$A:$AL,MATCH(World!$K$1,'Data World'!$A$1:$AL$1,)))</f>
        <v>6.4</v>
      </c>
      <c r="L29" s="13">
        <f>IF(VLOOKUP(B29,'Data World'!$A:$AL,MATCH(World!$L$1,'Data World'!$A$1:$AL$1,))=0,#N/A,VLOOKUP(B29,'Data World'!$A:$AL,MATCH(World!$L$1,'Data World'!$A$1:$AL$1,)))</f>
        <v>3.4837280000000002</v>
      </c>
      <c r="M29" s="13">
        <f>IF(VLOOKUP(B29,'Data World'!$A:$AL,MATCH(World!$M$1,'Data World'!$A$1:$AL$1,))=0,#N/A,VLOOKUP(B29,'Data World'!$A:$AL,MATCH(World!$M$1,'Data World'!$A$1:$AL$1,)))</f>
        <v>6.7</v>
      </c>
      <c r="N29" s="13">
        <f>IF(VLOOKUP(B29,'Data World'!$A:$AL,MATCH(World!$N$1,'Data World'!$A$1:$AL$1,))=0,#N/A,VLOOKUP(B29,'Data World'!$A:$AL,MATCH(World!$N$1,'Data World'!$A$1:$AL$1,)))</f>
        <v>5.8872710000000001</v>
      </c>
      <c r="O29" s="13">
        <f>IF(VLOOKUP(B29,'Data World'!$A:$AL,MATCH(World!$O$1,'Data World'!$A$1:$AL$1,))=0,#N/A,VLOOKUP(B29,'Data World'!$A:$AL,MATCH(World!$O$1,'Data World'!$A$1:$AL$1,)))</f>
        <v>3.6</v>
      </c>
      <c r="P29" s="13">
        <f>IF(VLOOKUP(B29,'Data World'!$A:$AL,MATCH(World!$P$1,'Data World'!$A$1:$AL$1,))=0,#N/A,VLOOKUP(B29,'Data World'!$A:$AL,MATCH(World!$P$1,'Data World'!$A$1:$AL$1,)))</f>
        <v>22.1</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3.2</v>
      </c>
      <c r="T29" s="13">
        <f>IF(VLOOKUP(B29,'Data World'!$A:$AL,MATCH(World!$T$1,'Data World'!$A$1:$AL$1,))=0,#N/A,VLOOKUP(B29,'Data World'!$A:$AL,MATCH(World!$T$1,'Data World'!$A$1:$AL$1,)))</f>
        <v>5</v>
      </c>
    </row>
    <row r="30" spans="2:20" x14ac:dyDescent="0.2">
      <c r="B30" s="12">
        <v>42855</v>
      </c>
      <c r="C30" s="13">
        <f>IF(VLOOKUP(B30,'Data World'!$A:$AL,MATCH(World!$C$1,'Data World'!$A$1:$AL$1,))=0,#N/A,VLOOKUP(B30,'Data World'!$A:$AL,MATCH(World!$C$1,'Data World'!$A$1:$AL$1,)))</f>
        <v>4.5</v>
      </c>
      <c r="D30" s="13">
        <f>IF(VLOOKUP(B30,'Data World'!$A:$AL,MATCH(World!$D$1,'Data World'!$A$1:$AL$1,))=0,#N/A,VLOOKUP(B30,'Data World'!$A:$AL,MATCH(World!$D$1,'Data World'!$A$1:$AL$1,)))</f>
        <v>9.1999999999999993</v>
      </c>
      <c r="E30" s="13">
        <f>IF(VLOOKUP(B30,'Data World'!$A:$AL,MATCH(World!$E$1,'Data World'!$A$1:$AL$1,))=0,#N/A,VLOOKUP(B30,'Data World'!$A:$AL,MATCH(World!$E$1,'Data World'!$A$1:$AL$1,)))</f>
        <v>2.8</v>
      </c>
      <c r="F30" s="13">
        <f>IF(VLOOKUP(B30,'Data World'!$A:$AL,MATCH(World!$F$1,'Data World'!$A$1:$AL$1,))=0,#N/A,VLOOKUP(B30,'Data World'!$A:$AL,MATCH(World!$F$1,'Data World'!$A$1:$AL$1,)))</f>
        <v>3.8</v>
      </c>
      <c r="G30" s="13">
        <f>IF(VLOOKUP(B30,'Data World'!$A:$AL,MATCH(World!$G$1,'Data World'!$A$1:$AL$1,))=0,#N/A,VLOOKUP(B30,'Data World'!$A:$AL,MATCH(World!$G$1,'Data World'!$A$1:$AL$1,)))</f>
        <v>9.5</v>
      </c>
      <c r="H30" s="13">
        <f>IF(VLOOKUP(B30,'Data World'!$A:$AL,MATCH(World!$H$1,'Data World'!$A$1:$AL$1,))=0,#N/A,VLOOKUP(B30,'Data World'!$A:$AL,MATCH(World!$H$1,'Data World'!$A$1:$AL$1,)))</f>
        <v>4.4453719999999999</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6.8</v>
      </c>
      <c r="L30" s="13">
        <f>IF(VLOOKUP(B30,'Data World'!$A:$AL,MATCH(World!$L$1,'Data World'!$A$1:$AL$1,))=0,#N/A,VLOOKUP(B30,'Data World'!$A:$AL,MATCH(World!$L$1,'Data World'!$A$1:$AL$1,)))</f>
        <v>3.5439530000000001</v>
      </c>
      <c r="M30" s="13">
        <f>IF(VLOOKUP(B30,'Data World'!$A:$AL,MATCH(World!$M$1,'Data World'!$A$1:$AL$1,))=0,#N/A,VLOOKUP(B30,'Data World'!$A:$AL,MATCH(World!$M$1,'Data World'!$A$1:$AL$1,)))</f>
        <v>6.5</v>
      </c>
      <c r="N30" s="13">
        <f>IF(VLOOKUP(B30,'Data World'!$A:$AL,MATCH(World!$N$1,'Data World'!$A$1:$AL$1,))=0,#N/A,VLOOKUP(B30,'Data World'!$A:$AL,MATCH(World!$N$1,'Data World'!$A$1:$AL$1,)))</f>
        <v>5.6368429999999998</v>
      </c>
      <c r="O30" s="13">
        <f>IF(VLOOKUP(B30,'Data World'!$A:$AL,MATCH(World!$O$1,'Data World'!$A$1:$AL$1,))=0,#N/A,VLOOKUP(B30,'Data World'!$A:$AL,MATCH(World!$O$1,'Data World'!$A$1:$AL$1,)))</f>
        <v>3.8</v>
      </c>
      <c r="P30" s="13">
        <f>IF(VLOOKUP(B30,'Data World'!$A:$AL,MATCH(World!$P$1,'Data World'!$A$1:$AL$1,))=0,#N/A,VLOOKUP(B30,'Data World'!$A:$AL,MATCH(World!$P$1,'Data World'!$A$1:$AL$1,)))</f>
        <v>21.4</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3.4</v>
      </c>
      <c r="T30" s="13">
        <f>IF(VLOOKUP(B30,'Data World'!$A:$AL,MATCH(World!$T$1,'Data World'!$A$1:$AL$1,))=0,#N/A,VLOOKUP(B30,'Data World'!$A:$AL,MATCH(World!$T$1,'Data World'!$A$1:$AL$1,)))</f>
        <v>5.0999999999999996</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3.8</v>
      </c>
      <c r="G31" s="13">
        <f>IF(VLOOKUP(B31,'Data World'!$A:$AL,MATCH(World!$G$1,'Data World'!$A$1:$AL$1,))=0,#N/A,VLOOKUP(B31,'Data World'!$A:$AL,MATCH(World!$G$1,'Data World'!$A$1:$AL$1,)))</f>
        <v>9.5</v>
      </c>
      <c r="H31" s="13">
        <f>IF(VLOOKUP(B31,'Data World'!$A:$AL,MATCH(World!$H$1,'Data World'!$A$1:$AL$1,))=0,#N/A,VLOOKUP(B31,'Data World'!$A:$AL,MATCH(World!$H$1,'Data World'!$A$1:$AL$1,)))</f>
        <v>4.4254020000000001</v>
      </c>
      <c r="I31" s="13">
        <f>IF(VLOOKUP(B31,'Data World'!$A:$AL,MATCH(World!$I$1,'Data World'!$A$1:$AL$1,))=0,#N/A,VLOOKUP(B31,'Data World'!$A:$AL,MATCH(World!$I$1,'Data World'!$A$1:$AL$1,)))</f>
        <v>11.5</v>
      </c>
      <c r="J31" s="13">
        <f>IF(VLOOKUP(B31,'Data World'!$A:$AL,MATCH(World!$J$1,'Data World'!$A$1:$AL$1,))=0,#N/A,VLOOKUP(B31,'Data World'!$A:$AL,MATCH(World!$J$1,'Data World'!$A$1:$AL$1,)))</f>
        <v>17.3</v>
      </c>
      <c r="K31" s="13">
        <f>IF(VLOOKUP(B31,'Data World'!$A:$AL,MATCH(World!$K$1,'Data World'!$A$1:$AL$1,))=0,#N/A,VLOOKUP(B31,'Data World'!$A:$AL,MATCH(World!$K$1,'Data World'!$A$1:$AL$1,)))</f>
        <v>6.7</v>
      </c>
      <c r="L31" s="13">
        <f>IF(VLOOKUP(B31,'Data World'!$A:$AL,MATCH(World!$L$1,'Data World'!$A$1:$AL$1,))=0,#N/A,VLOOKUP(B31,'Data World'!$A:$AL,MATCH(World!$L$1,'Data World'!$A$1:$AL$1,)))</f>
        <v>3.624101</v>
      </c>
      <c r="M31" s="13">
        <f>IF(VLOOKUP(B31,'Data World'!$A:$AL,MATCH(World!$M$1,'Data World'!$A$1:$AL$1,))=0,#N/A,VLOOKUP(B31,'Data World'!$A:$AL,MATCH(World!$M$1,'Data World'!$A$1:$AL$1,)))</f>
        <v>6.6</v>
      </c>
      <c r="N31" s="13">
        <f>IF(VLOOKUP(B31,'Data World'!$A:$AL,MATCH(World!$N$1,'Data World'!$A$1:$AL$1,))=0,#N/A,VLOOKUP(B31,'Data World'!$A:$AL,MATCH(World!$N$1,'Data World'!$A$1:$AL$1,)))</f>
        <v>5.5397970000000001</v>
      </c>
      <c r="O31" s="13">
        <f>IF(VLOOKUP(B31,'Data World'!$A:$AL,MATCH(World!$O$1,'Data World'!$A$1:$AL$1,))=0,#N/A,VLOOKUP(B31,'Data World'!$A:$AL,MATCH(World!$O$1,'Data World'!$A$1:$AL$1,)))</f>
        <v>3.4</v>
      </c>
      <c r="P31" s="13">
        <f>IF(VLOOKUP(B31,'Data World'!$A:$AL,MATCH(World!$P$1,'Data World'!$A$1:$AL$1,))=0,#N/A,VLOOKUP(B31,'Data World'!$A:$AL,MATCH(World!$P$1,'Data World'!$A$1:$AL$1,)))</f>
        <v>21.8</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2.9</v>
      </c>
      <c r="T31" s="13">
        <f>IF(VLOOKUP(B31,'Data World'!$A:$AL,MATCH(World!$T$1,'Data World'!$A$1:$AL$1,))=0,#N/A,VLOOKUP(B31,'Data World'!$A:$AL,MATCH(World!$T$1,'Data World'!$A$1:$AL$1,)))</f>
        <v>5.0999999999999996</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3.8</v>
      </c>
      <c r="G32" s="13">
        <f>IF(VLOOKUP(B32,'Data World'!$A:$AL,MATCH(World!$G$1,'Data World'!$A$1:$AL$1,))=0,#N/A,VLOOKUP(B32,'Data World'!$A:$AL,MATCH(World!$G$1,'Data World'!$A$1:$AL$1,)))</f>
        <v>9.5</v>
      </c>
      <c r="H32" s="13">
        <f>IF(VLOOKUP(B32,'Data World'!$A:$AL,MATCH(World!$H$1,'Data World'!$A$1:$AL$1,))=0,#N/A,VLOOKUP(B32,'Data World'!$A:$AL,MATCH(World!$H$1,'Data World'!$A$1:$AL$1,)))</f>
        <v>4.3376950000000001</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6.6</v>
      </c>
      <c r="L32" s="13">
        <f>IF(VLOOKUP(B32,'Data World'!$A:$AL,MATCH(World!$L$1,'Data World'!$A$1:$AL$1,))=0,#N/A,VLOOKUP(B32,'Data World'!$A:$AL,MATCH(World!$L$1,'Data World'!$A$1:$AL$1,)))</f>
        <v>3.2819590000000001</v>
      </c>
      <c r="M32" s="13">
        <f>IF(VLOOKUP(B32,'Data World'!$A:$AL,MATCH(World!$M$1,'Data World'!$A$1:$AL$1,))=0,#N/A,VLOOKUP(B32,'Data World'!$A:$AL,MATCH(World!$M$1,'Data World'!$A$1:$AL$1,)))</f>
        <v>6.5</v>
      </c>
      <c r="N32" s="13">
        <f>IF(VLOOKUP(B32,'Data World'!$A:$AL,MATCH(World!$N$1,'Data World'!$A$1:$AL$1,))=0,#N/A,VLOOKUP(B32,'Data World'!$A:$AL,MATCH(World!$N$1,'Data World'!$A$1:$AL$1,)))</f>
        <v>5.5609770000000003</v>
      </c>
      <c r="O32" s="13">
        <f>IF(VLOOKUP(B32,'Data World'!$A:$AL,MATCH(World!$O$1,'Data World'!$A$1:$AL$1,))=0,#N/A,VLOOKUP(B32,'Data World'!$A:$AL,MATCH(World!$O$1,'Data World'!$A$1:$AL$1,)))</f>
        <v>3.7</v>
      </c>
      <c r="P32" s="13">
        <f>IF(VLOOKUP(B32,'Data World'!$A:$AL,MATCH(World!$P$1,'Data World'!$A$1:$AL$1,))=0,#N/A,VLOOKUP(B32,'Data World'!$A:$AL,MATCH(World!$P$1,'Data World'!$A$1:$AL$1,)))</f>
        <v>21.3</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v>
      </c>
      <c r="E33" s="13">
        <f>IF(VLOOKUP(B33,'Data World'!$A:$AL,MATCH(World!$E$1,'Data World'!$A$1:$AL$1,))=0,#N/A,VLOOKUP(B33,'Data World'!$A:$AL,MATCH(World!$E$1,'Data World'!$A$1:$AL$1,)))</f>
        <v>2.8</v>
      </c>
      <c r="F33" s="13">
        <f>IF(VLOOKUP(B33,'Data World'!$A:$AL,MATCH(World!$F$1,'Data World'!$A$1:$AL$1,))=0,#N/A,VLOOKUP(B33,'Data World'!$A:$AL,MATCH(World!$F$1,'Data World'!$A$1:$AL$1,)))</f>
        <v>3.7</v>
      </c>
      <c r="G33" s="13">
        <f>IF(VLOOKUP(B33,'Data World'!$A:$AL,MATCH(World!$G$1,'Data World'!$A$1:$AL$1,))=0,#N/A,VLOOKUP(B33,'Data World'!$A:$AL,MATCH(World!$G$1,'Data World'!$A$1:$AL$1,)))</f>
        <v>9.6</v>
      </c>
      <c r="H33" s="13">
        <f>IF(VLOOKUP(B33,'Data World'!$A:$AL,MATCH(World!$H$1,'Data World'!$A$1:$AL$1,))=0,#N/A,VLOOKUP(B33,'Data World'!$A:$AL,MATCH(World!$H$1,'Data World'!$A$1:$AL$1,)))</f>
        <v>4.3280399999999997</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6.9</v>
      </c>
      <c r="L33" s="13">
        <f>IF(VLOOKUP(B33,'Data World'!$A:$AL,MATCH(World!$L$1,'Data World'!$A$1:$AL$1,))=0,#N/A,VLOOKUP(B33,'Data World'!$A:$AL,MATCH(World!$L$1,'Data World'!$A$1:$AL$1,)))</f>
        <v>3.2468089999999998</v>
      </c>
      <c r="M33" s="13">
        <f>IF(VLOOKUP(B33,'Data World'!$A:$AL,MATCH(World!$M$1,'Data World'!$A$1:$AL$1,))=0,#N/A,VLOOKUP(B33,'Data World'!$A:$AL,MATCH(World!$M$1,'Data World'!$A$1:$AL$1,)))</f>
        <v>6.3</v>
      </c>
      <c r="N33" s="13">
        <f>IF(VLOOKUP(B33,'Data World'!$A:$AL,MATCH(World!$N$1,'Data World'!$A$1:$AL$1,))=0,#N/A,VLOOKUP(B33,'Data World'!$A:$AL,MATCH(World!$N$1,'Data World'!$A$1:$AL$1,)))</f>
        <v>5.5656540000000003</v>
      </c>
      <c r="O33" s="13">
        <f>IF(VLOOKUP(B33,'Data World'!$A:$AL,MATCH(World!$O$1,'Data World'!$A$1:$AL$1,))=0,#N/A,VLOOKUP(B33,'Data World'!$A:$AL,MATCH(World!$O$1,'Data World'!$A$1:$AL$1,)))</f>
        <v>3.5</v>
      </c>
      <c r="P33" s="13">
        <f>IF(VLOOKUP(B33,'Data World'!$A:$AL,MATCH(World!$P$1,'Data World'!$A$1:$AL$1,))=0,#N/A,VLOOKUP(B33,'Data World'!$A:$AL,MATCH(World!$P$1,'Data World'!$A$1:$AL$1,)))</f>
        <v>20.9</v>
      </c>
      <c r="Q33" s="13">
        <f>IF(VLOOKUP(B33,'Data World'!$A:$AL,MATCH(World!$Q$1,'Data World'!$A$1:$AL$1,))=0,#N/A,VLOOKUP(B33,'Data World'!$A:$AL,MATCH(World!$Q$1,'Data World'!$A$1:$AL$1,)))</f>
        <v>6.6</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3.7</v>
      </c>
      <c r="G34" s="13">
        <f>IF(VLOOKUP(B34,'Data World'!$A:$AL,MATCH(World!$G$1,'Data World'!$A$1:$AL$1,))=0,#N/A,VLOOKUP(B34,'Data World'!$A:$AL,MATCH(World!$G$1,'Data World'!$A$1:$AL$1,)))</f>
        <v>9.5</v>
      </c>
      <c r="H34" s="13">
        <f>IF(VLOOKUP(B34,'Data World'!$A:$AL,MATCH(World!$H$1,'Data World'!$A$1:$AL$1,))=0,#N/A,VLOOKUP(B34,'Data World'!$A:$AL,MATCH(World!$H$1,'Data World'!$A$1:$AL$1,)))</f>
        <v>4.2668150000000002</v>
      </c>
      <c r="I34" s="13">
        <f>IF(VLOOKUP(B34,'Data World'!$A:$AL,MATCH(World!$I$1,'Data World'!$A$1:$AL$1,))=0,#N/A,VLOOKUP(B34,'Data World'!$A:$AL,MATCH(World!$I$1,'Data World'!$A$1:$AL$1,)))</f>
        <v>11.4</v>
      </c>
      <c r="J34" s="13">
        <f>IF(VLOOKUP(B34,'Data World'!$A:$AL,MATCH(World!$J$1,'Data World'!$A$1:$AL$1,))=0,#N/A,VLOOKUP(B34,'Data World'!$A:$AL,MATCH(World!$J$1,'Data World'!$A$1:$AL$1,)))</f>
        <v>16.7</v>
      </c>
      <c r="K34" s="13">
        <f>IF(VLOOKUP(B34,'Data World'!$A:$AL,MATCH(World!$K$1,'Data World'!$A$1:$AL$1,))=0,#N/A,VLOOKUP(B34,'Data World'!$A:$AL,MATCH(World!$K$1,'Data World'!$A$1:$AL$1,)))</f>
        <v>6.4</v>
      </c>
      <c r="L34" s="13">
        <f>IF(VLOOKUP(B34,'Data World'!$A:$AL,MATCH(World!$L$1,'Data World'!$A$1:$AL$1,))=0,#N/A,VLOOKUP(B34,'Data World'!$A:$AL,MATCH(World!$L$1,'Data World'!$A$1:$AL$1,)))</f>
        <v>3.2918590000000001</v>
      </c>
      <c r="M34" s="13">
        <f>IF(VLOOKUP(B34,'Data World'!$A:$AL,MATCH(World!$M$1,'Data World'!$A$1:$AL$1,))=0,#N/A,VLOOKUP(B34,'Data World'!$A:$AL,MATCH(World!$M$1,'Data World'!$A$1:$AL$1,)))</f>
        <v>6.2</v>
      </c>
      <c r="N34" s="13">
        <f>IF(VLOOKUP(B34,'Data World'!$A:$AL,MATCH(World!$N$1,'Data World'!$A$1:$AL$1,))=0,#N/A,VLOOKUP(B34,'Data World'!$A:$AL,MATCH(World!$N$1,'Data World'!$A$1:$AL$1,)))</f>
        <v>5.4890030000000003</v>
      </c>
      <c r="O34" s="13">
        <f>IF(VLOOKUP(B34,'Data World'!$A:$AL,MATCH(World!$O$1,'Data World'!$A$1:$AL$1,))=0,#N/A,VLOOKUP(B34,'Data World'!$A:$AL,MATCH(World!$O$1,'Data World'!$A$1:$AL$1,)))</f>
        <v>3.8</v>
      </c>
      <c r="P34" s="13">
        <f>IF(VLOOKUP(B34,'Data World'!$A:$AL,MATCH(World!$P$1,'Data World'!$A$1:$AL$1,))=0,#N/A,VLOOKUP(B34,'Data World'!$A:$AL,MATCH(World!$P$1,'Data World'!$A$1:$AL$1,)))</f>
        <v>20.9</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4.2</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3.7</v>
      </c>
      <c r="G35" s="13">
        <f>IF(VLOOKUP(B35,'Data World'!$A:$AL,MATCH(World!$G$1,'Data World'!$A$1:$AL$1,))=0,#N/A,VLOOKUP(B35,'Data World'!$A:$AL,MATCH(World!$G$1,'Data World'!$A$1:$AL$1,)))</f>
        <v>9.4</v>
      </c>
      <c r="H35" s="13">
        <f>IF(VLOOKUP(B35,'Data World'!$A:$AL,MATCH(World!$H$1,'Data World'!$A$1:$AL$1,))=0,#N/A,VLOOKUP(B35,'Data World'!$A:$AL,MATCH(World!$H$1,'Data World'!$A$1:$AL$1,)))</f>
        <v>4.2433370000000004</v>
      </c>
      <c r="I35" s="13">
        <f>IF(VLOOKUP(B35,'Data World'!$A:$AL,MATCH(World!$I$1,'Data World'!$A$1:$AL$1,))=0,#N/A,VLOOKUP(B35,'Data World'!$A:$AL,MATCH(World!$I$1,'Data World'!$A$1:$AL$1,)))</f>
        <v>11.2</v>
      </c>
      <c r="J35" s="13">
        <f>IF(VLOOKUP(B35,'Data World'!$A:$AL,MATCH(World!$J$1,'Data World'!$A$1:$AL$1,))=0,#N/A,VLOOKUP(B35,'Data World'!$A:$AL,MATCH(World!$J$1,'Data World'!$A$1:$AL$1,)))</f>
        <v>16.600000000000001</v>
      </c>
      <c r="K35" s="13">
        <f>IF(VLOOKUP(B35,'Data World'!$A:$AL,MATCH(World!$K$1,'Data World'!$A$1:$AL$1,))=0,#N/A,VLOOKUP(B35,'Data World'!$A:$AL,MATCH(World!$K$1,'Data World'!$A$1:$AL$1,)))</f>
        <v>6.8</v>
      </c>
      <c r="L35" s="13">
        <f>IF(VLOOKUP(B35,'Data World'!$A:$AL,MATCH(World!$L$1,'Data World'!$A$1:$AL$1,))=0,#N/A,VLOOKUP(B35,'Data World'!$A:$AL,MATCH(World!$L$1,'Data World'!$A$1:$AL$1,)))</f>
        <v>3.341208</v>
      </c>
      <c r="M35" s="13">
        <f>IF(VLOOKUP(B35,'Data World'!$A:$AL,MATCH(World!$M$1,'Data World'!$A$1:$AL$1,))=0,#N/A,VLOOKUP(B35,'Data World'!$A:$AL,MATCH(World!$M$1,'Data World'!$A$1:$AL$1,)))</f>
        <v>6.2</v>
      </c>
      <c r="N35" s="13">
        <f>IF(VLOOKUP(B35,'Data World'!$A:$AL,MATCH(World!$N$1,'Data World'!$A$1:$AL$1,))=0,#N/A,VLOOKUP(B35,'Data World'!$A:$AL,MATCH(World!$N$1,'Data World'!$A$1:$AL$1,)))</f>
        <v>5.4210409999999998</v>
      </c>
      <c r="O35" s="13">
        <f>IF(VLOOKUP(B35,'Data World'!$A:$AL,MATCH(World!$O$1,'Data World'!$A$1:$AL$1,))=0,#N/A,VLOOKUP(B35,'Data World'!$A:$AL,MATCH(World!$O$1,'Data World'!$A$1:$AL$1,)))</f>
        <v>3.7</v>
      </c>
      <c r="P35" s="13">
        <f>IF(VLOOKUP(B35,'Data World'!$A:$AL,MATCH(World!$P$1,'Data World'!$A$1:$AL$1,))=0,#N/A,VLOOKUP(B35,'Data World'!$A:$AL,MATCH(World!$P$1,'Data World'!$A$1:$AL$1,)))</f>
        <v>20.9</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4.0999999999999996</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3.7</v>
      </c>
      <c r="G36" s="13">
        <f>IF(VLOOKUP(B36,'Data World'!$A:$AL,MATCH(World!$G$1,'Data World'!$A$1:$AL$1,))=0,#N/A,VLOOKUP(B36,'Data World'!$A:$AL,MATCH(World!$G$1,'Data World'!$A$1:$AL$1,)))</f>
        <v>9.1999999999999993</v>
      </c>
      <c r="H36" s="13">
        <f>IF(VLOOKUP(B36,'Data World'!$A:$AL,MATCH(World!$H$1,'Data World'!$A$1:$AL$1,))=0,#N/A,VLOOKUP(B36,'Data World'!$A:$AL,MATCH(World!$H$1,'Data World'!$A$1:$AL$1,)))</f>
        <v>4.2718559999999997</v>
      </c>
      <c r="I36" s="13">
        <f>IF(VLOOKUP(B36,'Data World'!$A:$AL,MATCH(World!$I$1,'Data World'!$A$1:$AL$1,))=0,#N/A,VLOOKUP(B36,'Data World'!$A:$AL,MATCH(World!$I$1,'Data World'!$A$1:$AL$1,)))</f>
        <v>11.1</v>
      </c>
      <c r="J36" s="13">
        <f>IF(VLOOKUP(B36,'Data World'!$A:$AL,MATCH(World!$J$1,'Data World'!$A$1:$AL$1,))=0,#N/A,VLOOKUP(B36,'Data World'!$A:$AL,MATCH(World!$J$1,'Data World'!$A$1:$AL$1,)))</f>
        <v>16.600000000000001</v>
      </c>
      <c r="K36" s="13">
        <f>IF(VLOOKUP(B36,'Data World'!$A:$AL,MATCH(World!$K$1,'Data World'!$A$1:$AL$1,))=0,#N/A,VLOOKUP(B36,'Data World'!$A:$AL,MATCH(World!$K$1,'Data World'!$A$1:$AL$1,)))</f>
        <v>6.8</v>
      </c>
      <c r="L36" s="13">
        <f>IF(VLOOKUP(B36,'Data World'!$A:$AL,MATCH(World!$L$1,'Data World'!$A$1:$AL$1,))=0,#N/A,VLOOKUP(B36,'Data World'!$A:$AL,MATCH(World!$L$1,'Data World'!$A$1:$AL$1,)))</f>
        <v>3.4387050000000001</v>
      </c>
      <c r="M36" s="13">
        <f>IF(VLOOKUP(B36,'Data World'!$A:$AL,MATCH(World!$M$1,'Data World'!$A$1:$AL$1,))=0,#N/A,VLOOKUP(B36,'Data World'!$A:$AL,MATCH(World!$M$1,'Data World'!$A$1:$AL$1,)))</f>
        <v>6.3</v>
      </c>
      <c r="N36" s="13">
        <f>IF(VLOOKUP(B36,'Data World'!$A:$AL,MATCH(World!$N$1,'Data World'!$A$1:$AL$1,))=0,#N/A,VLOOKUP(B36,'Data World'!$A:$AL,MATCH(World!$N$1,'Data World'!$A$1:$AL$1,)))</f>
        <v>5.35039</v>
      </c>
      <c r="O36" s="13">
        <f>IF(VLOOKUP(B36,'Data World'!$A:$AL,MATCH(World!$O$1,'Data World'!$A$1:$AL$1,))=0,#N/A,VLOOKUP(B36,'Data World'!$A:$AL,MATCH(World!$O$1,'Data World'!$A$1:$AL$1,)))</f>
        <v>3.7</v>
      </c>
      <c r="P36" s="13">
        <f>IF(VLOOKUP(B36,'Data World'!$A:$AL,MATCH(World!$P$1,'Data World'!$A$1:$AL$1,))=0,#N/A,VLOOKUP(B36,'Data World'!$A:$AL,MATCH(World!$P$1,'Data World'!$A$1:$AL$1,)))</f>
        <v>20.9</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3.6</v>
      </c>
      <c r="G37" s="13">
        <f>IF(VLOOKUP(B37,'Data World'!$A:$AL,MATCH(World!$G$1,'Data World'!$A$1:$AL$1,))=0,#N/A,VLOOKUP(B37,'Data World'!$A:$AL,MATCH(World!$G$1,'Data World'!$A$1:$AL$1,)))</f>
        <v>9.1</v>
      </c>
      <c r="H37" s="13">
        <f>IF(VLOOKUP(B37,'Data World'!$A:$AL,MATCH(World!$H$1,'Data World'!$A$1:$AL$1,))=0,#N/A,VLOOKUP(B37,'Data World'!$A:$AL,MATCH(World!$H$1,'Data World'!$A$1:$AL$1,)))</f>
        <v>4.3522169999999996</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6.4</v>
      </c>
      <c r="L37" s="13">
        <f>IF(VLOOKUP(B37,'Data World'!$A:$AL,MATCH(World!$L$1,'Data World'!$A$1:$AL$1,))=0,#N/A,VLOOKUP(B37,'Data World'!$A:$AL,MATCH(World!$L$1,'Data World'!$A$1:$AL$1,)))</f>
        <v>3.4974919999999998</v>
      </c>
      <c r="M37" s="13">
        <f>IF(VLOOKUP(B37,'Data World'!$A:$AL,MATCH(World!$M$1,'Data World'!$A$1:$AL$1,))=0,#N/A,VLOOKUP(B37,'Data World'!$A:$AL,MATCH(World!$M$1,'Data World'!$A$1:$AL$1,)))</f>
        <v>6</v>
      </c>
      <c r="N37" s="13">
        <f>IF(VLOOKUP(B37,'Data World'!$A:$AL,MATCH(World!$N$1,'Data World'!$A$1:$AL$1,))=0,#N/A,VLOOKUP(B37,'Data World'!$A:$AL,MATCH(World!$N$1,'Data World'!$A$1:$AL$1,)))</f>
        <v>5.4212870000000004</v>
      </c>
      <c r="O37" s="13">
        <f>IF(VLOOKUP(B37,'Data World'!$A:$AL,MATCH(World!$O$1,'Data World'!$A$1:$AL$1,))=0,#N/A,VLOOKUP(B37,'Data World'!$A:$AL,MATCH(World!$O$1,'Data World'!$A$1:$AL$1,)))</f>
        <v>3.7</v>
      </c>
      <c r="P37" s="13">
        <f>IF(VLOOKUP(B37,'Data World'!$A:$AL,MATCH(World!$P$1,'Data World'!$A$1:$AL$1,))=0,#N/A,VLOOKUP(B37,'Data World'!$A:$AL,MATCH(World!$P$1,'Data World'!$A$1:$AL$1,)))</f>
        <v>21.1</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3.6</v>
      </c>
      <c r="G38" s="13">
        <f>IF(VLOOKUP(B38,'Data World'!$A:$AL,MATCH(World!$G$1,'Data World'!$A$1:$AL$1,))=0,#N/A,VLOOKUP(B38,'Data World'!$A:$AL,MATCH(World!$G$1,'Data World'!$A$1:$AL$1,)))</f>
        <v>9.1</v>
      </c>
      <c r="H38" s="13">
        <f>IF(VLOOKUP(B38,'Data World'!$A:$AL,MATCH(World!$H$1,'Data World'!$A$1:$AL$1,))=0,#N/A,VLOOKUP(B38,'Data World'!$A:$AL,MATCH(World!$H$1,'Data World'!$A$1:$AL$1,)))</f>
        <v>4.3060479999999997</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6.6</v>
      </c>
      <c r="L38" s="13">
        <f>IF(VLOOKUP(B38,'Data World'!$A:$AL,MATCH(World!$L$1,'Data World'!$A$1:$AL$1,))=0,#N/A,VLOOKUP(B38,'Data World'!$A:$AL,MATCH(World!$L$1,'Data World'!$A$1:$AL$1,)))</f>
        <v>3.4327549999999998</v>
      </c>
      <c r="M38" s="13">
        <f>IF(VLOOKUP(B38,'Data World'!$A:$AL,MATCH(World!$M$1,'Data World'!$A$1:$AL$1,))=0,#N/A,VLOOKUP(B38,'Data World'!$A:$AL,MATCH(World!$M$1,'Data World'!$A$1:$AL$1,)))</f>
        <v>5.9</v>
      </c>
      <c r="N38" s="13">
        <f>IF(VLOOKUP(B38,'Data World'!$A:$AL,MATCH(World!$N$1,'Data World'!$A$1:$AL$1,))=0,#N/A,VLOOKUP(B38,'Data World'!$A:$AL,MATCH(World!$N$1,'Data World'!$A$1:$AL$1,)))</f>
        <v>5.6064959999999999</v>
      </c>
      <c r="O38" s="13">
        <f>IF(VLOOKUP(B38,'Data World'!$A:$AL,MATCH(World!$O$1,'Data World'!$A$1:$AL$1,))=0,#N/A,VLOOKUP(B38,'Data World'!$A:$AL,MATCH(World!$O$1,'Data World'!$A$1:$AL$1,)))</f>
        <v>3.7</v>
      </c>
      <c r="P38" s="13">
        <f>IF(VLOOKUP(B38,'Data World'!$A:$AL,MATCH(World!$P$1,'Data World'!$A$1:$AL$1,))=0,#N/A,VLOOKUP(B38,'Data World'!$A:$AL,MATCH(World!$P$1,'Data World'!$A$1:$AL$1,)))</f>
        <v>21</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3.5</v>
      </c>
      <c r="G39" s="13">
        <f>IF(VLOOKUP(B39,'Data World'!$A:$AL,MATCH(World!$G$1,'Data World'!$A$1:$AL$1,))=0,#N/A,VLOOKUP(B39,'Data World'!$A:$AL,MATCH(World!$G$1,'Data World'!$A$1:$AL$1,)))</f>
        <v>9.1999999999999993</v>
      </c>
      <c r="H39" s="13">
        <f>IF(VLOOKUP(B39,'Data World'!$A:$AL,MATCH(World!$H$1,'Data World'!$A$1:$AL$1,))=0,#N/A,VLOOKUP(B39,'Data World'!$A:$AL,MATCH(World!$H$1,'Data World'!$A$1:$AL$1,)))</f>
        <v>4.2130970000000003</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6.6</v>
      </c>
      <c r="L39" s="13">
        <f>IF(VLOOKUP(B39,'Data World'!$A:$AL,MATCH(World!$L$1,'Data World'!$A$1:$AL$1,))=0,#N/A,VLOOKUP(B39,'Data World'!$A:$AL,MATCH(World!$L$1,'Data World'!$A$1:$AL$1,)))</f>
        <v>3.2443409999999999</v>
      </c>
      <c r="M39" s="13">
        <f>IF(VLOOKUP(B39,'Data World'!$A:$AL,MATCH(World!$M$1,'Data World'!$A$1:$AL$1,))=0,#N/A,VLOOKUP(B39,'Data World'!$A:$AL,MATCH(World!$M$1,'Data World'!$A$1:$AL$1,)))</f>
        <v>6</v>
      </c>
      <c r="N39" s="13">
        <f>IF(VLOOKUP(B39,'Data World'!$A:$AL,MATCH(World!$N$1,'Data World'!$A$1:$AL$1,))=0,#N/A,VLOOKUP(B39,'Data World'!$A:$AL,MATCH(World!$N$1,'Data World'!$A$1:$AL$1,)))</f>
        <v>5.5355249999999998</v>
      </c>
      <c r="O39" s="13">
        <f>IF(VLOOKUP(B39,'Data World'!$A:$AL,MATCH(World!$O$1,'Data World'!$A$1:$AL$1,))=0,#N/A,VLOOKUP(B39,'Data World'!$A:$AL,MATCH(World!$O$1,'Data World'!$A$1:$AL$1,)))</f>
        <v>3.6</v>
      </c>
      <c r="P39" s="13">
        <f>IF(VLOOKUP(B39,'Data World'!$A:$AL,MATCH(World!$P$1,'Data World'!$A$1:$AL$1,))=0,#N/A,VLOOKUP(B39,'Data World'!$A:$AL,MATCH(World!$P$1,'Data World'!$A$1:$AL$1,)))</f>
        <v>20.399999999999999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2.5</v>
      </c>
      <c r="T39" s="13">
        <f>IF(VLOOKUP(B39,'Data World'!$A:$AL,MATCH(World!$T$1,'Data World'!$A$1:$AL$1,))=0,#N/A,VLOOKUP(B39,'Data World'!$A:$AL,MATCH(World!$T$1,'Data World'!$A$1:$AL$1,)))</f>
        <v>4.0999999999999996</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3.5</v>
      </c>
      <c r="G40" s="13">
        <f>IF(VLOOKUP(B40,'Data World'!$A:$AL,MATCH(World!$G$1,'Data World'!$A$1:$AL$1,))=0,#N/A,VLOOKUP(B40,'Data World'!$A:$AL,MATCH(World!$G$1,'Data World'!$A$1:$AL$1,)))</f>
        <v>9.1999999999999993</v>
      </c>
      <c r="H40" s="13">
        <f>IF(VLOOKUP(B40,'Data World'!$A:$AL,MATCH(World!$H$1,'Data World'!$A$1:$AL$1,))=0,#N/A,VLOOKUP(B40,'Data World'!$A:$AL,MATCH(World!$H$1,'Data World'!$A$1:$AL$1,)))</f>
        <v>4.198035</v>
      </c>
      <c r="I40" s="13">
        <f>IF(VLOOKUP(B40,'Data World'!$A:$AL,MATCH(World!$I$1,'Data World'!$A$1:$AL$1,))=0,#N/A,VLOOKUP(B40,'Data World'!$A:$AL,MATCH(World!$I$1,'Data World'!$A$1:$AL$1,)))</f>
        <v>10.8</v>
      </c>
      <c r="J40" s="13">
        <f>IF(VLOOKUP(B40,'Data World'!$A:$AL,MATCH(World!$J$1,'Data World'!$A$1:$AL$1,))=0,#N/A,VLOOKUP(B40,'Data World'!$A:$AL,MATCH(World!$J$1,'Data World'!$A$1:$AL$1,)))</f>
        <v>16.399999999999999</v>
      </c>
      <c r="K40" s="13">
        <f>IF(VLOOKUP(B40,'Data World'!$A:$AL,MATCH(World!$K$1,'Data World'!$A$1:$AL$1,))=0,#N/A,VLOOKUP(B40,'Data World'!$A:$AL,MATCH(World!$K$1,'Data World'!$A$1:$AL$1,)))</f>
        <v>5.7</v>
      </c>
      <c r="L40" s="13">
        <f>IF(VLOOKUP(B40,'Data World'!$A:$AL,MATCH(World!$L$1,'Data World'!$A$1:$AL$1,))=0,#N/A,VLOOKUP(B40,'Data World'!$A:$AL,MATCH(World!$L$1,'Data World'!$A$1:$AL$1,)))</f>
        <v>3.225454</v>
      </c>
      <c r="M40" s="13">
        <f>IF(VLOOKUP(B40,'Data World'!$A:$AL,MATCH(World!$M$1,'Data World'!$A$1:$AL$1,))=0,#N/A,VLOOKUP(B40,'Data World'!$A:$AL,MATCH(World!$M$1,'Data World'!$A$1:$AL$1,)))</f>
        <v>5.9</v>
      </c>
      <c r="N40" s="13">
        <f>IF(VLOOKUP(B40,'Data World'!$A:$AL,MATCH(World!$N$1,'Data World'!$A$1:$AL$1,))=0,#N/A,VLOOKUP(B40,'Data World'!$A:$AL,MATCH(World!$N$1,'Data World'!$A$1:$AL$1,)))</f>
        <v>5.6095309999999996</v>
      </c>
      <c r="O40" s="13">
        <f>IF(VLOOKUP(B40,'Data World'!$A:$AL,MATCH(World!$O$1,'Data World'!$A$1:$AL$1,))=0,#N/A,VLOOKUP(B40,'Data World'!$A:$AL,MATCH(World!$O$1,'Data World'!$A$1:$AL$1,)))</f>
        <v>3.7</v>
      </c>
      <c r="P40" s="13">
        <f>IF(VLOOKUP(B40,'Data World'!$A:$AL,MATCH(World!$P$1,'Data World'!$A$1:$AL$1,))=0,#N/A,VLOOKUP(B40,'Data World'!$A:$AL,MATCH(World!$P$1,'Data World'!$A$1:$AL$1,)))</f>
        <v>20.7</v>
      </c>
      <c r="Q40" s="13">
        <f>IF(VLOOKUP(B40,'Data World'!$A:$AL,MATCH(World!$Q$1,'Data World'!$A$1:$AL$1,))=0,#N/A,VLOOKUP(B40,'Data World'!$A:$AL,MATCH(World!$Q$1,'Data World'!$A$1:$AL$1,)))</f>
        <v>6</v>
      </c>
      <c r="R40" s="13">
        <f>IF(VLOOKUP(B40,'Data World'!$A:$AL,MATCH(World!$R$1,'Data World'!$A$1:$AL$1,))=0,#N/A,VLOOKUP(B40,'Data World'!$A:$AL,MATCH(World!$R$1,'Data World'!$A$1:$AL$1,)))</f>
        <v>10</v>
      </c>
      <c r="S40" s="13">
        <f>IF(VLOOKUP(B40,'Data World'!$A:$AL,MATCH(World!$S$1,'Data World'!$A$1:$AL$1,))=0,#N/A,VLOOKUP(B40,'Data World'!$A:$AL,MATCH(World!$S$1,'Data World'!$A$1:$AL$1,)))</f>
        <v>2.4</v>
      </c>
      <c r="T40" s="13">
        <f>IF(VLOOKUP(B40,'Data World'!$A:$AL,MATCH(World!$T$1,'Data World'!$A$1:$AL$1,))=0,#N/A,VLOOKUP(B40,'Data World'!$A:$AL,MATCH(World!$T$1,'Data World'!$A$1:$AL$1,)))</f>
        <v>3.9</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3.5</v>
      </c>
      <c r="G41" s="13">
        <f>IF(VLOOKUP(B41,'Data World'!$A:$AL,MATCH(World!$G$1,'Data World'!$A$1:$AL$1,))=0,#N/A,VLOOKUP(B41,'Data World'!$A:$AL,MATCH(World!$G$1,'Data World'!$A$1:$AL$1,)))</f>
        <v>9.1999999999999993</v>
      </c>
      <c r="H41" s="13">
        <f>IF(VLOOKUP(B41,'Data World'!$A:$AL,MATCH(World!$H$1,'Data World'!$A$1:$AL$1,))=0,#N/A,VLOOKUP(B41,'Data World'!$A:$AL,MATCH(World!$H$1,'Data World'!$A$1:$AL$1,)))</f>
        <v>4.1889440000000002</v>
      </c>
      <c r="I41" s="13">
        <f>IF(VLOOKUP(B41,'Data World'!$A:$AL,MATCH(World!$I$1,'Data World'!$A$1:$AL$1,))=0,#N/A,VLOOKUP(B41,'Data World'!$A:$AL,MATCH(World!$I$1,'Data World'!$A$1:$AL$1,)))</f>
        <v>11</v>
      </c>
      <c r="J41" s="13">
        <f>IF(VLOOKUP(B41,'Data World'!$A:$AL,MATCH(World!$J$1,'Data World'!$A$1:$AL$1,))=0,#N/A,VLOOKUP(B41,'Data World'!$A:$AL,MATCH(World!$J$1,'Data World'!$A$1:$AL$1,)))</f>
        <v>16</v>
      </c>
      <c r="K41" s="13">
        <f>IF(VLOOKUP(B41,'Data World'!$A:$AL,MATCH(World!$K$1,'Data World'!$A$1:$AL$1,))=0,#N/A,VLOOKUP(B41,'Data World'!$A:$AL,MATCH(World!$K$1,'Data World'!$A$1:$AL$1,)))</f>
        <v>6.1</v>
      </c>
      <c r="L41" s="13">
        <f>IF(VLOOKUP(B41,'Data World'!$A:$AL,MATCH(World!$L$1,'Data World'!$A$1:$AL$1,))=0,#N/A,VLOOKUP(B41,'Data World'!$A:$AL,MATCH(World!$L$1,'Data World'!$A$1:$AL$1,)))</f>
        <v>3.2141709999999999</v>
      </c>
      <c r="M41" s="13">
        <f>IF(VLOOKUP(B41,'Data World'!$A:$AL,MATCH(World!$M$1,'Data World'!$A$1:$AL$1,))=0,#N/A,VLOOKUP(B41,'Data World'!$A:$AL,MATCH(World!$M$1,'Data World'!$A$1:$AL$1,)))</f>
        <v>5.9</v>
      </c>
      <c r="N41" s="13">
        <f>IF(VLOOKUP(B41,'Data World'!$A:$AL,MATCH(World!$N$1,'Data World'!$A$1:$AL$1,))=0,#N/A,VLOOKUP(B41,'Data World'!$A:$AL,MATCH(World!$N$1,'Data World'!$A$1:$AL$1,)))</f>
        <v>5.5550480000000002</v>
      </c>
      <c r="O41" s="13">
        <f>IF(VLOOKUP(B41,'Data World'!$A:$AL,MATCH(World!$O$1,'Data World'!$A$1:$AL$1,))=0,#N/A,VLOOKUP(B41,'Data World'!$A:$AL,MATCH(World!$O$1,'Data World'!$A$1:$AL$1,)))</f>
        <v>4</v>
      </c>
      <c r="P41" s="13">
        <f>IF(VLOOKUP(B41,'Data World'!$A:$AL,MATCH(World!$P$1,'Data World'!$A$1:$AL$1,))=0,#N/A,VLOOKUP(B41,'Data World'!$A:$AL,MATCH(World!$P$1,'Data World'!$A$1:$AL$1,)))</f>
        <v>20.2</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3.8</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3.4</v>
      </c>
      <c r="G42" s="13">
        <f>IF(VLOOKUP(B42,'Data World'!$A:$AL,MATCH(World!$G$1,'Data World'!$A$1:$AL$1,))=0,#N/A,VLOOKUP(B42,'Data World'!$A:$AL,MATCH(World!$G$1,'Data World'!$A$1:$AL$1,)))</f>
        <v>9.1999999999999993</v>
      </c>
      <c r="H42" s="13">
        <f>IF(VLOOKUP(B42,'Data World'!$A:$AL,MATCH(World!$H$1,'Data World'!$A$1:$AL$1,))=0,#N/A,VLOOKUP(B42,'Data World'!$A:$AL,MATCH(World!$H$1,'Data World'!$A$1:$AL$1,)))</f>
        <v>4.1653599999999997</v>
      </c>
      <c r="I42" s="13">
        <f>IF(VLOOKUP(B42,'Data World'!$A:$AL,MATCH(World!$I$1,'Data World'!$A$1:$AL$1,))=0,#N/A,VLOOKUP(B42,'Data World'!$A:$AL,MATCH(World!$I$1,'Data World'!$A$1:$AL$1,)))</f>
        <v>11.1</v>
      </c>
      <c r="J42" s="13">
        <f>IF(VLOOKUP(B42,'Data World'!$A:$AL,MATCH(World!$J$1,'Data World'!$A$1:$AL$1,))=0,#N/A,VLOOKUP(B42,'Data World'!$A:$AL,MATCH(World!$J$1,'Data World'!$A$1:$AL$1,)))</f>
        <v>15.7</v>
      </c>
      <c r="K42" s="13">
        <f>IF(VLOOKUP(B42,'Data World'!$A:$AL,MATCH(World!$K$1,'Data World'!$A$1:$AL$1,))=0,#N/A,VLOOKUP(B42,'Data World'!$A:$AL,MATCH(World!$K$1,'Data World'!$A$1:$AL$1,)))</f>
        <v>6.4</v>
      </c>
      <c r="L42" s="13">
        <f>IF(VLOOKUP(B42,'Data World'!$A:$AL,MATCH(World!$L$1,'Data World'!$A$1:$AL$1,))=0,#N/A,VLOOKUP(B42,'Data World'!$A:$AL,MATCH(World!$L$1,'Data World'!$A$1:$AL$1,)))</f>
        <v>3.4793769999999999</v>
      </c>
      <c r="M42" s="13">
        <f>IF(VLOOKUP(B42,'Data World'!$A:$AL,MATCH(World!$M$1,'Data World'!$A$1:$AL$1,))=0,#N/A,VLOOKUP(B42,'Data World'!$A:$AL,MATCH(World!$M$1,'Data World'!$A$1:$AL$1,)))</f>
        <v>5.9</v>
      </c>
      <c r="N42" s="13">
        <f>IF(VLOOKUP(B42,'Data World'!$A:$AL,MATCH(World!$N$1,'Data World'!$A$1:$AL$1,))=0,#N/A,VLOOKUP(B42,'Data World'!$A:$AL,MATCH(World!$N$1,'Data World'!$A$1:$AL$1,)))</f>
        <v>5.5591549999999996</v>
      </c>
      <c r="O42" s="13">
        <f>IF(VLOOKUP(B42,'Data World'!$A:$AL,MATCH(World!$O$1,'Data World'!$A$1:$AL$1,))=0,#N/A,VLOOKUP(B42,'Data World'!$A:$AL,MATCH(World!$O$1,'Data World'!$A$1:$AL$1,)))</f>
        <v>3.8</v>
      </c>
      <c r="P42" s="13">
        <f>IF(VLOOKUP(B42,'Data World'!$A:$AL,MATCH(World!$P$1,'Data World'!$A$1:$AL$1,))=0,#N/A,VLOOKUP(B42,'Data World'!$A:$AL,MATCH(World!$P$1,'Data World'!$A$1:$AL$1,)))</f>
        <v>19.8</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3.7</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3.4</v>
      </c>
      <c r="G43" s="13">
        <f>IF(VLOOKUP(B43,'Data World'!$A:$AL,MATCH(World!$G$1,'Data World'!$A$1:$AL$1,))=0,#N/A,VLOOKUP(B43,'Data World'!$A:$AL,MATCH(World!$G$1,'Data World'!$A$1:$AL$1,)))</f>
        <v>9.1999999999999993</v>
      </c>
      <c r="H43" s="13">
        <f>IF(VLOOKUP(B43,'Data World'!$A:$AL,MATCH(World!$H$1,'Data World'!$A$1:$AL$1,))=0,#N/A,VLOOKUP(B43,'Data World'!$A:$AL,MATCH(World!$H$1,'Data World'!$A$1:$AL$1,)))</f>
        <v>4.036543</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5.9</v>
      </c>
      <c r="L43" s="13">
        <f>IF(VLOOKUP(B43,'Data World'!$A:$AL,MATCH(World!$L$1,'Data World'!$A$1:$AL$1,))=0,#N/A,VLOOKUP(B43,'Data World'!$A:$AL,MATCH(World!$L$1,'Data World'!$A$1:$AL$1,)))</f>
        <v>3.2971949999999999</v>
      </c>
      <c r="M43" s="13">
        <f>IF(VLOOKUP(B43,'Data World'!$A:$AL,MATCH(World!$M$1,'Data World'!$A$1:$AL$1,))=0,#N/A,VLOOKUP(B43,'Data World'!$A:$AL,MATCH(World!$M$1,'Data World'!$A$1:$AL$1,)))</f>
        <v>6</v>
      </c>
      <c r="N43" s="13">
        <f>IF(VLOOKUP(B43,'Data World'!$A:$AL,MATCH(World!$N$1,'Data World'!$A$1:$AL$1,))=0,#N/A,VLOOKUP(B43,'Data World'!$A:$AL,MATCH(World!$N$1,'Data World'!$A$1:$AL$1,)))</f>
        <v>5.3860260000000002</v>
      </c>
      <c r="O43" s="13">
        <f>IF(VLOOKUP(B43,'Data World'!$A:$AL,MATCH(World!$O$1,'Data World'!$A$1:$AL$1,))=0,#N/A,VLOOKUP(B43,'Data World'!$A:$AL,MATCH(World!$O$1,'Data World'!$A$1:$AL$1,)))</f>
        <v>3.8</v>
      </c>
      <c r="P43" s="13">
        <f>IF(VLOOKUP(B43,'Data World'!$A:$AL,MATCH(World!$P$1,'Data World'!$A$1:$AL$1,))=0,#N/A,VLOOKUP(B43,'Data World'!$A:$AL,MATCH(World!$P$1,'Data World'!$A$1:$AL$1,)))</f>
        <v>19.2</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2.2999999999999998</v>
      </c>
      <c r="T43" s="13">
        <f>IF(VLOOKUP(B43,'Data World'!$A:$AL,MATCH(World!$T$1,'Data World'!$A$1:$AL$1,))=0,#N/A,VLOOKUP(B43,'Data World'!$A:$AL,MATCH(World!$T$1,'Data World'!$A$1:$AL$1,)))</f>
        <v>3.7</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3.4</v>
      </c>
      <c r="G44" s="13">
        <f>IF(VLOOKUP(B44,'Data World'!$A:$AL,MATCH(World!$G$1,'Data World'!$A$1:$AL$1,))=0,#N/A,VLOOKUP(B44,'Data World'!$A:$AL,MATCH(World!$G$1,'Data World'!$A$1:$AL$1,)))</f>
        <v>9</v>
      </c>
      <c r="H44" s="13">
        <f>IF(VLOOKUP(B44,'Data World'!$A:$AL,MATCH(World!$H$1,'Data World'!$A$1:$AL$1,))=0,#N/A,VLOOKUP(B44,'Data World'!$A:$AL,MATCH(World!$H$1,'Data World'!$A$1:$AL$1,)))</f>
        <v>4.0211969999999999</v>
      </c>
      <c r="I44" s="13">
        <f>IF(VLOOKUP(B44,'Data World'!$A:$AL,MATCH(World!$I$1,'Data World'!$A$1:$AL$1,))=0,#N/A,VLOOKUP(B44,'Data World'!$A:$AL,MATCH(World!$I$1,'Data World'!$A$1:$AL$1,)))</f>
        <v>10.9</v>
      </c>
      <c r="J44" s="13">
        <f>IF(VLOOKUP(B44,'Data World'!$A:$AL,MATCH(World!$J$1,'Data World'!$A$1:$AL$1,))=0,#N/A,VLOOKUP(B44,'Data World'!$A:$AL,MATCH(World!$J$1,'Data World'!$A$1:$AL$1,)))</f>
        <v>15.1</v>
      </c>
      <c r="K44" s="13">
        <f>IF(VLOOKUP(B44,'Data World'!$A:$AL,MATCH(World!$K$1,'Data World'!$A$1:$AL$1,))=0,#N/A,VLOOKUP(B44,'Data World'!$A:$AL,MATCH(World!$K$1,'Data World'!$A$1:$AL$1,)))</f>
        <v>6.4</v>
      </c>
      <c r="L44" s="13">
        <f>IF(VLOOKUP(B44,'Data World'!$A:$AL,MATCH(World!$L$1,'Data World'!$A$1:$AL$1,))=0,#N/A,VLOOKUP(B44,'Data World'!$A:$AL,MATCH(World!$L$1,'Data World'!$A$1:$AL$1,)))</f>
        <v>3.3783660000000002</v>
      </c>
      <c r="M44" s="13">
        <f>IF(VLOOKUP(B44,'Data World'!$A:$AL,MATCH(World!$M$1,'Data World'!$A$1:$AL$1,))=0,#N/A,VLOOKUP(B44,'Data World'!$A:$AL,MATCH(World!$M$1,'Data World'!$A$1:$AL$1,)))</f>
        <v>6.1</v>
      </c>
      <c r="N44" s="13">
        <f>IF(VLOOKUP(B44,'Data World'!$A:$AL,MATCH(World!$N$1,'Data World'!$A$1:$AL$1,))=0,#N/A,VLOOKUP(B44,'Data World'!$A:$AL,MATCH(World!$N$1,'Data World'!$A$1:$AL$1,)))</f>
        <v>5.2775340000000002</v>
      </c>
      <c r="O44" s="13">
        <f>IF(VLOOKUP(B44,'Data World'!$A:$AL,MATCH(World!$O$1,'Data World'!$A$1:$AL$1,))=0,#N/A,VLOOKUP(B44,'Data World'!$A:$AL,MATCH(World!$O$1,'Data World'!$A$1:$AL$1,)))</f>
        <v>3.6</v>
      </c>
      <c r="P44" s="13">
        <f>IF(VLOOKUP(B44,'Data World'!$A:$AL,MATCH(World!$P$1,'Data World'!$A$1:$AL$1,))=0,#N/A,VLOOKUP(B44,'Data World'!$A:$AL,MATCH(World!$P$1,'Data World'!$A$1:$AL$1,)))</f>
        <v>19.2</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2.2000000000000002</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3.4</v>
      </c>
      <c r="G45" s="13">
        <f>IF(VLOOKUP(B45,'Data World'!$A:$AL,MATCH(World!$G$1,'Data World'!$A$1:$AL$1,))=0,#N/A,VLOOKUP(B45,'Data World'!$A:$AL,MATCH(World!$G$1,'Data World'!$A$1:$AL$1,)))</f>
        <v>8.9</v>
      </c>
      <c r="H45" s="13">
        <f>IF(VLOOKUP(B45,'Data World'!$A:$AL,MATCH(World!$H$1,'Data World'!$A$1:$AL$1,))=0,#N/A,VLOOKUP(B45,'Data World'!$A:$AL,MATCH(World!$H$1,'Data World'!$A$1:$AL$1,)))</f>
        <v>4.0346690000000001</v>
      </c>
      <c r="I45" s="13">
        <f>IF(VLOOKUP(B45,'Data World'!$A:$AL,MATCH(World!$I$1,'Data World'!$A$1:$AL$1,))=0,#N/A,VLOOKUP(B45,'Data World'!$A:$AL,MATCH(World!$I$1,'Data World'!$A$1:$AL$1,)))</f>
        <v>10.5</v>
      </c>
      <c r="J45" s="13">
        <f>IF(VLOOKUP(B45,'Data World'!$A:$AL,MATCH(World!$J$1,'Data World'!$A$1:$AL$1,))=0,#N/A,VLOOKUP(B45,'Data World'!$A:$AL,MATCH(World!$J$1,'Data World'!$A$1:$AL$1,)))</f>
        <v>14.9</v>
      </c>
      <c r="K45" s="13">
        <f>IF(VLOOKUP(B45,'Data World'!$A:$AL,MATCH(World!$K$1,'Data World'!$A$1:$AL$1,))=0,#N/A,VLOOKUP(B45,'Data World'!$A:$AL,MATCH(World!$K$1,'Data World'!$A$1:$AL$1,)))</f>
        <v>6.4</v>
      </c>
      <c r="L45" s="13">
        <f>IF(VLOOKUP(B45,'Data World'!$A:$AL,MATCH(World!$L$1,'Data World'!$A$1:$AL$1,))=0,#N/A,VLOOKUP(B45,'Data World'!$A:$AL,MATCH(World!$L$1,'Data World'!$A$1:$AL$1,)))</f>
        <v>3.3152919999999999</v>
      </c>
      <c r="M45" s="13">
        <f>IF(VLOOKUP(B45,'Data World'!$A:$AL,MATCH(World!$M$1,'Data World'!$A$1:$AL$1,))=0,#N/A,VLOOKUP(B45,'Data World'!$A:$AL,MATCH(World!$M$1,'Data World'!$A$1:$AL$1,)))</f>
        <v>5.8</v>
      </c>
      <c r="N45" s="13">
        <f>IF(VLOOKUP(B45,'Data World'!$A:$AL,MATCH(World!$N$1,'Data World'!$A$1:$AL$1,))=0,#N/A,VLOOKUP(B45,'Data World'!$A:$AL,MATCH(World!$N$1,'Data World'!$A$1:$AL$1,)))</f>
        <v>5.2593180000000004</v>
      </c>
      <c r="O45" s="13">
        <f>IF(VLOOKUP(B45,'Data World'!$A:$AL,MATCH(World!$O$1,'Data World'!$A$1:$AL$1,))=0,#N/A,VLOOKUP(B45,'Data World'!$A:$AL,MATCH(World!$O$1,'Data World'!$A$1:$AL$1,)))</f>
        <v>3.8</v>
      </c>
      <c r="P45" s="13">
        <f>IF(VLOOKUP(B45,'Data World'!$A:$AL,MATCH(World!$P$1,'Data World'!$A$1:$AL$1,))=0,#N/A,VLOOKUP(B45,'Data World'!$A:$AL,MATCH(World!$P$1,'Data World'!$A$1:$AL$1,)))</f>
        <v>19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3.4</v>
      </c>
      <c r="G46" s="13">
        <f>IF(VLOOKUP(B46,'Data World'!$A:$AL,MATCH(World!$G$1,'Data World'!$A$1:$AL$1,))=0,#N/A,VLOOKUP(B46,'Data World'!$A:$AL,MATCH(World!$G$1,'Data World'!$A$1:$AL$1,)))</f>
        <v>8.9</v>
      </c>
      <c r="H46" s="13">
        <f>IF(VLOOKUP(B46,'Data World'!$A:$AL,MATCH(World!$H$1,'Data World'!$A$1:$AL$1,))=0,#N/A,VLOOKUP(B46,'Data World'!$A:$AL,MATCH(World!$H$1,'Data World'!$A$1:$AL$1,)))</f>
        <v>4.0733689999999996</v>
      </c>
      <c r="I46" s="13">
        <f>IF(VLOOKUP(B46,'Data World'!$A:$AL,MATCH(World!$I$1,'Data World'!$A$1:$AL$1,))=0,#N/A,VLOOKUP(B46,'Data World'!$A:$AL,MATCH(World!$I$1,'Data World'!$A$1:$AL$1,)))</f>
        <v>10.199999999999999</v>
      </c>
      <c r="J46" s="13">
        <f>IF(VLOOKUP(B46,'Data World'!$A:$AL,MATCH(World!$J$1,'Data World'!$A$1:$AL$1,))=0,#N/A,VLOOKUP(B46,'Data World'!$A:$AL,MATCH(World!$J$1,'Data World'!$A$1:$AL$1,)))</f>
        <v>14.8</v>
      </c>
      <c r="K46" s="13">
        <f>IF(VLOOKUP(B46,'Data World'!$A:$AL,MATCH(World!$K$1,'Data World'!$A$1:$AL$1,))=0,#N/A,VLOOKUP(B46,'Data World'!$A:$AL,MATCH(World!$K$1,'Data World'!$A$1:$AL$1,)))</f>
        <v>6.3</v>
      </c>
      <c r="L46" s="13">
        <f>IF(VLOOKUP(B46,'Data World'!$A:$AL,MATCH(World!$L$1,'Data World'!$A$1:$AL$1,))=0,#N/A,VLOOKUP(B46,'Data World'!$A:$AL,MATCH(World!$L$1,'Data World'!$A$1:$AL$1,)))</f>
        <v>3.2462780000000002</v>
      </c>
      <c r="M46" s="13">
        <f>IF(VLOOKUP(B46,'Data World'!$A:$AL,MATCH(World!$M$1,'Data World'!$A$1:$AL$1,))=0,#N/A,VLOOKUP(B46,'Data World'!$A:$AL,MATCH(World!$M$1,'Data World'!$A$1:$AL$1,)))</f>
        <v>6</v>
      </c>
      <c r="N46" s="13">
        <f>IF(VLOOKUP(B46,'Data World'!$A:$AL,MATCH(World!$N$1,'Data World'!$A$1:$AL$1,))=0,#N/A,VLOOKUP(B46,'Data World'!$A:$AL,MATCH(World!$N$1,'Data World'!$A$1:$AL$1,)))</f>
        <v>5.2398980000000002</v>
      </c>
      <c r="O46" s="13">
        <f>IF(VLOOKUP(B46,'Data World'!$A:$AL,MATCH(World!$O$1,'Data World'!$A$1:$AL$1,))=0,#N/A,VLOOKUP(B46,'Data World'!$A:$AL,MATCH(World!$O$1,'Data World'!$A$1:$AL$1,)))</f>
        <v>4.3</v>
      </c>
      <c r="P46" s="13">
        <f>IF(VLOOKUP(B46,'Data World'!$A:$AL,MATCH(World!$P$1,'Data World'!$A$1:$AL$1,))=0,#N/A,VLOOKUP(B46,'Data World'!$A:$AL,MATCH(World!$P$1,'Data World'!$A$1:$AL$1,)))</f>
        <v>19</v>
      </c>
      <c r="Q46" s="13">
        <f>IF(VLOOKUP(B46,'Data World'!$A:$AL,MATCH(World!$Q$1,'Data World'!$A$1:$AL$1,))=0,#N/A,VLOOKUP(B46,'Data World'!$A:$AL,MATCH(World!$Q$1,'Data World'!$A$1:$AL$1,)))</f>
        <v>5.6</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4</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3.4</v>
      </c>
      <c r="G47" s="13">
        <f>IF(VLOOKUP(B47,'Data World'!$A:$AL,MATCH(World!$G$1,'Data World'!$A$1:$AL$1,))=0,#N/A,VLOOKUP(B47,'Data World'!$A:$AL,MATCH(World!$G$1,'Data World'!$A$1:$AL$1,)))</f>
        <v>8.9</v>
      </c>
      <c r="H47" s="13">
        <f>IF(VLOOKUP(B47,'Data World'!$A:$AL,MATCH(World!$H$1,'Data World'!$A$1:$AL$1,))=0,#N/A,VLOOKUP(B47,'Data World'!$A:$AL,MATCH(World!$H$1,'Data World'!$A$1:$AL$1,)))</f>
        <v>4.0553179999999998</v>
      </c>
      <c r="I47" s="13">
        <f>IF(VLOOKUP(B47,'Data World'!$A:$AL,MATCH(World!$I$1,'Data World'!$A$1:$AL$1,))=0,#N/A,VLOOKUP(B47,'Data World'!$A:$AL,MATCH(World!$I$1,'Data World'!$A$1:$AL$1,)))</f>
        <v>10.4</v>
      </c>
      <c r="J47" s="13">
        <f>IF(VLOOKUP(B47,'Data World'!$A:$AL,MATCH(World!$J$1,'Data World'!$A$1:$AL$1,))=0,#N/A,VLOOKUP(B47,'Data World'!$A:$AL,MATCH(World!$J$1,'Data World'!$A$1:$AL$1,)))</f>
        <v>14.7</v>
      </c>
      <c r="K47" s="13">
        <f>IF(VLOOKUP(B47,'Data World'!$A:$AL,MATCH(World!$K$1,'Data World'!$A$1:$AL$1,))=0,#N/A,VLOOKUP(B47,'Data World'!$A:$AL,MATCH(World!$K$1,'Data World'!$A$1:$AL$1,)))</f>
        <v>6.5</v>
      </c>
      <c r="L47" s="13">
        <f>IF(VLOOKUP(B47,'Data World'!$A:$AL,MATCH(World!$L$1,'Data World'!$A$1:$AL$1,))=0,#N/A,VLOOKUP(B47,'Data World'!$A:$AL,MATCH(World!$L$1,'Data World'!$A$1:$AL$1,)))</f>
        <v>3.3312170000000001</v>
      </c>
      <c r="M47" s="13">
        <f>IF(VLOOKUP(B47,'Data World'!$A:$AL,MATCH(World!$M$1,'Data World'!$A$1:$AL$1,))=0,#N/A,VLOOKUP(B47,'Data World'!$A:$AL,MATCH(World!$M$1,'Data World'!$A$1:$AL$1,)))</f>
        <v>5.9</v>
      </c>
      <c r="N47" s="13">
        <f>IF(VLOOKUP(B47,'Data World'!$A:$AL,MATCH(World!$N$1,'Data World'!$A$1:$AL$1,))=0,#N/A,VLOOKUP(B47,'Data World'!$A:$AL,MATCH(World!$N$1,'Data World'!$A$1:$AL$1,)))</f>
        <v>4.9868629999999996</v>
      </c>
      <c r="O47" s="13">
        <f>IF(VLOOKUP(B47,'Data World'!$A:$AL,MATCH(World!$O$1,'Data World'!$A$1:$AL$1,))=0,#N/A,VLOOKUP(B47,'Data World'!$A:$AL,MATCH(World!$O$1,'Data World'!$A$1:$AL$1,)))</f>
        <v>4.0999999999999996</v>
      </c>
      <c r="P47" s="13">
        <f>IF(VLOOKUP(B47,'Data World'!$A:$AL,MATCH(World!$P$1,'Data World'!$A$1:$AL$1,))=0,#N/A,VLOOKUP(B47,'Data World'!$A:$AL,MATCH(World!$P$1,'Data World'!$A$1:$AL$1,)))</f>
        <v>18.8</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4</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3.3</v>
      </c>
      <c r="G48" s="13">
        <f>IF(VLOOKUP(B48,'Data World'!$A:$AL,MATCH(World!$G$1,'Data World'!$A$1:$AL$1,))=0,#N/A,VLOOKUP(B48,'Data World'!$A:$AL,MATCH(World!$G$1,'Data World'!$A$1:$AL$1,)))</f>
        <v>8.8000000000000007</v>
      </c>
      <c r="H48" s="13">
        <f>IF(VLOOKUP(B48,'Data World'!$A:$AL,MATCH(World!$H$1,'Data World'!$A$1:$AL$1,))=0,#N/A,VLOOKUP(B48,'Data World'!$A:$AL,MATCH(World!$H$1,'Data World'!$A$1:$AL$1,)))</f>
        <v>4.0390870000000003</v>
      </c>
      <c r="I48" s="13">
        <f>IF(VLOOKUP(B48,'Data World'!$A:$AL,MATCH(World!$I$1,'Data World'!$A$1:$AL$1,))=0,#N/A,VLOOKUP(B48,'Data World'!$A:$AL,MATCH(World!$I$1,'Data World'!$A$1:$AL$1,)))</f>
        <v>10.8</v>
      </c>
      <c r="J48" s="13">
        <f>IF(VLOOKUP(B48,'Data World'!$A:$AL,MATCH(World!$J$1,'Data World'!$A$1:$AL$1,))=0,#N/A,VLOOKUP(B48,'Data World'!$A:$AL,MATCH(World!$J$1,'Data World'!$A$1:$AL$1,)))</f>
        <v>14.6</v>
      </c>
      <c r="K48" s="13">
        <f>IF(VLOOKUP(B48,'Data World'!$A:$AL,MATCH(World!$K$1,'Data World'!$A$1:$AL$1,))=0,#N/A,VLOOKUP(B48,'Data World'!$A:$AL,MATCH(World!$K$1,'Data World'!$A$1:$AL$1,)))</f>
        <v>6.4</v>
      </c>
      <c r="L48" s="13">
        <f>IF(VLOOKUP(B48,'Data World'!$A:$AL,MATCH(World!$L$1,'Data World'!$A$1:$AL$1,))=0,#N/A,VLOOKUP(B48,'Data World'!$A:$AL,MATCH(World!$L$1,'Data World'!$A$1:$AL$1,)))</f>
        <v>3.1691799999999999</v>
      </c>
      <c r="M48" s="13">
        <f>IF(VLOOKUP(B48,'Data World'!$A:$AL,MATCH(World!$M$1,'Data World'!$A$1:$AL$1,))=0,#N/A,VLOOKUP(B48,'Data World'!$A:$AL,MATCH(World!$M$1,'Data World'!$A$1:$AL$1,)))</f>
        <v>5.9</v>
      </c>
      <c r="N48" s="13">
        <f>IF(VLOOKUP(B48,'Data World'!$A:$AL,MATCH(World!$N$1,'Data World'!$A$1:$AL$1,))=0,#N/A,VLOOKUP(B48,'Data World'!$A:$AL,MATCH(World!$N$1,'Data World'!$A$1:$AL$1,)))</f>
        <v>4.9798140000000002</v>
      </c>
      <c r="O48" s="13">
        <f>IF(VLOOKUP(B48,'Data World'!$A:$AL,MATCH(World!$O$1,'Data World'!$A$1:$AL$1,))=0,#N/A,VLOOKUP(B48,'Data World'!$A:$AL,MATCH(World!$O$1,'Data World'!$A$1:$AL$1,)))</f>
        <v>4</v>
      </c>
      <c r="P48" s="13">
        <f>IF(VLOOKUP(B48,'Data World'!$A:$AL,MATCH(World!$P$1,'Data World'!$A$1:$AL$1,))=0,#N/A,VLOOKUP(B48,'Data World'!$A:$AL,MATCH(World!$P$1,'Data World'!$A$1:$AL$1,)))</f>
        <v>18.5</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7.9</v>
      </c>
      <c r="E49" s="13">
        <f>IF(VLOOKUP(B49,'Data World'!$A:$AL,MATCH(World!$E$1,'Data World'!$A$1:$AL$1,))=0,#N/A,VLOOKUP(B49,'Data World'!$A:$AL,MATCH(World!$E$1,'Data World'!$A$1:$AL$1,)))</f>
        <v>2.5</v>
      </c>
      <c r="F49" s="13">
        <f>IF(VLOOKUP(B49,'Data World'!$A:$AL,MATCH(World!$F$1,'Data World'!$A$1:$AL$1,))=0,#N/A,VLOOKUP(B49,'Data World'!$A:$AL,MATCH(World!$F$1,'Data World'!$A$1:$AL$1,)))</f>
        <v>3.3</v>
      </c>
      <c r="G49" s="13">
        <f>IF(VLOOKUP(B49,'Data World'!$A:$AL,MATCH(World!$G$1,'Data World'!$A$1:$AL$1,))=0,#N/A,VLOOKUP(B49,'Data World'!$A:$AL,MATCH(World!$G$1,'Data World'!$A$1:$AL$1,)))</f>
        <v>8.8000000000000007</v>
      </c>
      <c r="H49" s="13">
        <f>IF(VLOOKUP(B49,'Data World'!$A:$AL,MATCH(World!$H$1,'Data World'!$A$1:$AL$1,))=0,#N/A,VLOOKUP(B49,'Data World'!$A:$AL,MATCH(World!$H$1,'Data World'!$A$1:$AL$1,)))</f>
        <v>4.0135420000000002</v>
      </c>
      <c r="I49" s="13">
        <f>IF(VLOOKUP(B49,'Data World'!$A:$AL,MATCH(World!$I$1,'Data World'!$A$1:$AL$1,))=0,#N/A,VLOOKUP(B49,'Data World'!$A:$AL,MATCH(World!$I$1,'Data World'!$A$1:$AL$1,)))</f>
        <v>10.6</v>
      </c>
      <c r="J49" s="13">
        <f>IF(VLOOKUP(B49,'Data World'!$A:$AL,MATCH(World!$J$1,'Data World'!$A$1:$AL$1,))=0,#N/A,VLOOKUP(B49,'Data World'!$A:$AL,MATCH(World!$J$1,'Data World'!$A$1:$AL$1,)))</f>
        <v>14.5</v>
      </c>
      <c r="K49" s="13">
        <f>IF(VLOOKUP(B49,'Data World'!$A:$AL,MATCH(World!$K$1,'Data World'!$A$1:$AL$1,))=0,#N/A,VLOOKUP(B49,'Data World'!$A:$AL,MATCH(World!$K$1,'Data World'!$A$1:$AL$1,)))</f>
        <v>6.5</v>
      </c>
      <c r="L49" s="13">
        <f>IF(VLOOKUP(B49,'Data World'!$A:$AL,MATCH(World!$L$1,'Data World'!$A$1:$AL$1,))=0,#N/A,VLOOKUP(B49,'Data World'!$A:$AL,MATCH(World!$L$1,'Data World'!$A$1:$AL$1,)))</f>
        <v>3.3546520000000002</v>
      </c>
      <c r="M49" s="13">
        <f>IF(VLOOKUP(B49,'Data World'!$A:$AL,MATCH(World!$M$1,'Data World'!$A$1:$AL$1,))=0,#N/A,VLOOKUP(B49,'Data World'!$A:$AL,MATCH(World!$M$1,'Data World'!$A$1:$AL$1,)))</f>
        <v>5.7</v>
      </c>
      <c r="N49" s="13">
        <f>IF(VLOOKUP(B49,'Data World'!$A:$AL,MATCH(World!$N$1,'Data World'!$A$1:$AL$1,))=0,#N/A,VLOOKUP(B49,'Data World'!$A:$AL,MATCH(World!$N$1,'Data World'!$A$1:$AL$1,)))</f>
        <v>5.1085130000000003</v>
      </c>
      <c r="O49" s="13">
        <f>IF(VLOOKUP(B49,'Data World'!$A:$AL,MATCH(World!$O$1,'Data World'!$A$1:$AL$1,))=0,#N/A,VLOOKUP(B49,'Data World'!$A:$AL,MATCH(World!$O$1,'Data World'!$A$1:$AL$1,)))</f>
        <v>3.9</v>
      </c>
      <c r="P49" s="13">
        <f>IF(VLOOKUP(B49,'Data World'!$A:$AL,MATCH(World!$P$1,'Data World'!$A$1:$AL$1,))=0,#N/A,VLOOKUP(B49,'Data World'!$A:$AL,MATCH(World!$P$1,'Data World'!$A$1:$AL$1,)))</f>
        <v>18.600000000000001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7.8</v>
      </c>
      <c r="E50" s="13">
        <f>IF(VLOOKUP(B50,'Data World'!$A:$AL,MATCH(World!$E$1,'Data World'!$A$1:$AL$1,))=0,#N/A,VLOOKUP(B50,'Data World'!$A:$AL,MATCH(World!$E$1,'Data World'!$A$1:$AL$1,)))</f>
        <v>2.5</v>
      </c>
      <c r="F50" s="13">
        <f>IF(VLOOKUP(B50,'Data World'!$A:$AL,MATCH(World!$F$1,'Data World'!$A$1:$AL$1,))=0,#N/A,VLOOKUP(B50,'Data World'!$A:$AL,MATCH(World!$F$1,'Data World'!$A$1:$AL$1,)))</f>
        <v>3.3</v>
      </c>
      <c r="G50" s="13">
        <f>IF(VLOOKUP(B50,'Data World'!$A:$AL,MATCH(World!$G$1,'Data World'!$A$1:$AL$1,))=0,#N/A,VLOOKUP(B50,'Data World'!$A:$AL,MATCH(World!$G$1,'Data World'!$A$1:$AL$1,)))</f>
        <v>8.8000000000000007</v>
      </c>
      <c r="H50" s="13">
        <f>IF(VLOOKUP(B50,'Data World'!$A:$AL,MATCH(World!$H$1,'Data World'!$A$1:$AL$1,))=0,#N/A,VLOOKUP(B50,'Data World'!$A:$AL,MATCH(World!$H$1,'Data World'!$A$1:$AL$1,)))</f>
        <v>3.9305620000000001</v>
      </c>
      <c r="I50" s="13">
        <f>IF(VLOOKUP(B50,'Data World'!$A:$AL,MATCH(World!$I$1,'Data World'!$A$1:$AL$1,))=0,#N/A,VLOOKUP(B50,'Data World'!$A:$AL,MATCH(World!$I$1,'Data World'!$A$1:$AL$1,)))</f>
        <v>10.3</v>
      </c>
      <c r="J50" s="13">
        <f>IF(VLOOKUP(B50,'Data World'!$A:$AL,MATCH(World!$J$1,'Data World'!$A$1:$AL$1,))=0,#N/A,VLOOKUP(B50,'Data World'!$A:$AL,MATCH(World!$J$1,'Data World'!$A$1:$AL$1,)))</f>
        <v>14.4</v>
      </c>
      <c r="K50" s="13">
        <f>IF(VLOOKUP(B50,'Data World'!$A:$AL,MATCH(World!$K$1,'Data World'!$A$1:$AL$1,))=0,#N/A,VLOOKUP(B50,'Data World'!$A:$AL,MATCH(World!$K$1,'Data World'!$A$1:$AL$1,)))</f>
        <v>6.6</v>
      </c>
      <c r="L50" s="13">
        <f>IF(VLOOKUP(B50,'Data World'!$A:$AL,MATCH(World!$L$1,'Data World'!$A$1:$AL$1,))=0,#N/A,VLOOKUP(B50,'Data World'!$A:$AL,MATCH(World!$L$1,'Data World'!$A$1:$AL$1,)))</f>
        <v>3.6894339999999999</v>
      </c>
      <c r="M50" s="13">
        <f>IF(VLOOKUP(B50,'Data World'!$A:$AL,MATCH(World!$M$1,'Data World'!$A$1:$AL$1,))=0,#N/A,VLOOKUP(B50,'Data World'!$A:$AL,MATCH(World!$M$1,'Data World'!$A$1:$AL$1,)))</f>
        <v>5.8</v>
      </c>
      <c r="N50" s="13">
        <f>IF(VLOOKUP(B50,'Data World'!$A:$AL,MATCH(World!$N$1,'Data World'!$A$1:$AL$1,))=0,#N/A,VLOOKUP(B50,'Data World'!$A:$AL,MATCH(World!$N$1,'Data World'!$A$1:$AL$1,)))</f>
        <v>5.0049219999999996</v>
      </c>
      <c r="O50" s="13">
        <f>IF(VLOOKUP(B50,'Data World'!$A:$AL,MATCH(World!$O$1,'Data World'!$A$1:$AL$1,))=0,#N/A,VLOOKUP(B50,'Data World'!$A:$AL,MATCH(World!$O$1,'Data World'!$A$1:$AL$1,)))</f>
        <v>3.8</v>
      </c>
      <c r="P50" s="13">
        <f>IF(VLOOKUP(B50,'Data World'!$A:$AL,MATCH(World!$P$1,'Data World'!$A$1:$AL$1,))=0,#N/A,VLOOKUP(B50,'Data World'!$A:$AL,MATCH(World!$P$1,'Data World'!$A$1:$AL$1,)))</f>
        <v>18.399999999999999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3.8</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7.8</v>
      </c>
      <c r="E51" s="13">
        <f>IF(VLOOKUP(B51,'Data World'!$A:$AL,MATCH(World!$E$1,'Data World'!$A$1:$AL$1,))=0,#N/A,VLOOKUP(B51,'Data World'!$A:$AL,MATCH(World!$E$1,'Data World'!$A$1:$AL$1,)))</f>
        <v>2.5</v>
      </c>
      <c r="F51" s="13">
        <f>IF(VLOOKUP(B51,'Data World'!$A:$AL,MATCH(World!$F$1,'Data World'!$A$1:$AL$1,))=0,#N/A,VLOOKUP(B51,'Data World'!$A:$AL,MATCH(World!$F$1,'Data World'!$A$1:$AL$1,)))</f>
        <v>3.3</v>
      </c>
      <c r="G51" s="13">
        <f>IF(VLOOKUP(B51,'Data World'!$A:$AL,MATCH(World!$G$1,'Data World'!$A$1:$AL$1,))=0,#N/A,VLOOKUP(B51,'Data World'!$A:$AL,MATCH(World!$G$1,'Data World'!$A$1:$AL$1,)))</f>
        <v>8.6999999999999993</v>
      </c>
      <c r="H51" s="13">
        <f>IF(VLOOKUP(B51,'Data World'!$A:$AL,MATCH(World!$H$1,'Data World'!$A$1:$AL$1,))=0,#N/A,VLOOKUP(B51,'Data World'!$A:$AL,MATCH(World!$H$1,'Data World'!$A$1:$AL$1,)))</f>
        <v>3.9415309999999999</v>
      </c>
      <c r="I51" s="13">
        <f>IF(VLOOKUP(B51,'Data World'!$A:$AL,MATCH(World!$I$1,'Data World'!$A$1:$AL$1,))=0,#N/A,VLOOKUP(B51,'Data World'!$A:$AL,MATCH(World!$I$1,'Data World'!$A$1:$AL$1,)))</f>
        <v>10.5</v>
      </c>
      <c r="J51" s="13">
        <f>IF(VLOOKUP(B51,'Data World'!$A:$AL,MATCH(World!$J$1,'Data World'!$A$1:$AL$1,))=0,#N/A,VLOOKUP(B51,'Data World'!$A:$AL,MATCH(World!$J$1,'Data World'!$A$1:$AL$1,)))</f>
        <v>14.4</v>
      </c>
      <c r="K51" s="13">
        <f>IF(VLOOKUP(B51,'Data World'!$A:$AL,MATCH(World!$K$1,'Data World'!$A$1:$AL$1,))=0,#N/A,VLOOKUP(B51,'Data World'!$A:$AL,MATCH(World!$K$1,'Data World'!$A$1:$AL$1,)))</f>
        <v>6.2</v>
      </c>
      <c r="L51" s="13">
        <f>IF(VLOOKUP(B51,'Data World'!$A:$AL,MATCH(World!$L$1,'Data World'!$A$1:$AL$1,))=0,#N/A,VLOOKUP(B51,'Data World'!$A:$AL,MATCH(World!$L$1,'Data World'!$A$1:$AL$1,)))</f>
        <v>3.3865210000000001</v>
      </c>
      <c r="M51" s="13">
        <f>IF(VLOOKUP(B51,'Data World'!$A:$AL,MATCH(World!$M$1,'Data World'!$A$1:$AL$1,))=0,#N/A,VLOOKUP(B51,'Data World'!$A:$AL,MATCH(World!$M$1,'Data World'!$A$1:$AL$1,)))</f>
        <v>5.9</v>
      </c>
      <c r="N51" s="13">
        <f>IF(VLOOKUP(B51,'Data World'!$A:$AL,MATCH(World!$N$1,'Data World'!$A$1:$AL$1,))=0,#N/A,VLOOKUP(B51,'Data World'!$A:$AL,MATCH(World!$N$1,'Data World'!$A$1:$AL$1,)))</f>
        <v>5.0813730000000001</v>
      </c>
      <c r="O51" s="13">
        <f>IF(VLOOKUP(B51,'Data World'!$A:$AL,MATCH(World!$O$1,'Data World'!$A$1:$AL$1,))=0,#N/A,VLOOKUP(B51,'Data World'!$A:$AL,MATCH(World!$O$1,'Data World'!$A$1:$AL$1,)))</f>
        <v>4.3</v>
      </c>
      <c r="P51" s="13">
        <f>IF(VLOOKUP(B51,'Data World'!$A:$AL,MATCH(World!$P$1,'Data World'!$A$1:$AL$1,))=0,#N/A,VLOOKUP(B51,'Data World'!$A:$AL,MATCH(World!$P$1,'Data World'!$A$1:$AL$1,)))</f>
        <v>18.899999999999999</v>
      </c>
      <c r="Q51" s="13">
        <f>IF(VLOOKUP(B51,'Data World'!$A:$AL,MATCH(World!$Q$1,'Data World'!$A$1:$AL$1,))=0,#N/A,VLOOKUP(B51,'Data World'!$A:$AL,MATCH(World!$Q$1,'Data World'!$A$1:$AL$1,)))</f>
        <v>5.0999999999999996</v>
      </c>
      <c r="R51" s="13">
        <f>IF(VLOOKUP(B51,'Data World'!$A:$AL,MATCH(World!$R$1,'Data World'!$A$1:$AL$1,))=0,#N/A,VLOOKUP(B51,'Data World'!$A:$AL,MATCH(World!$R$1,'Data World'!$A$1:$AL$1,)))</f>
        <v>13.5</v>
      </c>
      <c r="S51" s="13">
        <f>IF(VLOOKUP(B51,'Data World'!$A:$AL,MATCH(World!$S$1,'Data World'!$A$1:$AL$1,))=0,#N/A,VLOOKUP(B51,'Data World'!$A:$AL,MATCH(World!$S$1,'Data World'!$A$1:$AL$1,)))</f>
        <v>2.1</v>
      </c>
      <c r="T51" s="13">
        <f>IF(VLOOKUP(B51,'Data World'!$A:$AL,MATCH(World!$T$1,'Data World'!$A$1:$AL$1,))=0,#N/A,VLOOKUP(B51,'Data World'!$A:$AL,MATCH(World!$T$1,'Data World'!$A$1:$AL$1,)))</f>
        <v>3.8</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3.2</v>
      </c>
      <c r="G52" s="13">
        <f>IF(VLOOKUP(B52,'Data World'!$A:$AL,MATCH(World!$G$1,'Data World'!$A$1:$AL$1,))=0,#N/A,VLOOKUP(B52,'Data World'!$A:$AL,MATCH(World!$G$1,'Data World'!$A$1:$AL$1,)))</f>
        <v>8.6</v>
      </c>
      <c r="H52" s="13">
        <f>IF(VLOOKUP(B52,'Data World'!$A:$AL,MATCH(World!$H$1,'Data World'!$A$1:$AL$1,))=0,#N/A,VLOOKUP(B52,'Data World'!$A:$AL,MATCH(World!$H$1,'Data World'!$A$1:$AL$1,)))</f>
        <v>3.8178010000000002</v>
      </c>
      <c r="I52" s="13">
        <f>IF(VLOOKUP(B52,'Data World'!$A:$AL,MATCH(World!$I$1,'Data World'!$A$1:$AL$1,))=0,#N/A,VLOOKUP(B52,'Data World'!$A:$AL,MATCH(World!$I$1,'Data World'!$A$1:$AL$1,)))</f>
        <v>10.5</v>
      </c>
      <c r="J52" s="13">
        <f>IF(VLOOKUP(B52,'Data World'!$A:$AL,MATCH(World!$J$1,'Data World'!$A$1:$AL$1,))=0,#N/A,VLOOKUP(B52,'Data World'!$A:$AL,MATCH(World!$J$1,'Data World'!$A$1:$AL$1,)))</f>
        <v>14.4</v>
      </c>
      <c r="K52" s="13">
        <f>IF(VLOOKUP(B52,'Data World'!$A:$AL,MATCH(World!$K$1,'Data World'!$A$1:$AL$1,))=0,#N/A,VLOOKUP(B52,'Data World'!$A:$AL,MATCH(World!$K$1,'Data World'!$A$1:$AL$1,)))</f>
        <v>6.7</v>
      </c>
      <c r="L52" s="13">
        <f>IF(VLOOKUP(B52,'Data World'!$A:$AL,MATCH(World!$L$1,'Data World'!$A$1:$AL$1,))=0,#N/A,VLOOKUP(B52,'Data World'!$A:$AL,MATCH(World!$L$1,'Data World'!$A$1:$AL$1,)))</f>
        <v>3.3223370000000001</v>
      </c>
      <c r="M52" s="13">
        <f>IF(VLOOKUP(B52,'Data World'!$A:$AL,MATCH(World!$M$1,'Data World'!$A$1:$AL$1,))=0,#N/A,VLOOKUP(B52,'Data World'!$A:$AL,MATCH(World!$M$1,'Data World'!$A$1:$AL$1,)))</f>
        <v>5.9</v>
      </c>
      <c r="N52" s="13">
        <f>IF(VLOOKUP(B52,'Data World'!$A:$AL,MATCH(World!$N$1,'Data World'!$A$1:$AL$1,))=0,#N/A,VLOOKUP(B52,'Data World'!$A:$AL,MATCH(World!$N$1,'Data World'!$A$1:$AL$1,)))</f>
        <v>5.007784</v>
      </c>
      <c r="O52" s="13">
        <f>IF(VLOOKUP(B52,'Data World'!$A:$AL,MATCH(World!$O$1,'Data World'!$A$1:$AL$1,))=0,#N/A,VLOOKUP(B52,'Data World'!$A:$AL,MATCH(World!$O$1,'Data World'!$A$1:$AL$1,)))</f>
        <v>3.8</v>
      </c>
      <c r="P52" s="13">
        <f>IF(VLOOKUP(B52,'Data World'!$A:$AL,MATCH(World!$P$1,'Data World'!$A$1:$AL$1,))=0,#N/A,VLOOKUP(B52,'Data World'!$A:$AL,MATCH(World!$P$1,'Data World'!$A$1:$AL$1,)))</f>
        <v>18.600000000000001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13.9</v>
      </c>
      <c r="S52" s="13">
        <f>IF(VLOOKUP(B52,'Data World'!$A:$AL,MATCH(World!$S$1,'Data World'!$A$1:$AL$1,))=0,#N/A,VLOOKUP(B52,'Data World'!$A:$AL,MATCH(World!$S$1,'Data World'!$A$1:$AL$1,)))</f>
        <v>1.7</v>
      </c>
      <c r="T52" s="13">
        <f>IF(VLOOKUP(B52,'Data World'!$A:$AL,MATCH(World!$T$1,'Data World'!$A$1:$AL$1,))=0,#N/A,VLOOKUP(B52,'Data World'!$A:$AL,MATCH(World!$T$1,'Data World'!$A$1:$AL$1,)))</f>
        <v>3.7</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3.2</v>
      </c>
      <c r="G53" s="13">
        <f>IF(VLOOKUP(B53,'Data World'!$A:$AL,MATCH(World!$G$1,'Data World'!$A$1:$AL$1,))=0,#N/A,VLOOKUP(B53,'Data World'!$A:$AL,MATCH(World!$G$1,'Data World'!$A$1:$AL$1,)))</f>
        <v>8.6999999999999993</v>
      </c>
      <c r="H53" s="13">
        <f>IF(VLOOKUP(B53,'Data World'!$A:$AL,MATCH(World!$H$1,'Data World'!$A$1:$AL$1,))=0,#N/A,VLOOKUP(B53,'Data World'!$A:$AL,MATCH(World!$H$1,'Data World'!$A$1:$AL$1,)))</f>
        <v>3.8302740000000002</v>
      </c>
      <c r="I53" s="13">
        <f>IF(VLOOKUP(B53,'Data World'!$A:$AL,MATCH(World!$I$1,'Data World'!$A$1:$AL$1,))=0,#N/A,VLOOKUP(B53,'Data World'!$A:$AL,MATCH(World!$I$1,'Data World'!$A$1:$AL$1,)))</f>
        <v>10.1</v>
      </c>
      <c r="J53" s="13">
        <f>IF(VLOOKUP(B53,'Data World'!$A:$AL,MATCH(World!$J$1,'Data World'!$A$1:$AL$1,))=0,#N/A,VLOOKUP(B53,'Data World'!$A:$AL,MATCH(World!$J$1,'Data World'!$A$1:$AL$1,)))</f>
        <v>14.3</v>
      </c>
      <c r="K53" s="13">
        <f>IF(VLOOKUP(B53,'Data World'!$A:$AL,MATCH(World!$K$1,'Data World'!$A$1:$AL$1,))=0,#N/A,VLOOKUP(B53,'Data World'!$A:$AL,MATCH(World!$K$1,'Data World'!$A$1:$AL$1,)))</f>
        <v>7.2</v>
      </c>
      <c r="L53" s="13">
        <f>IF(VLOOKUP(B53,'Data World'!$A:$AL,MATCH(World!$L$1,'Data World'!$A$1:$AL$1,))=0,#N/A,VLOOKUP(B53,'Data World'!$A:$AL,MATCH(World!$L$1,'Data World'!$A$1:$AL$1,)))</f>
        <v>3.5635189999999999</v>
      </c>
      <c r="M53" s="13">
        <f>IF(VLOOKUP(B53,'Data World'!$A:$AL,MATCH(World!$M$1,'Data World'!$A$1:$AL$1,))=0,#N/A,VLOOKUP(B53,'Data World'!$A:$AL,MATCH(World!$M$1,'Data World'!$A$1:$AL$1,)))</f>
        <v>5.8</v>
      </c>
      <c r="N53" s="13">
        <f>IF(VLOOKUP(B53,'Data World'!$A:$AL,MATCH(World!$N$1,'Data World'!$A$1:$AL$1,))=0,#N/A,VLOOKUP(B53,'Data World'!$A:$AL,MATCH(World!$N$1,'Data World'!$A$1:$AL$1,)))</f>
        <v>5.1358009999999998</v>
      </c>
      <c r="O53" s="13">
        <f>IF(VLOOKUP(B53,'Data World'!$A:$AL,MATCH(World!$O$1,'Data World'!$A$1:$AL$1,))=0,#N/A,VLOOKUP(B53,'Data World'!$A:$AL,MATCH(World!$O$1,'Data World'!$A$1:$AL$1,)))</f>
        <v>3.8</v>
      </c>
      <c r="P53" s="13">
        <f>IF(VLOOKUP(B53,'Data World'!$A:$AL,MATCH(World!$P$1,'Data World'!$A$1:$AL$1,))=0,#N/A,VLOOKUP(B53,'Data World'!$A:$AL,MATCH(World!$P$1,'Data World'!$A$1:$AL$1,)))</f>
        <v>17.899999999999999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3.6</v>
      </c>
    </row>
    <row r="54" spans="2:20" s="59" customFormat="1" x14ac:dyDescent="0.2">
      <c r="B54" s="12">
        <v>43585</v>
      </c>
      <c r="C54" s="13">
        <f>IF(VLOOKUP(B54,'Data World'!$A:$AL,MATCH(World!$C$1,'Data World'!$A$1:$AL$1,))=0,#N/A,VLOOKUP(B54,'Data World'!$A:$AL,MATCH(World!$C$1,'Data World'!$A$1:$AL$1,)))</f>
        <v>3.7</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3.2</v>
      </c>
      <c r="G54" s="13">
        <f>IF(VLOOKUP(B54,'Data World'!$A:$AL,MATCH(World!$G$1,'Data World'!$A$1:$AL$1,))=0,#N/A,VLOOKUP(B54,'Data World'!$A:$AL,MATCH(World!$G$1,'Data World'!$A$1:$AL$1,)))</f>
        <v>8.6</v>
      </c>
      <c r="H54" s="13">
        <f>IF(VLOOKUP(B54,'Data World'!$A:$AL,MATCH(World!$H$1,'Data World'!$A$1:$AL$1,))=0,#N/A,VLOOKUP(B54,'Data World'!$A:$AL,MATCH(World!$H$1,'Data World'!$A$1:$AL$1,)))</f>
        <v>3.7956110000000001</v>
      </c>
      <c r="I54" s="13">
        <f>IF(VLOOKUP(B54,'Data World'!$A:$AL,MATCH(World!$I$1,'Data World'!$A$1:$AL$1,))=0,#N/A,VLOOKUP(B54,'Data World'!$A:$AL,MATCH(World!$I$1,'Data World'!$A$1:$AL$1,)))</f>
        <v>10.4</v>
      </c>
      <c r="J54" s="13">
        <f>IF(VLOOKUP(B54,'Data World'!$A:$AL,MATCH(World!$J$1,'Data World'!$A$1:$AL$1,))=0,#N/A,VLOOKUP(B54,'Data World'!$A:$AL,MATCH(World!$J$1,'Data World'!$A$1:$AL$1,)))</f>
        <v>14.1</v>
      </c>
      <c r="K54" s="13">
        <f>IF(VLOOKUP(B54,'Data World'!$A:$AL,MATCH(World!$K$1,'Data World'!$A$1:$AL$1,))=0,#N/A,VLOOKUP(B54,'Data World'!$A:$AL,MATCH(World!$K$1,'Data World'!$A$1:$AL$1,)))</f>
        <v>6.4</v>
      </c>
      <c r="L54" s="13">
        <f>IF(VLOOKUP(B54,'Data World'!$A:$AL,MATCH(World!$L$1,'Data World'!$A$1:$AL$1,))=0,#N/A,VLOOKUP(B54,'Data World'!$A:$AL,MATCH(World!$L$1,'Data World'!$A$1:$AL$1,)))</f>
        <v>3.5739860000000001</v>
      </c>
      <c r="M54" s="13">
        <f>IF(VLOOKUP(B54,'Data World'!$A:$AL,MATCH(World!$M$1,'Data World'!$A$1:$AL$1,))=0,#N/A,VLOOKUP(B54,'Data World'!$A:$AL,MATCH(World!$M$1,'Data World'!$A$1:$AL$1,)))</f>
        <v>5.8</v>
      </c>
      <c r="N54" s="13">
        <f>IF(VLOOKUP(B54,'Data World'!$A:$AL,MATCH(World!$N$1,'Data World'!$A$1:$AL$1,))=0,#N/A,VLOOKUP(B54,'Data World'!$A:$AL,MATCH(World!$N$1,'Data World'!$A$1:$AL$1,)))</f>
        <v>5.2429680000000003</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13.7</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3.7</v>
      </c>
      <c r="D55" s="13">
        <f>IF(VLOOKUP(B55,'Data World'!$A:$AL,MATCH(World!$D$1,'Data World'!$A$1:$AL$1,))=0,#N/A,VLOOKUP(B55,'Data World'!$A:$AL,MATCH(World!$D$1,'Data World'!$A$1:$AL$1,)))</f>
        <v>7.6</v>
      </c>
      <c r="E55" s="13">
        <f>IF(VLOOKUP(B55,'Data World'!$A:$AL,MATCH(World!$E$1,'Data World'!$A$1:$AL$1,))=0,#N/A,VLOOKUP(B55,'Data World'!$A:$AL,MATCH(World!$E$1,'Data World'!$A$1:$AL$1,)))</f>
        <v>2.2999999999999998</v>
      </c>
      <c r="F55" s="13">
        <f>IF(VLOOKUP(B55,'Data World'!$A:$AL,MATCH(World!$F$1,'Data World'!$A$1:$AL$1,))=0,#N/A,VLOOKUP(B55,'Data World'!$A:$AL,MATCH(World!$F$1,'Data World'!$A$1:$AL$1,)))</f>
        <v>3.1</v>
      </c>
      <c r="G55" s="13">
        <f>IF(VLOOKUP(B55,'Data World'!$A:$AL,MATCH(World!$G$1,'Data World'!$A$1:$AL$1,))=0,#N/A,VLOOKUP(B55,'Data World'!$A:$AL,MATCH(World!$G$1,'Data World'!$A$1:$AL$1,)))</f>
        <v>8.8000000000000007</v>
      </c>
      <c r="H55" s="13">
        <f>IF(VLOOKUP(B55,'Data World'!$A:$AL,MATCH(World!$H$1,'Data World'!$A$1:$AL$1,))=0,#N/A,VLOOKUP(B55,'Data World'!$A:$AL,MATCH(World!$H$1,'Data World'!$A$1:$AL$1,)))</f>
        <v>3.8928379999999998</v>
      </c>
      <c r="I55" s="13">
        <f>IF(VLOOKUP(B55,'Data World'!$A:$AL,MATCH(World!$I$1,'Data World'!$A$1:$AL$1,))=0,#N/A,VLOOKUP(B55,'Data World'!$A:$AL,MATCH(World!$I$1,'Data World'!$A$1:$AL$1,)))</f>
        <v>10.1</v>
      </c>
      <c r="J55" s="13">
        <f>IF(VLOOKUP(B55,'Data World'!$A:$AL,MATCH(World!$J$1,'Data World'!$A$1:$AL$1,))=0,#N/A,VLOOKUP(B55,'Data World'!$A:$AL,MATCH(World!$J$1,'Data World'!$A$1:$AL$1,)))</f>
        <v>14.1</v>
      </c>
      <c r="K55" s="13">
        <f>IF(VLOOKUP(B55,'Data World'!$A:$AL,MATCH(World!$K$1,'Data World'!$A$1:$AL$1,))=0,#N/A,VLOOKUP(B55,'Data World'!$A:$AL,MATCH(World!$K$1,'Data World'!$A$1:$AL$1,)))</f>
        <v>6.5</v>
      </c>
      <c r="L55" s="13">
        <f>IF(VLOOKUP(B55,'Data World'!$A:$AL,MATCH(World!$L$1,'Data World'!$A$1:$AL$1,))=0,#N/A,VLOOKUP(B55,'Data World'!$A:$AL,MATCH(World!$L$1,'Data World'!$A$1:$AL$1,)))</f>
        <v>3.6174819999999999</v>
      </c>
      <c r="M55" s="13">
        <f>IF(VLOOKUP(B55,'Data World'!$A:$AL,MATCH(World!$M$1,'Data World'!$A$1:$AL$1,))=0,#N/A,VLOOKUP(B55,'Data World'!$A:$AL,MATCH(World!$M$1,'Data World'!$A$1:$AL$1,)))</f>
        <v>5.4</v>
      </c>
      <c r="N55" s="13">
        <f>IF(VLOOKUP(B55,'Data World'!$A:$AL,MATCH(World!$N$1,'Data World'!$A$1:$AL$1,))=0,#N/A,VLOOKUP(B55,'Data World'!$A:$AL,MATCH(World!$N$1,'Data World'!$A$1:$AL$1,)))</f>
        <v>5.1993530000000003</v>
      </c>
      <c r="O55" s="13">
        <f>IF(VLOOKUP(B55,'Data World'!$A:$AL,MATCH(World!$O$1,'Data World'!$A$1:$AL$1,))=0,#N/A,VLOOKUP(B55,'Data World'!$A:$AL,MATCH(World!$O$1,'Data World'!$A$1:$AL$1,)))</f>
        <v>3.8</v>
      </c>
      <c r="P55" s="13">
        <f>IF(VLOOKUP(B55,'Data World'!$A:$AL,MATCH(World!$P$1,'Data World'!$A$1:$AL$1,))=0,#N/A,VLOOKUP(B55,'Data World'!$A:$AL,MATCH(World!$P$1,'Data World'!$A$1:$AL$1,)))</f>
        <v>17</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3.1</v>
      </c>
      <c r="G56" s="13">
        <f>IF(VLOOKUP(B56,'Data World'!$A:$AL,MATCH(World!$G$1,'Data World'!$A$1:$AL$1,))=0,#N/A,VLOOKUP(B56,'Data World'!$A:$AL,MATCH(World!$G$1,'Data World'!$A$1:$AL$1,)))</f>
        <v>8.6999999999999993</v>
      </c>
      <c r="H56" s="13">
        <f>IF(VLOOKUP(B56,'Data World'!$A:$AL,MATCH(World!$H$1,'Data World'!$A$1:$AL$1,))=0,#N/A,VLOOKUP(B56,'Data World'!$A:$AL,MATCH(World!$H$1,'Data World'!$A$1:$AL$1,)))</f>
        <v>3.7970489999999999</v>
      </c>
      <c r="I56" s="13">
        <f>IF(VLOOKUP(B56,'Data World'!$A:$AL,MATCH(World!$I$1,'Data World'!$A$1:$AL$1,))=0,#N/A,VLOOKUP(B56,'Data World'!$A:$AL,MATCH(World!$I$1,'Data World'!$A$1:$AL$1,)))</f>
        <v>9.6999999999999993</v>
      </c>
      <c r="J56" s="13">
        <f>IF(VLOOKUP(B56,'Data World'!$A:$AL,MATCH(World!$J$1,'Data World'!$A$1:$AL$1,))=0,#N/A,VLOOKUP(B56,'Data World'!$A:$AL,MATCH(World!$J$1,'Data World'!$A$1:$AL$1,)))</f>
        <v>14.1</v>
      </c>
      <c r="K56" s="13">
        <f>IF(VLOOKUP(B56,'Data World'!$A:$AL,MATCH(World!$K$1,'Data World'!$A$1:$AL$1,))=0,#N/A,VLOOKUP(B56,'Data World'!$A:$AL,MATCH(World!$K$1,'Data World'!$A$1:$AL$1,)))</f>
        <v>6.4</v>
      </c>
      <c r="L56" s="13">
        <f>IF(VLOOKUP(B56,'Data World'!$A:$AL,MATCH(World!$L$1,'Data World'!$A$1:$AL$1,))=0,#N/A,VLOOKUP(B56,'Data World'!$A:$AL,MATCH(World!$L$1,'Data World'!$A$1:$AL$1,)))</f>
        <v>3.5713520000000001</v>
      </c>
      <c r="M56" s="13">
        <f>IF(VLOOKUP(B56,'Data World'!$A:$AL,MATCH(World!$M$1,'Data World'!$A$1:$AL$1,))=0,#N/A,VLOOKUP(B56,'Data World'!$A:$AL,MATCH(World!$M$1,'Data World'!$A$1:$AL$1,)))</f>
        <v>5.6</v>
      </c>
      <c r="N56" s="13">
        <f>IF(VLOOKUP(B56,'Data World'!$A:$AL,MATCH(World!$N$1,'Data World'!$A$1:$AL$1,))=0,#N/A,VLOOKUP(B56,'Data World'!$A:$AL,MATCH(World!$N$1,'Data World'!$A$1:$AL$1,)))</f>
        <v>5.2015380000000002</v>
      </c>
      <c r="O56" s="13">
        <f>IF(VLOOKUP(B56,'Data World'!$A:$AL,MATCH(World!$O$1,'Data World'!$A$1:$AL$1,))=0,#N/A,VLOOKUP(B56,'Data World'!$A:$AL,MATCH(World!$O$1,'Data World'!$A$1:$AL$1,)))</f>
        <v>3.9</v>
      </c>
      <c r="P56" s="13">
        <f>IF(VLOOKUP(B56,'Data World'!$A:$AL,MATCH(World!$P$1,'Data World'!$A$1:$AL$1,))=0,#N/A,VLOOKUP(B56,'Data World'!$A:$AL,MATCH(World!$P$1,'Data World'!$A$1:$AL$1,)))</f>
        <v>16.899999999999999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3.2</v>
      </c>
    </row>
    <row r="57" spans="2:20" s="59" customFormat="1" x14ac:dyDescent="0.2">
      <c r="B57" s="12">
        <v>43677</v>
      </c>
      <c r="C57" s="13">
        <f>IF(VLOOKUP(B57,'Data World'!$A:$AL,MATCH(World!$C$1,'Data World'!$A$1:$AL$1,))=0,#N/A,VLOOKUP(B57,'Data World'!$A:$AL,MATCH(World!$C$1,'Data World'!$A$1:$AL$1,)))</f>
        <v>3.6</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3.1</v>
      </c>
      <c r="G57" s="13">
        <f>IF(VLOOKUP(B57,'Data World'!$A:$AL,MATCH(World!$G$1,'Data World'!$A$1:$AL$1,))=0,#N/A,VLOOKUP(B57,'Data World'!$A:$AL,MATCH(World!$G$1,'Data World'!$A$1:$AL$1,)))</f>
        <v>8.4</v>
      </c>
      <c r="H57" s="13">
        <f>IF(VLOOKUP(B57,'Data World'!$A:$AL,MATCH(World!$H$1,'Data World'!$A$1:$AL$1,))=0,#N/A,VLOOKUP(B57,'Data World'!$A:$AL,MATCH(World!$H$1,'Data World'!$A$1:$AL$1,)))</f>
        <v>3.8627410000000002</v>
      </c>
      <c r="I57" s="13">
        <f>IF(VLOOKUP(B57,'Data World'!$A:$AL,MATCH(World!$I$1,'Data World'!$A$1:$AL$1,))=0,#N/A,VLOOKUP(B57,'Data World'!$A:$AL,MATCH(World!$I$1,'Data World'!$A$1:$AL$1,)))</f>
        <v>9.6999999999999993</v>
      </c>
      <c r="J57" s="13">
        <f>IF(VLOOKUP(B57,'Data World'!$A:$AL,MATCH(World!$J$1,'Data World'!$A$1:$AL$1,))=0,#N/A,VLOOKUP(B57,'Data World'!$A:$AL,MATCH(World!$J$1,'Data World'!$A$1:$AL$1,)))</f>
        <v>14.2</v>
      </c>
      <c r="K57" s="13">
        <f>IF(VLOOKUP(B57,'Data World'!$A:$AL,MATCH(World!$K$1,'Data World'!$A$1:$AL$1,))=0,#N/A,VLOOKUP(B57,'Data World'!$A:$AL,MATCH(World!$K$1,'Data World'!$A$1:$AL$1,)))</f>
        <v>7.1</v>
      </c>
      <c r="L57" s="13">
        <f>IF(VLOOKUP(B57,'Data World'!$A:$AL,MATCH(World!$L$1,'Data World'!$A$1:$AL$1,))=0,#N/A,VLOOKUP(B57,'Data World'!$A:$AL,MATCH(World!$L$1,'Data World'!$A$1:$AL$1,)))</f>
        <v>3.5250710000000001</v>
      </c>
      <c r="M57" s="13">
        <f>IF(VLOOKUP(B57,'Data World'!$A:$AL,MATCH(World!$M$1,'Data World'!$A$1:$AL$1,))=0,#N/A,VLOOKUP(B57,'Data World'!$A:$AL,MATCH(World!$M$1,'Data World'!$A$1:$AL$1,)))</f>
        <v>5.8</v>
      </c>
      <c r="N57" s="13">
        <f>IF(VLOOKUP(B57,'Data World'!$A:$AL,MATCH(World!$N$1,'Data World'!$A$1:$AL$1,))=0,#N/A,VLOOKUP(B57,'Data World'!$A:$AL,MATCH(World!$N$1,'Data World'!$A$1:$AL$1,)))</f>
        <v>5.2285079999999997</v>
      </c>
      <c r="O57" s="13">
        <f>IF(VLOOKUP(B57,'Data World'!$A:$AL,MATCH(World!$O$1,'Data World'!$A$1:$AL$1,))=0,#N/A,VLOOKUP(B57,'Data World'!$A:$AL,MATCH(World!$O$1,'Data World'!$A$1:$AL$1,)))</f>
        <v>3.9</v>
      </c>
      <c r="P57" s="13">
        <f>IF(VLOOKUP(B57,'Data World'!$A:$AL,MATCH(World!$P$1,'Data World'!$A$1:$AL$1,))=0,#N/A,VLOOKUP(B57,'Data World'!$A:$AL,MATCH(World!$P$1,'Data World'!$A$1:$AL$1,)))</f>
        <v>17.2</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3.1</v>
      </c>
      <c r="G58" s="13">
        <f>IF(VLOOKUP(B58,'Data World'!$A:$AL,MATCH(World!$G$1,'Data World'!$A$1:$AL$1,))=0,#N/A,VLOOKUP(B58,'Data World'!$A:$AL,MATCH(World!$G$1,'Data World'!$A$1:$AL$1,)))</f>
        <v>8.1999999999999993</v>
      </c>
      <c r="H58" s="13">
        <f>IF(VLOOKUP(B58,'Data World'!$A:$AL,MATCH(World!$H$1,'Data World'!$A$1:$AL$1,))=0,#N/A,VLOOKUP(B58,'Data World'!$A:$AL,MATCH(World!$H$1,'Data World'!$A$1:$AL$1,)))</f>
        <v>3.8331979999999999</v>
      </c>
      <c r="I58" s="13">
        <f>IF(VLOOKUP(B58,'Data World'!$A:$AL,MATCH(World!$I$1,'Data World'!$A$1:$AL$1,))=0,#N/A,VLOOKUP(B58,'Data World'!$A:$AL,MATCH(World!$I$1,'Data World'!$A$1:$AL$1,)))</f>
        <v>9.6</v>
      </c>
      <c r="J58" s="13">
        <f>IF(VLOOKUP(B58,'Data World'!$A:$AL,MATCH(World!$J$1,'Data World'!$A$1:$AL$1,))=0,#N/A,VLOOKUP(B58,'Data World'!$A:$AL,MATCH(World!$J$1,'Data World'!$A$1:$AL$1,)))</f>
        <v>14.2</v>
      </c>
      <c r="K58" s="13">
        <f>IF(VLOOKUP(B58,'Data World'!$A:$AL,MATCH(World!$K$1,'Data World'!$A$1:$AL$1,))=0,#N/A,VLOOKUP(B58,'Data World'!$A:$AL,MATCH(World!$K$1,'Data World'!$A$1:$AL$1,)))</f>
        <v>7.1</v>
      </c>
      <c r="L58" s="13">
        <f>IF(VLOOKUP(B58,'Data World'!$A:$AL,MATCH(World!$L$1,'Data World'!$A$1:$AL$1,))=0,#N/A,VLOOKUP(B58,'Data World'!$A:$AL,MATCH(World!$L$1,'Data World'!$A$1:$AL$1,)))</f>
        <v>3.5065849999999998</v>
      </c>
      <c r="M58" s="13">
        <f>IF(VLOOKUP(B58,'Data World'!$A:$AL,MATCH(World!$M$1,'Data World'!$A$1:$AL$1,))=0,#N/A,VLOOKUP(B58,'Data World'!$A:$AL,MATCH(World!$M$1,'Data World'!$A$1:$AL$1,)))</f>
        <v>5.8</v>
      </c>
      <c r="N58" s="13">
        <f>IF(VLOOKUP(B58,'Data World'!$A:$AL,MATCH(World!$N$1,'Data World'!$A$1:$AL$1,))=0,#N/A,VLOOKUP(B58,'Data World'!$A:$AL,MATCH(World!$N$1,'Data World'!$A$1:$AL$1,)))</f>
        <v>5.2238040000000003</v>
      </c>
      <c r="O58" s="13">
        <f>IF(VLOOKUP(B58,'Data World'!$A:$AL,MATCH(World!$O$1,'Data World'!$A$1:$AL$1,))=0,#N/A,VLOOKUP(B58,'Data World'!$A:$AL,MATCH(World!$O$1,'Data World'!$A$1:$AL$1,)))</f>
        <v>3.2</v>
      </c>
      <c r="P58" s="13">
        <f>IF(VLOOKUP(B58,'Data World'!$A:$AL,MATCH(World!$P$1,'Data World'!$A$1:$AL$1,))=0,#N/A,VLOOKUP(B58,'Data World'!$A:$AL,MATCH(World!$P$1,'Data World'!$A$1:$AL$1,)))</f>
        <v>16.7</v>
      </c>
      <c r="Q58" s="13">
        <f>IF(VLOOKUP(B58,'Data World'!$A:$AL,MATCH(World!$Q$1,'Data World'!$A$1:$AL$1,))=0,#N/A,VLOOKUP(B58,'Data World'!$A:$AL,MATCH(World!$Q$1,'Data World'!$A$1:$AL$1,)))</f>
        <v>4.9000000000000004</v>
      </c>
      <c r="R58" s="13">
        <f>IF(VLOOKUP(B58,'Data World'!$A:$AL,MATCH(World!$R$1,'Data World'!$A$1:$AL$1,))=0,#N/A,VLOOKUP(B58,'Data World'!$A:$AL,MATCH(World!$R$1,'Data World'!$A$1:$AL$1,)))</f>
        <v>14</v>
      </c>
      <c r="S58" s="13">
        <f>IF(VLOOKUP(B58,'Data World'!$A:$AL,MATCH(World!$S$1,'Data World'!$A$1:$AL$1,))=0,#N/A,VLOOKUP(B58,'Data World'!$A:$AL,MATCH(World!$S$1,'Data World'!$A$1:$AL$1,)))</f>
        <v>2</v>
      </c>
      <c r="T58" s="13">
        <f>IF(VLOOKUP(B58,'Data World'!$A:$AL,MATCH(World!$T$1,'Data World'!$A$1:$AL$1,))=0,#N/A,VLOOKUP(B58,'Data World'!$A:$AL,MATCH(World!$T$1,'Data World'!$A$1:$AL$1,)))</f>
        <v>3.1</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7.4</v>
      </c>
      <c r="E59" s="13">
        <f>IF(VLOOKUP(B59,'Data World'!$A:$AL,MATCH(World!$E$1,'Data World'!$A$1:$AL$1,))=0,#N/A,VLOOKUP(B59,'Data World'!$A:$AL,MATCH(World!$E$1,'Data World'!$A$1:$AL$1,)))</f>
        <v>2.4</v>
      </c>
      <c r="F59" s="13">
        <f>IF(VLOOKUP(B59,'Data World'!$A:$AL,MATCH(World!$F$1,'Data World'!$A$1:$AL$1,))=0,#N/A,VLOOKUP(B59,'Data World'!$A:$AL,MATCH(World!$F$1,'Data World'!$A$1:$AL$1,)))</f>
        <v>3.1</v>
      </c>
      <c r="G59" s="13">
        <f>IF(VLOOKUP(B59,'Data World'!$A:$AL,MATCH(World!$G$1,'Data World'!$A$1:$AL$1,))=0,#N/A,VLOOKUP(B59,'Data World'!$A:$AL,MATCH(World!$G$1,'Data World'!$A$1:$AL$1,)))</f>
        <v>8.1</v>
      </c>
      <c r="H59" s="13">
        <f>IF(VLOOKUP(B59,'Data World'!$A:$AL,MATCH(World!$H$1,'Data World'!$A$1:$AL$1,))=0,#N/A,VLOOKUP(B59,'Data World'!$A:$AL,MATCH(World!$H$1,'Data World'!$A$1:$AL$1,)))</f>
        <v>3.7571340000000002</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6.7</v>
      </c>
      <c r="L59" s="13">
        <f>IF(VLOOKUP(B59,'Data World'!$A:$AL,MATCH(World!$L$1,'Data World'!$A$1:$AL$1,))=0,#N/A,VLOOKUP(B59,'Data World'!$A:$AL,MATCH(World!$L$1,'Data World'!$A$1:$AL$1,)))</f>
        <v>3.5397340000000002</v>
      </c>
      <c r="M59" s="13">
        <f>IF(VLOOKUP(B59,'Data World'!$A:$AL,MATCH(World!$M$1,'Data World'!$A$1:$AL$1,))=0,#N/A,VLOOKUP(B59,'Data World'!$A:$AL,MATCH(World!$M$1,'Data World'!$A$1:$AL$1,)))</f>
        <v>5.6</v>
      </c>
      <c r="N59" s="13">
        <f>IF(VLOOKUP(B59,'Data World'!$A:$AL,MATCH(World!$N$1,'Data World'!$A$1:$AL$1,))=0,#N/A,VLOOKUP(B59,'Data World'!$A:$AL,MATCH(World!$N$1,'Data World'!$A$1:$AL$1,)))</f>
        <v>5.1609420000000004</v>
      </c>
      <c r="O59" s="13">
        <f>IF(VLOOKUP(B59,'Data World'!$A:$AL,MATCH(World!$O$1,'Data World'!$A$1:$AL$1,))=0,#N/A,VLOOKUP(B59,'Data World'!$A:$AL,MATCH(World!$O$1,'Data World'!$A$1:$AL$1,)))</f>
        <v>3.5</v>
      </c>
      <c r="P59" s="13">
        <f>IF(VLOOKUP(B59,'Data World'!$A:$AL,MATCH(World!$P$1,'Data World'!$A$1:$AL$1,))=0,#N/A,VLOOKUP(B59,'Data World'!$A:$AL,MATCH(World!$P$1,'Data World'!$A$1:$AL$1,)))</f>
        <v>16.8</v>
      </c>
      <c r="Q59" s="13">
        <f>IF(VLOOKUP(B59,'Data World'!$A:$AL,MATCH(World!$Q$1,'Data World'!$A$1:$AL$1,))=0,#N/A,VLOOKUP(B59,'Data World'!$A:$AL,MATCH(World!$Q$1,'Data World'!$A$1:$AL$1,)))</f>
        <v>4.8</v>
      </c>
      <c r="R59" s="13">
        <f>IF(VLOOKUP(B59,'Data World'!$A:$AL,MATCH(World!$R$1,'Data World'!$A$1:$AL$1,))=0,#N/A,VLOOKUP(B59,'Data World'!$A:$AL,MATCH(World!$R$1,'Data World'!$A$1:$AL$1,)))</f>
        <v>14</v>
      </c>
      <c r="S59" s="13">
        <f>IF(VLOOKUP(B59,'Data World'!$A:$AL,MATCH(World!$S$1,'Data World'!$A$1:$AL$1,))=0,#N/A,VLOOKUP(B59,'Data World'!$A:$AL,MATCH(World!$S$1,'Data World'!$A$1:$AL$1,)))</f>
        <v>2.1</v>
      </c>
      <c r="T59" s="13">
        <f>IF(VLOOKUP(B59,'Data World'!$A:$AL,MATCH(World!$T$1,'Data World'!$A$1:$AL$1,))=0,#N/A,VLOOKUP(B59,'Data World'!$A:$AL,MATCH(World!$T$1,'Data World'!$A$1:$AL$1,)))</f>
        <v>3.1</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7.4</v>
      </c>
      <c r="E60" s="13">
        <f>IF(VLOOKUP(B60,'Data World'!$A:$AL,MATCH(World!$E$1,'Data World'!$A$1:$AL$1,))=0,#N/A,VLOOKUP(B60,'Data World'!$A:$AL,MATCH(World!$E$1,'Data World'!$A$1:$AL$1,)))</f>
        <v>2.4</v>
      </c>
      <c r="F60" s="13">
        <f>IF(VLOOKUP(B60,'Data World'!$A:$AL,MATCH(World!$F$1,'Data World'!$A$1:$AL$1,))=0,#N/A,VLOOKUP(B60,'Data World'!$A:$AL,MATCH(World!$F$1,'Data World'!$A$1:$AL$1,)))</f>
        <v>3.1</v>
      </c>
      <c r="G60" s="13">
        <f>IF(VLOOKUP(B60,'Data World'!$A:$AL,MATCH(World!$G$1,'Data World'!$A$1:$AL$1,))=0,#N/A,VLOOKUP(B60,'Data World'!$A:$AL,MATCH(World!$G$1,'Data World'!$A$1:$AL$1,)))</f>
        <v>8.1999999999999993</v>
      </c>
      <c r="H60" s="13">
        <f>IF(VLOOKUP(B60,'Data World'!$A:$AL,MATCH(World!$H$1,'Data World'!$A$1:$AL$1,))=0,#N/A,VLOOKUP(B60,'Data World'!$A:$AL,MATCH(World!$H$1,'Data World'!$A$1:$AL$1,)))</f>
        <v>3.8185630000000002</v>
      </c>
      <c r="I60" s="13">
        <f>IF(VLOOKUP(B60,'Data World'!$A:$AL,MATCH(World!$I$1,'Data World'!$A$1:$AL$1,))=0,#N/A,VLOOKUP(B60,'Data World'!$A:$AL,MATCH(World!$I$1,'Data World'!$A$1:$AL$1,)))</f>
        <v>9.6999999999999993</v>
      </c>
      <c r="J60" s="13">
        <f>IF(VLOOKUP(B60,'Data World'!$A:$AL,MATCH(World!$J$1,'Data World'!$A$1:$AL$1,))=0,#N/A,VLOOKUP(B60,'Data World'!$A:$AL,MATCH(World!$J$1,'Data World'!$A$1:$AL$1,)))</f>
        <v>13.9</v>
      </c>
      <c r="K60" s="13">
        <f>IF(VLOOKUP(B60,'Data World'!$A:$AL,MATCH(World!$K$1,'Data World'!$A$1:$AL$1,))=0,#N/A,VLOOKUP(B60,'Data World'!$A:$AL,MATCH(World!$K$1,'Data World'!$A$1:$AL$1,)))</f>
        <v>6.8</v>
      </c>
      <c r="L60" s="13">
        <f>IF(VLOOKUP(B60,'Data World'!$A:$AL,MATCH(World!$L$1,'Data World'!$A$1:$AL$1,))=0,#N/A,VLOOKUP(B60,'Data World'!$A:$AL,MATCH(World!$L$1,'Data World'!$A$1:$AL$1,)))</f>
        <v>3.5743469999999999</v>
      </c>
      <c r="M60" s="13">
        <f>IF(VLOOKUP(B60,'Data World'!$A:$AL,MATCH(World!$M$1,'Data World'!$A$1:$AL$1,))=0,#N/A,VLOOKUP(B60,'Data World'!$A:$AL,MATCH(World!$M$1,'Data World'!$A$1:$AL$1,)))</f>
        <v>5.6</v>
      </c>
      <c r="N60" s="13">
        <f>IF(VLOOKUP(B60,'Data World'!$A:$AL,MATCH(World!$N$1,'Data World'!$A$1:$AL$1,))=0,#N/A,VLOOKUP(B60,'Data World'!$A:$AL,MATCH(World!$N$1,'Data World'!$A$1:$AL$1,)))</f>
        <v>5.2710429999999997</v>
      </c>
      <c r="O60" s="13">
        <f>IF(VLOOKUP(B60,'Data World'!$A:$AL,MATCH(World!$O$1,'Data World'!$A$1:$AL$1,))=0,#N/A,VLOOKUP(B60,'Data World'!$A:$AL,MATCH(World!$O$1,'Data World'!$A$1:$AL$1,)))</f>
        <v>3.5</v>
      </c>
      <c r="P60" s="13">
        <f>IF(VLOOKUP(B60,'Data World'!$A:$AL,MATCH(World!$P$1,'Data World'!$A$1:$AL$1,))=0,#N/A,VLOOKUP(B60,'Data World'!$A:$AL,MATCH(World!$P$1,'Data World'!$A$1:$AL$1,)))</f>
        <v>16.8</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3.2</v>
      </c>
      <c r="G61" s="13">
        <f>IF(VLOOKUP(B61,'Data World'!$A:$AL,MATCH(World!$G$1,'Data World'!$A$1:$AL$1,))=0,#N/A,VLOOKUP(B61,'Data World'!$A:$AL,MATCH(World!$G$1,'Data World'!$A$1:$AL$1,)))</f>
        <v>8.1</v>
      </c>
      <c r="H61" s="13">
        <f>IF(VLOOKUP(B61,'Data World'!$A:$AL,MATCH(World!$H$1,'Data World'!$A$1:$AL$1,))=0,#N/A,VLOOKUP(B61,'Data World'!$A:$AL,MATCH(World!$H$1,'Data World'!$A$1:$AL$1,)))</f>
        <v>3.768513</v>
      </c>
      <c r="I61" s="13">
        <f>IF(VLOOKUP(B61,'Data World'!$A:$AL,MATCH(World!$I$1,'Data World'!$A$1:$AL$1,))=0,#N/A,VLOOKUP(B61,'Data World'!$A:$AL,MATCH(World!$I$1,'Data World'!$A$1:$AL$1,)))</f>
        <v>10</v>
      </c>
      <c r="J61" s="13">
        <f>IF(VLOOKUP(B61,'Data World'!$A:$AL,MATCH(World!$J$1,'Data World'!$A$1:$AL$1,))=0,#N/A,VLOOKUP(B61,'Data World'!$A:$AL,MATCH(World!$J$1,'Data World'!$A$1:$AL$1,)))</f>
        <v>13.8</v>
      </c>
      <c r="K61" s="13">
        <f>IF(VLOOKUP(B61,'Data World'!$A:$AL,MATCH(World!$K$1,'Data World'!$A$1:$AL$1,))=0,#N/A,VLOOKUP(B61,'Data World'!$A:$AL,MATCH(World!$K$1,'Data World'!$A$1:$AL$1,)))</f>
        <v>7.5</v>
      </c>
      <c r="L61" s="13">
        <f>IF(VLOOKUP(B61,'Data World'!$A:$AL,MATCH(World!$L$1,'Data World'!$A$1:$AL$1,))=0,#N/A,VLOOKUP(B61,'Data World'!$A:$AL,MATCH(World!$L$1,'Data World'!$A$1:$AL$1,)))</f>
        <v>3.5296979999999998</v>
      </c>
      <c r="M61" s="13">
        <f>IF(VLOOKUP(B61,'Data World'!$A:$AL,MATCH(World!$M$1,'Data World'!$A$1:$AL$1,))=0,#N/A,VLOOKUP(B61,'Data World'!$A:$AL,MATCH(World!$M$1,'Data World'!$A$1:$AL$1,)))</f>
        <v>5.9</v>
      </c>
      <c r="N61" s="13">
        <f>IF(VLOOKUP(B61,'Data World'!$A:$AL,MATCH(World!$N$1,'Data World'!$A$1:$AL$1,))=0,#N/A,VLOOKUP(B61,'Data World'!$A:$AL,MATCH(World!$N$1,'Data World'!$A$1:$AL$1,)))</f>
        <v>5.1572300000000002</v>
      </c>
      <c r="O61" s="13">
        <f>IF(VLOOKUP(B61,'Data World'!$A:$AL,MATCH(World!$O$1,'Data World'!$A$1:$AL$1,))=0,#N/A,VLOOKUP(B61,'Data World'!$A:$AL,MATCH(World!$O$1,'Data World'!$A$1:$AL$1,)))</f>
        <v>3.7</v>
      </c>
      <c r="P61" s="13">
        <f>IF(VLOOKUP(B61,'Data World'!$A:$AL,MATCH(World!$P$1,'Data World'!$A$1:$AL$1,))=0,#N/A,VLOOKUP(B61,'Data World'!$A:$AL,MATCH(World!$P$1,'Data World'!$A$1:$AL$1,)))</f>
        <v>16.600000000000001</v>
      </c>
      <c r="Q61" s="13">
        <f>IF(VLOOKUP(B61,'Data World'!$A:$AL,MATCH(World!$Q$1,'Data World'!$A$1:$AL$1,))=0,#N/A,VLOOKUP(B61,'Data World'!$A:$AL,MATCH(World!$Q$1,'Data World'!$A$1:$AL$1,)))</f>
        <v>4.8</v>
      </c>
      <c r="R61" s="13">
        <f>IF(VLOOKUP(B61,'Data World'!$A:$AL,MATCH(World!$R$1,'Data World'!$A$1:$AL$1,))=0,#N/A,VLOOKUP(B61,'Data World'!$A:$AL,MATCH(World!$R$1,'Data World'!$A$1:$AL$1,)))</f>
        <v>13.4</v>
      </c>
      <c r="S61" s="13">
        <f>IF(VLOOKUP(B61,'Data World'!$A:$AL,MATCH(World!$S$1,'Data World'!$A$1:$AL$1,))=0,#N/A,VLOOKUP(B61,'Data World'!$A:$AL,MATCH(World!$S$1,'Data World'!$A$1:$AL$1,)))</f>
        <v>2.1</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7.4</v>
      </c>
      <c r="E62" s="13">
        <f>IF(VLOOKUP(B62,'Data World'!$A:$AL,MATCH(World!$E$1,'Data World'!$A$1:$AL$1,))=0,#N/A,VLOOKUP(B62,'Data World'!$A:$AL,MATCH(World!$E$1,'Data World'!$A$1:$AL$1,)))</f>
        <v>2.2000000000000002</v>
      </c>
      <c r="F62" s="13">
        <f>IF(VLOOKUP(B62,'Data World'!$A:$AL,MATCH(World!$F$1,'Data World'!$A$1:$AL$1,))=0,#N/A,VLOOKUP(B62,'Data World'!$A:$AL,MATCH(World!$F$1,'Data World'!$A$1:$AL$1,)))</f>
        <v>3.3</v>
      </c>
      <c r="G62" s="13">
        <f>IF(VLOOKUP(B62,'Data World'!$A:$AL,MATCH(World!$G$1,'Data World'!$A$1:$AL$1,))=0,#N/A,VLOOKUP(B62,'Data World'!$A:$AL,MATCH(World!$G$1,'Data World'!$A$1:$AL$1,)))</f>
        <v>8.1</v>
      </c>
      <c r="H62" s="13">
        <f>IF(VLOOKUP(B62,'Data World'!$A:$AL,MATCH(World!$H$1,'Data World'!$A$1:$AL$1,))=0,#N/A,VLOOKUP(B62,'Data World'!$A:$AL,MATCH(World!$H$1,'Data World'!$A$1:$AL$1,)))</f>
        <v>3.912849</v>
      </c>
      <c r="I62" s="13">
        <f>IF(VLOOKUP(B62,'Data World'!$A:$AL,MATCH(World!$I$1,'Data World'!$A$1:$AL$1,))=0,#N/A,VLOOKUP(B62,'Data World'!$A:$AL,MATCH(World!$I$1,'Data World'!$A$1:$AL$1,)))</f>
        <v>9.9</v>
      </c>
      <c r="J62" s="13">
        <f>IF(VLOOKUP(B62,'Data World'!$A:$AL,MATCH(World!$J$1,'Data World'!$A$1:$AL$1,))=0,#N/A,VLOOKUP(B62,'Data World'!$A:$AL,MATCH(World!$J$1,'Data World'!$A$1:$AL$1,)))</f>
        <v>13.8</v>
      </c>
      <c r="K62" s="13">
        <f>IF(VLOOKUP(B62,'Data World'!$A:$AL,MATCH(World!$K$1,'Data World'!$A$1:$AL$1,))=0,#N/A,VLOOKUP(B62,'Data World'!$A:$AL,MATCH(World!$K$1,'Data World'!$A$1:$AL$1,)))</f>
        <v>6.7</v>
      </c>
      <c r="L62" s="13">
        <f>IF(VLOOKUP(B62,'Data World'!$A:$AL,MATCH(World!$L$1,'Data World'!$A$1:$AL$1,))=0,#N/A,VLOOKUP(B62,'Data World'!$A:$AL,MATCH(World!$L$1,'Data World'!$A$1:$AL$1,)))</f>
        <v>3.2250990000000002</v>
      </c>
      <c r="M62" s="13">
        <f>IF(VLOOKUP(B62,'Data World'!$A:$AL,MATCH(World!$M$1,'Data World'!$A$1:$AL$1,))=0,#N/A,VLOOKUP(B62,'Data World'!$A:$AL,MATCH(World!$M$1,'Data World'!$A$1:$AL$1,)))</f>
        <v>5.7</v>
      </c>
      <c r="N62" s="13">
        <f>IF(VLOOKUP(B62,'Data World'!$A:$AL,MATCH(World!$N$1,'Data World'!$A$1:$AL$1,))=0,#N/A,VLOOKUP(B62,'Data World'!$A:$AL,MATCH(World!$N$1,'Data World'!$A$1:$AL$1,)))</f>
        <v>5.0463259999999996</v>
      </c>
      <c r="O62" s="13">
        <f>IF(VLOOKUP(B62,'Data World'!$A:$AL,MATCH(World!$O$1,'Data World'!$A$1:$AL$1,))=0,#N/A,VLOOKUP(B62,'Data World'!$A:$AL,MATCH(World!$O$1,'Data World'!$A$1:$AL$1,)))</f>
        <v>3.7</v>
      </c>
      <c r="P62" s="13">
        <f>IF(VLOOKUP(B62,'Data World'!$A:$AL,MATCH(World!$P$1,'Data World'!$A$1:$AL$1,))=0,#N/A,VLOOKUP(B62,'Data World'!$A:$AL,MATCH(World!$P$1,'Data World'!$A$1:$AL$1,)))</f>
        <v>16.399999999999999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2</v>
      </c>
      <c r="T62" s="13">
        <f>IF(VLOOKUP(B62,'Data World'!$A:$AL,MATCH(World!$T$1,'Data World'!$A$1:$AL$1,))=0,#N/A,VLOOKUP(B62,'Data World'!$A:$AL,MATCH(World!$T$1,'Data World'!$A$1:$AL$1,)))</f>
        <v>2.9</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3.4</v>
      </c>
      <c r="G63" s="13">
        <f>IF(VLOOKUP(B63,'Data World'!$A:$AL,MATCH(World!$G$1,'Data World'!$A$1:$AL$1,))=0,#N/A,VLOOKUP(B63,'Data World'!$A:$AL,MATCH(World!$G$1,'Data World'!$A$1:$AL$1,)))</f>
        <v>8.1</v>
      </c>
      <c r="H63" s="13">
        <f>IF(VLOOKUP(B63,'Data World'!$A:$AL,MATCH(World!$H$1,'Data World'!$A$1:$AL$1,))=0,#N/A,VLOOKUP(B63,'Data World'!$A:$AL,MATCH(World!$H$1,'Data World'!$A$1:$AL$1,)))</f>
        <v>3.9612129999999999</v>
      </c>
      <c r="I63" s="13">
        <f>IF(VLOOKUP(B63,'Data World'!$A:$AL,MATCH(World!$I$1,'Data World'!$A$1:$AL$1,))=0,#N/A,VLOOKUP(B63,'Data World'!$A:$AL,MATCH(World!$I$1,'Data World'!$A$1:$AL$1,)))</f>
        <v>9.6999999999999993</v>
      </c>
      <c r="J63" s="13">
        <f>IF(VLOOKUP(B63,'Data World'!$A:$AL,MATCH(World!$J$1,'Data World'!$A$1:$AL$1,))=0,#N/A,VLOOKUP(B63,'Data World'!$A:$AL,MATCH(World!$J$1,'Data World'!$A$1:$AL$1,)))</f>
        <v>13.9</v>
      </c>
      <c r="K63" s="13">
        <f>IF(VLOOKUP(B63,'Data World'!$A:$AL,MATCH(World!$K$1,'Data World'!$A$1:$AL$1,))=0,#N/A,VLOOKUP(B63,'Data World'!$A:$AL,MATCH(World!$K$1,'Data World'!$A$1:$AL$1,)))</f>
        <v>7.2</v>
      </c>
      <c r="L63" s="13">
        <f>IF(VLOOKUP(B63,'Data World'!$A:$AL,MATCH(World!$L$1,'Data World'!$A$1:$AL$1,))=0,#N/A,VLOOKUP(B63,'Data World'!$A:$AL,MATCH(World!$L$1,'Data World'!$A$1:$AL$1,)))</f>
        <v>3.594449</v>
      </c>
      <c r="M63" s="13">
        <f>IF(VLOOKUP(B63,'Data World'!$A:$AL,MATCH(World!$M$1,'Data World'!$A$1:$AL$1,))=0,#N/A,VLOOKUP(B63,'Data World'!$A:$AL,MATCH(World!$M$1,'Data World'!$A$1:$AL$1,)))</f>
        <v>5.6</v>
      </c>
      <c r="N63" s="13">
        <f>IF(VLOOKUP(B63,'Data World'!$A:$AL,MATCH(World!$N$1,'Data World'!$A$1:$AL$1,))=0,#N/A,VLOOKUP(B63,'Data World'!$A:$AL,MATCH(World!$N$1,'Data World'!$A$1:$AL$1,)))</f>
        <v>5.3116890000000003</v>
      </c>
      <c r="O63" s="13">
        <f>IF(VLOOKUP(B63,'Data World'!$A:$AL,MATCH(World!$O$1,'Data World'!$A$1:$AL$1,))=0,#N/A,VLOOKUP(B63,'Data World'!$A:$AL,MATCH(World!$O$1,'Data World'!$A$1:$AL$1,)))</f>
        <v>3.9</v>
      </c>
      <c r="P63" s="13">
        <f>IF(VLOOKUP(B63,'Data World'!$A:$AL,MATCH(World!$P$1,'Data World'!$A$1:$AL$1,))=0,#N/A,VLOOKUP(B63,'Data World'!$A:$AL,MATCH(World!$P$1,'Data World'!$A$1:$AL$1,)))</f>
        <v>16.600000000000001</v>
      </c>
      <c r="Q63" s="13">
        <f>IF(VLOOKUP(B63,'Data World'!$A:$AL,MATCH(World!$Q$1,'Data World'!$A$1:$AL$1,))=0,#N/A,VLOOKUP(B63,'Data World'!$A:$AL,MATCH(World!$Q$1,'Data World'!$A$1:$AL$1,)))</f>
        <v>4.9000000000000004</v>
      </c>
      <c r="R63" s="13">
        <f>IF(VLOOKUP(B63,'Data World'!$A:$AL,MATCH(World!$R$1,'Data World'!$A$1:$AL$1,))=0,#N/A,VLOOKUP(B63,'Data World'!$A:$AL,MATCH(World!$R$1,'Data World'!$A$1:$AL$1,)))</f>
        <v>13.2</v>
      </c>
      <c r="S63" s="13">
        <f>IF(VLOOKUP(B63,'Data World'!$A:$AL,MATCH(World!$S$1,'Data World'!$A$1:$AL$1,))=0,#N/A,VLOOKUP(B63,'Data World'!$A:$AL,MATCH(World!$S$1,'Data World'!$A$1:$AL$1,)))</f>
        <v>1.9</v>
      </c>
      <c r="T63" s="13">
        <f>IF(VLOOKUP(B63,'Data World'!$A:$AL,MATCH(World!$T$1,'Data World'!$A$1:$AL$1,))=0,#N/A,VLOOKUP(B63,'Data World'!$A:$AL,MATCH(World!$T$1,'Data World'!$A$1:$AL$1,)))</f>
        <v>3</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3.5</v>
      </c>
      <c r="G64" s="13">
        <f>IF(VLOOKUP(B64,'Data World'!$A:$AL,MATCH(World!$G$1,'Data World'!$A$1:$AL$1,))=0,#N/A,VLOOKUP(B64,'Data World'!$A:$AL,MATCH(World!$G$1,'Data World'!$A$1:$AL$1,)))</f>
        <v>7.7</v>
      </c>
      <c r="H64" s="13">
        <f>IF(VLOOKUP(B64,'Data World'!$A:$AL,MATCH(World!$H$1,'Data World'!$A$1:$AL$1,))=0,#N/A,VLOOKUP(B64,'Data World'!$A:$AL,MATCH(World!$H$1,'Data World'!$A$1:$AL$1,)))</f>
        <v>3.996721</v>
      </c>
      <c r="I64" s="13">
        <f>IF(VLOOKUP(B64,'Data World'!$A:$AL,MATCH(World!$I$1,'Data World'!$A$1:$AL$1,))=0,#N/A,VLOOKUP(B64,'Data World'!$A:$AL,MATCH(World!$I$1,'Data World'!$A$1:$AL$1,)))</f>
        <v>9.6999999999999993</v>
      </c>
      <c r="J64" s="13">
        <f>IF(VLOOKUP(B64,'Data World'!$A:$AL,MATCH(World!$J$1,'Data World'!$A$1:$AL$1,))=0,#N/A,VLOOKUP(B64,'Data World'!$A:$AL,MATCH(World!$J$1,'Data World'!$A$1:$AL$1,)))</f>
        <v>13.7</v>
      </c>
      <c r="K64" s="13">
        <f>IF(VLOOKUP(B64,'Data World'!$A:$AL,MATCH(World!$K$1,'Data World'!$A$1:$AL$1,))=0,#N/A,VLOOKUP(B64,'Data World'!$A:$AL,MATCH(World!$K$1,'Data World'!$A$1:$AL$1,)))</f>
        <v>7.6</v>
      </c>
      <c r="L64" s="13">
        <f>IF(VLOOKUP(B64,'Data World'!$A:$AL,MATCH(World!$L$1,'Data World'!$A$1:$AL$1,))=0,#N/A,VLOOKUP(B64,'Data World'!$A:$AL,MATCH(World!$L$1,'Data World'!$A$1:$AL$1,)))</f>
        <v>3.5516990000000002</v>
      </c>
      <c r="M64" s="13">
        <f>IF(VLOOKUP(B64,'Data World'!$A:$AL,MATCH(World!$M$1,'Data World'!$A$1:$AL$1,))=0,#N/A,VLOOKUP(B64,'Data World'!$A:$AL,MATCH(World!$M$1,'Data World'!$A$1:$AL$1,)))</f>
        <v>5.7</v>
      </c>
      <c r="N64" s="13">
        <f>IF(VLOOKUP(B64,'Data World'!$A:$AL,MATCH(World!$N$1,'Data World'!$A$1:$AL$1,))=0,#N/A,VLOOKUP(B64,'Data World'!$A:$AL,MATCH(World!$N$1,'Data World'!$A$1:$AL$1,)))</f>
        <v>5.1336599999999999</v>
      </c>
      <c r="O64" s="13">
        <f>IF(VLOOKUP(B64,'Data World'!$A:$AL,MATCH(World!$O$1,'Data World'!$A$1:$AL$1,))=0,#N/A,VLOOKUP(B64,'Data World'!$A:$AL,MATCH(World!$O$1,'Data World'!$A$1:$AL$1,)))</f>
        <v>3.4</v>
      </c>
      <c r="P64" s="13">
        <f>IF(VLOOKUP(B64,'Data World'!$A:$AL,MATCH(World!$P$1,'Data World'!$A$1:$AL$1,))=0,#N/A,VLOOKUP(B64,'Data World'!$A:$AL,MATCH(World!$P$1,'Data World'!$A$1:$AL$1,)))</f>
        <v>15.7</v>
      </c>
      <c r="Q64" s="13">
        <f>IF(VLOOKUP(B64,'Data World'!$A:$AL,MATCH(World!$Q$1,'Data World'!$A$1:$AL$1,))=0,#N/A,VLOOKUP(B64,'Data World'!$A:$AL,MATCH(World!$Q$1,'Data World'!$A$1:$AL$1,)))</f>
        <v>4.9000000000000004</v>
      </c>
      <c r="R64" s="13">
        <f>IF(VLOOKUP(B64,'Data World'!$A:$AL,MATCH(World!$R$1,'Data World'!$A$1:$AL$1,))=0,#N/A,VLOOKUP(B64,'Data World'!$A:$AL,MATCH(World!$R$1,'Data World'!$A$1:$AL$1,)))</f>
        <v>12.8</v>
      </c>
      <c r="S64" s="13">
        <f>IF(VLOOKUP(B64,'Data World'!$A:$AL,MATCH(World!$S$1,'Data World'!$A$1:$AL$1,))=0,#N/A,VLOOKUP(B64,'Data World'!$A:$AL,MATCH(World!$S$1,'Data World'!$A$1:$AL$1,)))</f>
        <v>1.8</v>
      </c>
      <c r="T64" s="13">
        <f>IF(VLOOKUP(B64,'Data World'!$A:$AL,MATCH(World!$T$1,'Data World'!$A$1:$AL$1,))=0,#N/A,VLOOKUP(B64,'Data World'!$A:$AL,MATCH(World!$T$1,'Data World'!$A$1:$AL$1,)))</f>
        <v>3</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7.1</v>
      </c>
      <c r="E65" s="13">
        <f>IF(VLOOKUP(B65,'Data World'!$A:$AL,MATCH(World!$E$1,'Data World'!$A$1:$AL$1,))=0,#N/A,VLOOKUP(B65,'Data World'!$A:$AL,MATCH(World!$E$1,'Data World'!$A$1:$AL$1,)))</f>
        <v>2.5</v>
      </c>
      <c r="F65" s="13">
        <f>IF(VLOOKUP(B65,'Data World'!$A:$AL,MATCH(World!$F$1,'Data World'!$A$1:$AL$1,))=0,#N/A,VLOOKUP(B65,'Data World'!$A:$AL,MATCH(World!$F$1,'Data World'!$A$1:$AL$1,)))</f>
        <v>3.6</v>
      </c>
      <c r="G65" s="13">
        <f>IF(VLOOKUP(B65,'Data World'!$A:$AL,MATCH(World!$G$1,'Data World'!$A$1:$AL$1,))=0,#N/A,VLOOKUP(B65,'Data World'!$A:$AL,MATCH(World!$G$1,'Data World'!$A$1:$AL$1,)))</f>
        <v>7.5</v>
      </c>
      <c r="H65" s="13">
        <f>IF(VLOOKUP(B65,'Data World'!$A:$AL,MATCH(World!$H$1,'Data World'!$A$1:$AL$1,))=0,#N/A,VLOOKUP(B65,'Data World'!$A:$AL,MATCH(World!$H$1,'Data World'!$A$1:$AL$1,)))</f>
        <v>4.0413800000000002</v>
      </c>
      <c r="I65" s="13">
        <f>IF(VLOOKUP(B65,'Data World'!$A:$AL,MATCH(World!$I$1,'Data World'!$A$1:$AL$1,))=0,#N/A,VLOOKUP(B65,'Data World'!$A:$AL,MATCH(World!$I$1,'Data World'!$A$1:$AL$1,)))</f>
        <v>7.3</v>
      </c>
      <c r="J65" s="13">
        <f>IF(VLOOKUP(B65,'Data World'!$A:$AL,MATCH(World!$J$1,'Data World'!$A$1:$AL$1,))=0,#N/A,VLOOKUP(B65,'Data World'!$A:$AL,MATCH(World!$J$1,'Data World'!$A$1:$AL$1,)))</f>
        <v>14.5</v>
      </c>
      <c r="K65" s="13">
        <f>IF(VLOOKUP(B65,'Data World'!$A:$AL,MATCH(World!$K$1,'Data World'!$A$1:$AL$1,))=0,#N/A,VLOOKUP(B65,'Data World'!$A:$AL,MATCH(World!$K$1,'Data World'!$A$1:$AL$1,)))</f>
        <v>6.6</v>
      </c>
      <c r="L65" s="13">
        <f>IF(VLOOKUP(B65,'Data World'!$A:$AL,MATCH(World!$L$1,'Data World'!$A$1:$AL$1,))=0,#N/A,VLOOKUP(B65,'Data World'!$A:$AL,MATCH(World!$L$1,'Data World'!$A$1:$AL$1,)))</f>
        <v>3.215592</v>
      </c>
      <c r="M65" s="13">
        <f>IF(VLOOKUP(B65,'Data World'!$A:$AL,MATCH(World!$M$1,'Data World'!$A$1:$AL$1,))=0,#N/A,VLOOKUP(B65,'Data World'!$A:$AL,MATCH(World!$M$1,'Data World'!$A$1:$AL$1,)))</f>
        <v>7.9</v>
      </c>
      <c r="N65" s="13">
        <f>IF(VLOOKUP(B65,'Data World'!$A:$AL,MATCH(World!$N$1,'Data World'!$A$1:$AL$1,))=0,#N/A,VLOOKUP(B65,'Data World'!$A:$AL,MATCH(World!$N$1,'Data World'!$A$1:$AL$1,)))</f>
        <v>5.2718410000000002</v>
      </c>
      <c r="O65" s="13">
        <f>IF(VLOOKUP(B65,'Data World'!$A:$AL,MATCH(World!$O$1,'Data World'!$A$1:$AL$1,))=0,#N/A,VLOOKUP(B65,'Data World'!$A:$AL,MATCH(World!$O$1,'Data World'!$A$1:$AL$1,)))</f>
        <v>3.8</v>
      </c>
      <c r="P65" s="13">
        <f>IF(VLOOKUP(B65,'Data World'!$A:$AL,MATCH(World!$P$1,'Data World'!$A$1:$AL$1,))=0,#N/A,VLOOKUP(B65,'Data World'!$A:$AL,MATCH(World!$P$1,'Data World'!$A$1:$AL$1,)))</f>
        <v>15.8</v>
      </c>
      <c r="Q65" s="13">
        <f>IF(VLOOKUP(B65,'Data World'!$A:$AL,MATCH(World!$Q$1,'Data World'!$A$1:$AL$1,))=0,#N/A,VLOOKUP(B65,'Data World'!$A:$AL,MATCH(World!$Q$1,'Data World'!$A$1:$AL$1,)))</f>
        <v>5</v>
      </c>
      <c r="R65" s="13">
        <f>IF(VLOOKUP(B65,'Data World'!$A:$AL,MATCH(World!$R$1,'Data World'!$A$1:$AL$1,))=0,#N/A,VLOOKUP(B65,'Data World'!$A:$AL,MATCH(World!$R$1,'Data World'!$A$1:$AL$1,)))</f>
        <v>13.1</v>
      </c>
      <c r="S65" s="13">
        <f>IF(VLOOKUP(B65,'Data World'!$A:$AL,MATCH(World!$S$1,'Data World'!$A$1:$AL$1,))=0,#N/A,VLOOKUP(B65,'Data World'!$A:$AL,MATCH(World!$S$1,'Data World'!$A$1:$AL$1,)))</f>
        <v>1.9</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14.8</v>
      </c>
      <c r="D66" s="13">
        <f>IF(VLOOKUP(B66,'Data World'!$A:$AL,MATCH(World!$D$1,'Data World'!$A$1:$AL$1,))=0,#N/A,VLOOKUP(B66,'Data World'!$A:$AL,MATCH(World!$D$1,'Data World'!$A$1:$AL$1,)))</f>
        <v>7.3</v>
      </c>
      <c r="E66" s="13">
        <f>IF(VLOOKUP(B66,'Data World'!$A:$AL,MATCH(World!$E$1,'Data World'!$A$1:$AL$1,))=0,#N/A,VLOOKUP(B66,'Data World'!$A:$AL,MATCH(World!$E$1,'Data World'!$A$1:$AL$1,)))</f>
        <v>2.6</v>
      </c>
      <c r="F66" s="13">
        <f>IF(VLOOKUP(B66,'Data World'!$A:$AL,MATCH(World!$F$1,'Data World'!$A$1:$AL$1,))=0,#N/A,VLOOKUP(B66,'Data World'!$A:$AL,MATCH(World!$F$1,'Data World'!$A$1:$AL$1,)))</f>
        <v>3.7</v>
      </c>
      <c r="G66" s="13">
        <f>IF(VLOOKUP(B66,'Data World'!$A:$AL,MATCH(World!$G$1,'Data World'!$A$1:$AL$1,))=0,#N/A,VLOOKUP(B66,'Data World'!$A:$AL,MATCH(World!$G$1,'Data World'!$A$1:$AL$1,)))</f>
        <v>7.5</v>
      </c>
      <c r="H66" s="13">
        <f>IF(VLOOKUP(B66,'Data World'!$A:$AL,MATCH(World!$H$1,'Data World'!$A$1:$AL$1,))=0,#N/A,VLOOKUP(B66,'Data World'!$A:$AL,MATCH(World!$H$1,'Data World'!$A$1:$AL$1,)))</f>
        <v>4.1469899999999997</v>
      </c>
      <c r="I66" s="13">
        <f>IF(VLOOKUP(B66,'Data World'!$A:$AL,MATCH(World!$I$1,'Data World'!$A$1:$AL$1,))=0,#N/A,VLOOKUP(B66,'Data World'!$A:$AL,MATCH(World!$I$1,'Data World'!$A$1:$AL$1,)))</f>
        <v>7.4</v>
      </c>
      <c r="J66" s="13">
        <f>IF(VLOOKUP(B66,'Data World'!$A:$AL,MATCH(World!$J$1,'Data World'!$A$1:$AL$1,))=0,#N/A,VLOOKUP(B66,'Data World'!$A:$AL,MATCH(World!$J$1,'Data World'!$A$1:$AL$1,)))</f>
        <v>15.1</v>
      </c>
      <c r="K66" s="13">
        <f>IF(VLOOKUP(B66,'Data World'!$A:$AL,MATCH(World!$K$1,'Data World'!$A$1:$AL$1,))=0,#N/A,VLOOKUP(B66,'Data World'!$A:$AL,MATCH(World!$K$1,'Data World'!$A$1:$AL$1,)))</f>
        <v>7.9</v>
      </c>
      <c r="L66" s="13">
        <f>IF(VLOOKUP(B66,'Data World'!$A:$AL,MATCH(World!$L$1,'Data World'!$A$1:$AL$1,))=0,#N/A,VLOOKUP(B66,'Data World'!$A:$AL,MATCH(World!$L$1,'Data World'!$A$1:$AL$1,)))</f>
        <v>4.8208409999999997</v>
      </c>
      <c r="M66" s="13">
        <f>IF(VLOOKUP(B66,'Data World'!$A:$AL,MATCH(World!$M$1,'Data World'!$A$1:$AL$1,))=0,#N/A,VLOOKUP(B66,'Data World'!$A:$AL,MATCH(World!$M$1,'Data World'!$A$1:$AL$1,)))</f>
        <v>13.1</v>
      </c>
      <c r="N66" s="13">
        <f>IF(VLOOKUP(B66,'Data World'!$A:$AL,MATCH(World!$N$1,'Data World'!$A$1:$AL$1,))=0,#N/A,VLOOKUP(B66,'Data World'!$A:$AL,MATCH(World!$N$1,'Data World'!$A$1:$AL$1,)))</f>
        <v>6.3742799999999997</v>
      </c>
      <c r="O66" s="13">
        <f>IF(VLOOKUP(B66,'Data World'!$A:$AL,MATCH(World!$O$1,'Data World'!$A$1:$AL$1,))=0,#N/A,VLOOKUP(B66,'Data World'!$A:$AL,MATCH(World!$O$1,'Data World'!$A$1:$AL$1,)))</f>
        <v>3.8</v>
      </c>
      <c r="P66" s="13">
        <f>IF(VLOOKUP(B66,'Data World'!$A:$AL,MATCH(World!$P$1,'Data World'!$A$1:$AL$1,))=0,#N/A,VLOOKUP(B66,'Data World'!$A:$AL,MATCH(World!$P$1,'Data World'!$A$1:$AL$1,)))</f>
        <v>16.100000000000001</v>
      </c>
      <c r="Q66" s="13">
        <f>IF(VLOOKUP(B66,'Data World'!$A:$AL,MATCH(World!$Q$1,'Data World'!$A$1:$AL$1,))=0,#N/A,VLOOKUP(B66,'Data World'!$A:$AL,MATCH(World!$Q$1,'Data World'!$A$1:$AL$1,)))</f>
        <v>4.8</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13.3</v>
      </c>
      <c r="D67" s="13">
        <f>IF(VLOOKUP(B67,'Data World'!$A:$AL,MATCH(World!$D$1,'Data World'!$A$1:$AL$1,))=0,#N/A,VLOOKUP(B67,'Data World'!$A:$AL,MATCH(World!$D$1,'Data World'!$A$1:$AL$1,)))</f>
        <v>7.5</v>
      </c>
      <c r="E67" s="13">
        <f>IF(VLOOKUP(B67,'Data World'!$A:$AL,MATCH(World!$E$1,'Data World'!$A$1:$AL$1,))=0,#N/A,VLOOKUP(B67,'Data World'!$A:$AL,MATCH(World!$E$1,'Data World'!$A$1:$AL$1,)))</f>
        <v>2.8</v>
      </c>
      <c r="F67" s="13">
        <f>IF(VLOOKUP(B67,'Data World'!$A:$AL,MATCH(World!$F$1,'Data World'!$A$1:$AL$1,))=0,#N/A,VLOOKUP(B67,'Data World'!$A:$AL,MATCH(World!$F$1,'Data World'!$A$1:$AL$1,)))</f>
        <v>3.8</v>
      </c>
      <c r="G67" s="13">
        <f>IF(VLOOKUP(B67,'Data World'!$A:$AL,MATCH(World!$G$1,'Data World'!$A$1:$AL$1,))=0,#N/A,VLOOKUP(B67,'Data World'!$A:$AL,MATCH(World!$G$1,'Data World'!$A$1:$AL$1,)))</f>
        <v>7.1</v>
      </c>
      <c r="H67" s="13">
        <f>IF(VLOOKUP(B67,'Data World'!$A:$AL,MATCH(World!$H$1,'Data World'!$A$1:$AL$1,))=0,#N/A,VLOOKUP(B67,'Data World'!$A:$AL,MATCH(World!$H$1,'Data World'!$A$1:$AL$1,)))</f>
        <v>4.1371890000000002</v>
      </c>
      <c r="I67" s="13">
        <f>IF(VLOOKUP(B67,'Data World'!$A:$AL,MATCH(World!$I$1,'Data World'!$A$1:$AL$1,))=0,#N/A,VLOOKUP(B67,'Data World'!$A:$AL,MATCH(World!$I$1,'Data World'!$A$1:$AL$1,)))</f>
        <v>8.5</v>
      </c>
      <c r="J67" s="13">
        <f>IF(VLOOKUP(B67,'Data World'!$A:$AL,MATCH(World!$J$1,'Data World'!$A$1:$AL$1,))=0,#N/A,VLOOKUP(B67,'Data World'!$A:$AL,MATCH(World!$J$1,'Data World'!$A$1:$AL$1,)))</f>
        <v>15.3</v>
      </c>
      <c r="K67" s="13">
        <f>IF(VLOOKUP(B67,'Data World'!$A:$AL,MATCH(World!$K$1,'Data World'!$A$1:$AL$1,))=0,#N/A,VLOOKUP(B67,'Data World'!$A:$AL,MATCH(World!$K$1,'Data World'!$A$1:$AL$1,)))</f>
        <v>8.3000000000000007</v>
      </c>
      <c r="L67" s="13">
        <f>IF(VLOOKUP(B67,'Data World'!$A:$AL,MATCH(World!$L$1,'Data World'!$A$1:$AL$1,))=0,#N/A,VLOOKUP(B67,'Data World'!$A:$AL,MATCH(World!$L$1,'Data World'!$A$1:$AL$1,)))</f>
        <v>4.304964</v>
      </c>
      <c r="M67" s="13">
        <f>IF(VLOOKUP(B67,'Data World'!$A:$AL,MATCH(World!$M$1,'Data World'!$A$1:$AL$1,))=0,#N/A,VLOOKUP(B67,'Data World'!$A:$AL,MATCH(World!$M$1,'Data World'!$A$1:$AL$1,)))</f>
        <v>13.7</v>
      </c>
      <c r="N67" s="13">
        <f>IF(VLOOKUP(B67,'Data World'!$A:$AL,MATCH(World!$N$1,'Data World'!$A$1:$AL$1,))=0,#N/A,VLOOKUP(B67,'Data World'!$A:$AL,MATCH(World!$N$1,'Data World'!$A$1:$AL$1,)))</f>
        <v>7.0185500000000003</v>
      </c>
      <c r="O67" s="13">
        <f>IF(VLOOKUP(B67,'Data World'!$A:$AL,MATCH(World!$O$1,'Data World'!$A$1:$AL$1,))=0,#N/A,VLOOKUP(B67,'Data World'!$A:$AL,MATCH(World!$O$1,'Data World'!$A$1:$AL$1,)))</f>
        <v>4.3</v>
      </c>
      <c r="P67" s="13">
        <f>IF(VLOOKUP(B67,'Data World'!$A:$AL,MATCH(World!$P$1,'Data World'!$A$1:$AL$1,))=0,#N/A,VLOOKUP(B67,'Data World'!$A:$AL,MATCH(World!$P$1,'Data World'!$A$1:$AL$1,)))</f>
        <v>16.8</v>
      </c>
      <c r="Q67" s="13">
        <f>IF(VLOOKUP(B67,'Data World'!$A:$AL,MATCH(World!$Q$1,'Data World'!$A$1:$AL$1,))=0,#N/A,VLOOKUP(B67,'Data World'!$A:$AL,MATCH(World!$Q$1,'Data World'!$A$1:$AL$1,)))</f>
        <v>5</v>
      </c>
      <c r="R67" s="13">
        <f>IF(VLOOKUP(B67,'Data World'!$A:$AL,MATCH(World!$R$1,'Data World'!$A$1:$AL$1,))=0,#N/A,VLOOKUP(B67,'Data World'!$A:$AL,MATCH(World!$R$1,'Data World'!$A$1:$AL$1,)))</f>
        <v>13.2</v>
      </c>
      <c r="S67" s="13">
        <f>IF(VLOOKUP(B67,'Data World'!$A:$AL,MATCH(World!$S$1,'Data World'!$A$1:$AL$1,))=0,#N/A,VLOOKUP(B67,'Data World'!$A:$AL,MATCH(World!$S$1,'Data World'!$A$1:$AL$1,)))</f>
        <v>2.4</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11.1</v>
      </c>
      <c r="D68" s="13">
        <f>IF(VLOOKUP(B68,'Data World'!$A:$AL,MATCH(World!$D$1,'Data World'!$A$1:$AL$1,))=0,#N/A,VLOOKUP(B68,'Data World'!$A:$AL,MATCH(World!$D$1,'Data World'!$A$1:$AL$1,)))</f>
        <v>8</v>
      </c>
      <c r="E68" s="13">
        <f>IF(VLOOKUP(B68,'Data World'!$A:$AL,MATCH(World!$E$1,'Data World'!$A$1:$AL$1,))=0,#N/A,VLOOKUP(B68,'Data World'!$A:$AL,MATCH(World!$E$1,'Data World'!$A$1:$AL$1,)))</f>
        <v>2.8</v>
      </c>
      <c r="F68" s="13">
        <f>IF(VLOOKUP(B68,'Data World'!$A:$AL,MATCH(World!$F$1,'Data World'!$A$1:$AL$1,))=0,#N/A,VLOOKUP(B68,'Data World'!$A:$AL,MATCH(World!$F$1,'Data World'!$A$1:$AL$1,)))</f>
        <v>3.9</v>
      </c>
      <c r="G68" s="13">
        <f>IF(VLOOKUP(B68,'Data World'!$A:$AL,MATCH(World!$G$1,'Data World'!$A$1:$AL$1,))=0,#N/A,VLOOKUP(B68,'Data World'!$A:$AL,MATCH(World!$G$1,'Data World'!$A$1:$AL$1,)))</f>
        <v>7.5</v>
      </c>
      <c r="H68" s="13">
        <f>IF(VLOOKUP(B68,'Data World'!$A:$AL,MATCH(World!$H$1,'Data World'!$A$1:$AL$1,))=0,#N/A,VLOOKUP(B68,'Data World'!$A:$AL,MATCH(World!$H$1,'Data World'!$A$1:$AL$1,)))</f>
        <v>4.3189039999999999</v>
      </c>
      <c r="I68" s="13">
        <f>IF(VLOOKUP(B68,'Data World'!$A:$AL,MATCH(World!$I$1,'Data World'!$A$1:$AL$1,))=0,#N/A,VLOOKUP(B68,'Data World'!$A:$AL,MATCH(World!$I$1,'Data World'!$A$1:$AL$1,)))</f>
        <v>9.5</v>
      </c>
      <c r="J68" s="13">
        <f>IF(VLOOKUP(B68,'Data World'!$A:$AL,MATCH(World!$J$1,'Data World'!$A$1:$AL$1,))=0,#N/A,VLOOKUP(B68,'Data World'!$A:$AL,MATCH(World!$J$1,'Data World'!$A$1:$AL$1,)))</f>
        <v>15.9</v>
      </c>
      <c r="K68" s="13">
        <f>IF(VLOOKUP(B68,'Data World'!$A:$AL,MATCH(World!$K$1,'Data World'!$A$1:$AL$1,))=0,#N/A,VLOOKUP(B68,'Data World'!$A:$AL,MATCH(World!$K$1,'Data World'!$A$1:$AL$1,)))</f>
        <v>9</v>
      </c>
      <c r="L68" s="13">
        <f>IF(VLOOKUP(B68,'Data World'!$A:$AL,MATCH(World!$L$1,'Data World'!$A$1:$AL$1,))=0,#N/A,VLOOKUP(B68,'Data World'!$A:$AL,MATCH(World!$L$1,'Data World'!$A$1:$AL$1,)))</f>
        <v>5.5320520000000002</v>
      </c>
      <c r="M68" s="13">
        <f>IF(VLOOKUP(B68,'Data World'!$A:$AL,MATCH(World!$M$1,'Data World'!$A$1:$AL$1,))=0,#N/A,VLOOKUP(B68,'Data World'!$A:$AL,MATCH(World!$M$1,'Data World'!$A$1:$AL$1,)))</f>
        <v>12.5</v>
      </c>
      <c r="N68" s="13">
        <f>IF(VLOOKUP(B68,'Data World'!$A:$AL,MATCH(World!$N$1,'Data World'!$A$1:$AL$1,))=0,#N/A,VLOOKUP(B68,'Data World'!$A:$AL,MATCH(World!$N$1,'Data World'!$A$1:$AL$1,)))</f>
        <v>7.3534930000000003</v>
      </c>
      <c r="O68" s="13">
        <f>IF(VLOOKUP(B68,'Data World'!$A:$AL,MATCH(World!$O$1,'Data World'!$A$1:$AL$1,))=0,#N/A,VLOOKUP(B68,'Data World'!$A:$AL,MATCH(World!$O$1,'Data World'!$A$1:$AL$1,)))</f>
        <v>4.2</v>
      </c>
      <c r="P68" s="13">
        <f>IF(VLOOKUP(B68,'Data World'!$A:$AL,MATCH(World!$P$1,'Data World'!$A$1:$AL$1,))=0,#N/A,VLOOKUP(B68,'Data World'!$A:$AL,MATCH(World!$P$1,'Data World'!$A$1:$AL$1,)))</f>
        <v>17.7</v>
      </c>
      <c r="Q68" s="13">
        <f>IF(VLOOKUP(B68,'Data World'!$A:$AL,MATCH(World!$Q$1,'Data World'!$A$1:$AL$1,))=0,#N/A,VLOOKUP(B68,'Data World'!$A:$AL,MATCH(World!$Q$1,'Data World'!$A$1:$AL$1,)))</f>
        <v>5.6</v>
      </c>
      <c r="R68" s="13">
        <f>IF(VLOOKUP(B68,'Data World'!$A:$AL,MATCH(World!$R$1,'Data World'!$A$1:$AL$1,))=0,#N/A,VLOOKUP(B68,'Data World'!$A:$AL,MATCH(World!$R$1,'Data World'!$A$1:$AL$1,)))</f>
        <v>13.3</v>
      </c>
      <c r="S68" s="13">
        <f>IF(VLOOKUP(B68,'Data World'!$A:$AL,MATCH(World!$S$1,'Data World'!$A$1:$AL$1,))=0,#N/A,VLOOKUP(B68,'Data World'!$A:$AL,MATCH(World!$S$1,'Data World'!$A$1:$AL$1,)))</f>
        <v>2.7</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4</v>
      </c>
      <c r="G69" s="13">
        <f>IF(VLOOKUP(B69,'Data World'!$A:$AL,MATCH(World!$G$1,'Data World'!$A$1:$AL$1,))=0,#N/A,VLOOKUP(B69,'Data World'!$A:$AL,MATCH(World!$G$1,'Data World'!$A$1:$AL$1,)))</f>
        <v>8.6999999999999993</v>
      </c>
      <c r="H69" s="13">
        <f>IF(VLOOKUP(B69,'Data World'!$A:$AL,MATCH(World!$H$1,'Data World'!$A$1:$AL$1,))=0,#N/A,VLOOKUP(B69,'Data World'!$A:$AL,MATCH(World!$H$1,'Data World'!$A$1:$AL$1,)))</f>
        <v>4.5383909999999998</v>
      </c>
      <c r="I69" s="13">
        <f>IF(VLOOKUP(B69,'Data World'!$A:$AL,MATCH(World!$I$1,'Data World'!$A$1:$AL$1,))=0,#N/A,VLOOKUP(B69,'Data World'!$A:$AL,MATCH(World!$I$1,'Data World'!$A$1:$AL$1,)))</f>
        <v>10.1</v>
      </c>
      <c r="J69" s="13">
        <f>IF(VLOOKUP(B69,'Data World'!$A:$AL,MATCH(World!$J$1,'Data World'!$A$1:$AL$1,))=0,#N/A,VLOOKUP(B69,'Data World'!$A:$AL,MATCH(World!$J$1,'Data World'!$A$1:$AL$1,)))</f>
        <v>16.3</v>
      </c>
      <c r="K69" s="13">
        <f>IF(VLOOKUP(B69,'Data World'!$A:$AL,MATCH(World!$K$1,'Data World'!$A$1:$AL$1,))=0,#N/A,VLOOKUP(B69,'Data World'!$A:$AL,MATCH(World!$K$1,'Data World'!$A$1:$AL$1,)))</f>
        <v>9.1999999999999993</v>
      </c>
      <c r="L69" s="13">
        <f>IF(VLOOKUP(B69,'Data World'!$A:$AL,MATCH(World!$L$1,'Data World'!$A$1:$AL$1,))=0,#N/A,VLOOKUP(B69,'Data World'!$A:$AL,MATCH(World!$L$1,'Data World'!$A$1:$AL$1,)))</f>
        <v>5.1260719999999997</v>
      </c>
      <c r="M69" s="13">
        <f>IF(VLOOKUP(B69,'Data World'!$A:$AL,MATCH(World!$M$1,'Data World'!$A$1:$AL$1,))=0,#N/A,VLOOKUP(B69,'Data World'!$A:$AL,MATCH(World!$M$1,'Data World'!$A$1:$AL$1,)))</f>
        <v>10.9</v>
      </c>
      <c r="N69" s="13">
        <f>IF(VLOOKUP(B69,'Data World'!$A:$AL,MATCH(World!$N$1,'Data World'!$A$1:$AL$1,))=0,#N/A,VLOOKUP(B69,'Data World'!$A:$AL,MATCH(World!$N$1,'Data World'!$A$1:$AL$1,)))</f>
        <v>7.4478520000000001</v>
      </c>
      <c r="O69" s="13">
        <f>IF(VLOOKUP(B69,'Data World'!$A:$AL,MATCH(World!$O$1,'Data World'!$A$1:$AL$1,))=0,#N/A,VLOOKUP(B69,'Data World'!$A:$AL,MATCH(World!$O$1,'Data World'!$A$1:$AL$1,)))</f>
        <v>4.0999999999999996</v>
      </c>
      <c r="P69" s="13">
        <f>IF(VLOOKUP(B69,'Data World'!$A:$AL,MATCH(World!$P$1,'Data World'!$A$1:$AL$1,))=0,#N/A,VLOOKUP(B69,'Data World'!$A:$AL,MATCH(World!$P$1,'Data World'!$A$1:$AL$1,)))</f>
        <v>16.7</v>
      </c>
      <c r="Q69" s="13">
        <f>IF(VLOOKUP(B69,'Data World'!$A:$AL,MATCH(World!$Q$1,'Data World'!$A$1:$AL$1,))=0,#N/A,VLOOKUP(B69,'Data World'!$A:$AL,MATCH(World!$Q$1,'Data World'!$A$1:$AL$1,)))</f>
        <v>6.7</v>
      </c>
      <c r="R69" s="13">
        <f>IF(VLOOKUP(B69,'Data World'!$A:$AL,MATCH(World!$R$1,'Data World'!$A$1:$AL$1,))=0,#N/A,VLOOKUP(B69,'Data World'!$A:$AL,MATCH(World!$R$1,'Data World'!$A$1:$AL$1,)))</f>
        <v>14.4</v>
      </c>
      <c r="S69" s="13">
        <f>IF(VLOOKUP(B69,'Data World'!$A:$AL,MATCH(World!$S$1,'Data World'!$A$1:$AL$1,))=0,#N/A,VLOOKUP(B69,'Data World'!$A:$AL,MATCH(World!$S$1,'Data World'!$A$1:$AL$1,)))</f>
        <v>2.9</v>
      </c>
      <c r="T69" s="13">
        <f>IF(VLOOKUP(B69,'Data World'!$A:$AL,MATCH(World!$T$1,'Data World'!$A$1:$AL$1,))=0,#N/A,VLOOKUP(B69,'Data World'!$A:$AL,MATCH(World!$T$1,'Data World'!$A$1:$AL$1,)))</f>
        <v>3.4</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4.0999999999999996</v>
      </c>
      <c r="G70" s="13">
        <f>IF(VLOOKUP(B70,'Data World'!$A:$AL,MATCH(World!$G$1,'Data World'!$A$1:$AL$1,))=0,#N/A,VLOOKUP(B70,'Data World'!$A:$AL,MATCH(World!$G$1,'Data World'!$A$1:$AL$1,)))</f>
        <v>9</v>
      </c>
      <c r="H70" s="13">
        <f>IF(VLOOKUP(B70,'Data World'!$A:$AL,MATCH(World!$H$1,'Data World'!$A$1:$AL$1,))=0,#N/A,VLOOKUP(B70,'Data World'!$A:$AL,MATCH(World!$H$1,'Data World'!$A$1:$AL$1,)))</f>
        <v>4.8480699999999999</v>
      </c>
      <c r="I70" s="13">
        <f>IF(VLOOKUP(B70,'Data World'!$A:$AL,MATCH(World!$I$1,'Data World'!$A$1:$AL$1,))=0,#N/A,VLOOKUP(B70,'Data World'!$A:$AL,MATCH(World!$I$1,'Data World'!$A$1:$AL$1,)))</f>
        <v>10</v>
      </c>
      <c r="J70" s="13">
        <f>IF(VLOOKUP(B70,'Data World'!$A:$AL,MATCH(World!$J$1,'Data World'!$A$1:$AL$1,))=0,#N/A,VLOOKUP(B70,'Data World'!$A:$AL,MATCH(World!$J$1,'Data World'!$A$1:$AL$1,)))</f>
        <v>16.600000000000001</v>
      </c>
      <c r="K70" s="13">
        <f>IF(VLOOKUP(B70,'Data World'!$A:$AL,MATCH(World!$K$1,'Data World'!$A$1:$AL$1,))=0,#N/A,VLOOKUP(B70,'Data World'!$A:$AL,MATCH(World!$K$1,'Data World'!$A$1:$AL$1,)))</f>
        <v>9</v>
      </c>
      <c r="L70" s="13">
        <f>IF(VLOOKUP(B70,'Data World'!$A:$AL,MATCH(World!$L$1,'Data World'!$A$1:$AL$1,))=0,#N/A,VLOOKUP(B70,'Data World'!$A:$AL,MATCH(World!$L$1,'Data World'!$A$1:$AL$1,)))</f>
        <v>4.948359</v>
      </c>
      <c r="M70" s="13">
        <f>IF(VLOOKUP(B70,'Data World'!$A:$AL,MATCH(World!$M$1,'Data World'!$A$1:$AL$1,))=0,#N/A,VLOOKUP(B70,'Data World'!$A:$AL,MATCH(World!$M$1,'Data World'!$A$1:$AL$1,)))</f>
        <v>10.199999999999999</v>
      </c>
      <c r="N70" s="13">
        <f>IF(VLOOKUP(B70,'Data World'!$A:$AL,MATCH(World!$N$1,'Data World'!$A$1:$AL$1,))=0,#N/A,VLOOKUP(B70,'Data World'!$A:$AL,MATCH(World!$N$1,'Data World'!$A$1:$AL$1,)))</f>
        <v>6.7581170000000004</v>
      </c>
      <c r="O70" s="13">
        <f>IF(VLOOKUP(B70,'Data World'!$A:$AL,MATCH(World!$O$1,'Data World'!$A$1:$AL$1,))=0,#N/A,VLOOKUP(B70,'Data World'!$A:$AL,MATCH(World!$O$1,'Data World'!$A$1:$AL$1,)))</f>
        <v>3.3</v>
      </c>
      <c r="P70" s="13">
        <f>IF(VLOOKUP(B70,'Data World'!$A:$AL,MATCH(World!$P$1,'Data World'!$A$1:$AL$1,))=0,#N/A,VLOOKUP(B70,'Data World'!$A:$AL,MATCH(World!$P$1,'Data World'!$A$1:$AL$1,)))</f>
        <v>17</v>
      </c>
      <c r="Q70" s="13">
        <f>IF(VLOOKUP(B70,'Data World'!$A:$AL,MATCH(World!$Q$1,'Data World'!$A$1:$AL$1,))=0,#N/A,VLOOKUP(B70,'Data World'!$A:$AL,MATCH(World!$Q$1,'Data World'!$A$1:$AL$1,)))</f>
        <v>7.1</v>
      </c>
      <c r="R70" s="13">
        <f>IF(VLOOKUP(B70,'Data World'!$A:$AL,MATCH(World!$R$1,'Data World'!$A$1:$AL$1,))=0,#N/A,VLOOKUP(B70,'Data World'!$A:$AL,MATCH(World!$R$1,'Data World'!$A$1:$AL$1,)))</f>
        <v>12.9</v>
      </c>
      <c r="S70" s="13">
        <f>IF(VLOOKUP(B70,'Data World'!$A:$AL,MATCH(World!$S$1,'Data World'!$A$1:$AL$1,))=0,#N/A,VLOOKUP(B70,'Data World'!$A:$AL,MATCH(World!$S$1,'Data World'!$A$1:$AL$1,)))</f>
        <v>2.7</v>
      </c>
      <c r="T70" s="13">
        <f>IF(VLOOKUP(B70,'Data World'!$A:$AL,MATCH(World!$T$1,'Data World'!$A$1:$AL$1,))=0,#N/A,VLOOKUP(B70,'Data World'!$A:$AL,MATCH(World!$T$1,'Data World'!$A$1:$AL$1,)))</f>
        <v>3.3</v>
      </c>
    </row>
    <row r="71" spans="2:20" s="59" customFormat="1" x14ac:dyDescent="0.2">
      <c r="B71" s="12">
        <v>44104</v>
      </c>
      <c r="C71" s="13">
        <f>IF(VLOOKUP(B71,'Data World'!$A:$AL,MATCH(World!$C$1,'Data World'!$A$1:$AL$1,))=0,#N/A,VLOOKUP(B71,'Data World'!$A:$AL,MATCH(World!$C$1,'Data World'!$A$1:$AL$1,)))</f>
        <v>7.8</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4.0999999999999996</v>
      </c>
      <c r="G71" s="13">
        <f>IF(VLOOKUP(B71,'Data World'!$A:$AL,MATCH(World!$G$1,'Data World'!$A$1:$AL$1,))=0,#N/A,VLOOKUP(B71,'Data World'!$A:$AL,MATCH(World!$G$1,'Data World'!$A$1:$AL$1,)))</f>
        <v>9</v>
      </c>
      <c r="H71" s="13">
        <f>IF(VLOOKUP(B71,'Data World'!$A:$AL,MATCH(World!$H$1,'Data World'!$A$1:$AL$1,))=0,#N/A,VLOOKUP(B71,'Data World'!$A:$AL,MATCH(World!$H$1,'Data World'!$A$1:$AL$1,)))</f>
        <v>5.0499239999999999</v>
      </c>
      <c r="I71" s="13">
        <f>IF(VLOOKUP(B71,'Data World'!$A:$AL,MATCH(World!$I$1,'Data World'!$A$1:$AL$1,))=0,#N/A,VLOOKUP(B71,'Data World'!$A:$AL,MATCH(World!$I$1,'Data World'!$A$1:$AL$1,)))</f>
        <v>10.1</v>
      </c>
      <c r="J71" s="13">
        <f>IF(VLOOKUP(B71,'Data World'!$A:$AL,MATCH(World!$J$1,'Data World'!$A$1:$AL$1,))=0,#N/A,VLOOKUP(B71,'Data World'!$A:$AL,MATCH(World!$J$1,'Data World'!$A$1:$AL$1,)))</f>
        <v>16.5</v>
      </c>
      <c r="K71" s="13">
        <f>IF(VLOOKUP(B71,'Data World'!$A:$AL,MATCH(World!$K$1,'Data World'!$A$1:$AL$1,))=0,#N/A,VLOOKUP(B71,'Data World'!$A:$AL,MATCH(World!$K$1,'Data World'!$A$1:$AL$1,)))</f>
        <v>8.9</v>
      </c>
      <c r="L71" s="13">
        <f>IF(VLOOKUP(B71,'Data World'!$A:$AL,MATCH(World!$L$1,'Data World'!$A$1:$AL$1,))=0,#N/A,VLOOKUP(B71,'Data World'!$A:$AL,MATCH(World!$L$1,'Data World'!$A$1:$AL$1,)))</f>
        <v>4.791512</v>
      </c>
      <c r="M71" s="13">
        <f>IF(VLOOKUP(B71,'Data World'!$A:$AL,MATCH(World!$M$1,'Data World'!$A$1:$AL$1,))=0,#N/A,VLOOKUP(B71,'Data World'!$A:$AL,MATCH(World!$M$1,'Data World'!$A$1:$AL$1,)))</f>
        <v>9.1999999999999993</v>
      </c>
      <c r="N71" s="13">
        <f>IF(VLOOKUP(B71,'Data World'!$A:$AL,MATCH(World!$N$1,'Data World'!$A$1:$AL$1,))=0,#N/A,VLOOKUP(B71,'Data World'!$A:$AL,MATCH(World!$N$1,'Data World'!$A$1:$AL$1,)))</f>
        <v>6.8547419999999999</v>
      </c>
      <c r="O71" s="13">
        <f>IF(VLOOKUP(B71,'Data World'!$A:$AL,MATCH(World!$O$1,'Data World'!$A$1:$AL$1,))=0,#N/A,VLOOKUP(B71,'Data World'!$A:$AL,MATCH(World!$O$1,'Data World'!$A$1:$AL$1,)))</f>
        <v>4</v>
      </c>
      <c r="P71" s="13">
        <f>IF(VLOOKUP(B71,'Data World'!$A:$AL,MATCH(World!$P$1,'Data World'!$A$1:$AL$1,))=0,#N/A,VLOOKUP(B71,'Data World'!$A:$AL,MATCH(World!$P$1,'Data World'!$A$1:$AL$1,)))</f>
        <v>16.5</v>
      </c>
      <c r="Q71" s="13">
        <f>IF(VLOOKUP(B71,'Data World'!$A:$AL,MATCH(World!$Q$1,'Data World'!$A$1:$AL$1,))=0,#N/A,VLOOKUP(B71,'Data World'!$A:$AL,MATCH(World!$Q$1,'Data World'!$A$1:$AL$1,)))</f>
        <v>7.2</v>
      </c>
      <c r="R71" s="13">
        <f>IF(VLOOKUP(B71,'Data World'!$A:$AL,MATCH(World!$R$1,'Data World'!$A$1:$AL$1,))=0,#N/A,VLOOKUP(B71,'Data World'!$A:$AL,MATCH(World!$R$1,'Data World'!$A$1:$AL$1,)))</f>
        <v>12.8</v>
      </c>
      <c r="S71" s="13">
        <f>IF(VLOOKUP(B71,'Data World'!$A:$AL,MATCH(World!$S$1,'Data World'!$A$1:$AL$1,))=0,#N/A,VLOOKUP(B71,'Data World'!$A:$AL,MATCH(World!$S$1,'Data World'!$A$1:$AL$1,)))</f>
        <v>2.8</v>
      </c>
      <c r="T71" s="13">
        <f>IF(VLOOKUP(B71,'Data World'!$A:$AL,MATCH(World!$T$1,'Data World'!$A$1:$AL$1,))=0,#N/A,VLOOKUP(B71,'Data World'!$A:$AL,MATCH(World!$T$1,'Data World'!$A$1:$AL$1,)))</f>
        <v>3.3</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4.0999999999999996</v>
      </c>
      <c r="G72" s="13">
        <f>IF(VLOOKUP(B72,'Data World'!$A:$AL,MATCH(World!$G$1,'Data World'!$A$1:$AL$1,))=0,#N/A,VLOOKUP(B72,'Data World'!$A:$AL,MATCH(World!$G$1,'Data World'!$A$1:$AL$1,)))</f>
        <v>8.3000000000000007</v>
      </c>
      <c r="H72" s="13">
        <f>IF(VLOOKUP(B72,'Data World'!$A:$AL,MATCH(World!$H$1,'Data World'!$A$1:$AL$1,))=0,#N/A,VLOOKUP(B72,'Data World'!$A:$AL,MATCH(World!$H$1,'Data World'!$A$1:$AL$1,)))</f>
        <v>5.1072100000000002</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8.6999999999999993</v>
      </c>
      <c r="L72" s="13">
        <f>IF(VLOOKUP(B72,'Data World'!$A:$AL,MATCH(World!$L$1,'Data World'!$A$1:$AL$1,))=0,#N/A,VLOOKUP(B72,'Data World'!$A:$AL,MATCH(World!$L$1,'Data World'!$A$1:$AL$1,)))</f>
        <v>4.6303010000000002</v>
      </c>
      <c r="M72" s="13">
        <f>IF(VLOOKUP(B72,'Data World'!$A:$AL,MATCH(World!$M$1,'Data World'!$A$1:$AL$1,))=0,#N/A,VLOOKUP(B72,'Data World'!$A:$AL,MATCH(World!$M$1,'Data World'!$A$1:$AL$1,)))</f>
        <v>9</v>
      </c>
      <c r="N72" s="13">
        <f>IF(VLOOKUP(B72,'Data World'!$A:$AL,MATCH(World!$N$1,'Data World'!$A$1:$AL$1,))=0,#N/A,VLOOKUP(B72,'Data World'!$A:$AL,MATCH(World!$N$1,'Data World'!$A$1:$AL$1,)))</f>
        <v>6.9360290000000004</v>
      </c>
      <c r="O72" s="13">
        <f>IF(VLOOKUP(B72,'Data World'!$A:$AL,MATCH(World!$O$1,'Data World'!$A$1:$AL$1,))=0,#N/A,VLOOKUP(B72,'Data World'!$A:$AL,MATCH(World!$O$1,'Data World'!$A$1:$AL$1,)))</f>
        <v>4.2</v>
      </c>
      <c r="P72" s="13">
        <f>IF(VLOOKUP(B72,'Data World'!$A:$AL,MATCH(World!$P$1,'Data World'!$A$1:$AL$1,))=0,#N/A,VLOOKUP(B72,'Data World'!$A:$AL,MATCH(World!$P$1,'Data World'!$A$1:$AL$1,)))</f>
        <v>16.399999999999999</v>
      </c>
      <c r="Q72" s="13">
        <f>IF(VLOOKUP(B72,'Data World'!$A:$AL,MATCH(World!$Q$1,'Data World'!$A$1:$AL$1,))=0,#N/A,VLOOKUP(B72,'Data World'!$A:$AL,MATCH(World!$Q$1,'Data World'!$A$1:$AL$1,)))</f>
        <v>6.3</v>
      </c>
      <c r="R72" s="13">
        <f>IF(VLOOKUP(B72,'Data World'!$A:$AL,MATCH(World!$R$1,'Data World'!$A$1:$AL$1,))=0,#N/A,VLOOKUP(B72,'Data World'!$A:$AL,MATCH(World!$R$1,'Data World'!$A$1:$AL$1,)))</f>
        <v>13</v>
      </c>
      <c r="S72" s="13">
        <f>IF(VLOOKUP(B72,'Data World'!$A:$AL,MATCH(World!$S$1,'Data World'!$A$1:$AL$1,))=0,#N/A,VLOOKUP(B72,'Data World'!$A:$AL,MATCH(World!$S$1,'Data World'!$A$1:$AL$1,)))</f>
        <v>3.2</v>
      </c>
      <c r="T72" s="13">
        <f>IF(VLOOKUP(B72,'Data World'!$A:$AL,MATCH(World!$T$1,'Data World'!$A$1:$AL$1,))=0,#N/A,VLOOKUP(B72,'Data World'!$A:$AL,MATCH(World!$T$1,'Data World'!$A$1:$AL$1,)))</f>
        <v>3.2</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v>
      </c>
      <c r="E73" s="13">
        <f>IF(VLOOKUP(B73,'Data World'!$A:$AL,MATCH(World!$E$1,'Data World'!$A$1:$AL$1,))=0,#N/A,VLOOKUP(B73,'Data World'!$A:$AL,MATCH(World!$E$1,'Data World'!$A$1:$AL$1,)))</f>
        <v>3</v>
      </c>
      <c r="F73" s="13">
        <f>IF(VLOOKUP(B73,'Data World'!$A:$AL,MATCH(World!$F$1,'Data World'!$A$1:$AL$1,))=0,#N/A,VLOOKUP(B73,'Data World'!$A:$AL,MATCH(World!$F$1,'Data World'!$A$1:$AL$1,)))</f>
        <v>4.0999999999999996</v>
      </c>
      <c r="G73" s="13">
        <f>IF(VLOOKUP(B73,'Data World'!$A:$AL,MATCH(World!$G$1,'Data World'!$A$1:$AL$1,))=0,#N/A,VLOOKUP(B73,'Data World'!$A:$AL,MATCH(World!$G$1,'Data World'!$A$1:$AL$1,)))</f>
        <v>8</v>
      </c>
      <c r="H73" s="13">
        <f>IF(VLOOKUP(B73,'Data World'!$A:$AL,MATCH(World!$H$1,'Data World'!$A$1:$AL$1,))=0,#N/A,VLOOKUP(B73,'Data World'!$A:$AL,MATCH(World!$H$1,'Data World'!$A$1:$AL$1,)))</f>
        <v>5.2198320000000002</v>
      </c>
      <c r="I73" s="13">
        <f>IF(VLOOKUP(B73,'Data World'!$A:$AL,MATCH(World!$I$1,'Data World'!$A$1:$AL$1,))=0,#N/A,VLOOKUP(B73,'Data World'!$A:$AL,MATCH(World!$I$1,'Data World'!$A$1:$AL$1,)))</f>
        <v>9.6</v>
      </c>
      <c r="J73" s="13">
        <f>IF(VLOOKUP(B73,'Data World'!$A:$AL,MATCH(World!$J$1,'Data World'!$A$1:$AL$1,))=0,#N/A,VLOOKUP(B73,'Data World'!$A:$AL,MATCH(World!$J$1,'Data World'!$A$1:$AL$1,)))</f>
        <v>16.2</v>
      </c>
      <c r="K73" s="13">
        <f>IF(VLOOKUP(B73,'Data World'!$A:$AL,MATCH(World!$K$1,'Data World'!$A$1:$AL$1,))=0,#N/A,VLOOKUP(B73,'Data World'!$A:$AL,MATCH(World!$K$1,'Data World'!$A$1:$AL$1,)))</f>
        <v>8.3000000000000007</v>
      </c>
      <c r="L73" s="13">
        <f>IF(VLOOKUP(B73,'Data World'!$A:$AL,MATCH(World!$L$1,'Data World'!$A$1:$AL$1,))=0,#N/A,VLOOKUP(B73,'Data World'!$A:$AL,MATCH(World!$L$1,'Data World'!$A$1:$AL$1,)))</f>
        <v>4.4944990000000002</v>
      </c>
      <c r="M73" s="13">
        <f>IF(VLOOKUP(B73,'Data World'!$A:$AL,MATCH(World!$M$1,'Data World'!$A$1:$AL$1,))=0,#N/A,VLOOKUP(B73,'Data World'!$A:$AL,MATCH(World!$M$1,'Data World'!$A$1:$AL$1,)))</f>
        <v>8.6</v>
      </c>
      <c r="N73" s="13">
        <f>IF(VLOOKUP(B73,'Data World'!$A:$AL,MATCH(World!$N$1,'Data World'!$A$1:$AL$1,))=0,#N/A,VLOOKUP(B73,'Data World'!$A:$AL,MATCH(World!$N$1,'Data World'!$A$1:$AL$1,)))</f>
        <v>6.8328199999999999</v>
      </c>
      <c r="O73" s="13">
        <f>IF(VLOOKUP(B73,'Data World'!$A:$AL,MATCH(World!$O$1,'Data World'!$A$1:$AL$1,))=0,#N/A,VLOOKUP(B73,'Data World'!$A:$AL,MATCH(World!$O$1,'Data World'!$A$1:$AL$1,)))</f>
        <v>4.2</v>
      </c>
      <c r="P73" s="13">
        <f>IF(VLOOKUP(B73,'Data World'!$A:$AL,MATCH(World!$P$1,'Data World'!$A$1:$AL$1,))=0,#N/A,VLOOKUP(B73,'Data World'!$A:$AL,MATCH(World!$P$1,'Data World'!$A$1:$AL$1,)))</f>
        <v>16.2</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2.9</v>
      </c>
      <c r="T73" s="13">
        <f>IF(VLOOKUP(B73,'Data World'!$A:$AL,MATCH(World!$T$1,'Data World'!$A$1:$AL$1,))=0,#N/A,VLOOKUP(B73,'Data World'!$A:$AL,MATCH(World!$T$1,'Data World'!$A$1:$AL$1,)))</f>
        <v>3.2</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v>
      </c>
      <c r="E74" s="13">
        <f>IF(VLOOKUP(B74,'Data World'!$A:$AL,MATCH(World!$E$1,'Data World'!$A$1:$AL$1,))=0,#N/A,VLOOKUP(B74,'Data World'!$A:$AL,MATCH(World!$E$1,'Data World'!$A$1:$AL$1,)))</f>
        <v>3</v>
      </c>
      <c r="F74" s="13">
        <f>IF(VLOOKUP(B74,'Data World'!$A:$AL,MATCH(World!$F$1,'Data World'!$A$1:$AL$1,))=0,#N/A,VLOOKUP(B74,'Data World'!$A:$AL,MATCH(World!$F$1,'Data World'!$A$1:$AL$1,)))</f>
        <v>4</v>
      </c>
      <c r="G74" s="13">
        <f>IF(VLOOKUP(B74,'Data World'!$A:$AL,MATCH(World!$G$1,'Data World'!$A$1:$AL$1,))=0,#N/A,VLOOKUP(B74,'Data World'!$A:$AL,MATCH(World!$G$1,'Data World'!$A$1:$AL$1,)))</f>
        <v>7.8</v>
      </c>
      <c r="H74" s="13">
        <f>IF(VLOOKUP(B74,'Data World'!$A:$AL,MATCH(World!$H$1,'Data World'!$A$1:$AL$1,))=0,#N/A,VLOOKUP(B74,'Data World'!$A:$AL,MATCH(World!$H$1,'Data World'!$A$1:$AL$1,)))</f>
        <v>5.1340260000000004</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8.8000000000000007</v>
      </c>
      <c r="L74" s="13">
        <f>IF(VLOOKUP(B74,'Data World'!$A:$AL,MATCH(World!$L$1,'Data World'!$A$1:$AL$1,))=0,#N/A,VLOOKUP(B74,'Data World'!$A:$AL,MATCH(World!$L$1,'Data World'!$A$1:$AL$1,)))</f>
        <v>4.237476</v>
      </c>
      <c r="M74" s="13">
        <f>IF(VLOOKUP(B74,'Data World'!$A:$AL,MATCH(World!$M$1,'Data World'!$A$1:$AL$1,))=0,#N/A,VLOOKUP(B74,'Data World'!$A:$AL,MATCH(World!$M$1,'Data World'!$A$1:$AL$1,)))</f>
        <v>8.8000000000000007</v>
      </c>
      <c r="N74" s="13">
        <f>IF(VLOOKUP(B74,'Data World'!$A:$AL,MATCH(World!$N$1,'Data World'!$A$1:$AL$1,))=0,#N/A,VLOOKUP(B74,'Data World'!$A:$AL,MATCH(World!$N$1,'Data World'!$A$1:$AL$1,)))</f>
        <v>6.5778499999999998</v>
      </c>
      <c r="O74" s="13">
        <f>IF(VLOOKUP(B74,'Data World'!$A:$AL,MATCH(World!$O$1,'Data World'!$A$1:$AL$1,))=0,#N/A,VLOOKUP(B74,'Data World'!$A:$AL,MATCH(World!$O$1,'Data World'!$A$1:$AL$1,)))</f>
        <v>4.5</v>
      </c>
      <c r="P74" s="13">
        <f>IF(VLOOKUP(B74,'Data World'!$A:$AL,MATCH(World!$P$1,'Data World'!$A$1:$AL$1,))=0,#N/A,VLOOKUP(B74,'Data World'!$A:$AL,MATCH(World!$P$1,'Data World'!$A$1:$AL$1,)))</f>
        <v>15.6</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3.2</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2.9</v>
      </c>
      <c r="F75" s="13">
        <f>IF(VLOOKUP(B75,'Data World'!$A:$AL,MATCH(World!$F$1,'Data World'!$A$1:$AL$1,))=0,#N/A,VLOOKUP(B75,'Data World'!$A:$AL,MATCH(World!$F$1,'Data World'!$A$1:$AL$1,)))</f>
        <v>3.9</v>
      </c>
      <c r="G75" s="13">
        <f>IF(VLOOKUP(B75,'Data World'!$A:$AL,MATCH(World!$G$1,'Data World'!$A$1:$AL$1,))=0,#N/A,VLOOKUP(B75,'Data World'!$A:$AL,MATCH(World!$G$1,'Data World'!$A$1:$AL$1,)))</f>
        <v>7.9</v>
      </c>
      <c r="H75" s="13">
        <f>IF(VLOOKUP(B75,'Data World'!$A:$AL,MATCH(World!$H$1,'Data World'!$A$1:$AL$1,))=0,#N/A,VLOOKUP(B75,'Data World'!$A:$AL,MATCH(World!$H$1,'Data World'!$A$1:$AL$1,)))</f>
        <v>5.034872</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4.4792059999999996</v>
      </c>
      <c r="M75" s="13">
        <f>IF(VLOOKUP(B75,'Data World'!$A:$AL,MATCH(World!$M$1,'Data World'!$A$1:$AL$1,))=0,#N/A,VLOOKUP(B75,'Data World'!$A:$AL,MATCH(World!$M$1,'Data World'!$A$1:$AL$1,)))</f>
        <v>9.4</v>
      </c>
      <c r="N75" s="13">
        <f>IF(VLOOKUP(B75,'Data World'!$A:$AL,MATCH(World!$N$1,'Data World'!$A$1:$AL$1,))=0,#N/A,VLOOKUP(B75,'Data World'!$A:$AL,MATCH(World!$N$1,'Data World'!$A$1:$AL$1,)))</f>
        <v>6.3993539999999998</v>
      </c>
      <c r="O75" s="13">
        <f>IF(VLOOKUP(B75,'Data World'!$A:$AL,MATCH(World!$O$1,'Data World'!$A$1:$AL$1,))=0,#N/A,VLOOKUP(B75,'Data World'!$A:$AL,MATCH(World!$O$1,'Data World'!$A$1:$AL$1,)))</f>
        <v>5.4</v>
      </c>
      <c r="P75" s="13">
        <f>IF(VLOOKUP(B75,'Data World'!$A:$AL,MATCH(World!$P$1,'Data World'!$A$1:$AL$1,))=0,#N/A,VLOOKUP(B75,'Data World'!$A:$AL,MATCH(World!$P$1,'Data World'!$A$1:$AL$1,)))</f>
        <v>16.399999999999999</v>
      </c>
      <c r="Q75" s="13">
        <f>IF(VLOOKUP(B75,'Data World'!$A:$AL,MATCH(World!$Q$1,'Data World'!$A$1:$AL$1,))=0,#N/A,VLOOKUP(B75,'Data World'!$A:$AL,MATCH(World!$Q$1,'Data World'!$A$1:$AL$1,)))</f>
        <v>7</v>
      </c>
      <c r="R75" s="13">
        <f>IF(VLOOKUP(B75,'Data World'!$A:$AL,MATCH(World!$R$1,'Data World'!$A$1:$AL$1,))=0,#N/A,VLOOKUP(B75,'Data World'!$A:$AL,MATCH(World!$R$1,'Data World'!$A$1:$AL$1,)))</f>
        <v>12.7</v>
      </c>
      <c r="S75" s="13">
        <f>IF(VLOOKUP(B75,'Data World'!$A:$AL,MATCH(World!$S$1,'Data World'!$A$1:$AL$1,))=0,#N/A,VLOOKUP(B75,'Data World'!$A:$AL,MATCH(World!$S$1,'Data World'!$A$1:$AL$1,)))</f>
        <v>3.2</v>
      </c>
      <c r="T75" s="13">
        <f>IF(VLOOKUP(B75,'Data World'!$A:$AL,MATCH(World!$T$1,'Data World'!$A$1:$AL$1,))=0,#N/A,VLOOKUP(B75,'Data World'!$A:$AL,MATCH(World!$T$1,'Data World'!$A$1:$AL$1,)))</f>
        <v>3.7</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4.8856159999999997</v>
      </c>
      <c r="I76" s="13">
        <f>IF(VLOOKUP(B76,'Data World'!$A:$AL,MATCH(World!$I$1,'Data World'!$A$1:$AL$1,))=0,#N/A,VLOOKUP(B76,'Data World'!$A:$AL,MATCH(World!$I$1,'Data World'!$A$1:$AL$1,)))</f>
        <v>10.1</v>
      </c>
      <c r="J76" s="13">
        <f>IF(VLOOKUP(B76,'Data World'!$A:$AL,MATCH(World!$J$1,'Data World'!$A$1:$AL$1,))=0,#N/A,VLOOKUP(B76,'Data World'!$A:$AL,MATCH(World!$J$1,'Data World'!$A$1:$AL$1,)))</f>
        <v>15.7</v>
      </c>
      <c r="K76" s="13">
        <f>IF(VLOOKUP(B76,'Data World'!$A:$AL,MATCH(World!$K$1,'Data World'!$A$1:$AL$1,))=0,#N/A,VLOOKUP(B76,'Data World'!$A:$AL,MATCH(World!$K$1,'Data World'!$A$1:$AL$1,)))</f>
        <v>9</v>
      </c>
      <c r="L76" s="13">
        <f>IF(VLOOKUP(B76,'Data World'!$A:$AL,MATCH(World!$L$1,'Data World'!$A$1:$AL$1,))=0,#N/A,VLOOKUP(B76,'Data World'!$A:$AL,MATCH(World!$L$1,'Data World'!$A$1:$AL$1,)))</f>
        <v>4.4100720000000004</v>
      </c>
      <c r="M76" s="13">
        <f>IF(VLOOKUP(B76,'Data World'!$A:$AL,MATCH(World!$M$1,'Data World'!$A$1:$AL$1,))=0,#N/A,VLOOKUP(B76,'Data World'!$A:$AL,MATCH(World!$M$1,'Data World'!$A$1:$AL$1,)))</f>
        <v>8.1999999999999993</v>
      </c>
      <c r="N76" s="13">
        <f>IF(VLOOKUP(B76,'Data World'!$A:$AL,MATCH(World!$N$1,'Data World'!$A$1:$AL$1,))=0,#N/A,VLOOKUP(B76,'Data World'!$A:$AL,MATCH(World!$N$1,'Data World'!$A$1:$AL$1,)))</f>
        <v>5.8625129999999999</v>
      </c>
      <c r="O76" s="13">
        <f>IF(VLOOKUP(B76,'Data World'!$A:$AL,MATCH(World!$O$1,'Data World'!$A$1:$AL$1,))=0,#N/A,VLOOKUP(B76,'Data World'!$A:$AL,MATCH(World!$O$1,'Data World'!$A$1:$AL$1,)))</f>
        <v>4</v>
      </c>
      <c r="P76" s="13">
        <f>IF(VLOOKUP(B76,'Data World'!$A:$AL,MATCH(World!$P$1,'Data World'!$A$1:$AL$1,))=0,#N/A,VLOOKUP(B76,'Data World'!$A:$AL,MATCH(World!$P$1,'Data World'!$A$1:$AL$1,)))</f>
        <v>16.3</v>
      </c>
      <c r="Q76" s="13">
        <f>IF(VLOOKUP(B76,'Data World'!$A:$AL,MATCH(World!$Q$1,'Data World'!$A$1:$AL$1,))=0,#N/A,VLOOKUP(B76,'Data World'!$A:$AL,MATCH(World!$Q$1,'Data World'!$A$1:$AL$1,)))</f>
        <v>7.6</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3.9</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v>
      </c>
      <c r="E77" s="13">
        <f>IF(VLOOKUP(B77,'Data World'!$A:$AL,MATCH(World!$E$1,'Data World'!$A$1:$AL$1,))=0,#N/A,VLOOKUP(B77,'Data World'!$A:$AL,MATCH(World!$E$1,'Data World'!$A$1:$AL$1,)))</f>
        <v>2.6</v>
      </c>
      <c r="F77" s="13">
        <f>IF(VLOOKUP(B77,'Data World'!$A:$AL,MATCH(World!$F$1,'Data World'!$A$1:$AL$1,))=0,#N/A,VLOOKUP(B77,'Data World'!$A:$AL,MATCH(World!$F$1,'Data World'!$A$1:$AL$1,)))</f>
        <v>3.8</v>
      </c>
      <c r="G77" s="13">
        <f>IF(VLOOKUP(B77,'Data World'!$A:$AL,MATCH(World!$G$1,'Data World'!$A$1:$AL$1,))=0,#N/A,VLOOKUP(B77,'Data World'!$A:$AL,MATCH(World!$G$1,'Data World'!$A$1:$AL$1,)))</f>
        <v>8.1</v>
      </c>
      <c r="H77" s="13">
        <f>IF(VLOOKUP(B77,'Data World'!$A:$AL,MATCH(World!$H$1,'Data World'!$A$1:$AL$1,))=0,#N/A,VLOOKUP(B77,'Data World'!$A:$AL,MATCH(World!$H$1,'Data World'!$A$1:$AL$1,)))</f>
        <v>4.8407559999999998</v>
      </c>
      <c r="I77" s="13">
        <f>IF(VLOOKUP(B77,'Data World'!$A:$AL,MATCH(World!$I$1,'Data World'!$A$1:$AL$1,))=0,#N/A,VLOOKUP(B77,'Data World'!$A:$AL,MATCH(World!$I$1,'Data World'!$A$1:$AL$1,)))</f>
        <v>10</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4.309412</v>
      </c>
      <c r="M77" s="13">
        <f>IF(VLOOKUP(B77,'Data World'!$A:$AL,MATCH(World!$M$1,'Data World'!$A$1:$AL$1,))=0,#N/A,VLOOKUP(B77,'Data World'!$A:$AL,MATCH(World!$M$1,'Data World'!$A$1:$AL$1,)))</f>
        <v>7.5</v>
      </c>
      <c r="N77" s="13">
        <f>IF(VLOOKUP(B77,'Data World'!$A:$AL,MATCH(World!$N$1,'Data World'!$A$1:$AL$1,))=0,#N/A,VLOOKUP(B77,'Data World'!$A:$AL,MATCH(World!$N$1,'Data World'!$A$1:$AL$1,)))</f>
        <v>5.6935710000000004</v>
      </c>
      <c r="O77" s="13">
        <f>IF(VLOOKUP(B77,'Data World'!$A:$AL,MATCH(World!$O$1,'Data World'!$A$1:$AL$1,))=0,#N/A,VLOOKUP(B77,'Data World'!$A:$AL,MATCH(World!$O$1,'Data World'!$A$1:$AL$1,)))</f>
        <v>3.9</v>
      </c>
      <c r="P77" s="13">
        <f>IF(VLOOKUP(B77,'Data World'!$A:$AL,MATCH(World!$P$1,'Data World'!$A$1:$AL$1,))=0,#N/A,VLOOKUP(B77,'Data World'!$A:$AL,MATCH(World!$P$1,'Data World'!$A$1:$AL$1,)))</f>
        <v>16.5</v>
      </c>
      <c r="Q77" s="13">
        <f>IF(VLOOKUP(B77,'Data World'!$A:$AL,MATCH(World!$Q$1,'Data World'!$A$1:$AL$1,))=0,#N/A,VLOOKUP(B77,'Data World'!$A:$AL,MATCH(World!$Q$1,'Data World'!$A$1:$AL$1,)))</f>
        <v>7.9</v>
      </c>
      <c r="R77" s="13">
        <f>IF(VLOOKUP(B77,'Data World'!$A:$AL,MATCH(World!$R$1,'Data World'!$A$1:$AL$1,))=0,#N/A,VLOOKUP(B77,'Data World'!$A:$AL,MATCH(World!$R$1,'Data World'!$A$1:$AL$1,)))</f>
        <v>13</v>
      </c>
      <c r="S77" s="13">
        <f>IF(VLOOKUP(B77,'Data World'!$A:$AL,MATCH(World!$S$1,'Data World'!$A$1:$AL$1,))=0,#N/A,VLOOKUP(B77,'Data World'!$A:$AL,MATCH(World!$S$1,'Data World'!$A$1:$AL$1,)))</f>
        <v>3.4</v>
      </c>
      <c r="T77" s="13">
        <f>IF(VLOOKUP(B77,'Data World'!$A:$AL,MATCH(World!$T$1,'Data World'!$A$1:$AL$1,))=0,#N/A,VLOOKUP(B77,'Data World'!$A:$AL,MATCH(World!$T$1,'Data World'!$A$1:$AL$1,)))</f>
        <v>3.9</v>
      </c>
    </row>
    <row r="78" spans="2:20" s="59" customFormat="1" x14ac:dyDescent="0.2">
      <c r="B78" s="12">
        <v>44316</v>
      </c>
      <c r="C78" s="13">
        <f>IF(VLOOKUP(B78,'Data World'!$A:$AL,MATCH(World!$C$1,'Data World'!$A$1:$AL$1,))=0,#N/A,VLOOKUP(B78,'Data World'!$A:$AL,MATCH(World!$C$1,'Data World'!$A$1:$AL$1,)))</f>
        <v>6.1</v>
      </c>
      <c r="D78" s="13">
        <f>IF(VLOOKUP(B78,'Data World'!$A:$AL,MATCH(World!$D$1,'Data World'!$A$1:$AL$1,))=0,#N/A,VLOOKUP(B78,'Data World'!$A:$AL,MATCH(World!$D$1,'Data World'!$A$1:$AL$1,)))</f>
        <v>8.1</v>
      </c>
      <c r="E78" s="13">
        <f>IF(VLOOKUP(B78,'Data World'!$A:$AL,MATCH(World!$E$1,'Data World'!$A$1:$AL$1,))=0,#N/A,VLOOKUP(B78,'Data World'!$A:$AL,MATCH(World!$E$1,'Data World'!$A$1:$AL$1,)))</f>
        <v>2.8</v>
      </c>
      <c r="F78" s="13">
        <f>IF(VLOOKUP(B78,'Data World'!$A:$AL,MATCH(World!$F$1,'Data World'!$A$1:$AL$1,))=0,#N/A,VLOOKUP(B78,'Data World'!$A:$AL,MATCH(World!$F$1,'Data World'!$A$1:$AL$1,)))</f>
        <v>3.7</v>
      </c>
      <c r="G78" s="13">
        <f>IF(VLOOKUP(B78,'Data World'!$A:$AL,MATCH(World!$G$1,'Data World'!$A$1:$AL$1,))=0,#N/A,VLOOKUP(B78,'Data World'!$A:$AL,MATCH(World!$G$1,'Data World'!$A$1:$AL$1,)))</f>
        <v>8.3000000000000007</v>
      </c>
      <c r="H78" s="13">
        <f>IF(VLOOKUP(B78,'Data World'!$A:$AL,MATCH(World!$H$1,'Data World'!$A$1:$AL$1,))=0,#N/A,VLOOKUP(B78,'Data World'!$A:$AL,MATCH(World!$H$1,'Data World'!$A$1:$AL$1,)))</f>
        <v>4.8394430000000002</v>
      </c>
      <c r="I78" s="13">
        <f>IF(VLOOKUP(B78,'Data World'!$A:$AL,MATCH(World!$I$1,'Data World'!$A$1:$AL$1,))=0,#N/A,VLOOKUP(B78,'Data World'!$A:$AL,MATCH(World!$I$1,'Data World'!$A$1:$AL$1,)))</f>
        <v>10.1</v>
      </c>
      <c r="J78" s="13">
        <f>IF(VLOOKUP(B78,'Data World'!$A:$AL,MATCH(World!$J$1,'Data World'!$A$1:$AL$1,))=0,#N/A,VLOOKUP(B78,'Data World'!$A:$AL,MATCH(World!$J$1,'Data World'!$A$1:$AL$1,)))</f>
        <v>15.4</v>
      </c>
      <c r="K78" s="13">
        <f>IF(VLOOKUP(B78,'Data World'!$A:$AL,MATCH(World!$K$1,'Data World'!$A$1:$AL$1,))=0,#N/A,VLOOKUP(B78,'Data World'!$A:$AL,MATCH(World!$K$1,'Data World'!$A$1:$AL$1,)))</f>
        <v>9.1</v>
      </c>
      <c r="L78" s="13">
        <f>IF(VLOOKUP(B78,'Data World'!$A:$AL,MATCH(World!$L$1,'Data World'!$A$1:$AL$1,))=0,#N/A,VLOOKUP(B78,'Data World'!$A:$AL,MATCH(World!$L$1,'Data World'!$A$1:$AL$1,)))</f>
        <v>4.8367290000000001</v>
      </c>
      <c r="M78" s="13">
        <f>IF(VLOOKUP(B78,'Data World'!$A:$AL,MATCH(World!$M$1,'Data World'!$A$1:$AL$1,))=0,#N/A,VLOOKUP(B78,'Data World'!$A:$AL,MATCH(World!$M$1,'Data World'!$A$1:$AL$1,)))</f>
        <v>8.1</v>
      </c>
      <c r="N78" s="13">
        <f>IF(VLOOKUP(B78,'Data World'!$A:$AL,MATCH(World!$N$1,'Data World'!$A$1:$AL$1,))=0,#N/A,VLOOKUP(B78,'Data World'!$A:$AL,MATCH(World!$N$1,'Data World'!$A$1:$AL$1,)))</f>
        <v>5.4703900000000001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7.6</v>
      </c>
      <c r="R78" s="13">
        <f>IF(VLOOKUP(B78,'Data World'!$A:$AL,MATCH(World!$R$1,'Data World'!$A$1:$AL$1,))=0,#N/A,VLOOKUP(B78,'Data World'!$A:$AL,MATCH(World!$R$1,'Data World'!$A$1:$AL$1,)))</f>
        <v>13.4</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v>
      </c>
      <c r="E79" s="13">
        <f>IF(VLOOKUP(B79,'Data World'!$A:$AL,MATCH(World!$E$1,'Data World'!$A$1:$AL$1,))=0,#N/A,VLOOKUP(B79,'Data World'!$A:$AL,MATCH(World!$E$1,'Data World'!$A$1:$AL$1,)))</f>
        <v>3</v>
      </c>
      <c r="F79" s="13">
        <f>IF(VLOOKUP(B79,'Data World'!$A:$AL,MATCH(World!$F$1,'Data World'!$A$1:$AL$1,))=0,#N/A,VLOOKUP(B79,'Data World'!$A:$AL,MATCH(World!$F$1,'Data World'!$A$1:$AL$1,)))</f>
        <v>3.6</v>
      </c>
      <c r="G79" s="13">
        <f>IF(VLOOKUP(B79,'Data World'!$A:$AL,MATCH(World!$G$1,'Data World'!$A$1:$AL$1,))=0,#N/A,VLOOKUP(B79,'Data World'!$A:$AL,MATCH(World!$G$1,'Data World'!$A$1:$AL$1,)))</f>
        <v>8.3000000000000007</v>
      </c>
      <c r="H79" s="13">
        <f>IF(VLOOKUP(B79,'Data World'!$A:$AL,MATCH(World!$H$1,'Data World'!$A$1:$AL$1,))=0,#N/A,VLOOKUP(B79,'Data World'!$A:$AL,MATCH(World!$H$1,'Data World'!$A$1:$AL$1,)))</f>
        <v>4.7239149999999999</v>
      </c>
      <c r="I79" s="13">
        <f>IF(VLOOKUP(B79,'Data World'!$A:$AL,MATCH(World!$I$1,'Data World'!$A$1:$AL$1,))=0,#N/A,VLOOKUP(B79,'Data World'!$A:$AL,MATCH(World!$I$1,'Data World'!$A$1:$AL$1,)))</f>
        <v>9.9</v>
      </c>
      <c r="J79" s="13">
        <f>IF(VLOOKUP(B79,'Data World'!$A:$AL,MATCH(World!$J$1,'Data World'!$A$1:$AL$1,))=0,#N/A,VLOOKUP(B79,'Data World'!$A:$AL,MATCH(World!$J$1,'Data World'!$A$1:$AL$1,)))</f>
        <v>15.4</v>
      </c>
      <c r="K79" s="13">
        <f>IF(VLOOKUP(B79,'Data World'!$A:$AL,MATCH(World!$K$1,'Data World'!$A$1:$AL$1,))=0,#N/A,VLOOKUP(B79,'Data World'!$A:$AL,MATCH(World!$K$1,'Data World'!$A$1:$AL$1,)))</f>
        <v>9.1</v>
      </c>
      <c r="L79" s="13">
        <f>IF(VLOOKUP(B79,'Data World'!$A:$AL,MATCH(World!$L$1,'Data World'!$A$1:$AL$1,))=0,#N/A,VLOOKUP(B79,'Data World'!$A:$AL,MATCH(World!$L$1,'Data World'!$A$1:$AL$1,)))</f>
        <v>4.1460720000000002</v>
      </c>
      <c r="M79" s="13">
        <f>IF(VLOOKUP(B79,'Data World'!$A:$AL,MATCH(World!$M$1,'Data World'!$A$1:$AL$1,))=0,#N/A,VLOOKUP(B79,'Data World'!$A:$AL,MATCH(World!$M$1,'Data World'!$A$1:$AL$1,)))</f>
        <v>8.1999999999999993</v>
      </c>
      <c r="N79" s="13">
        <f>IF(VLOOKUP(B79,'Data World'!$A:$AL,MATCH(World!$N$1,'Data World'!$A$1:$AL$1,))=0,#N/A,VLOOKUP(B79,'Data World'!$A:$AL,MATCH(World!$N$1,'Data World'!$A$1:$AL$1,)))</f>
        <v>5.0642990000000001</v>
      </c>
      <c r="O79" s="13">
        <f>IF(VLOOKUP(B79,'Data World'!$A:$AL,MATCH(World!$O$1,'Data World'!$A$1:$AL$1,))=0,#N/A,VLOOKUP(B79,'Data World'!$A:$AL,MATCH(World!$O$1,'Data World'!$A$1:$AL$1,)))</f>
        <v>3.8</v>
      </c>
      <c r="P79" s="13">
        <f>IF(VLOOKUP(B79,'Data World'!$A:$AL,MATCH(World!$P$1,'Data World'!$A$1:$AL$1,))=0,#N/A,VLOOKUP(B79,'Data World'!$A:$AL,MATCH(World!$P$1,'Data World'!$A$1:$AL$1,)))</f>
        <v>15.9</v>
      </c>
      <c r="Q79" s="13">
        <f>IF(VLOOKUP(B79,'Data World'!$A:$AL,MATCH(World!$Q$1,'Data World'!$A$1:$AL$1,))=0,#N/A,VLOOKUP(B79,'Data World'!$A:$AL,MATCH(World!$Q$1,'Data World'!$A$1:$AL$1,)))</f>
        <v>6.9</v>
      </c>
      <c r="R79" s="13">
        <f>IF(VLOOKUP(B79,'Data World'!$A:$AL,MATCH(World!$R$1,'Data World'!$A$1:$AL$1,))=0,#N/A,VLOOKUP(B79,'Data World'!$A:$AL,MATCH(World!$R$1,'Data World'!$A$1:$AL$1,)))</f>
        <v>12.6</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7.8</v>
      </c>
      <c r="E80" s="13">
        <f>IF(VLOOKUP(B80,'Data World'!$A:$AL,MATCH(World!$E$1,'Data World'!$A$1:$AL$1,))=0,#N/A,VLOOKUP(B80,'Data World'!$A:$AL,MATCH(World!$E$1,'Data World'!$A$1:$AL$1,)))</f>
        <v>2.9</v>
      </c>
      <c r="F80" s="13">
        <f>IF(VLOOKUP(B80,'Data World'!$A:$AL,MATCH(World!$F$1,'Data World'!$A$1:$AL$1,))=0,#N/A,VLOOKUP(B80,'Data World'!$A:$AL,MATCH(World!$F$1,'Data World'!$A$1:$AL$1,)))</f>
        <v>3.5</v>
      </c>
      <c r="G80" s="13">
        <f>IF(VLOOKUP(B80,'Data World'!$A:$AL,MATCH(World!$G$1,'Data World'!$A$1:$AL$1,))=0,#N/A,VLOOKUP(B80,'Data World'!$A:$AL,MATCH(World!$G$1,'Data World'!$A$1:$AL$1,)))</f>
        <v>8.1</v>
      </c>
      <c r="H80" s="13">
        <f>IF(VLOOKUP(B80,'Data World'!$A:$AL,MATCH(World!$H$1,'Data World'!$A$1:$AL$1,))=0,#N/A,VLOOKUP(B80,'Data World'!$A:$AL,MATCH(World!$H$1,'Data World'!$A$1:$AL$1,)))</f>
        <v>4.5724629999999999</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4.0491729999999997</v>
      </c>
      <c r="M80" s="13">
        <f>IF(VLOOKUP(B80,'Data World'!$A:$AL,MATCH(World!$M$1,'Data World'!$A$1:$AL$1,))=0,#N/A,VLOOKUP(B80,'Data World'!$A:$AL,MATCH(World!$M$1,'Data World'!$A$1:$AL$1,)))</f>
        <v>7.8</v>
      </c>
      <c r="N80" s="13">
        <f>IF(VLOOKUP(B80,'Data World'!$A:$AL,MATCH(World!$N$1,'Data World'!$A$1:$AL$1,))=0,#N/A,VLOOKUP(B80,'Data World'!$A:$AL,MATCH(World!$N$1,'Data World'!$A$1:$AL$1,)))</f>
        <v>4.9055629999999999</v>
      </c>
      <c r="O80" s="13">
        <f>IF(VLOOKUP(B80,'Data World'!$A:$AL,MATCH(World!$O$1,'Data World'!$A$1:$AL$1,))=0,#N/A,VLOOKUP(B80,'Data World'!$A:$AL,MATCH(World!$O$1,'Data World'!$A$1:$AL$1,)))</f>
        <v>3.7</v>
      </c>
      <c r="P80" s="13">
        <f>IF(VLOOKUP(B80,'Data World'!$A:$AL,MATCH(World!$P$1,'Data World'!$A$1:$AL$1,))=0,#N/A,VLOOKUP(B80,'Data World'!$A:$AL,MATCH(World!$P$1,'Data World'!$A$1:$AL$1,)))</f>
        <v>15</v>
      </c>
      <c r="Q80" s="13">
        <f>IF(VLOOKUP(B80,'Data World'!$A:$AL,MATCH(World!$Q$1,'Data World'!$A$1:$AL$1,))=0,#N/A,VLOOKUP(B80,'Data World'!$A:$AL,MATCH(World!$Q$1,'Data World'!$A$1:$AL$1,)))</f>
        <v>6.3</v>
      </c>
      <c r="R80" s="13">
        <f>IF(VLOOKUP(B80,'Data World'!$A:$AL,MATCH(World!$R$1,'Data World'!$A$1:$AL$1,))=0,#N/A,VLOOKUP(B80,'Data World'!$A:$AL,MATCH(World!$R$1,'Data World'!$A$1:$AL$1,)))</f>
        <v>10.6</v>
      </c>
      <c r="S80" s="13">
        <f>IF(VLOOKUP(B80,'Data World'!$A:$AL,MATCH(World!$S$1,'Data World'!$A$1:$AL$1,))=0,#N/A,VLOOKUP(B80,'Data World'!$A:$AL,MATCH(World!$S$1,'Data World'!$A$1:$AL$1,)))</f>
        <v>2.8</v>
      </c>
      <c r="T80" s="13">
        <f>IF(VLOOKUP(B80,'Data World'!$A:$AL,MATCH(World!$T$1,'Data World'!$A$1:$AL$1,))=0,#N/A,VLOOKUP(B80,'Data World'!$A:$AL,MATCH(World!$T$1,'Data World'!$A$1:$AL$1,)))</f>
        <v>3.5</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7.6</v>
      </c>
      <c r="E81" s="13">
        <f>IF(VLOOKUP(B81,'Data World'!$A:$AL,MATCH(World!$E$1,'Data World'!$A$1:$AL$1,))=0,#N/A,VLOOKUP(B81,'Data World'!$A:$AL,MATCH(World!$E$1,'Data World'!$A$1:$AL$1,)))</f>
        <v>2.8</v>
      </c>
      <c r="F81" s="13">
        <f>IF(VLOOKUP(B81,'Data World'!$A:$AL,MATCH(World!$F$1,'Data World'!$A$1:$AL$1,))=0,#N/A,VLOOKUP(B81,'Data World'!$A:$AL,MATCH(World!$F$1,'Data World'!$A$1:$AL$1,)))</f>
        <v>3.4</v>
      </c>
      <c r="G81" s="13">
        <f>IF(VLOOKUP(B81,'Data World'!$A:$AL,MATCH(World!$G$1,'Data World'!$A$1:$AL$1,))=0,#N/A,VLOOKUP(B81,'Data World'!$A:$AL,MATCH(World!$G$1,'Data World'!$A$1:$AL$1,)))</f>
        <v>8</v>
      </c>
      <c r="H81" s="13">
        <f>IF(VLOOKUP(B81,'Data World'!$A:$AL,MATCH(World!$H$1,'Data World'!$A$1:$AL$1,))=0,#N/A,VLOOKUP(B81,'Data World'!$A:$AL,MATCH(World!$H$1,'Data World'!$A$1:$AL$1,)))</f>
        <v>4.4513720000000001</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8.3000000000000007</v>
      </c>
      <c r="L81" s="13">
        <f>IF(VLOOKUP(B81,'Data World'!$A:$AL,MATCH(World!$L$1,'Data World'!$A$1:$AL$1,))=0,#N/A,VLOOKUP(B81,'Data World'!$A:$AL,MATCH(World!$L$1,'Data World'!$A$1:$AL$1,)))</f>
        <v>4.2133789999999998</v>
      </c>
      <c r="M81" s="13">
        <f>IF(VLOOKUP(B81,'Data World'!$A:$AL,MATCH(World!$M$1,'Data World'!$A$1:$AL$1,))=0,#N/A,VLOOKUP(B81,'Data World'!$A:$AL,MATCH(World!$M$1,'Data World'!$A$1:$AL$1,)))</f>
        <v>7.5</v>
      </c>
      <c r="N81" s="13">
        <f>IF(VLOOKUP(B81,'Data World'!$A:$AL,MATCH(World!$N$1,'Data World'!$A$1:$AL$1,))=0,#N/A,VLOOKUP(B81,'Data World'!$A:$AL,MATCH(World!$N$1,'Data World'!$A$1:$AL$1,)))</f>
        <v>4.6275310000000003</v>
      </c>
      <c r="O81" s="13">
        <f>IF(VLOOKUP(B81,'Data World'!$A:$AL,MATCH(World!$O$1,'Data World'!$A$1:$AL$1,))=0,#N/A,VLOOKUP(B81,'Data World'!$A:$AL,MATCH(World!$O$1,'Data World'!$A$1:$AL$1,)))</f>
        <v>3.3</v>
      </c>
      <c r="P81" s="13">
        <f>IF(VLOOKUP(B81,'Data World'!$A:$AL,MATCH(World!$P$1,'Data World'!$A$1:$AL$1,))=0,#N/A,VLOOKUP(B81,'Data World'!$A:$AL,MATCH(World!$P$1,'Data World'!$A$1:$AL$1,)))</f>
        <v>14.1</v>
      </c>
      <c r="Q81" s="13">
        <f>IF(VLOOKUP(B81,'Data World'!$A:$AL,MATCH(World!$Q$1,'Data World'!$A$1:$AL$1,))=0,#N/A,VLOOKUP(B81,'Data World'!$A:$AL,MATCH(World!$Q$1,'Data World'!$A$1:$AL$1,)))</f>
        <v>5.7</v>
      </c>
      <c r="R81" s="13">
        <f>IF(VLOOKUP(B81,'Data World'!$A:$AL,MATCH(World!$R$1,'Data World'!$A$1:$AL$1,))=0,#N/A,VLOOKUP(B81,'Data World'!$A:$AL,MATCH(World!$R$1,'Data World'!$A$1:$AL$1,)))</f>
        <v>11.9</v>
      </c>
      <c r="S81" s="13">
        <f>IF(VLOOKUP(B81,'Data World'!$A:$AL,MATCH(World!$S$1,'Data World'!$A$1:$AL$1,))=0,#N/A,VLOOKUP(B81,'Data World'!$A:$AL,MATCH(World!$S$1,'Data World'!$A$1:$AL$1,)))</f>
        <v>2.6</v>
      </c>
      <c r="T81" s="13">
        <f>IF(VLOOKUP(B81,'Data World'!$A:$AL,MATCH(World!$T$1,'Data World'!$A$1:$AL$1,))=0,#N/A,VLOOKUP(B81,'Data World'!$A:$AL,MATCH(World!$T$1,'Data World'!$A$1:$AL$1,)))</f>
        <v>3.4</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7.9</v>
      </c>
      <c r="H82" s="13">
        <f>IF(VLOOKUP(B82,'Data World'!$A:$AL,MATCH(World!$H$1,'Data World'!$A$1:$AL$1,))=0,#N/A,VLOOKUP(B82,'Data World'!$A:$AL,MATCH(World!$H$1,'Data World'!$A$1:$AL$1,)))</f>
        <v>4.263134</v>
      </c>
      <c r="I82" s="13">
        <f>IF(VLOOKUP(B82,'Data World'!$A:$AL,MATCH(World!$I$1,'Data World'!$A$1:$AL$1,))=0,#N/A,VLOOKUP(B82,'Data World'!$A:$AL,MATCH(World!$I$1,'Data World'!$A$1:$AL$1,)))</f>
        <v>9.3000000000000007</v>
      </c>
      <c r="J82" s="13">
        <f>IF(VLOOKUP(B82,'Data World'!$A:$AL,MATCH(World!$J$1,'Data World'!$A$1:$AL$1,))=0,#N/A,VLOOKUP(B82,'Data World'!$A:$AL,MATCH(World!$J$1,'Data World'!$A$1:$AL$1,)))</f>
        <v>14.8</v>
      </c>
      <c r="K82" s="13">
        <f>IF(VLOOKUP(B82,'Data World'!$A:$AL,MATCH(World!$K$1,'Data World'!$A$1:$AL$1,))=0,#N/A,VLOOKUP(B82,'Data World'!$A:$AL,MATCH(World!$K$1,'Data World'!$A$1:$AL$1,)))</f>
        <v>8.8000000000000007</v>
      </c>
      <c r="L82" s="13">
        <f>IF(VLOOKUP(B82,'Data World'!$A:$AL,MATCH(World!$L$1,'Data World'!$A$1:$AL$1,))=0,#N/A,VLOOKUP(B82,'Data World'!$A:$AL,MATCH(World!$L$1,'Data World'!$A$1:$AL$1,)))</f>
        <v>4.0619880000000004</v>
      </c>
      <c r="M82" s="13">
        <f>IF(VLOOKUP(B82,'Data World'!$A:$AL,MATCH(World!$M$1,'Data World'!$A$1:$AL$1,))=0,#N/A,VLOOKUP(B82,'Data World'!$A:$AL,MATCH(World!$M$1,'Data World'!$A$1:$AL$1,)))</f>
        <v>7.1</v>
      </c>
      <c r="N82" s="13">
        <f>IF(VLOOKUP(B82,'Data World'!$A:$AL,MATCH(World!$N$1,'Data World'!$A$1:$AL$1,))=0,#N/A,VLOOKUP(B82,'Data World'!$A:$AL,MATCH(World!$N$1,'Data World'!$A$1:$AL$1,)))</f>
        <v>4.524375</v>
      </c>
      <c r="O82" s="13">
        <f>IF(VLOOKUP(B82,'Data World'!$A:$AL,MATCH(World!$O$1,'Data World'!$A$1:$AL$1,))=0,#N/A,VLOOKUP(B82,'Data World'!$A:$AL,MATCH(World!$O$1,'Data World'!$A$1:$AL$1,)))</f>
        <v>2.8</v>
      </c>
      <c r="P82" s="13">
        <f>IF(VLOOKUP(B82,'Data World'!$A:$AL,MATCH(World!$P$1,'Data World'!$A$1:$AL$1,))=0,#N/A,VLOOKUP(B82,'Data World'!$A:$AL,MATCH(World!$P$1,'Data World'!$A$1:$AL$1,)))</f>
        <v>13.8</v>
      </c>
      <c r="Q82" s="13">
        <f>IF(VLOOKUP(B82,'Data World'!$A:$AL,MATCH(World!$Q$1,'Data World'!$A$1:$AL$1,))=0,#N/A,VLOOKUP(B82,'Data World'!$A:$AL,MATCH(World!$Q$1,'Data World'!$A$1:$AL$1,)))</f>
        <v>5.4</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3.4</v>
      </c>
    </row>
    <row r="83" spans="2:20" s="59" customFormat="1" x14ac:dyDescent="0.2">
      <c r="B83" s="12">
        <v>44469</v>
      </c>
      <c r="C83" s="13">
        <f>IF(VLOOKUP(B83,'Data World'!$A:$AL,MATCH(World!$C$1,'Data World'!$A$1:$AL$1,))=0,#N/A,VLOOKUP(B83,'Data World'!$A:$AL,MATCH(World!$C$1,'Data World'!$A$1:$AL$1,)))</f>
        <v>4.8</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3.3</v>
      </c>
      <c r="G83" s="13">
        <f>IF(VLOOKUP(B83,'Data World'!$A:$AL,MATCH(World!$G$1,'Data World'!$A$1:$AL$1,))=0,#N/A,VLOOKUP(B83,'Data World'!$A:$AL,MATCH(World!$G$1,'Data World'!$A$1:$AL$1,)))</f>
        <v>7.7</v>
      </c>
      <c r="H83" s="13">
        <f>IF(VLOOKUP(B83,'Data World'!$A:$AL,MATCH(World!$H$1,'Data World'!$A$1:$AL$1,))=0,#N/A,VLOOKUP(B83,'Data World'!$A:$AL,MATCH(World!$H$1,'Data World'!$A$1:$AL$1,)))</f>
        <v>4.1953060000000004</v>
      </c>
      <c r="I83" s="13">
        <f>IF(VLOOKUP(B83,'Data World'!$A:$AL,MATCH(World!$I$1,'Data World'!$A$1:$AL$1,))=0,#N/A,VLOOKUP(B83,'Data World'!$A:$AL,MATCH(World!$I$1,'Data World'!$A$1:$AL$1,)))</f>
        <v>9.1999999999999993</v>
      </c>
      <c r="J83" s="13">
        <f>IF(VLOOKUP(B83,'Data World'!$A:$AL,MATCH(World!$J$1,'Data World'!$A$1:$AL$1,))=0,#N/A,VLOOKUP(B83,'Data World'!$A:$AL,MATCH(World!$J$1,'Data World'!$A$1:$AL$1,)))</f>
        <v>14.6</v>
      </c>
      <c r="K83" s="13">
        <f>IF(VLOOKUP(B83,'Data World'!$A:$AL,MATCH(World!$K$1,'Data World'!$A$1:$AL$1,))=0,#N/A,VLOOKUP(B83,'Data World'!$A:$AL,MATCH(World!$K$1,'Data World'!$A$1:$AL$1,)))</f>
        <v>8.8000000000000007</v>
      </c>
      <c r="L83" s="13">
        <f>IF(VLOOKUP(B83,'Data World'!$A:$AL,MATCH(World!$L$1,'Data World'!$A$1:$AL$1,))=0,#N/A,VLOOKUP(B83,'Data World'!$A:$AL,MATCH(World!$L$1,'Data World'!$A$1:$AL$1,)))</f>
        <v>3.916452</v>
      </c>
      <c r="M83" s="13">
        <f>IF(VLOOKUP(B83,'Data World'!$A:$AL,MATCH(World!$M$1,'Data World'!$A$1:$AL$1,))=0,#N/A,VLOOKUP(B83,'Data World'!$A:$AL,MATCH(World!$M$1,'Data World'!$A$1:$AL$1,)))</f>
        <v>6.9</v>
      </c>
      <c r="N83" s="13">
        <f>IF(VLOOKUP(B83,'Data World'!$A:$AL,MATCH(World!$N$1,'Data World'!$A$1:$AL$1,))=0,#N/A,VLOOKUP(B83,'Data World'!$A:$AL,MATCH(World!$N$1,'Data World'!$A$1:$AL$1,)))</f>
        <v>4.6310929999999999</v>
      </c>
      <c r="O83" s="13">
        <f>IF(VLOOKUP(B83,'Data World'!$A:$AL,MATCH(World!$O$1,'Data World'!$A$1:$AL$1,))=0,#N/A,VLOOKUP(B83,'Data World'!$A:$AL,MATCH(World!$O$1,'Data World'!$A$1:$AL$1,)))</f>
        <v>3</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3.4</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4.0828579999999999</v>
      </c>
      <c r="I84" s="13">
        <f>IF(VLOOKUP(B84,'Data World'!$A:$AL,MATCH(World!$I$1,'Data World'!$A$1:$AL$1,))=0,#N/A,VLOOKUP(B84,'Data World'!$A:$AL,MATCH(World!$I$1,'Data World'!$A$1:$AL$1,)))</f>
        <v>9.4</v>
      </c>
      <c r="J84" s="13">
        <f>IF(VLOOKUP(B84,'Data World'!$A:$AL,MATCH(World!$J$1,'Data World'!$A$1:$AL$1,))=0,#N/A,VLOOKUP(B84,'Data World'!$A:$AL,MATCH(World!$J$1,'Data World'!$A$1:$AL$1,)))</f>
        <v>14.5</v>
      </c>
      <c r="K84" s="13">
        <f>IF(VLOOKUP(B84,'Data World'!$A:$AL,MATCH(World!$K$1,'Data World'!$A$1:$AL$1,))=0,#N/A,VLOOKUP(B84,'Data World'!$A:$AL,MATCH(World!$K$1,'Data World'!$A$1:$AL$1,)))</f>
        <v>8.5</v>
      </c>
      <c r="L84" s="13">
        <f>IF(VLOOKUP(B84,'Data World'!$A:$AL,MATCH(World!$L$1,'Data World'!$A$1:$AL$1,))=0,#N/A,VLOOKUP(B84,'Data World'!$A:$AL,MATCH(World!$L$1,'Data World'!$A$1:$AL$1,)))</f>
        <v>3.891146</v>
      </c>
      <c r="M84" s="13">
        <f>IF(VLOOKUP(B84,'Data World'!$A:$AL,MATCH(World!$M$1,'Data World'!$A$1:$AL$1,))=0,#N/A,VLOOKUP(B84,'Data World'!$A:$AL,MATCH(World!$M$1,'Data World'!$A$1:$AL$1,)))</f>
        <v>6.7</v>
      </c>
      <c r="N84" s="13">
        <f>IF(VLOOKUP(B84,'Data World'!$A:$AL,MATCH(World!$N$1,'Data World'!$A$1:$AL$1,))=0,#N/A,VLOOKUP(B84,'Data World'!$A:$AL,MATCH(World!$N$1,'Data World'!$A$1:$AL$1,)))</f>
        <v>5.2228450000000004</v>
      </c>
      <c r="O84" s="13">
        <f>IF(VLOOKUP(B84,'Data World'!$A:$AL,MATCH(World!$O$1,'Data World'!$A$1:$AL$1,))=0,#N/A,VLOOKUP(B84,'Data World'!$A:$AL,MATCH(World!$O$1,'Data World'!$A$1:$AL$1,)))</f>
        <v>3.2</v>
      </c>
      <c r="P84" s="13">
        <f>IF(VLOOKUP(B84,'Data World'!$A:$AL,MATCH(World!$P$1,'Data World'!$A$1:$AL$1,))=0,#N/A,VLOOKUP(B84,'Data World'!$A:$AL,MATCH(World!$P$1,'Data World'!$A$1:$AL$1,)))</f>
        <v>12.9</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2.6</v>
      </c>
      <c r="T84" s="13">
        <f>IF(VLOOKUP(B84,'Data World'!$A:$AL,MATCH(World!$T$1,'Data World'!$A$1:$AL$1,))=0,#N/A,VLOOKUP(B84,'Data World'!$A:$AL,MATCH(World!$T$1,'Data World'!$A$1:$AL$1,)))</f>
        <v>3.4</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7.2</v>
      </c>
      <c r="E85" s="13">
        <f>IF(VLOOKUP(B85,'Data World'!$A:$AL,MATCH(World!$E$1,'Data World'!$A$1:$AL$1,))=0,#N/A,VLOOKUP(B85,'Data World'!$A:$AL,MATCH(World!$E$1,'Data World'!$A$1:$AL$1,)))</f>
        <v>2.8</v>
      </c>
      <c r="F85" s="13">
        <f>IF(VLOOKUP(B85,'Data World'!$A:$AL,MATCH(World!$F$1,'Data World'!$A$1:$AL$1,))=0,#N/A,VLOOKUP(B85,'Data World'!$A:$AL,MATCH(World!$F$1,'Data World'!$A$1:$AL$1,)))</f>
        <v>3.2</v>
      </c>
      <c r="G85" s="13">
        <f>IF(VLOOKUP(B85,'Data World'!$A:$AL,MATCH(World!$G$1,'Data World'!$A$1:$AL$1,))=0,#N/A,VLOOKUP(B85,'Data World'!$A:$AL,MATCH(World!$G$1,'Data World'!$A$1:$AL$1,)))</f>
        <v>7.5</v>
      </c>
      <c r="H85" s="13">
        <f>IF(VLOOKUP(B85,'Data World'!$A:$AL,MATCH(World!$H$1,'Data World'!$A$1:$AL$1,))=0,#N/A,VLOOKUP(B85,'Data World'!$A:$AL,MATCH(World!$H$1,'Data World'!$A$1:$AL$1,)))</f>
        <v>4.0999999999999996</v>
      </c>
      <c r="I85" s="13">
        <f>IF(VLOOKUP(B85,'Data World'!$A:$AL,MATCH(World!$I$1,'Data World'!$A$1:$AL$1,))=0,#N/A,VLOOKUP(B85,'Data World'!$A:$AL,MATCH(World!$I$1,'Data World'!$A$1:$AL$1,)))</f>
        <v>9.1999999999999993</v>
      </c>
      <c r="J85" s="13">
        <f>IF(VLOOKUP(B85,'Data World'!$A:$AL,MATCH(World!$J$1,'Data World'!$A$1:$AL$1,))=0,#N/A,VLOOKUP(B85,'Data World'!$A:$AL,MATCH(World!$J$1,'Data World'!$A$1:$AL$1,)))</f>
        <v>14.1</v>
      </c>
      <c r="K85" s="13">
        <f>IF(VLOOKUP(B85,'Data World'!$A:$AL,MATCH(World!$K$1,'Data World'!$A$1:$AL$1,))=0,#N/A,VLOOKUP(B85,'Data World'!$A:$AL,MATCH(World!$K$1,'Data World'!$A$1:$AL$1,)))</f>
        <v>8.3000000000000007</v>
      </c>
      <c r="L85" s="13">
        <f>IF(VLOOKUP(B85,'Data World'!$A:$AL,MATCH(World!$L$1,'Data World'!$A$1:$AL$1,))=0,#N/A,VLOOKUP(B85,'Data World'!$A:$AL,MATCH(World!$L$1,'Data World'!$A$1:$AL$1,)))</f>
        <v>3.796662</v>
      </c>
      <c r="M85" s="13">
        <f>IF(VLOOKUP(B85,'Data World'!$A:$AL,MATCH(World!$M$1,'Data World'!$A$1:$AL$1,))=0,#N/A,VLOOKUP(B85,'Data World'!$A:$AL,MATCH(World!$M$1,'Data World'!$A$1:$AL$1,)))</f>
        <v>6</v>
      </c>
      <c r="N85" s="13">
        <f>IF(VLOOKUP(B85,'Data World'!$A:$AL,MATCH(World!$N$1,'Data World'!$A$1:$AL$1,))=0,#N/A,VLOOKUP(B85,'Data World'!$A:$AL,MATCH(World!$N$1,'Data World'!$A$1:$AL$1,)))</f>
        <v>4.6088040000000001</v>
      </c>
      <c r="O85" s="13">
        <f>IF(VLOOKUP(B85,'Data World'!$A:$AL,MATCH(World!$O$1,'Data World'!$A$1:$AL$1,))=0,#N/A,VLOOKUP(B85,'Data World'!$A:$AL,MATCH(World!$O$1,'Data World'!$A$1:$AL$1,)))</f>
        <v>3.1</v>
      </c>
      <c r="P85" s="13">
        <f>IF(VLOOKUP(B85,'Data World'!$A:$AL,MATCH(World!$P$1,'Data World'!$A$1:$AL$1,))=0,#N/A,VLOOKUP(B85,'Data World'!$A:$AL,MATCH(World!$P$1,'Data World'!$A$1:$AL$1,)))</f>
        <v>13.4</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3.9</v>
      </c>
      <c r="I86" s="13">
        <f>IF(VLOOKUP(B86,'Data World'!$A:$AL,MATCH(World!$I$1,'Data World'!$A$1:$AL$1,))=0,#N/A,VLOOKUP(B86,'Data World'!$A:$AL,MATCH(World!$I$1,'Data World'!$A$1:$AL$1,)))</f>
        <v>9</v>
      </c>
      <c r="J86" s="13">
        <f>IF(VLOOKUP(B86,'Data World'!$A:$AL,MATCH(World!$J$1,'Data World'!$A$1:$AL$1,))=0,#N/A,VLOOKUP(B86,'Data World'!$A:$AL,MATCH(World!$J$1,'Data World'!$A$1:$AL$1,)))</f>
        <v>13</v>
      </c>
      <c r="K86" s="13">
        <f>IF(VLOOKUP(B86,'Data World'!$A:$AL,MATCH(World!$K$1,'Data World'!$A$1:$AL$1,))=0,#N/A,VLOOKUP(B86,'Data World'!$A:$AL,MATCH(World!$K$1,'Data World'!$A$1:$AL$1,)))</f>
        <v>8</v>
      </c>
      <c r="L86" s="13">
        <f>IF(VLOOKUP(B86,'Data World'!$A:$AL,MATCH(World!$L$1,'Data World'!$A$1:$AL$1,))=0,#N/A,VLOOKUP(B86,'Data World'!$A:$AL,MATCH(World!$L$1,'Data World'!$A$1:$AL$1,)))</f>
        <v>3.8876539999999999</v>
      </c>
      <c r="M86" s="13">
        <f>IF(VLOOKUP(B86,'Data World'!$A:$AL,MATCH(World!$M$1,'Data World'!$A$1:$AL$1,))=0,#N/A,VLOOKUP(B86,'Data World'!$A:$AL,MATCH(World!$M$1,'Data World'!$A$1:$AL$1,)))</f>
        <v>5.9</v>
      </c>
      <c r="N86" s="13">
        <f>IF(VLOOKUP(B86,'Data World'!$A:$AL,MATCH(World!$N$1,'Data World'!$A$1:$AL$1,))=0,#N/A,VLOOKUP(B86,'Data World'!$A:$AL,MATCH(World!$N$1,'Data World'!$A$1:$AL$1,)))</f>
        <v>4.1574239999999998</v>
      </c>
      <c r="O86" s="13">
        <f>IF(VLOOKUP(B86,'Data World'!$A:$AL,MATCH(World!$O$1,'Data World'!$A$1:$AL$1,))=0,#N/A,VLOOKUP(B86,'Data World'!$A:$AL,MATCH(World!$O$1,'Data World'!$A$1:$AL$1,)))</f>
        <v>3.8</v>
      </c>
      <c r="P86" s="13">
        <f>IF(VLOOKUP(B86,'Data World'!$A:$AL,MATCH(World!$P$1,'Data World'!$A$1:$AL$1,))=0,#N/A,VLOOKUP(B86,'Data World'!$A:$AL,MATCH(World!$P$1,'Data World'!$A$1:$AL$1,)))</f>
        <v>12.7</v>
      </c>
      <c r="Q86" s="13">
        <f>IF(VLOOKUP(B86,'Data World'!$A:$AL,MATCH(World!$Q$1,'Data World'!$A$1:$AL$1,))=0,#N/A,VLOOKUP(B86,'Data World'!$A:$AL,MATCH(World!$Q$1,'Data World'!$A$1:$AL$1,)))</f>
        <v>5.0999999999999996</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2.9</v>
      </c>
    </row>
    <row r="87" spans="2:20" s="59"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6.8</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v>
      </c>
      <c r="H87" s="13">
        <f>IF(VLOOKUP(B87,'Data World'!$A:$AL,MATCH(World!$H$1,'Data World'!$A$1:$AL$1,))=0,#N/A,VLOOKUP(B87,'Data World'!$A:$AL,MATCH(World!$H$1,'Data World'!$A$1:$AL$1,)))</f>
        <v>3.8</v>
      </c>
      <c r="I87" s="13">
        <f>IF(VLOOKUP(B87,'Data World'!$A:$AL,MATCH(World!$I$1,'Data World'!$A$1:$AL$1,))=0,#N/A,VLOOKUP(B87,'Data World'!$A:$AL,MATCH(World!$I$1,'Data World'!$A$1:$AL$1,)))</f>
        <v>8.8000000000000007</v>
      </c>
      <c r="J87" s="13">
        <f>IF(VLOOKUP(B87,'Data World'!$A:$AL,MATCH(World!$J$1,'Data World'!$A$1:$AL$1,))=0,#N/A,VLOOKUP(B87,'Data World'!$A:$AL,MATCH(World!$J$1,'Data World'!$A$1:$AL$1,)))</f>
        <v>12.7</v>
      </c>
      <c r="K87" s="13">
        <f>IF(VLOOKUP(B87,'Data World'!$A:$AL,MATCH(World!$K$1,'Data World'!$A$1:$AL$1,))=0,#N/A,VLOOKUP(B87,'Data World'!$A:$AL,MATCH(World!$K$1,'Data World'!$A$1:$AL$1,)))</f>
        <v>8.1</v>
      </c>
      <c r="L87" s="13">
        <f>IF(VLOOKUP(B87,'Data World'!$A:$AL,MATCH(World!$L$1,'Data World'!$A$1:$AL$1,))=0,#N/A,VLOOKUP(B87,'Data World'!$A:$AL,MATCH(World!$L$1,'Data World'!$A$1:$AL$1,)))</f>
        <v>3.5382289999999998</v>
      </c>
      <c r="M87" s="13">
        <f>IF(VLOOKUP(B87,'Data World'!$A:$AL,MATCH(World!$M$1,'Data World'!$A$1:$AL$1,))=0,#N/A,VLOOKUP(B87,'Data World'!$A:$AL,MATCH(World!$M$1,'Data World'!$A$1:$AL$1,)))</f>
        <v>6.5</v>
      </c>
      <c r="N87" s="13">
        <f>IF(VLOOKUP(B87,'Data World'!$A:$AL,MATCH(World!$N$1,'Data World'!$A$1:$AL$1,))=0,#N/A,VLOOKUP(B87,'Data World'!$A:$AL,MATCH(World!$N$1,'Data World'!$A$1:$AL$1,)))</f>
        <v>4.1926160000000001</v>
      </c>
      <c r="O87" s="13">
        <f>IF(VLOOKUP(B87,'Data World'!$A:$AL,MATCH(World!$O$1,'Data World'!$A$1:$AL$1,))=0,#N/A,VLOOKUP(B87,'Data World'!$A:$AL,MATCH(World!$O$1,'Data World'!$A$1:$AL$1,)))</f>
        <v>3.6</v>
      </c>
      <c r="P87" s="13">
        <f>IF(VLOOKUP(B87,'Data World'!$A:$AL,MATCH(World!$P$1,'Data World'!$A$1:$AL$1,))=0,#N/A,VLOOKUP(B87,'Data World'!$A:$AL,MATCH(World!$P$1,'Data World'!$A$1:$AL$1,)))</f>
        <v>13.3</v>
      </c>
      <c r="Q87" s="13">
        <f>IF(VLOOKUP(B87,'Data World'!$A:$AL,MATCH(World!$Q$1,'Data World'!$A$1:$AL$1,))=0,#N/A,VLOOKUP(B87,'Data World'!$A:$AL,MATCH(World!$Q$1,'Data World'!$A$1:$AL$1,)))</f>
        <v>5.3</v>
      </c>
      <c r="R87" s="13">
        <f>IF(VLOOKUP(B87,'Data World'!$A:$AL,MATCH(World!$R$1,'Data World'!$A$1:$AL$1,))=0,#N/A,VLOOKUP(B87,'Data World'!$A:$AL,MATCH(World!$R$1,'Data World'!$A$1:$AL$1,)))</f>
        <v>11.4</v>
      </c>
      <c r="S87" s="13">
        <f>IF(VLOOKUP(B87,'Data World'!$A:$AL,MATCH(World!$S$1,'Data World'!$A$1:$AL$1,))=0,#N/A,VLOOKUP(B87,'Data World'!$A:$AL,MATCH(World!$S$1,'Data World'!$A$1:$AL$1,)))</f>
        <v>2.2000000000000002</v>
      </c>
      <c r="T87" s="13">
        <f>IF(VLOOKUP(B87,'Data World'!$A:$AL,MATCH(World!$T$1,'Data World'!$A$1:$AL$1,))=0,#N/A,VLOOKUP(B87,'Data World'!$A:$AL,MATCH(World!$T$1,'Data World'!$A$1:$AL$1,)))</f>
        <v>2.8</v>
      </c>
    </row>
    <row r="88" spans="2:20" s="59"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7.4</v>
      </c>
      <c r="H88" s="13">
        <f>IF(VLOOKUP(B88,'Data World'!$A:$AL,MATCH(World!$H$1,'Data World'!$A$1:$AL$1,))=0,#N/A,VLOOKUP(B88,'Data World'!$A:$AL,MATCH(World!$H$1,'Data World'!$A$1:$AL$1,)))</f>
        <v>3.9</v>
      </c>
      <c r="I88" s="13">
        <f>IF(VLOOKUP(B88,'Data World'!$A:$AL,MATCH(World!$I$1,'Data World'!$A$1:$AL$1,))=0,#N/A,VLOOKUP(B88,'Data World'!$A:$AL,MATCH(World!$I$1,'Data World'!$A$1:$AL$1,)))</f>
        <v>8.5</v>
      </c>
      <c r="J88" s="13">
        <f>IF(VLOOKUP(B88,'Data World'!$A:$AL,MATCH(World!$J$1,'Data World'!$A$1:$AL$1,))=0,#N/A,VLOOKUP(B88,'Data World'!$A:$AL,MATCH(World!$J$1,'Data World'!$A$1:$AL$1,)))</f>
        <v>12.6</v>
      </c>
      <c r="K88" s="13">
        <f>IF(VLOOKUP(B88,'Data World'!$A:$AL,MATCH(World!$K$1,'Data World'!$A$1:$AL$1,))=0,#N/A,VLOOKUP(B88,'Data World'!$A:$AL,MATCH(World!$K$1,'Data World'!$A$1:$AL$1,)))</f>
        <v>7.3</v>
      </c>
      <c r="L88" s="13">
        <f>IF(VLOOKUP(B88,'Data World'!$A:$AL,MATCH(World!$L$1,'Data World'!$A$1:$AL$1,))=0,#N/A,VLOOKUP(B88,'Data World'!$A:$AL,MATCH(World!$L$1,'Data World'!$A$1:$AL$1,)))</f>
        <v>3.7331210000000001</v>
      </c>
      <c r="M88" s="13">
        <f>IF(VLOOKUP(B88,'Data World'!$A:$AL,MATCH(World!$M$1,'Data World'!$A$1:$AL$1,))=0,#N/A,VLOOKUP(B88,'Data World'!$A:$AL,MATCH(World!$M$1,'Data World'!$A$1:$AL$1,)))</f>
        <v>5.5</v>
      </c>
      <c r="N88" s="13">
        <f>IF(VLOOKUP(B88,'Data World'!$A:$AL,MATCH(World!$N$1,'Data World'!$A$1:$AL$1,))=0,#N/A,VLOOKUP(B88,'Data World'!$A:$AL,MATCH(World!$N$1,'Data World'!$A$1:$AL$1,)))</f>
        <v>4.042395</v>
      </c>
      <c r="O88" s="13">
        <f>IF(VLOOKUP(B88,'Data World'!$A:$AL,MATCH(World!$O$1,'Data World'!$A$1:$AL$1,))=0,#N/A,VLOOKUP(B88,'Data World'!$A:$AL,MATCH(World!$O$1,'Data World'!$A$1:$AL$1,)))</f>
        <v>2.7</v>
      </c>
      <c r="P88" s="13">
        <f>IF(VLOOKUP(B88,'Data World'!$A:$AL,MATCH(World!$P$1,'Data World'!$A$1:$AL$1,))=0,#N/A,VLOOKUP(B88,'Data World'!$A:$AL,MATCH(World!$P$1,'Data World'!$A$1:$AL$1,)))</f>
        <v>11.9</v>
      </c>
      <c r="Q88" s="13">
        <f>IF(VLOOKUP(B88,'Data World'!$A:$AL,MATCH(World!$Q$1,'Data World'!$A$1:$AL$1,))=0,#N/A,VLOOKUP(B88,'Data World'!$A:$AL,MATCH(World!$Q$1,'Data World'!$A$1:$AL$1,)))</f>
        <v>5.2</v>
      </c>
      <c r="R88" s="13">
        <f>IF(VLOOKUP(B88,'Data World'!$A:$AL,MATCH(World!$R$1,'Data World'!$A$1:$AL$1,))=0,#N/A,VLOOKUP(B88,'Data World'!$A:$AL,MATCH(World!$R$1,'Data World'!$A$1:$AL$1,)))</f>
        <v>10.7</v>
      </c>
      <c r="S88" s="13">
        <f>IF(VLOOKUP(B88,'Data World'!$A:$AL,MATCH(World!$S$1,'Data World'!$A$1:$AL$1,))=0,#N/A,VLOOKUP(B88,'Data World'!$A:$AL,MATCH(World!$S$1,'Data World'!$A$1:$AL$1,)))</f>
        <v>2.4</v>
      </c>
      <c r="T88" s="13">
        <f>IF(VLOOKUP(B88,'Data World'!$A:$AL,MATCH(World!$T$1,'Data World'!$A$1:$AL$1,))=0,#N/A,VLOOKUP(B88,'Data World'!$A:$AL,MATCH(World!$T$1,'Data World'!$A$1:$AL$1,)))</f>
        <v>3</v>
      </c>
    </row>
    <row r="89" spans="2:20" s="59"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2.9</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13.5</v>
      </c>
      <c r="K89" s="13">
        <f>IF(VLOOKUP(B89,'Data World'!$A:$AL,MATCH(World!$K$1,'Data World'!$A$1:$AL$1,))=0,#N/A,VLOOKUP(B89,'Data World'!$A:$AL,MATCH(World!$K$1,'Data World'!$A$1:$AL$1,)))</f>
        <v>7.6</v>
      </c>
      <c r="L89" s="13">
        <f>IF(VLOOKUP(B89,'Data World'!$A:$AL,MATCH(World!$L$1,'Data World'!$A$1:$AL$1,))=0,#N/A,VLOOKUP(B89,'Data World'!$A:$AL,MATCH(World!$L$1,'Data World'!$A$1:$AL$1,)))</f>
        <v>3.340287</v>
      </c>
      <c r="M89" s="13">
        <f>IF(VLOOKUP(B89,'Data World'!$A:$AL,MATCH(World!$M$1,'Data World'!$A$1:$AL$1,))=0,#N/A,VLOOKUP(B89,'Data World'!$A:$AL,MATCH(World!$M$1,'Data World'!$A$1:$AL$1,)))</f>
        <v>5.3</v>
      </c>
      <c r="N89" s="13">
        <f>IF(VLOOKUP(B89,'Data World'!$A:$AL,MATCH(World!$N$1,'Data World'!$A$1:$AL$1,))=0,#N/A,VLOOKUP(B89,'Data World'!$A:$AL,MATCH(World!$N$1,'Data World'!$A$1:$AL$1,)))</f>
        <v>3.9542380000000001</v>
      </c>
      <c r="O89" s="13">
        <f>IF(VLOOKUP(B89,'Data World'!$A:$AL,MATCH(World!$O$1,'Data World'!$A$1:$AL$1,))=0,#N/A,VLOOKUP(B89,'Data World'!$A:$AL,MATCH(World!$O$1,'Data World'!$A$1:$AL$1,)))</f>
        <v>2.7</v>
      </c>
      <c r="P89" s="13">
        <f>IF(VLOOKUP(B89,'Data World'!$A:$AL,MATCH(World!$P$1,'Data World'!$A$1:$AL$1,))=0,#N/A,VLOOKUP(B89,'Data World'!$A:$AL,MATCH(World!$P$1,'Data World'!$A$1:$AL$1,)))</f>
        <v>12.9</v>
      </c>
      <c r="Q89" s="13">
        <f>IF(VLOOKUP(B89,'Data World'!$A:$AL,MATCH(World!$Q$1,'Data World'!$A$1:$AL$1,))=0,#N/A,VLOOKUP(B89,'Data World'!$A:$AL,MATCH(World!$Q$1,'Data World'!$A$1:$AL$1,)))</f>
        <v>5.5</v>
      </c>
      <c r="R89" s="13">
        <f>IF(VLOOKUP(B89,'Data World'!$A:$AL,MATCH(World!$R$1,'Data World'!$A$1:$AL$1,))=0,#N/A,VLOOKUP(B89,'Data World'!$A:$AL,MATCH(World!$R$1,'Data World'!$A$1:$AL$1,)))</f>
        <v>11.5</v>
      </c>
      <c r="S89" s="13">
        <f>IF(VLOOKUP(B89,'Data World'!$A:$AL,MATCH(World!$S$1,'Data World'!$A$1:$AL$1,))=0,#N/A,VLOOKUP(B89,'Data World'!$A:$AL,MATCH(World!$S$1,'Data World'!$A$1:$AL$1,)))</f>
        <v>2.2999999999999998</v>
      </c>
      <c r="T89" s="13">
        <f>IF(VLOOKUP(B89,'Data World'!$A:$AL,MATCH(World!$T$1,'Data World'!$A$1:$AL$1,))=0,#N/A,VLOOKUP(B89,'Data World'!$A:$AL,MATCH(World!$T$1,'Data World'!$A$1:$AL$1,)))</f>
        <v>3</v>
      </c>
    </row>
    <row r="90" spans="2:20" s="59"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6.8</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7.2</v>
      </c>
      <c r="H90" s="13" t="e">
        <f>IF(VLOOKUP(B90,'Data World'!$A:$AL,MATCH(World!$H$1,'Data World'!$A$1:$AL$1,))=0,#N/A,VLOOKUP(B90,'Data World'!$A:$AL,MATCH(World!$H$1,'Data World'!$A$1:$AL$1,)))</f>
        <v>#N/A</v>
      </c>
      <c r="I90" s="13">
        <f>IF(VLOOKUP(B90,'Data World'!$A:$AL,MATCH(World!$I$1,'Data World'!$A$1:$AL$1,))=0,#N/A,VLOOKUP(B90,'Data World'!$A:$AL,MATCH(World!$I$1,'Data World'!$A$1:$AL$1,)))</f>
        <v>8.4</v>
      </c>
      <c r="J90" s="13">
        <f>IF(VLOOKUP(B90,'Data World'!$A:$AL,MATCH(World!$J$1,'Data World'!$A$1:$AL$1,))=0,#N/A,VLOOKUP(B90,'Data World'!$A:$AL,MATCH(World!$J$1,'Data World'!$A$1:$AL$1,)))</f>
        <v>13.3</v>
      </c>
      <c r="K90" s="13">
        <f>IF(VLOOKUP(B90,'Data World'!$A:$AL,MATCH(World!$K$1,'Data World'!$A$1:$AL$1,))=0,#N/A,VLOOKUP(B90,'Data World'!$A:$AL,MATCH(World!$K$1,'Data World'!$A$1:$AL$1,)))</f>
        <v>7.7</v>
      </c>
      <c r="L90" s="13">
        <f>IF(VLOOKUP(B90,'Data World'!$A:$AL,MATCH(World!$L$1,'Data World'!$A$1:$AL$1,))=0,#N/A,VLOOKUP(B90,'Data World'!$A:$AL,MATCH(World!$L$1,'Data World'!$A$1:$AL$1,)))</f>
        <v>3.1785369999999999</v>
      </c>
      <c r="M90" s="13">
        <f>IF(VLOOKUP(B90,'Data World'!$A:$AL,MATCH(World!$M$1,'Data World'!$A$1:$AL$1,))=0,#N/A,VLOOKUP(B90,'Data World'!$A:$AL,MATCH(World!$M$1,'Data World'!$A$1:$AL$1,)))</f>
        <v>5.2</v>
      </c>
      <c r="N90" s="13">
        <f>IF(VLOOKUP(B90,'Data World'!$A:$AL,MATCH(World!$N$1,'Data World'!$A$1:$AL$1,))=0,#N/A,VLOOKUP(B90,'Data World'!$A:$AL,MATCH(World!$N$1,'Data World'!$A$1:$AL$1,)))</f>
        <v>3.8530410000000002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4.8</v>
      </c>
      <c r="R90" s="13">
        <f>IF(VLOOKUP(B90,'Data World'!$A:$AL,MATCH(World!$R$1,'Data World'!$A$1:$AL$1,))=0,#N/A,VLOOKUP(B90,'Data World'!$A:$AL,MATCH(World!$R$1,'Data World'!$A$1:$AL$1,)))</f>
        <v>11.3</v>
      </c>
      <c r="S90" s="13">
        <f>IF(VLOOKUP(B90,'Data World'!$A:$AL,MATCH(World!$S$1,'Data World'!$A$1:$AL$1,))=0,#N/A,VLOOKUP(B90,'Data World'!$A:$AL,MATCH(World!$S$1,'Data World'!$A$1:$AL$1,)))</f>
        <v>2.4</v>
      </c>
      <c r="T90" s="13">
        <f>IF(VLOOKUP(B90,'Data World'!$A:$AL,MATCH(World!$T$1,'Data World'!$A$1:$AL$1,))=0,#N/A,VLOOKUP(B90,'Data World'!$A:$AL,MATCH(World!$T$1,'Data World'!$A$1:$AL$1,)))</f>
        <v>3</v>
      </c>
    </row>
    <row r="91" spans="2:20" s="59"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6.6</v>
      </c>
      <c r="E91" s="13">
        <f>IF(VLOOKUP(B91,'Data World'!$A:$AL,MATCH(World!$E$1,'Data World'!$A$1:$AL$1,))=0,#N/A,VLOOKUP(B91,'Data World'!$A:$AL,MATCH(World!$E$1,'Data World'!$A$1:$AL$1,)))</f>
        <v>2.6</v>
      </c>
      <c r="F91" s="13">
        <f>IF(VLOOKUP(B91,'Data World'!$A:$AL,MATCH(World!$F$1,'Data World'!$A$1:$AL$1,))=0,#N/A,VLOOKUP(B91,'Data World'!$A:$AL,MATCH(World!$F$1,'Data World'!$A$1:$AL$1,)))</f>
        <v>2.8</v>
      </c>
      <c r="G91" s="13">
        <f>IF(VLOOKUP(B91,'Data World'!$A:$AL,MATCH(World!$G$1,'Data World'!$A$1:$AL$1,))=0,#N/A,VLOOKUP(B91,'Data World'!$A:$AL,MATCH(World!$G$1,'Data World'!$A$1:$AL$1,)))</f>
        <v>7.2</v>
      </c>
      <c r="H91" s="13" t="e">
        <f>IF(VLOOKUP(B91,'Data World'!$A:$AL,MATCH(World!$H$1,'Data World'!$A$1:$AL$1,))=0,#N/A,VLOOKUP(B91,'Data World'!$A:$AL,MATCH(World!$H$1,'Data World'!$A$1:$AL$1,)))</f>
        <v>#N/A</v>
      </c>
      <c r="I91" s="13">
        <f>IF(VLOOKUP(B91,'Data World'!$A:$AL,MATCH(World!$I$1,'Data World'!$A$1:$AL$1,))=0,#N/A,VLOOKUP(B91,'Data World'!$A:$AL,MATCH(World!$I$1,'Data World'!$A$1:$AL$1,)))</f>
        <v>8.1</v>
      </c>
      <c r="J91" s="13">
        <f>IF(VLOOKUP(B91,'Data World'!$A:$AL,MATCH(World!$J$1,'Data World'!$A$1:$AL$1,))=0,#N/A,VLOOKUP(B91,'Data World'!$A:$AL,MATCH(World!$J$1,'Data World'!$A$1:$AL$1,)))</f>
        <v>13.1</v>
      </c>
      <c r="K91" s="13">
        <f>IF(VLOOKUP(B91,'Data World'!$A:$AL,MATCH(World!$K$1,'Data World'!$A$1:$AL$1,))=0,#N/A,VLOOKUP(B91,'Data World'!$A:$AL,MATCH(World!$K$1,'Data World'!$A$1:$AL$1,)))</f>
        <v>7.8</v>
      </c>
      <c r="L91" s="13">
        <f>IF(VLOOKUP(B91,'Data World'!$A:$AL,MATCH(World!$L$1,'Data World'!$A$1:$AL$1,))=0,#N/A,VLOOKUP(B91,'Data World'!$A:$AL,MATCH(World!$L$1,'Data World'!$A$1:$AL$1,)))</f>
        <v>3.3739379999999999</v>
      </c>
      <c r="M91" s="13">
        <f>IF(VLOOKUP(B91,'Data World'!$A:$AL,MATCH(World!$M$1,'Data World'!$A$1:$AL$1,))=0,#N/A,VLOOKUP(B91,'Data World'!$A:$AL,MATCH(World!$M$1,'Data World'!$A$1:$AL$1,)))</f>
        <v>5.0999999999999996</v>
      </c>
      <c r="N91" s="13">
        <f>IF(VLOOKUP(B91,'Data World'!$A:$AL,MATCH(World!$N$1,'Data World'!$A$1:$AL$1,))=0,#N/A,VLOOKUP(B91,'Data World'!$A:$AL,MATCH(World!$N$1,'Data World'!$A$1:$AL$1,)))</f>
        <v>3.8987910000000001</v>
      </c>
      <c r="O91" s="13">
        <f>IF(VLOOKUP(B91,'Data World'!$A:$AL,MATCH(World!$O$1,'Data World'!$A$1:$AL$1,))=0,#N/A,VLOOKUP(B91,'Data World'!$A:$AL,MATCH(World!$O$1,'Data World'!$A$1:$AL$1,)))</f>
        <v>2.8</v>
      </c>
      <c r="P91" s="13" t="e">
        <f>IF(VLOOKUP(B91,'Data World'!$A:$AL,MATCH(World!$P$1,'Data World'!$A$1:$AL$1,))=0,#N/A,VLOOKUP(B91,'Data World'!$A:$AL,MATCH(World!$P$1,'Data World'!$A$1:$AL$1,)))</f>
        <v>#N/A</v>
      </c>
      <c r="Q91" s="13">
        <f>IF(VLOOKUP(B91,'Data World'!$A:$AL,MATCH(World!$Q$1,'Data World'!$A$1:$AL$1,))=0,#N/A,VLOOKUP(B91,'Data World'!$A:$AL,MATCH(World!$Q$1,'Data World'!$A$1:$AL$1,)))</f>
        <v>4.7</v>
      </c>
      <c r="R91" s="13" t="e">
        <f>IF(VLOOKUP(B91,'Data World'!$A:$AL,MATCH(World!$R$1,'Data World'!$A$1:$AL$1,))=0,#N/A,VLOOKUP(B91,'Data World'!$A:$AL,MATCH(World!$R$1,'Data World'!$A$1:$AL$1,)))</f>
        <v>#N/A</v>
      </c>
      <c r="S91" s="13">
        <f>IF(VLOOKUP(B91,'Data World'!$A:$AL,MATCH(World!$S$1,'Data World'!$A$1:$AL$1,))=0,#N/A,VLOOKUP(B91,'Data World'!$A:$AL,MATCH(World!$S$1,'Data World'!$A$1:$AL$1,)))</f>
        <v>2.5</v>
      </c>
      <c r="T91" s="13">
        <f>IF(VLOOKUP(B91,'Data World'!$A:$AL,MATCH(World!$T$1,'Data World'!$A$1:$AL$1,))=0,#N/A,VLOOKUP(B91,'Data World'!$A:$AL,MATCH(World!$T$1,'Data World'!$A$1:$AL$1,)))</f>
        <v>2.7</v>
      </c>
    </row>
    <row r="92" spans="2:20" s="59" customFormat="1" x14ac:dyDescent="0.2"/>
    <row r="93" spans="2:20" s="59" customFormat="1" x14ac:dyDescent="0.2"/>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91">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1">
    <cfRule type="colorScale" priority="115">
      <colorScale>
        <cfvo type="min"/>
        <cfvo type="percentile" val="50"/>
        <cfvo type="max"/>
        <color rgb="FF63BE7B"/>
        <color rgb="FFFFEB84"/>
        <color rgb="FFF8696B"/>
      </colorScale>
    </cfRule>
  </conditionalFormatting>
  <conditionalFormatting sqref="D5:D91">
    <cfRule type="colorScale" priority="116">
      <colorScale>
        <cfvo type="min"/>
        <cfvo type="percentile" val="50"/>
        <cfvo type="max"/>
        <color rgb="FF63BE7B"/>
        <color rgb="FFFFEB84"/>
        <color rgb="FFF8696B"/>
      </colorScale>
    </cfRule>
  </conditionalFormatting>
  <conditionalFormatting sqref="E5:E91">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1">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1">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1">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1">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1">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1">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1">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1">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1">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1">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1">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1">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1">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1">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1">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2022-07-17T16:52:55Z</dcterms:modified>
</cp:coreProperties>
</file>