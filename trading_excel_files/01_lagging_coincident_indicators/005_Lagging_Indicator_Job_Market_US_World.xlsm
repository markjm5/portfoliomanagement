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DAF069E-7246-4144-92D8-B7592FB4836B}" xr6:coauthVersionLast="47" xr6:coauthVersionMax="47" xr10:uidLastSave="{00000000-0000-0000-0000-000000000000}"/>
  <bookViews>
    <workbookView xWindow="-67280" yWindow="-640" windowWidth="43040" windowHeight="25540" xr2:uid="{00000000-000D-0000-FFFF-FFFF00000000}"/>
  </bookViews>
  <sheets>
    <sheet name="Note" sheetId="1" r:id="rId1"/>
    <sheet name="Database" sheetId="2" r:id="rId2"/>
    <sheet name="Database Claims" sheetId="3" r:id="rId3"/>
    <sheet name="Database ADP" sheetId="4" r:id="rId4"/>
    <sheet name="Data World" sheetId="9" r:id="rId5"/>
    <sheet name="NFP" sheetId="5" r:id="rId6"/>
    <sheet name="Claims" sheetId="6" r:id="rId7"/>
    <sheet name="Graphs" sheetId="7" r:id="rId8"/>
    <sheet name="ADP" sheetId="8"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5" i="10" l="1"/>
  <c r="D85" i="10"/>
  <c r="E85" i="10"/>
  <c r="F85" i="10"/>
  <c r="G85" i="10"/>
  <c r="H85" i="10"/>
  <c r="I85" i="10"/>
  <c r="J85" i="10"/>
  <c r="K85" i="10"/>
  <c r="L85" i="10"/>
  <c r="M85" i="10"/>
  <c r="N85" i="10"/>
  <c r="O85" i="10"/>
  <c r="P85" i="10"/>
  <c r="Q85" i="10"/>
  <c r="R85" i="10"/>
  <c r="S85" i="10"/>
  <c r="T85" i="10"/>
  <c r="B1007" i="5"/>
  <c r="E1007" i="5"/>
  <c r="F1007" i="5"/>
  <c r="B2874" i="6"/>
  <c r="C2874" i="6" s="1"/>
  <c r="D2874" i="6"/>
  <c r="E2874" i="6" s="1"/>
  <c r="B2875" i="6"/>
  <c r="C2875" i="6" s="1"/>
  <c r="D2875" i="6"/>
  <c r="E2875" i="6" s="1"/>
  <c r="B2873" i="6"/>
  <c r="C2873" i="6" s="1"/>
  <c r="D2873" i="6"/>
  <c r="E2873" i="6" s="1"/>
  <c r="B2871" i="6"/>
  <c r="C2871" i="6" s="1"/>
  <c r="D2871" i="6"/>
  <c r="E2871" i="6" s="1"/>
  <c r="B2872" i="6"/>
  <c r="C2872" i="6" s="1"/>
  <c r="D2872" i="6"/>
  <c r="E2872" i="6" s="1"/>
  <c r="B2868" i="6"/>
  <c r="C2868" i="6" s="1"/>
  <c r="D2868" i="6"/>
  <c r="E2868" i="6" s="1"/>
  <c r="B2869" i="6"/>
  <c r="C2869" i="6" s="1"/>
  <c r="D2869" i="6"/>
  <c r="E2869" i="6" s="1"/>
  <c r="B2870" i="6"/>
  <c r="C2870" i="6" s="1"/>
  <c r="D2870" i="6"/>
  <c r="E2870" i="6" s="1"/>
  <c r="B2864" i="6"/>
  <c r="C2864" i="6" s="1"/>
  <c r="D2864" i="6"/>
  <c r="E2864" i="6" s="1"/>
  <c r="B2865" i="6"/>
  <c r="C2865" i="6" s="1"/>
  <c r="D2865" i="6"/>
  <c r="E2865" i="6" s="1"/>
  <c r="B2866" i="6"/>
  <c r="C2866" i="6" s="1"/>
  <c r="D2866" i="6"/>
  <c r="E2866" i="6" s="1"/>
  <c r="B2867" i="6"/>
  <c r="C2867" i="6" s="1"/>
  <c r="D2867" i="6"/>
  <c r="E2867" i="6" s="1"/>
  <c r="B2860" i="6"/>
  <c r="C2860" i="6" s="1"/>
  <c r="D2860" i="6"/>
  <c r="E2860" i="6" s="1"/>
  <c r="B2861" i="6"/>
  <c r="C2861" i="6" s="1"/>
  <c r="D2861" i="6"/>
  <c r="E2861" i="6" s="1"/>
  <c r="B2862" i="6"/>
  <c r="C2862" i="6" s="1"/>
  <c r="D2862" i="6"/>
  <c r="E2862" i="6" s="1"/>
  <c r="B2863" i="6"/>
  <c r="C2863" i="6" s="1"/>
  <c r="D2863" i="6"/>
  <c r="E2863" i="6" s="1"/>
  <c r="B2859" i="6"/>
  <c r="C2859" i="6" s="1"/>
  <c r="D2859" i="6"/>
  <c r="E2859" i="6" s="1"/>
  <c r="B2856" i="6"/>
  <c r="C2856" i="6" s="1"/>
  <c r="D2856" i="6"/>
  <c r="E2856" i="6" s="1"/>
  <c r="B2857" i="6"/>
  <c r="C2857" i="6" s="1"/>
  <c r="D2857" i="6"/>
  <c r="E2857" i="6" s="1"/>
  <c r="B2858" i="6"/>
  <c r="C2858" i="6" s="1"/>
  <c r="D2858" i="6"/>
  <c r="E2858" i="6" s="1"/>
  <c r="B251" i="8"/>
  <c r="B252" i="8"/>
  <c r="B253" i="8"/>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D2855" i="6"/>
  <c r="E2855" i="6" s="1"/>
  <c r="B2855" i="6"/>
  <c r="E2854" i="6"/>
  <c r="D2854" i="6"/>
  <c r="B2854" i="6"/>
  <c r="C2854" i="6" s="1"/>
  <c r="D2853" i="6"/>
  <c r="B2853" i="6"/>
  <c r="D2852" i="6"/>
  <c r="E2853" i="6" s="1"/>
  <c r="B2852" i="6"/>
  <c r="C2852" i="6" s="1"/>
  <c r="D2851" i="6"/>
  <c r="B2851" i="6"/>
  <c r="C2851" i="6" s="1"/>
  <c r="D2850" i="6"/>
  <c r="E2850" i="6" s="1"/>
  <c r="B2850" i="6"/>
  <c r="C2850" i="6" s="1"/>
  <c r="D2849" i="6"/>
  <c r="E2849" i="6" s="1"/>
  <c r="B2849" i="6"/>
  <c r="D2848" i="6"/>
  <c r="B2848" i="6"/>
  <c r="E2847" i="6"/>
  <c r="D2847" i="6"/>
  <c r="E2848" i="6" s="1"/>
  <c r="C2847" i="6"/>
  <c r="B2847" i="6"/>
  <c r="D2846" i="6"/>
  <c r="B2846" i="6"/>
  <c r="D2845" i="6"/>
  <c r="E2845" i="6" s="1"/>
  <c r="B2845" i="6"/>
  <c r="C2845" i="6" s="1"/>
  <c r="D2844" i="6"/>
  <c r="B2844" i="6"/>
  <c r="D2843" i="6"/>
  <c r="C2843" i="6"/>
  <c r="B2843" i="6"/>
  <c r="E2842" i="6"/>
  <c r="D2842" i="6"/>
  <c r="B2842" i="6"/>
  <c r="D2841" i="6"/>
  <c r="B2841" i="6"/>
  <c r="C2841" i="6" s="1"/>
  <c r="D2840" i="6"/>
  <c r="E2841" i="6" s="1"/>
  <c r="B2840" i="6"/>
  <c r="D2839" i="6"/>
  <c r="E2839" i="6" s="1"/>
  <c r="B2839" i="6"/>
  <c r="E2838" i="6"/>
  <c r="D2838" i="6"/>
  <c r="B2838" i="6"/>
  <c r="C2838" i="6" s="1"/>
  <c r="D2837" i="6"/>
  <c r="B2837" i="6"/>
  <c r="D2836" i="6"/>
  <c r="E2837" i="6" s="1"/>
  <c r="B2836" i="6"/>
  <c r="E2835" i="6"/>
  <c r="D2835" i="6"/>
  <c r="B2835" i="6"/>
  <c r="D2834" i="6"/>
  <c r="B2834" i="6"/>
  <c r="C2834" i="6" s="1"/>
  <c r="D2833" i="6"/>
  <c r="E2833" i="6" s="1"/>
  <c r="B2833" i="6"/>
  <c r="D2832" i="6"/>
  <c r="B2832" i="6"/>
  <c r="E2831" i="6"/>
  <c r="D2831" i="6"/>
  <c r="E2832" i="6" s="1"/>
  <c r="C2831" i="6"/>
  <c r="B2831" i="6"/>
  <c r="D2830" i="6"/>
  <c r="E2830" i="6" s="1"/>
  <c r="B2830" i="6"/>
  <c r="D2829" i="6"/>
  <c r="E2829" i="6" s="1"/>
  <c r="B2829" i="6"/>
  <c r="C2829" i="6" s="1"/>
  <c r="E2828" i="6"/>
  <c r="D2828" i="6"/>
  <c r="B2828" i="6"/>
  <c r="D2827" i="6"/>
  <c r="B2827" i="6"/>
  <c r="C2827" i="6" s="1"/>
  <c r="D2826" i="6"/>
  <c r="E2826" i="6" s="1"/>
  <c r="B2826" i="6"/>
  <c r="D2825" i="6"/>
  <c r="B2825" i="6"/>
  <c r="D2824" i="6"/>
  <c r="E2825" i="6" s="1"/>
  <c r="B2824" i="6"/>
  <c r="C2825" i="6" s="1"/>
  <c r="D2823" i="6"/>
  <c r="E2823" i="6" s="1"/>
  <c r="B2823" i="6"/>
  <c r="C2823" i="6" s="1"/>
  <c r="D2822" i="6"/>
  <c r="E2822" i="6" s="1"/>
  <c r="B2822" i="6"/>
  <c r="C2822" i="6" s="1"/>
  <c r="D2821" i="6"/>
  <c r="B2821" i="6"/>
  <c r="E2820" i="6"/>
  <c r="D2820" i="6"/>
  <c r="E2821" i="6" s="1"/>
  <c r="B2820" i="6"/>
  <c r="D2819" i="6"/>
  <c r="E2819" i="6" s="1"/>
  <c r="B2819" i="6"/>
  <c r="D2818" i="6"/>
  <c r="B2818" i="6"/>
  <c r="C2818" i="6" s="1"/>
  <c r="E2817" i="6"/>
  <c r="D2817" i="6"/>
  <c r="B2817" i="6"/>
  <c r="D2816" i="6"/>
  <c r="B2816" i="6"/>
  <c r="D2815" i="6"/>
  <c r="E2816" i="6" s="1"/>
  <c r="C2815" i="6"/>
  <c r="B2815" i="6"/>
  <c r="D2814" i="6"/>
  <c r="B2814" i="6"/>
  <c r="E2813" i="6"/>
  <c r="D2813" i="6"/>
  <c r="B2813" i="6"/>
  <c r="C2813" i="6" s="1"/>
  <c r="E2812" i="6"/>
  <c r="D2812" i="6"/>
  <c r="B2812" i="6"/>
  <c r="D2811" i="6"/>
  <c r="B2811" i="6"/>
  <c r="C2811" i="6" s="1"/>
  <c r="D2810" i="6"/>
  <c r="E2810" i="6" s="1"/>
  <c r="B2810" i="6"/>
  <c r="D2809" i="6"/>
  <c r="B2809" i="6"/>
  <c r="C2809" i="6" s="1"/>
  <c r="D2808" i="6"/>
  <c r="E2809" i="6" s="1"/>
  <c r="C2808" i="6"/>
  <c r="B2808" i="6"/>
  <c r="D2807" i="6"/>
  <c r="E2807" i="6" s="1"/>
  <c r="C2807" i="6"/>
  <c r="B2807" i="6"/>
  <c r="E2806" i="6"/>
  <c r="D2806" i="6"/>
  <c r="B2806" i="6"/>
  <c r="D2805" i="6"/>
  <c r="C2805" i="6"/>
  <c r="B2805" i="6"/>
  <c r="C2806" i="6" s="1"/>
  <c r="D2804" i="6"/>
  <c r="E2804" i="6" s="1"/>
  <c r="B2804" i="6"/>
  <c r="C2804" i="6" s="1"/>
  <c r="D2803" i="6"/>
  <c r="E2803" i="6" s="1"/>
  <c r="B2803" i="6"/>
  <c r="C2803" i="6" s="1"/>
  <c r="D2802" i="6"/>
  <c r="C2802" i="6"/>
  <c r="B2802" i="6"/>
  <c r="D2801" i="6"/>
  <c r="E2801" i="6" s="1"/>
  <c r="B2801" i="6"/>
  <c r="D2800" i="6"/>
  <c r="B2800" i="6"/>
  <c r="D2799" i="6"/>
  <c r="E2799" i="6" s="1"/>
  <c r="C2799" i="6"/>
  <c r="B2799" i="6"/>
  <c r="D2798" i="6"/>
  <c r="B2798" i="6"/>
  <c r="D2797" i="6"/>
  <c r="E2797" i="6" s="1"/>
  <c r="C2797" i="6"/>
  <c r="B2797" i="6"/>
  <c r="C2798" i="6" s="1"/>
  <c r="E2796" i="6"/>
  <c r="D2796" i="6"/>
  <c r="B2796" i="6"/>
  <c r="D2795" i="6"/>
  <c r="B2795" i="6"/>
  <c r="E2794" i="6"/>
  <c r="D2794" i="6"/>
  <c r="B2794" i="6"/>
  <c r="D2793" i="6"/>
  <c r="B2793" i="6"/>
  <c r="C2793" i="6" s="1"/>
  <c r="D2792" i="6"/>
  <c r="E2792" i="6" s="1"/>
  <c r="C2792" i="6"/>
  <c r="B2792" i="6"/>
  <c r="D2791" i="6"/>
  <c r="B2791" i="6"/>
  <c r="D2790" i="6"/>
  <c r="E2790" i="6" s="1"/>
  <c r="B2790" i="6"/>
  <c r="D2789" i="6"/>
  <c r="B2789" i="6"/>
  <c r="D2788" i="6"/>
  <c r="B2788" i="6"/>
  <c r="C2789" i="6" s="1"/>
  <c r="D2787" i="6"/>
  <c r="E2787" i="6" s="1"/>
  <c r="B2787" i="6"/>
  <c r="D2786" i="6"/>
  <c r="C2786" i="6"/>
  <c r="B2786" i="6"/>
  <c r="D2785" i="6"/>
  <c r="B2785" i="6"/>
  <c r="D2784" i="6"/>
  <c r="B2784" i="6"/>
  <c r="D2783" i="6"/>
  <c r="B2783" i="6"/>
  <c r="C2783" i="6" s="1"/>
  <c r="D2782" i="6"/>
  <c r="B2782" i="6"/>
  <c r="D2781" i="6"/>
  <c r="E2781" i="6" s="1"/>
  <c r="B2781" i="6"/>
  <c r="C2782" i="6" s="1"/>
  <c r="E2780" i="6"/>
  <c r="D2780" i="6"/>
  <c r="B2780" i="6"/>
  <c r="D2779" i="6"/>
  <c r="B2779" i="6"/>
  <c r="C2780" i="6" s="1"/>
  <c r="D2778" i="6"/>
  <c r="E2778" i="6" s="1"/>
  <c r="B2778" i="6"/>
  <c r="D2777" i="6"/>
  <c r="B2777" i="6"/>
  <c r="C2777" i="6" s="1"/>
  <c r="D2776" i="6"/>
  <c r="E2776" i="6" s="1"/>
  <c r="C2776" i="6"/>
  <c r="B2776" i="6"/>
  <c r="D2775" i="6"/>
  <c r="B2775" i="6"/>
  <c r="D2774" i="6"/>
  <c r="E2774" i="6" s="1"/>
  <c r="B2774" i="6"/>
  <c r="C2775" i="6" s="1"/>
  <c r="D2773" i="6"/>
  <c r="B2773" i="6"/>
  <c r="D2772" i="6"/>
  <c r="C2772" i="6"/>
  <c r="B2772" i="6"/>
  <c r="C2773" i="6" s="1"/>
  <c r="D2771" i="6"/>
  <c r="E2771" i="6" s="1"/>
  <c r="B2771" i="6"/>
  <c r="D2770" i="6"/>
  <c r="B2770" i="6"/>
  <c r="C2770" i="6" s="1"/>
  <c r="D2769" i="6"/>
  <c r="C2769" i="6"/>
  <c r="B2769" i="6"/>
  <c r="D2768" i="6"/>
  <c r="B2768" i="6"/>
  <c r="D2767" i="6"/>
  <c r="B2767" i="6"/>
  <c r="C2767" i="6" s="1"/>
  <c r="D2766" i="6"/>
  <c r="E2766" i="6" s="1"/>
  <c r="B2766" i="6"/>
  <c r="D2765" i="6"/>
  <c r="E2765" i="6" s="1"/>
  <c r="C2765" i="6"/>
  <c r="B2765" i="6"/>
  <c r="C2766" i="6" s="1"/>
  <c r="E2764" i="6"/>
  <c r="D2764" i="6"/>
  <c r="B2764" i="6"/>
  <c r="D2763" i="6"/>
  <c r="B2763" i="6"/>
  <c r="C2764" i="6" s="1"/>
  <c r="E2762" i="6"/>
  <c r="D2762" i="6"/>
  <c r="B2762" i="6"/>
  <c r="D2761" i="6"/>
  <c r="B2761" i="6"/>
  <c r="C2761" i="6" s="1"/>
  <c r="E2760" i="6"/>
  <c r="D2760" i="6"/>
  <c r="C2760" i="6"/>
  <c r="B2760" i="6"/>
  <c r="D2759" i="6"/>
  <c r="B2759" i="6"/>
  <c r="D2758" i="6"/>
  <c r="E2758" i="6" s="1"/>
  <c r="C2758" i="6"/>
  <c r="B2758" i="6"/>
  <c r="C2759" i="6" s="1"/>
  <c r="D2757" i="6"/>
  <c r="B2757" i="6"/>
  <c r="D2756" i="6"/>
  <c r="B2756" i="6"/>
  <c r="C2757" i="6" s="1"/>
  <c r="D2755" i="6"/>
  <c r="E2755" i="6" s="1"/>
  <c r="B2755" i="6"/>
  <c r="C2755" i="6" s="1"/>
  <c r="D2754" i="6"/>
  <c r="E2754" i="6" s="1"/>
  <c r="C2754" i="6"/>
  <c r="B2754" i="6"/>
  <c r="D2753" i="6"/>
  <c r="E2753" i="6" s="1"/>
  <c r="B2753" i="6"/>
  <c r="D2752" i="6"/>
  <c r="B2752" i="6"/>
  <c r="D2751" i="6"/>
  <c r="C2751" i="6"/>
  <c r="B2751" i="6"/>
  <c r="D2750" i="6"/>
  <c r="B2750" i="6"/>
  <c r="D2749" i="6"/>
  <c r="E2749" i="6" s="1"/>
  <c r="B2749" i="6"/>
  <c r="C2749" i="6" s="1"/>
  <c r="E2748" i="6"/>
  <c r="D2748" i="6"/>
  <c r="B2748" i="6"/>
  <c r="D2747" i="6"/>
  <c r="B2747" i="6"/>
  <c r="C2748" i="6" s="1"/>
  <c r="D2746" i="6"/>
  <c r="E2746" i="6" s="1"/>
  <c r="B2746" i="6"/>
  <c r="C2746" i="6" s="1"/>
  <c r="D2745" i="6"/>
  <c r="B2745" i="6"/>
  <c r="C2745" i="6" s="1"/>
  <c r="D2744" i="6"/>
  <c r="E2744" i="6" s="1"/>
  <c r="B2744" i="6"/>
  <c r="D2743" i="6"/>
  <c r="B2743" i="6"/>
  <c r="C2743" i="6" s="1"/>
  <c r="D2742" i="6"/>
  <c r="E2742" i="6" s="1"/>
  <c r="B2742" i="6"/>
  <c r="C2742" i="6" s="1"/>
  <c r="D2741" i="6"/>
  <c r="B2741" i="6"/>
  <c r="D2740" i="6"/>
  <c r="E2740" i="6" s="1"/>
  <c r="B2740" i="6"/>
  <c r="C2741" i="6" s="1"/>
  <c r="D2739" i="6"/>
  <c r="B2739" i="6"/>
  <c r="D2738" i="6"/>
  <c r="E2738" i="6" s="1"/>
  <c r="C2738" i="6"/>
  <c r="B2738" i="6"/>
  <c r="D2737" i="6"/>
  <c r="E2737" i="6" s="1"/>
  <c r="B2737" i="6"/>
  <c r="D2736" i="6"/>
  <c r="B2736" i="6"/>
  <c r="D2735" i="6"/>
  <c r="C2735" i="6"/>
  <c r="B2735" i="6"/>
  <c r="D2734" i="6"/>
  <c r="B2734" i="6"/>
  <c r="D2733" i="6"/>
  <c r="E2733" i="6" s="1"/>
  <c r="B2733" i="6"/>
  <c r="C2733" i="6" s="1"/>
  <c r="E2732" i="6"/>
  <c r="D2732" i="6"/>
  <c r="B2732" i="6"/>
  <c r="D2731" i="6"/>
  <c r="B2731" i="6"/>
  <c r="C2732" i="6" s="1"/>
  <c r="D2730" i="6"/>
  <c r="E2730" i="6" s="1"/>
  <c r="B2730" i="6"/>
  <c r="C2730" i="6" s="1"/>
  <c r="D2729" i="6"/>
  <c r="C2729" i="6"/>
  <c r="B2729" i="6"/>
  <c r="D2728" i="6"/>
  <c r="E2728" i="6" s="1"/>
  <c r="B2728" i="6"/>
  <c r="D2727" i="6"/>
  <c r="B2727" i="6"/>
  <c r="E2726" i="6"/>
  <c r="D2726" i="6"/>
  <c r="B2726" i="6"/>
  <c r="C2726" i="6" s="1"/>
  <c r="D2725" i="6"/>
  <c r="B2725" i="6"/>
  <c r="E2724" i="6"/>
  <c r="D2724" i="6"/>
  <c r="C2724" i="6"/>
  <c r="B2724" i="6"/>
  <c r="C2725" i="6" s="1"/>
  <c r="D2723" i="6"/>
  <c r="B2723" i="6"/>
  <c r="D2722" i="6"/>
  <c r="C2722" i="6"/>
  <c r="B2722" i="6"/>
  <c r="D2721" i="6"/>
  <c r="E2721" i="6" s="1"/>
  <c r="C2721" i="6"/>
  <c r="B2721" i="6"/>
  <c r="D2720" i="6"/>
  <c r="B2720" i="6"/>
  <c r="C2720" i="6" s="1"/>
  <c r="D2719" i="6"/>
  <c r="C2719" i="6"/>
  <c r="B2719" i="6"/>
  <c r="D2718" i="6"/>
  <c r="E2718" i="6" s="1"/>
  <c r="B2718" i="6"/>
  <c r="D2717" i="6"/>
  <c r="E2717" i="6" s="1"/>
  <c r="B2717" i="6"/>
  <c r="C2717" i="6" s="1"/>
  <c r="E2716" i="6"/>
  <c r="D2716" i="6"/>
  <c r="B2716" i="6"/>
  <c r="D2715" i="6"/>
  <c r="E2715" i="6" s="1"/>
  <c r="B2715" i="6"/>
  <c r="C2716" i="6" s="1"/>
  <c r="D2714" i="6"/>
  <c r="E2714" i="6" s="1"/>
  <c r="B2714" i="6"/>
  <c r="D2713" i="6"/>
  <c r="B2713" i="6"/>
  <c r="C2713" i="6" s="1"/>
  <c r="D2712" i="6"/>
  <c r="E2712" i="6" s="1"/>
  <c r="B2712" i="6"/>
  <c r="D2711" i="6"/>
  <c r="B2711" i="6"/>
  <c r="D2710" i="6"/>
  <c r="E2710" i="6" s="1"/>
  <c r="B2710" i="6"/>
  <c r="C2710" i="6" s="1"/>
  <c r="D2709" i="6"/>
  <c r="B2709" i="6"/>
  <c r="E2708" i="6"/>
  <c r="D2708" i="6"/>
  <c r="B2708" i="6"/>
  <c r="C2709" i="6" s="1"/>
  <c r="D2707" i="6"/>
  <c r="B2707" i="6"/>
  <c r="D2706" i="6"/>
  <c r="B2706" i="6"/>
  <c r="C2706" i="6" s="1"/>
  <c r="D2705" i="6"/>
  <c r="E2705" i="6" s="1"/>
  <c r="C2705" i="6"/>
  <c r="B2705" i="6"/>
  <c r="D2704" i="6"/>
  <c r="B2704" i="6"/>
  <c r="D2703" i="6"/>
  <c r="B2703" i="6"/>
  <c r="C2703" i="6" s="1"/>
  <c r="D2702" i="6"/>
  <c r="E2702" i="6" s="1"/>
  <c r="B2702" i="6"/>
  <c r="C2702" i="6" s="1"/>
  <c r="D2701" i="6"/>
  <c r="E2701" i="6" s="1"/>
  <c r="B2701" i="6"/>
  <c r="C2701" i="6" s="1"/>
  <c r="D2700" i="6"/>
  <c r="B2700" i="6"/>
  <c r="D2699" i="6"/>
  <c r="C2699" i="6"/>
  <c r="B2699" i="6"/>
  <c r="C2700" i="6" s="1"/>
  <c r="D2698" i="6"/>
  <c r="E2698" i="6" s="1"/>
  <c r="B2698" i="6"/>
  <c r="D2697" i="6"/>
  <c r="B2697" i="6"/>
  <c r="C2697" i="6" s="1"/>
  <c r="E2696" i="6"/>
  <c r="D2696" i="6"/>
  <c r="B2696" i="6"/>
  <c r="D2695" i="6"/>
  <c r="B2695" i="6"/>
  <c r="D2694" i="6"/>
  <c r="E2694" i="6" s="1"/>
  <c r="C2694" i="6"/>
  <c r="B2694" i="6"/>
  <c r="D2693" i="6"/>
  <c r="B2693" i="6"/>
  <c r="D2692" i="6"/>
  <c r="B2692" i="6"/>
  <c r="C2693" i="6" s="1"/>
  <c r="D2691" i="6"/>
  <c r="E2691" i="6" s="1"/>
  <c r="B2691" i="6"/>
  <c r="D2690" i="6"/>
  <c r="B2690" i="6"/>
  <c r="C2690" i="6" s="1"/>
  <c r="D2689" i="6"/>
  <c r="E2689" i="6" s="1"/>
  <c r="C2689" i="6"/>
  <c r="B2689" i="6"/>
  <c r="D2688" i="6"/>
  <c r="B2688" i="6"/>
  <c r="D2687" i="6"/>
  <c r="B2687" i="6"/>
  <c r="C2687" i="6" s="1"/>
  <c r="D2686" i="6"/>
  <c r="E2686" i="6" s="1"/>
  <c r="B2686" i="6"/>
  <c r="C2686" i="6" s="1"/>
  <c r="D2685" i="6"/>
  <c r="E2685" i="6" s="1"/>
  <c r="B2685" i="6"/>
  <c r="C2685" i="6" s="1"/>
  <c r="D2684" i="6"/>
  <c r="B2684" i="6"/>
  <c r="D2683" i="6"/>
  <c r="B2683" i="6"/>
  <c r="C2684" i="6" s="1"/>
  <c r="D2682" i="6"/>
  <c r="E2682" i="6" s="1"/>
  <c r="B2682" i="6"/>
  <c r="D2681" i="6"/>
  <c r="B2681" i="6"/>
  <c r="C2681" i="6" s="1"/>
  <c r="E2680" i="6"/>
  <c r="D2680" i="6"/>
  <c r="B2680" i="6"/>
  <c r="D2679" i="6"/>
  <c r="B2679" i="6"/>
  <c r="D2678" i="6"/>
  <c r="E2678" i="6" s="1"/>
  <c r="B2678" i="6"/>
  <c r="C2678" i="6" s="1"/>
  <c r="D2677" i="6"/>
  <c r="B2677" i="6"/>
  <c r="D2676" i="6"/>
  <c r="E2676" i="6" s="1"/>
  <c r="B2676" i="6"/>
  <c r="C2677" i="6" s="1"/>
  <c r="D2675" i="6"/>
  <c r="E2675" i="6" s="1"/>
  <c r="B2675" i="6"/>
  <c r="C2675" i="6" s="1"/>
  <c r="D2674" i="6"/>
  <c r="B2674" i="6"/>
  <c r="C2674" i="6" s="1"/>
  <c r="D2673" i="6"/>
  <c r="E2673" i="6" s="1"/>
  <c r="C2673" i="6"/>
  <c r="B2673" i="6"/>
  <c r="D2672" i="6"/>
  <c r="C2672" i="6"/>
  <c r="B2672" i="6"/>
  <c r="D2671" i="6"/>
  <c r="B2671" i="6"/>
  <c r="C2671" i="6" s="1"/>
  <c r="D2670" i="6"/>
  <c r="E2670" i="6" s="1"/>
  <c r="B2670" i="6"/>
  <c r="C2670" i="6" s="1"/>
  <c r="D2669" i="6"/>
  <c r="E2669" i="6" s="1"/>
  <c r="C2669" i="6"/>
  <c r="B2669" i="6"/>
  <c r="D2668" i="6"/>
  <c r="B2668" i="6"/>
  <c r="D2667" i="6"/>
  <c r="C2667" i="6"/>
  <c r="B2667" i="6"/>
  <c r="C2668" i="6" s="1"/>
  <c r="E2666" i="6"/>
  <c r="D2666" i="6"/>
  <c r="B2666" i="6"/>
  <c r="D2665" i="6"/>
  <c r="B2665" i="6"/>
  <c r="C2665" i="6" s="1"/>
  <c r="E2664" i="6"/>
  <c r="D2664" i="6"/>
  <c r="B2664" i="6"/>
  <c r="D2663" i="6"/>
  <c r="B2663" i="6"/>
  <c r="C2663" i="6" s="1"/>
  <c r="E2662" i="6"/>
  <c r="D2662" i="6"/>
  <c r="E2663" i="6" s="1"/>
  <c r="C2662" i="6"/>
  <c r="B2662" i="6"/>
  <c r="D2661" i="6"/>
  <c r="B2661" i="6"/>
  <c r="C2661" i="6" s="1"/>
  <c r="D2660" i="6"/>
  <c r="E2661" i="6" s="1"/>
  <c r="C2660" i="6"/>
  <c r="B2660" i="6"/>
  <c r="D2659" i="6"/>
  <c r="B2659" i="6"/>
  <c r="C2659" i="6" s="1"/>
  <c r="D2658" i="6"/>
  <c r="C2658" i="6"/>
  <c r="B2658" i="6"/>
  <c r="D2657" i="6"/>
  <c r="C2657" i="6"/>
  <c r="B2657" i="6"/>
  <c r="D2656" i="6"/>
  <c r="E2657" i="6" s="1"/>
  <c r="C2656" i="6"/>
  <c r="B2656" i="6"/>
  <c r="D2655" i="6"/>
  <c r="B2655" i="6"/>
  <c r="C2655" i="6" s="1"/>
  <c r="D2654" i="6"/>
  <c r="E2655" i="6" s="1"/>
  <c r="B2654" i="6"/>
  <c r="D2653" i="6"/>
  <c r="C2653" i="6"/>
  <c r="B2653" i="6"/>
  <c r="C2654" i="6" s="1"/>
  <c r="E2652" i="6"/>
  <c r="D2652" i="6"/>
  <c r="E2653" i="6" s="1"/>
  <c r="B2652" i="6"/>
  <c r="D2651" i="6"/>
  <c r="B2651" i="6"/>
  <c r="C2652" i="6" s="1"/>
  <c r="E2650" i="6"/>
  <c r="D2650" i="6"/>
  <c r="E2651" i="6" s="1"/>
  <c r="B2650" i="6"/>
  <c r="D2649" i="6"/>
  <c r="B2649" i="6"/>
  <c r="D2648" i="6"/>
  <c r="E2649" i="6" s="1"/>
  <c r="C2648" i="6"/>
  <c r="B2648" i="6"/>
  <c r="D2647" i="6"/>
  <c r="B2647" i="6"/>
  <c r="C2647" i="6" s="1"/>
  <c r="D2646" i="6"/>
  <c r="C2646" i="6"/>
  <c r="B2646" i="6"/>
  <c r="D2645" i="6"/>
  <c r="B2645" i="6"/>
  <c r="C2645" i="6" s="1"/>
  <c r="D2644" i="6"/>
  <c r="E2645" i="6" s="1"/>
  <c r="C2644" i="6"/>
  <c r="B2644" i="6"/>
  <c r="D2643" i="6"/>
  <c r="B2643" i="6"/>
  <c r="C2643" i="6" s="1"/>
  <c r="D2642" i="6"/>
  <c r="C2642" i="6"/>
  <c r="B2642" i="6"/>
  <c r="D2641" i="6"/>
  <c r="C2641" i="6"/>
  <c r="B2641" i="6"/>
  <c r="D2640" i="6"/>
  <c r="E2641" i="6" s="1"/>
  <c r="C2640" i="6"/>
  <c r="B2640" i="6"/>
  <c r="D2639" i="6"/>
  <c r="B2639" i="6"/>
  <c r="C2639" i="6" s="1"/>
  <c r="D2638" i="6"/>
  <c r="E2639" i="6" s="1"/>
  <c r="B2638" i="6"/>
  <c r="D2637" i="6"/>
  <c r="C2637" i="6"/>
  <c r="B2637" i="6"/>
  <c r="C2638" i="6" s="1"/>
  <c r="E2636" i="6"/>
  <c r="D2636" i="6"/>
  <c r="E2637" i="6" s="1"/>
  <c r="B2636" i="6"/>
  <c r="D2635" i="6"/>
  <c r="C2635" i="6"/>
  <c r="B2635" i="6"/>
  <c r="C2636" i="6" s="1"/>
  <c r="E2634" i="6"/>
  <c r="D2634" i="6"/>
  <c r="E2635" i="6" s="1"/>
  <c r="B2634" i="6"/>
  <c r="D2633" i="6"/>
  <c r="B2633" i="6"/>
  <c r="C2634" i="6" s="1"/>
  <c r="D2632" i="6"/>
  <c r="C2632" i="6"/>
  <c r="B2632" i="6"/>
  <c r="D2631" i="6"/>
  <c r="B2631" i="6"/>
  <c r="C2631" i="6" s="1"/>
  <c r="D2630" i="6"/>
  <c r="E2630" i="6" s="1"/>
  <c r="C2630" i="6"/>
  <c r="B2630" i="6"/>
  <c r="D2629" i="6"/>
  <c r="B2629" i="6"/>
  <c r="C2629" i="6" s="1"/>
  <c r="D2628" i="6"/>
  <c r="E2628" i="6" s="1"/>
  <c r="C2628" i="6"/>
  <c r="B2628" i="6"/>
  <c r="D2627" i="6"/>
  <c r="B2627" i="6"/>
  <c r="C2627" i="6" s="1"/>
  <c r="D2626" i="6"/>
  <c r="E2626" i="6" s="1"/>
  <c r="C2626" i="6"/>
  <c r="B2626" i="6"/>
  <c r="D2625" i="6"/>
  <c r="E2625" i="6" s="1"/>
  <c r="C2625" i="6"/>
  <c r="B2625" i="6"/>
  <c r="D2624" i="6"/>
  <c r="E2624" i="6" s="1"/>
  <c r="C2624" i="6"/>
  <c r="B2624" i="6"/>
  <c r="D2623" i="6"/>
  <c r="E2623" i="6" s="1"/>
  <c r="B2623" i="6"/>
  <c r="C2623" i="6" s="1"/>
  <c r="D2622" i="6"/>
  <c r="E2622" i="6" s="1"/>
  <c r="B2622" i="6"/>
  <c r="D2621" i="6"/>
  <c r="E2621" i="6" s="1"/>
  <c r="B2621" i="6"/>
  <c r="C2622" i="6" s="1"/>
  <c r="E2620" i="6"/>
  <c r="D2620" i="6"/>
  <c r="B2620" i="6"/>
  <c r="D2619" i="6"/>
  <c r="B2619" i="6"/>
  <c r="D2618" i="6"/>
  <c r="E2618" i="6" s="1"/>
  <c r="B2618" i="6"/>
  <c r="D2617" i="6"/>
  <c r="B2617" i="6"/>
  <c r="C2618" i="6" s="1"/>
  <c r="D2616" i="6"/>
  <c r="E2616" i="6" s="1"/>
  <c r="C2616" i="6"/>
  <c r="B2616" i="6"/>
  <c r="D2615" i="6"/>
  <c r="B2615" i="6"/>
  <c r="C2615" i="6" s="1"/>
  <c r="D2614" i="6"/>
  <c r="E2614" i="6" s="1"/>
  <c r="C2614" i="6"/>
  <c r="B2614" i="6"/>
  <c r="D2613" i="6"/>
  <c r="B2613" i="6"/>
  <c r="C2613" i="6" s="1"/>
  <c r="E2612" i="6"/>
  <c r="D2612" i="6"/>
  <c r="C2612" i="6"/>
  <c r="B2612" i="6"/>
  <c r="D2611" i="6"/>
  <c r="B2611" i="6"/>
  <c r="C2611" i="6" s="1"/>
  <c r="D2610" i="6"/>
  <c r="E2610" i="6" s="1"/>
  <c r="C2610" i="6"/>
  <c r="B2610" i="6"/>
  <c r="D2609" i="6"/>
  <c r="E2609" i="6" s="1"/>
  <c r="C2609" i="6"/>
  <c r="B2609" i="6"/>
  <c r="D2608" i="6"/>
  <c r="E2608" i="6" s="1"/>
  <c r="C2608" i="6"/>
  <c r="B2608" i="6"/>
  <c r="D2607" i="6"/>
  <c r="E2607" i="6" s="1"/>
  <c r="C2607" i="6"/>
  <c r="B2607" i="6"/>
  <c r="D2606" i="6"/>
  <c r="E2606" i="6" s="1"/>
  <c r="B2606" i="6"/>
  <c r="D2605" i="6"/>
  <c r="E2605" i="6" s="1"/>
  <c r="C2605" i="6"/>
  <c r="B2605" i="6"/>
  <c r="C2606" i="6" s="1"/>
  <c r="E2604" i="6"/>
  <c r="D2604" i="6"/>
  <c r="B2604" i="6"/>
  <c r="D2603" i="6"/>
  <c r="B2603" i="6"/>
  <c r="C2604" i="6" s="1"/>
  <c r="D2602" i="6"/>
  <c r="E2602" i="6" s="1"/>
  <c r="B2602" i="6"/>
  <c r="D2601" i="6"/>
  <c r="B2601" i="6"/>
  <c r="C2602" i="6" s="1"/>
  <c r="D2600" i="6"/>
  <c r="E2600" i="6" s="1"/>
  <c r="C2600" i="6"/>
  <c r="B2600" i="6"/>
  <c r="D2599" i="6"/>
  <c r="B2599" i="6"/>
  <c r="C2599" i="6" s="1"/>
  <c r="D2598" i="6"/>
  <c r="E2598" i="6" s="1"/>
  <c r="C2598" i="6"/>
  <c r="B2598" i="6"/>
  <c r="D2597" i="6"/>
  <c r="B2597" i="6"/>
  <c r="C2597" i="6" s="1"/>
  <c r="E2596" i="6"/>
  <c r="D2596" i="6"/>
  <c r="C2596" i="6"/>
  <c r="B2596" i="6"/>
  <c r="D2595" i="6"/>
  <c r="B2595" i="6"/>
  <c r="C2595" i="6" s="1"/>
  <c r="D2594" i="6"/>
  <c r="E2594" i="6" s="1"/>
  <c r="C2594" i="6"/>
  <c r="B2594" i="6"/>
  <c r="D2593" i="6"/>
  <c r="E2593" i="6" s="1"/>
  <c r="C2593" i="6"/>
  <c r="B2593" i="6"/>
  <c r="D2592" i="6"/>
  <c r="B2592" i="6"/>
  <c r="D2591" i="6"/>
  <c r="E2591" i="6" s="1"/>
  <c r="C2591" i="6"/>
  <c r="B2591" i="6"/>
  <c r="C2592" i="6" s="1"/>
  <c r="D2590" i="6"/>
  <c r="B2590" i="6"/>
  <c r="D2589" i="6"/>
  <c r="E2589" i="6" s="1"/>
  <c r="B2589" i="6"/>
  <c r="E2588" i="6"/>
  <c r="D2588" i="6"/>
  <c r="B2588" i="6"/>
  <c r="D2587" i="6"/>
  <c r="B2587" i="6"/>
  <c r="C2588" i="6" s="1"/>
  <c r="D2586" i="6"/>
  <c r="E2586" i="6" s="1"/>
  <c r="B2586" i="6"/>
  <c r="D2585" i="6"/>
  <c r="C2585" i="6"/>
  <c r="B2585" i="6"/>
  <c r="C2586" i="6" s="1"/>
  <c r="D2584" i="6"/>
  <c r="E2584" i="6" s="1"/>
  <c r="B2584" i="6"/>
  <c r="D2583" i="6"/>
  <c r="B2583" i="6"/>
  <c r="E2582" i="6"/>
  <c r="D2582" i="6"/>
  <c r="C2582" i="6"/>
  <c r="B2582" i="6"/>
  <c r="D2581" i="6"/>
  <c r="B2581" i="6"/>
  <c r="C2581" i="6" s="1"/>
  <c r="D2580" i="6"/>
  <c r="E2580" i="6" s="1"/>
  <c r="C2580" i="6"/>
  <c r="B2580" i="6"/>
  <c r="D2579" i="6"/>
  <c r="C2579" i="6"/>
  <c r="B2579" i="6"/>
  <c r="D2578" i="6"/>
  <c r="E2578" i="6" s="1"/>
  <c r="C2578" i="6"/>
  <c r="B2578" i="6"/>
  <c r="D2577" i="6"/>
  <c r="E2577" i="6" s="1"/>
  <c r="C2577" i="6"/>
  <c r="B2577" i="6"/>
  <c r="D2576" i="6"/>
  <c r="B2576" i="6"/>
  <c r="D2575" i="6"/>
  <c r="E2575" i="6" s="1"/>
  <c r="C2575" i="6"/>
  <c r="B2575" i="6"/>
  <c r="C2576" i="6" s="1"/>
  <c r="D2574" i="6"/>
  <c r="B2574" i="6"/>
  <c r="D2573" i="6"/>
  <c r="B2573" i="6"/>
  <c r="E2572" i="6"/>
  <c r="D2572" i="6"/>
  <c r="B2572" i="6"/>
  <c r="D2571" i="6"/>
  <c r="B2571" i="6"/>
  <c r="C2572" i="6" s="1"/>
  <c r="D2570" i="6"/>
  <c r="E2570" i="6" s="1"/>
  <c r="B2570" i="6"/>
  <c r="D2569" i="6"/>
  <c r="C2569" i="6"/>
  <c r="B2569" i="6"/>
  <c r="C2570" i="6" s="1"/>
  <c r="D2568" i="6"/>
  <c r="E2568" i="6" s="1"/>
  <c r="B2568" i="6"/>
  <c r="D2567" i="6"/>
  <c r="B2567" i="6"/>
  <c r="E2566" i="6"/>
  <c r="D2566" i="6"/>
  <c r="C2566" i="6"/>
  <c r="B2566" i="6"/>
  <c r="D2565" i="6"/>
  <c r="B2565" i="6"/>
  <c r="C2565" i="6" s="1"/>
  <c r="D2564" i="6"/>
  <c r="E2564" i="6" s="1"/>
  <c r="C2564" i="6"/>
  <c r="B2564" i="6"/>
  <c r="D2563" i="6"/>
  <c r="C2563" i="6"/>
  <c r="B2563" i="6"/>
  <c r="D2562" i="6"/>
  <c r="E2562" i="6" s="1"/>
  <c r="C2562" i="6"/>
  <c r="B2562" i="6"/>
  <c r="D2561" i="6"/>
  <c r="E2561" i="6" s="1"/>
  <c r="C2561" i="6"/>
  <c r="B2561" i="6"/>
  <c r="D2560" i="6"/>
  <c r="B2560" i="6"/>
  <c r="D2559" i="6"/>
  <c r="E2559" i="6" s="1"/>
  <c r="B2559" i="6"/>
  <c r="D2558" i="6"/>
  <c r="B2558" i="6"/>
  <c r="D2557" i="6"/>
  <c r="B2557" i="6"/>
  <c r="E2556" i="6"/>
  <c r="D2556" i="6"/>
  <c r="B2556" i="6"/>
  <c r="D2555" i="6"/>
  <c r="B2555" i="6"/>
  <c r="C2556" i="6" s="1"/>
  <c r="D2554" i="6"/>
  <c r="E2554" i="6" s="1"/>
  <c r="B2554" i="6"/>
  <c r="D2553" i="6"/>
  <c r="C2553" i="6"/>
  <c r="B2553" i="6"/>
  <c r="C2554" i="6" s="1"/>
  <c r="D2552" i="6"/>
  <c r="E2552" i="6" s="1"/>
  <c r="B2552" i="6"/>
  <c r="D2551" i="6"/>
  <c r="B2551" i="6"/>
  <c r="E2550" i="6"/>
  <c r="D2550" i="6"/>
  <c r="C2550" i="6"/>
  <c r="B2550" i="6"/>
  <c r="D2549" i="6"/>
  <c r="B2549" i="6"/>
  <c r="C2549" i="6" s="1"/>
  <c r="E2548" i="6"/>
  <c r="D2548" i="6"/>
  <c r="C2548" i="6"/>
  <c r="B2548" i="6"/>
  <c r="D2547" i="6"/>
  <c r="C2547" i="6"/>
  <c r="B2547" i="6"/>
  <c r="D2546" i="6"/>
  <c r="E2546" i="6" s="1"/>
  <c r="C2546" i="6"/>
  <c r="B2546" i="6"/>
  <c r="D2545" i="6"/>
  <c r="E2545" i="6" s="1"/>
  <c r="C2545" i="6"/>
  <c r="B2545" i="6"/>
  <c r="D2544" i="6"/>
  <c r="B2544" i="6"/>
  <c r="D2543" i="6"/>
  <c r="E2543" i="6" s="1"/>
  <c r="C2543" i="6"/>
  <c r="B2543" i="6"/>
  <c r="C2544" i="6" s="1"/>
  <c r="D2542" i="6"/>
  <c r="B2542" i="6"/>
  <c r="D2541" i="6"/>
  <c r="B2541" i="6"/>
  <c r="E2540" i="6"/>
  <c r="D2540" i="6"/>
  <c r="B2540" i="6"/>
  <c r="D2539" i="6"/>
  <c r="B2539" i="6"/>
  <c r="C2540" i="6" s="1"/>
  <c r="D2538" i="6"/>
  <c r="E2538" i="6" s="1"/>
  <c r="B2538" i="6"/>
  <c r="D2537" i="6"/>
  <c r="C2537" i="6"/>
  <c r="B2537" i="6"/>
  <c r="C2538" i="6" s="1"/>
  <c r="D2536" i="6"/>
  <c r="E2536" i="6" s="1"/>
  <c r="B2536" i="6"/>
  <c r="D2535" i="6"/>
  <c r="B2535" i="6"/>
  <c r="E2534" i="6"/>
  <c r="D2534" i="6"/>
  <c r="C2534" i="6"/>
  <c r="B2534" i="6"/>
  <c r="D2533" i="6"/>
  <c r="B2533" i="6"/>
  <c r="C2533" i="6" s="1"/>
  <c r="D2532" i="6"/>
  <c r="E2532" i="6" s="1"/>
  <c r="C2532" i="6"/>
  <c r="B2532" i="6"/>
  <c r="D2531" i="6"/>
  <c r="C2531" i="6"/>
  <c r="B2531" i="6"/>
  <c r="D2530" i="6"/>
  <c r="C2530" i="6"/>
  <c r="B2530" i="6"/>
  <c r="D2529" i="6"/>
  <c r="E2529" i="6" s="1"/>
  <c r="C2529" i="6"/>
  <c r="B2529" i="6"/>
  <c r="D2528" i="6"/>
  <c r="B2528" i="6"/>
  <c r="D2527" i="6"/>
  <c r="E2527" i="6" s="1"/>
  <c r="B2527" i="6"/>
  <c r="C2528" i="6" s="1"/>
  <c r="D2526" i="6"/>
  <c r="B2526" i="6"/>
  <c r="D2525" i="6"/>
  <c r="B2525" i="6"/>
  <c r="E2524" i="6"/>
  <c r="D2524" i="6"/>
  <c r="B2524" i="6"/>
  <c r="D2523" i="6"/>
  <c r="B2523" i="6"/>
  <c r="C2524" i="6" s="1"/>
  <c r="D2522" i="6"/>
  <c r="E2522" i="6" s="1"/>
  <c r="B2522" i="6"/>
  <c r="D2521" i="6"/>
  <c r="C2521" i="6"/>
  <c r="B2521" i="6"/>
  <c r="C2522" i="6" s="1"/>
  <c r="D2520" i="6"/>
  <c r="E2520" i="6" s="1"/>
  <c r="B2520" i="6"/>
  <c r="D2519" i="6"/>
  <c r="B2519" i="6"/>
  <c r="E2518" i="6"/>
  <c r="D2518" i="6"/>
  <c r="C2518" i="6"/>
  <c r="B2518" i="6"/>
  <c r="D2517" i="6"/>
  <c r="B2517" i="6"/>
  <c r="C2517" i="6" s="1"/>
  <c r="D2516" i="6"/>
  <c r="E2516" i="6" s="1"/>
  <c r="C2516" i="6"/>
  <c r="B2516" i="6"/>
  <c r="D2515" i="6"/>
  <c r="C2515" i="6"/>
  <c r="B2515" i="6"/>
  <c r="D2514" i="6"/>
  <c r="C2514" i="6"/>
  <c r="B2514" i="6"/>
  <c r="D2513" i="6"/>
  <c r="E2513" i="6" s="1"/>
  <c r="C2513" i="6"/>
  <c r="B2513" i="6"/>
  <c r="D2512" i="6"/>
  <c r="B2512" i="6"/>
  <c r="D2511" i="6"/>
  <c r="E2511" i="6" s="1"/>
  <c r="B2511" i="6"/>
  <c r="D2510" i="6"/>
  <c r="B2510" i="6"/>
  <c r="D2509" i="6"/>
  <c r="B2509" i="6"/>
  <c r="E2508" i="6"/>
  <c r="D2508" i="6"/>
  <c r="B2508" i="6"/>
  <c r="D2507" i="6"/>
  <c r="B2507" i="6"/>
  <c r="C2508" i="6" s="1"/>
  <c r="D2506" i="6"/>
  <c r="E2506" i="6" s="1"/>
  <c r="B2506" i="6"/>
  <c r="D2505" i="6"/>
  <c r="C2505" i="6"/>
  <c r="B2505" i="6"/>
  <c r="C2506" i="6" s="1"/>
  <c r="D2504" i="6"/>
  <c r="E2504" i="6" s="1"/>
  <c r="B2504" i="6"/>
  <c r="D2503" i="6"/>
  <c r="B2503" i="6"/>
  <c r="E2502" i="6"/>
  <c r="D2502" i="6"/>
  <c r="C2502" i="6"/>
  <c r="B2502" i="6"/>
  <c r="D2501" i="6"/>
  <c r="B2501" i="6"/>
  <c r="C2501" i="6" s="1"/>
  <c r="D2500" i="6"/>
  <c r="E2500" i="6" s="1"/>
  <c r="C2500" i="6"/>
  <c r="B2500" i="6"/>
  <c r="D2499" i="6"/>
  <c r="C2499" i="6"/>
  <c r="B2499" i="6"/>
  <c r="D2498" i="6"/>
  <c r="E2498" i="6" s="1"/>
  <c r="C2498" i="6"/>
  <c r="B2498" i="6"/>
  <c r="D2497" i="6"/>
  <c r="E2497" i="6" s="1"/>
  <c r="C2497" i="6"/>
  <c r="B2497" i="6"/>
  <c r="D2496" i="6"/>
  <c r="B2496" i="6"/>
  <c r="D2495" i="6"/>
  <c r="E2495" i="6" s="1"/>
  <c r="B2495" i="6"/>
  <c r="D2494" i="6"/>
  <c r="B2494" i="6"/>
  <c r="D2493" i="6"/>
  <c r="B2493" i="6"/>
  <c r="E2492" i="6"/>
  <c r="D2492" i="6"/>
  <c r="B2492" i="6"/>
  <c r="D2491" i="6"/>
  <c r="B2491" i="6"/>
  <c r="C2492" i="6" s="1"/>
  <c r="D2490" i="6"/>
  <c r="E2490" i="6" s="1"/>
  <c r="B2490" i="6"/>
  <c r="D2489" i="6"/>
  <c r="C2489" i="6"/>
  <c r="B2489" i="6"/>
  <c r="C2490" i="6" s="1"/>
  <c r="D2488" i="6"/>
  <c r="E2488" i="6" s="1"/>
  <c r="B2488" i="6"/>
  <c r="D2487" i="6"/>
  <c r="B2487" i="6"/>
  <c r="E2486" i="6"/>
  <c r="D2486" i="6"/>
  <c r="C2486" i="6"/>
  <c r="B2486" i="6"/>
  <c r="D2485" i="6"/>
  <c r="B2485" i="6"/>
  <c r="C2485" i="6" s="1"/>
  <c r="E2484" i="6"/>
  <c r="D2484" i="6"/>
  <c r="C2484" i="6"/>
  <c r="B2484" i="6"/>
  <c r="D2483" i="6"/>
  <c r="C2483" i="6"/>
  <c r="B2483" i="6"/>
  <c r="D2482" i="6"/>
  <c r="E2482" i="6" s="1"/>
  <c r="C2482" i="6"/>
  <c r="B2482" i="6"/>
  <c r="D2481" i="6"/>
  <c r="E2481" i="6" s="1"/>
  <c r="C2481" i="6"/>
  <c r="B2481" i="6"/>
  <c r="D2480" i="6"/>
  <c r="B2480" i="6"/>
  <c r="D2479" i="6"/>
  <c r="E2479" i="6" s="1"/>
  <c r="C2479" i="6"/>
  <c r="B2479" i="6"/>
  <c r="C2480" i="6" s="1"/>
  <c r="D2478" i="6"/>
  <c r="B2478" i="6"/>
  <c r="D2477" i="6"/>
  <c r="B2477" i="6"/>
  <c r="E2476" i="6"/>
  <c r="D2476" i="6"/>
  <c r="B2476" i="6"/>
  <c r="D2475" i="6"/>
  <c r="B2475" i="6"/>
  <c r="C2476" i="6" s="1"/>
  <c r="D2474" i="6"/>
  <c r="E2474" i="6" s="1"/>
  <c r="B2474" i="6"/>
  <c r="D2473" i="6"/>
  <c r="C2473" i="6"/>
  <c r="B2473" i="6"/>
  <c r="C2474" i="6" s="1"/>
  <c r="D2472" i="6"/>
  <c r="E2472" i="6" s="1"/>
  <c r="B2472" i="6"/>
  <c r="D2471" i="6"/>
  <c r="B2471" i="6"/>
  <c r="E2470" i="6"/>
  <c r="D2470" i="6"/>
  <c r="C2470" i="6"/>
  <c r="B2470" i="6"/>
  <c r="D2469" i="6"/>
  <c r="B2469" i="6"/>
  <c r="C2469" i="6" s="1"/>
  <c r="D2468" i="6"/>
  <c r="E2468" i="6" s="1"/>
  <c r="C2468" i="6"/>
  <c r="B2468" i="6"/>
  <c r="D2467" i="6"/>
  <c r="C2467" i="6"/>
  <c r="B2467" i="6"/>
  <c r="D2466" i="6"/>
  <c r="C2466" i="6"/>
  <c r="B2466" i="6"/>
  <c r="D2465" i="6"/>
  <c r="E2465" i="6" s="1"/>
  <c r="C2465" i="6"/>
  <c r="B2465" i="6"/>
  <c r="D2464" i="6"/>
  <c r="B2464" i="6"/>
  <c r="D2463" i="6"/>
  <c r="E2463" i="6" s="1"/>
  <c r="B2463" i="6"/>
  <c r="C2464" i="6" s="1"/>
  <c r="D2462" i="6"/>
  <c r="B2462" i="6"/>
  <c r="D2461" i="6"/>
  <c r="B2461" i="6"/>
  <c r="E2460" i="6"/>
  <c r="D2460" i="6"/>
  <c r="B2460" i="6"/>
  <c r="D2459" i="6"/>
  <c r="B2459" i="6"/>
  <c r="C2460" i="6" s="1"/>
  <c r="D2458" i="6"/>
  <c r="E2458" i="6" s="1"/>
  <c r="B2458" i="6"/>
  <c r="D2457" i="6"/>
  <c r="C2457" i="6"/>
  <c r="B2457" i="6"/>
  <c r="C2458" i="6" s="1"/>
  <c r="D2456" i="6"/>
  <c r="E2456" i="6" s="1"/>
  <c r="B2456" i="6"/>
  <c r="D2455" i="6"/>
  <c r="B2455" i="6"/>
  <c r="E2454" i="6"/>
  <c r="D2454" i="6"/>
  <c r="C2454" i="6"/>
  <c r="B2454" i="6"/>
  <c r="D2453" i="6"/>
  <c r="B2453" i="6"/>
  <c r="C2453" i="6" s="1"/>
  <c r="D2452" i="6"/>
  <c r="E2452" i="6" s="1"/>
  <c r="C2452" i="6"/>
  <c r="B2452" i="6"/>
  <c r="D2451" i="6"/>
  <c r="C2451" i="6"/>
  <c r="B2451" i="6"/>
  <c r="D2450" i="6"/>
  <c r="C2450" i="6"/>
  <c r="B2450" i="6"/>
  <c r="D2449" i="6"/>
  <c r="E2449" i="6" s="1"/>
  <c r="C2449" i="6"/>
  <c r="B2449" i="6"/>
  <c r="D2448" i="6"/>
  <c r="B2448" i="6"/>
  <c r="D2447" i="6"/>
  <c r="E2447" i="6" s="1"/>
  <c r="B2447" i="6"/>
  <c r="D2446" i="6"/>
  <c r="B2446" i="6"/>
  <c r="D2445" i="6"/>
  <c r="B2445" i="6"/>
  <c r="E2444" i="6"/>
  <c r="D2444" i="6"/>
  <c r="B2444" i="6"/>
  <c r="D2443" i="6"/>
  <c r="B2443" i="6"/>
  <c r="C2444" i="6" s="1"/>
  <c r="D2442" i="6"/>
  <c r="E2442" i="6" s="1"/>
  <c r="B2442" i="6"/>
  <c r="D2441" i="6"/>
  <c r="C2441" i="6"/>
  <c r="B2441" i="6"/>
  <c r="C2442" i="6" s="1"/>
  <c r="D2440" i="6"/>
  <c r="E2440" i="6" s="1"/>
  <c r="B2440" i="6"/>
  <c r="D2439" i="6"/>
  <c r="B2439" i="6"/>
  <c r="E2438" i="6"/>
  <c r="D2438" i="6"/>
  <c r="C2438" i="6"/>
  <c r="B2438" i="6"/>
  <c r="D2437" i="6"/>
  <c r="B2437" i="6"/>
  <c r="C2437" i="6" s="1"/>
  <c r="D2436" i="6"/>
  <c r="E2436" i="6" s="1"/>
  <c r="C2436" i="6"/>
  <c r="B2436" i="6"/>
  <c r="D2435" i="6"/>
  <c r="B2435" i="6"/>
  <c r="D2434" i="6"/>
  <c r="C2434" i="6"/>
  <c r="B2434" i="6"/>
  <c r="C2435" i="6" s="1"/>
  <c r="D2433" i="6"/>
  <c r="E2433" i="6" s="1"/>
  <c r="C2433" i="6"/>
  <c r="B2433" i="6"/>
  <c r="D2432" i="6"/>
  <c r="B2432" i="6"/>
  <c r="D2431" i="6"/>
  <c r="E2431" i="6" s="1"/>
  <c r="C2431" i="6"/>
  <c r="B2431" i="6"/>
  <c r="D2430" i="6"/>
  <c r="B2430" i="6"/>
  <c r="D2429" i="6"/>
  <c r="B2429" i="6"/>
  <c r="C2429" i="6" s="1"/>
  <c r="D2428" i="6"/>
  <c r="B2428" i="6"/>
  <c r="C2428" i="6" s="1"/>
  <c r="D2427" i="6"/>
  <c r="E2427" i="6" s="1"/>
  <c r="C2427" i="6"/>
  <c r="B2427" i="6"/>
  <c r="D2426" i="6"/>
  <c r="E2426" i="6" s="1"/>
  <c r="B2426" i="6"/>
  <c r="D2425" i="6"/>
  <c r="B2425" i="6"/>
  <c r="E2424" i="6"/>
  <c r="D2424" i="6"/>
  <c r="B2424" i="6"/>
  <c r="D2423" i="6"/>
  <c r="B2423" i="6"/>
  <c r="D2422" i="6"/>
  <c r="E2422" i="6" s="1"/>
  <c r="C2422" i="6"/>
  <c r="B2422" i="6"/>
  <c r="D2421" i="6"/>
  <c r="B2421" i="6"/>
  <c r="D2420" i="6"/>
  <c r="E2420" i="6" s="1"/>
  <c r="B2420" i="6"/>
  <c r="C2420" i="6" s="1"/>
  <c r="D2419" i="6"/>
  <c r="B2419" i="6"/>
  <c r="D2418" i="6"/>
  <c r="B2418" i="6"/>
  <c r="D2417" i="6"/>
  <c r="E2417" i="6" s="1"/>
  <c r="C2417" i="6"/>
  <c r="B2417" i="6"/>
  <c r="D2416" i="6"/>
  <c r="B2416" i="6"/>
  <c r="C2416" i="6" s="1"/>
  <c r="D2415" i="6"/>
  <c r="E2415" i="6" s="1"/>
  <c r="C2415" i="6"/>
  <c r="B2415" i="6"/>
  <c r="D2414" i="6"/>
  <c r="B2414" i="6"/>
  <c r="C2414" i="6" s="1"/>
  <c r="D2413" i="6"/>
  <c r="B2413" i="6"/>
  <c r="C2413" i="6" s="1"/>
  <c r="D2412" i="6"/>
  <c r="B2412" i="6"/>
  <c r="C2412" i="6" s="1"/>
  <c r="D2411" i="6"/>
  <c r="C2411" i="6"/>
  <c r="B2411" i="6"/>
  <c r="D2410" i="6"/>
  <c r="E2410" i="6" s="1"/>
  <c r="B2410" i="6"/>
  <c r="D2409" i="6"/>
  <c r="C2409" i="6"/>
  <c r="B2409" i="6"/>
  <c r="C2410" i="6" s="1"/>
  <c r="E2408" i="6"/>
  <c r="D2408" i="6"/>
  <c r="B2408" i="6"/>
  <c r="D2407" i="6"/>
  <c r="B2407" i="6"/>
  <c r="D2406" i="6"/>
  <c r="E2406" i="6" s="1"/>
  <c r="C2406" i="6"/>
  <c r="B2406" i="6"/>
  <c r="D2405" i="6"/>
  <c r="B2405" i="6"/>
  <c r="D2404" i="6"/>
  <c r="B2404" i="6"/>
  <c r="C2404" i="6" s="1"/>
  <c r="D2403" i="6"/>
  <c r="E2403" i="6" s="1"/>
  <c r="B2403" i="6"/>
  <c r="D2402" i="6"/>
  <c r="B2402" i="6"/>
  <c r="C2403" i="6" s="1"/>
  <c r="D2401" i="6"/>
  <c r="E2401" i="6" s="1"/>
  <c r="C2401" i="6"/>
  <c r="B2401" i="6"/>
  <c r="D2400" i="6"/>
  <c r="C2400" i="6"/>
  <c r="B2400" i="6"/>
  <c r="D2399" i="6"/>
  <c r="E2399" i="6" s="1"/>
  <c r="C2399" i="6"/>
  <c r="B2399" i="6"/>
  <c r="D2398" i="6"/>
  <c r="E2398" i="6" s="1"/>
  <c r="C2398" i="6"/>
  <c r="B2398" i="6"/>
  <c r="D2397" i="6"/>
  <c r="E2397" i="6" s="1"/>
  <c r="C2397" i="6"/>
  <c r="B2397" i="6"/>
  <c r="D2396" i="6"/>
  <c r="E2396" i="6" s="1"/>
  <c r="B2396" i="6"/>
  <c r="C2396" i="6" s="1"/>
  <c r="D2395" i="6"/>
  <c r="B2395" i="6"/>
  <c r="D2394" i="6"/>
  <c r="B2394" i="6"/>
  <c r="D2393" i="6"/>
  <c r="B2393" i="6"/>
  <c r="D2392" i="6"/>
  <c r="E2393" i="6" s="1"/>
  <c r="B2392" i="6"/>
  <c r="D2391" i="6"/>
  <c r="E2391" i="6" s="1"/>
  <c r="B2391" i="6"/>
  <c r="D2390" i="6"/>
  <c r="B2390" i="6"/>
  <c r="C2391" i="6" s="1"/>
  <c r="D2389" i="6"/>
  <c r="E2389" i="6" s="1"/>
  <c r="C2389" i="6"/>
  <c r="B2389" i="6"/>
  <c r="D2388" i="6"/>
  <c r="B2388" i="6"/>
  <c r="C2388" i="6" s="1"/>
  <c r="D2387" i="6"/>
  <c r="E2387" i="6" s="1"/>
  <c r="C2387" i="6"/>
  <c r="B2387" i="6"/>
  <c r="D2386" i="6"/>
  <c r="B2386" i="6"/>
  <c r="C2386" i="6" s="1"/>
  <c r="D2385" i="6"/>
  <c r="C2385" i="6"/>
  <c r="B2385" i="6"/>
  <c r="D2384" i="6"/>
  <c r="E2385" i="6" s="1"/>
  <c r="C2384" i="6"/>
  <c r="B2384" i="6"/>
  <c r="D2383" i="6"/>
  <c r="E2383" i="6" s="1"/>
  <c r="C2383" i="6"/>
  <c r="B2383" i="6"/>
  <c r="D2382" i="6"/>
  <c r="E2382" i="6" s="1"/>
  <c r="C2382" i="6"/>
  <c r="B2382" i="6"/>
  <c r="D2381" i="6"/>
  <c r="E2381" i="6" s="1"/>
  <c r="C2381" i="6"/>
  <c r="B2381" i="6"/>
  <c r="D2380" i="6"/>
  <c r="E2380" i="6" s="1"/>
  <c r="B2380" i="6"/>
  <c r="C2380" i="6" s="1"/>
  <c r="D2379" i="6"/>
  <c r="B2379" i="6"/>
  <c r="D2378" i="6"/>
  <c r="B2378" i="6"/>
  <c r="D2377" i="6"/>
  <c r="B2377" i="6"/>
  <c r="D2376" i="6"/>
  <c r="E2377" i="6" s="1"/>
  <c r="B2376" i="6"/>
  <c r="D2375" i="6"/>
  <c r="E2375" i="6" s="1"/>
  <c r="B2375" i="6"/>
  <c r="D2374" i="6"/>
  <c r="B2374" i="6"/>
  <c r="C2375" i="6" s="1"/>
  <c r="D2373" i="6"/>
  <c r="E2373" i="6" s="1"/>
  <c r="C2373" i="6"/>
  <c r="B2373" i="6"/>
  <c r="D2372" i="6"/>
  <c r="B2372" i="6"/>
  <c r="C2372" i="6" s="1"/>
  <c r="D2371" i="6"/>
  <c r="E2371" i="6" s="1"/>
  <c r="C2371" i="6"/>
  <c r="B2371" i="6"/>
  <c r="D2370" i="6"/>
  <c r="B2370" i="6"/>
  <c r="C2370" i="6" s="1"/>
  <c r="D2369" i="6"/>
  <c r="C2369" i="6"/>
  <c r="B2369" i="6"/>
  <c r="D2368" i="6"/>
  <c r="E2369" i="6" s="1"/>
  <c r="C2368" i="6"/>
  <c r="B2368" i="6"/>
  <c r="D2367" i="6"/>
  <c r="E2367" i="6" s="1"/>
  <c r="C2367" i="6"/>
  <c r="B2367" i="6"/>
  <c r="D2366" i="6"/>
  <c r="E2366" i="6" s="1"/>
  <c r="B2366" i="6"/>
  <c r="D2365" i="6"/>
  <c r="E2365" i="6" s="1"/>
  <c r="B2365" i="6"/>
  <c r="D2364" i="6"/>
  <c r="E2364" i="6" s="1"/>
  <c r="B2364" i="6"/>
  <c r="C2364" i="6" s="1"/>
  <c r="D2363" i="6"/>
  <c r="B2363" i="6"/>
  <c r="D2362" i="6"/>
  <c r="B2362" i="6"/>
  <c r="C2362" i="6" s="1"/>
  <c r="D2361" i="6"/>
  <c r="B2361" i="6"/>
  <c r="D2360" i="6"/>
  <c r="E2361" i="6" s="1"/>
  <c r="B2360" i="6"/>
  <c r="C2360" i="6" s="1"/>
  <c r="D2359" i="6"/>
  <c r="E2359" i="6" s="1"/>
  <c r="B2359" i="6"/>
  <c r="D2358" i="6"/>
  <c r="B2358" i="6"/>
  <c r="C2359" i="6" s="1"/>
  <c r="D2357" i="6"/>
  <c r="E2357" i="6" s="1"/>
  <c r="C2357" i="6"/>
  <c r="B2357" i="6"/>
  <c r="D2356" i="6"/>
  <c r="B2356" i="6"/>
  <c r="D2355" i="6"/>
  <c r="E2355" i="6" s="1"/>
  <c r="B2355" i="6"/>
  <c r="C2355" i="6" s="1"/>
  <c r="D2354" i="6"/>
  <c r="B2354" i="6"/>
  <c r="C2354" i="6" s="1"/>
  <c r="D2353" i="6"/>
  <c r="B2353" i="6"/>
  <c r="C2353" i="6" s="1"/>
  <c r="D2352" i="6"/>
  <c r="E2352" i="6" s="1"/>
  <c r="B2352" i="6"/>
  <c r="D2351" i="6"/>
  <c r="E2351" i="6" s="1"/>
  <c r="C2351" i="6"/>
  <c r="B2351" i="6"/>
  <c r="C2352" i="6" s="1"/>
  <c r="D2350" i="6"/>
  <c r="E2350" i="6" s="1"/>
  <c r="B2350" i="6"/>
  <c r="D2349" i="6"/>
  <c r="C2349" i="6"/>
  <c r="B2349" i="6"/>
  <c r="C2350" i="6" s="1"/>
  <c r="D2348" i="6"/>
  <c r="E2348" i="6" s="1"/>
  <c r="B2348" i="6"/>
  <c r="D2347" i="6"/>
  <c r="B2347" i="6"/>
  <c r="C2348" i="6" s="1"/>
  <c r="D2346" i="6"/>
  <c r="C2346" i="6"/>
  <c r="B2346" i="6"/>
  <c r="E2345" i="6"/>
  <c r="D2345" i="6"/>
  <c r="B2345" i="6"/>
  <c r="D2344" i="6"/>
  <c r="B2344" i="6"/>
  <c r="C2344" i="6" s="1"/>
  <c r="E2343" i="6"/>
  <c r="D2343" i="6"/>
  <c r="B2343" i="6"/>
  <c r="D2342" i="6"/>
  <c r="B2342" i="6"/>
  <c r="C2343" i="6" s="1"/>
  <c r="D2341" i="6"/>
  <c r="E2341" i="6" s="1"/>
  <c r="C2341" i="6"/>
  <c r="B2341" i="6"/>
  <c r="D2340" i="6"/>
  <c r="B2340" i="6"/>
  <c r="D2339" i="6"/>
  <c r="E2339" i="6" s="1"/>
  <c r="B2339" i="6"/>
  <c r="C2339" i="6" s="1"/>
  <c r="D2338" i="6"/>
  <c r="B2338" i="6"/>
  <c r="C2338" i="6" s="1"/>
  <c r="E2337" i="6"/>
  <c r="D2337" i="6"/>
  <c r="B2337" i="6"/>
  <c r="C2337" i="6" s="1"/>
  <c r="D2336" i="6"/>
  <c r="B2336" i="6"/>
  <c r="D2335" i="6"/>
  <c r="E2335" i="6" s="1"/>
  <c r="B2335" i="6"/>
  <c r="D2334" i="6"/>
  <c r="E2334" i="6" s="1"/>
  <c r="B2334" i="6"/>
  <c r="D2333" i="6"/>
  <c r="B2333" i="6"/>
  <c r="D2332" i="6"/>
  <c r="E2332" i="6" s="1"/>
  <c r="C2332" i="6"/>
  <c r="B2332" i="6"/>
  <c r="D2331" i="6"/>
  <c r="B2331" i="6"/>
  <c r="D2330" i="6"/>
  <c r="B2330" i="6"/>
  <c r="C2330" i="6" s="1"/>
  <c r="E2329" i="6"/>
  <c r="D2329" i="6"/>
  <c r="B2329" i="6"/>
  <c r="D2328" i="6"/>
  <c r="B2328" i="6"/>
  <c r="C2328" i="6" s="1"/>
  <c r="D2327" i="6"/>
  <c r="E2327" i="6" s="1"/>
  <c r="B2327" i="6"/>
  <c r="D2326" i="6"/>
  <c r="C2326" i="6"/>
  <c r="B2326" i="6"/>
  <c r="C2327" i="6" s="1"/>
  <c r="D2325" i="6"/>
  <c r="E2325" i="6" s="1"/>
  <c r="B2325" i="6"/>
  <c r="D2324" i="6"/>
  <c r="B2324" i="6"/>
  <c r="E2323" i="6"/>
  <c r="D2323" i="6"/>
  <c r="B2323" i="6"/>
  <c r="C2323" i="6" s="1"/>
  <c r="D2322" i="6"/>
  <c r="B2322" i="6"/>
  <c r="C2322" i="6" s="1"/>
  <c r="D2321" i="6"/>
  <c r="E2321" i="6" s="1"/>
  <c r="C2321" i="6"/>
  <c r="B2321" i="6"/>
  <c r="D2320" i="6"/>
  <c r="B2320" i="6"/>
  <c r="D2319" i="6"/>
  <c r="C2319" i="6"/>
  <c r="B2319" i="6"/>
  <c r="C2320" i="6" s="1"/>
  <c r="D2318" i="6"/>
  <c r="E2318" i="6" s="1"/>
  <c r="B2318" i="6"/>
  <c r="D2317" i="6"/>
  <c r="B2317" i="6"/>
  <c r="D2316" i="6"/>
  <c r="E2316" i="6" s="1"/>
  <c r="B2316" i="6"/>
  <c r="C2316" i="6" s="1"/>
  <c r="D2315" i="6"/>
  <c r="B2315" i="6"/>
  <c r="D2314" i="6"/>
  <c r="B2314" i="6"/>
  <c r="C2314" i="6" s="1"/>
  <c r="E2313" i="6"/>
  <c r="D2313" i="6"/>
  <c r="B2313" i="6"/>
  <c r="C2313" i="6" s="1"/>
  <c r="D2312" i="6"/>
  <c r="B2312" i="6"/>
  <c r="C2312" i="6" s="1"/>
  <c r="D2311" i="6"/>
  <c r="E2311" i="6" s="1"/>
  <c r="B2311" i="6"/>
  <c r="D2310" i="6"/>
  <c r="C2310" i="6"/>
  <c r="B2310" i="6"/>
  <c r="C2311" i="6" s="1"/>
  <c r="D2309" i="6"/>
  <c r="E2309" i="6" s="1"/>
  <c r="B2309" i="6"/>
  <c r="D2308" i="6"/>
  <c r="B2308" i="6"/>
  <c r="C2308" i="6" s="1"/>
  <c r="E2307" i="6"/>
  <c r="D2307" i="6"/>
  <c r="B2307" i="6"/>
  <c r="C2307" i="6" s="1"/>
  <c r="D2306" i="6"/>
  <c r="B2306" i="6"/>
  <c r="C2306" i="6" s="1"/>
  <c r="E2305" i="6"/>
  <c r="D2305" i="6"/>
  <c r="C2305" i="6"/>
  <c r="B2305" i="6"/>
  <c r="D2304" i="6"/>
  <c r="B2304" i="6"/>
  <c r="D2303" i="6"/>
  <c r="B2303" i="6"/>
  <c r="D2302" i="6"/>
  <c r="E2302" i="6" s="1"/>
  <c r="C2302" i="6"/>
  <c r="B2302" i="6"/>
  <c r="D2301" i="6"/>
  <c r="B2301" i="6"/>
  <c r="C2301" i="6" s="1"/>
  <c r="D2300" i="6"/>
  <c r="E2300" i="6" s="1"/>
  <c r="C2300" i="6"/>
  <c r="B2300" i="6"/>
  <c r="D2299" i="6"/>
  <c r="B2299" i="6"/>
  <c r="D2298" i="6"/>
  <c r="B2298" i="6"/>
  <c r="C2298" i="6" s="1"/>
  <c r="D2297" i="6"/>
  <c r="B2297" i="6"/>
  <c r="C2297" i="6" s="1"/>
  <c r="D2296" i="6"/>
  <c r="E2296" i="6" s="1"/>
  <c r="C2296" i="6"/>
  <c r="B2296" i="6"/>
  <c r="D2295" i="6"/>
  <c r="E2295" i="6" s="1"/>
  <c r="B2295" i="6"/>
  <c r="D2294" i="6"/>
  <c r="B2294" i="6"/>
  <c r="C2295" i="6" s="1"/>
  <c r="E2293" i="6"/>
  <c r="D2293" i="6"/>
  <c r="B2293" i="6"/>
  <c r="D2292" i="6"/>
  <c r="B2292" i="6"/>
  <c r="E2291" i="6"/>
  <c r="D2291" i="6"/>
  <c r="C2291" i="6"/>
  <c r="B2291" i="6"/>
  <c r="D2290" i="6"/>
  <c r="B2290" i="6"/>
  <c r="D2289" i="6"/>
  <c r="E2289" i="6" s="1"/>
  <c r="C2289" i="6"/>
  <c r="B2289" i="6"/>
  <c r="D2288" i="6"/>
  <c r="E2288" i="6" s="1"/>
  <c r="B2288" i="6"/>
  <c r="D2287" i="6"/>
  <c r="B2287" i="6"/>
  <c r="D2286" i="6"/>
  <c r="E2286" i="6" s="1"/>
  <c r="C2286" i="6"/>
  <c r="B2286" i="6"/>
  <c r="D2285" i="6"/>
  <c r="B2285" i="6"/>
  <c r="D2284" i="6"/>
  <c r="E2284" i="6" s="1"/>
  <c r="B2284" i="6"/>
  <c r="D2283" i="6"/>
  <c r="B2283" i="6"/>
  <c r="D2282" i="6"/>
  <c r="B2282" i="6"/>
  <c r="C2282" i="6" s="1"/>
  <c r="D2281" i="6"/>
  <c r="B2281" i="6"/>
  <c r="C2281" i="6" s="1"/>
  <c r="D2280" i="6"/>
  <c r="C2280" i="6"/>
  <c r="B2280" i="6"/>
  <c r="D2279" i="6"/>
  <c r="E2279" i="6" s="1"/>
  <c r="B2279" i="6"/>
  <c r="D2278" i="6"/>
  <c r="B2278" i="6"/>
  <c r="C2279" i="6" s="1"/>
  <c r="E2277" i="6"/>
  <c r="D2277" i="6"/>
  <c r="B2277" i="6"/>
  <c r="D2276" i="6"/>
  <c r="B2276" i="6"/>
  <c r="D2275" i="6"/>
  <c r="E2275" i="6" s="1"/>
  <c r="C2275" i="6"/>
  <c r="B2275" i="6"/>
  <c r="D2274" i="6"/>
  <c r="B2274" i="6"/>
  <c r="D2273" i="6"/>
  <c r="E2273" i="6" s="1"/>
  <c r="C2273" i="6"/>
  <c r="B2273" i="6"/>
  <c r="D2272" i="6"/>
  <c r="E2272" i="6" s="1"/>
  <c r="B2272" i="6"/>
  <c r="D2271" i="6"/>
  <c r="B2271" i="6"/>
  <c r="C2272" i="6" s="1"/>
  <c r="D2270" i="6"/>
  <c r="E2270" i="6" s="1"/>
  <c r="C2270" i="6"/>
  <c r="B2270" i="6"/>
  <c r="D2269" i="6"/>
  <c r="E2269" i="6" s="1"/>
  <c r="B2269" i="6"/>
  <c r="D2268" i="6"/>
  <c r="E2268" i="6" s="1"/>
  <c r="B2268" i="6"/>
  <c r="D2267" i="6"/>
  <c r="B2267" i="6"/>
  <c r="C2267" i="6" s="1"/>
  <c r="D2266" i="6"/>
  <c r="C2266" i="6"/>
  <c r="B2266" i="6"/>
  <c r="D2265" i="6"/>
  <c r="B2265" i="6"/>
  <c r="D2264" i="6"/>
  <c r="B2264" i="6"/>
  <c r="C2264" i="6" s="1"/>
  <c r="E2263" i="6"/>
  <c r="D2263" i="6"/>
  <c r="B2263" i="6"/>
  <c r="D2262" i="6"/>
  <c r="B2262" i="6"/>
  <c r="C2263" i="6" s="1"/>
  <c r="D2261" i="6"/>
  <c r="E2261" i="6" s="1"/>
  <c r="B2261" i="6"/>
  <c r="D2260" i="6"/>
  <c r="B2260" i="6"/>
  <c r="C2261" i="6" s="1"/>
  <c r="D2259" i="6"/>
  <c r="E2259" i="6" s="1"/>
  <c r="C2259" i="6"/>
  <c r="B2259" i="6"/>
  <c r="D2258" i="6"/>
  <c r="B2258" i="6"/>
  <c r="D2257" i="6"/>
  <c r="B2257" i="6"/>
  <c r="C2257" i="6" s="1"/>
  <c r="D2256" i="6"/>
  <c r="E2256" i="6" s="1"/>
  <c r="B2256" i="6"/>
  <c r="D2255" i="6"/>
  <c r="B2255" i="6"/>
  <c r="C2256" i="6" s="1"/>
  <c r="D2254" i="6"/>
  <c r="E2254" i="6" s="1"/>
  <c r="C2254" i="6"/>
  <c r="B2254" i="6"/>
  <c r="D2253" i="6"/>
  <c r="E2253" i="6" s="1"/>
  <c r="C2253" i="6"/>
  <c r="B2253" i="6"/>
  <c r="D2252" i="6"/>
  <c r="E2252" i="6" s="1"/>
  <c r="B2252" i="6"/>
  <c r="C2252" i="6" s="1"/>
  <c r="D2251" i="6"/>
  <c r="B2251" i="6"/>
  <c r="C2251" i="6" s="1"/>
  <c r="D2250" i="6"/>
  <c r="C2250" i="6"/>
  <c r="B2250" i="6"/>
  <c r="D2249" i="6"/>
  <c r="B2249" i="6"/>
  <c r="D2248" i="6"/>
  <c r="C2248" i="6"/>
  <c r="B2248" i="6"/>
  <c r="E2247" i="6"/>
  <c r="D2247" i="6"/>
  <c r="B2247" i="6"/>
  <c r="D2246" i="6"/>
  <c r="B2246" i="6"/>
  <c r="D2245" i="6"/>
  <c r="E2245" i="6" s="1"/>
  <c r="C2245" i="6"/>
  <c r="B2245" i="6"/>
  <c r="D2244" i="6"/>
  <c r="B2244" i="6"/>
  <c r="D2243" i="6"/>
  <c r="E2243" i="6" s="1"/>
  <c r="B2243" i="6"/>
  <c r="C2243" i="6" s="1"/>
  <c r="D2242" i="6"/>
  <c r="B2242" i="6"/>
  <c r="D2241" i="6"/>
  <c r="B2241" i="6"/>
  <c r="C2241" i="6" s="1"/>
  <c r="D2240" i="6"/>
  <c r="B2240" i="6"/>
  <c r="D2239" i="6"/>
  <c r="E2239" i="6" s="1"/>
  <c r="C2239" i="6"/>
  <c r="B2239" i="6"/>
  <c r="C2240" i="6" s="1"/>
  <c r="D2238" i="6"/>
  <c r="E2238" i="6" s="1"/>
  <c r="B2238" i="6"/>
  <c r="D2237" i="6"/>
  <c r="E2237" i="6" s="1"/>
  <c r="B2237" i="6"/>
  <c r="C2238" i="6" s="1"/>
  <c r="D2236" i="6"/>
  <c r="E2236" i="6" s="1"/>
  <c r="B2236" i="6"/>
  <c r="C2236" i="6" s="1"/>
  <c r="D2235" i="6"/>
  <c r="B2235" i="6"/>
  <c r="D2234" i="6"/>
  <c r="B2234" i="6"/>
  <c r="C2234" i="6" s="1"/>
  <c r="D2233" i="6"/>
  <c r="B2233" i="6"/>
  <c r="D2232" i="6"/>
  <c r="E2233" i="6" s="1"/>
  <c r="C2232" i="6"/>
  <c r="B2232" i="6"/>
  <c r="D2231" i="6"/>
  <c r="E2231" i="6" s="1"/>
  <c r="B2231" i="6"/>
  <c r="D2230" i="6"/>
  <c r="B2230" i="6"/>
  <c r="C2231" i="6" s="1"/>
  <c r="D2229" i="6"/>
  <c r="E2229" i="6" s="1"/>
  <c r="C2229" i="6"/>
  <c r="B2229" i="6"/>
  <c r="D2228" i="6"/>
  <c r="B2228" i="6"/>
  <c r="D2227" i="6"/>
  <c r="E2227" i="6" s="1"/>
  <c r="B2227" i="6"/>
  <c r="C2227" i="6" s="1"/>
  <c r="D2226" i="6"/>
  <c r="B2226" i="6"/>
  <c r="C2226" i="6" s="1"/>
  <c r="D2225" i="6"/>
  <c r="B2225" i="6"/>
  <c r="C2225" i="6" s="1"/>
  <c r="D2224" i="6"/>
  <c r="B2224" i="6"/>
  <c r="D2223" i="6"/>
  <c r="E2223" i="6" s="1"/>
  <c r="C2223" i="6"/>
  <c r="B2223" i="6"/>
  <c r="C2224" i="6" s="1"/>
  <c r="D2222" i="6"/>
  <c r="E2222" i="6" s="1"/>
  <c r="B2222" i="6"/>
  <c r="D2221" i="6"/>
  <c r="B2221" i="6"/>
  <c r="C2222" i="6" s="1"/>
  <c r="D2220" i="6"/>
  <c r="E2220" i="6" s="1"/>
  <c r="B2220" i="6"/>
  <c r="D2219" i="6"/>
  <c r="B2219" i="6"/>
  <c r="C2220" i="6" s="1"/>
  <c r="D2218" i="6"/>
  <c r="B2218" i="6"/>
  <c r="C2218" i="6" s="1"/>
  <c r="E2217" i="6"/>
  <c r="D2217" i="6"/>
  <c r="B2217" i="6"/>
  <c r="D2216" i="6"/>
  <c r="B2216" i="6"/>
  <c r="C2216" i="6" s="1"/>
  <c r="D2215" i="6"/>
  <c r="E2215" i="6" s="1"/>
  <c r="B2215" i="6"/>
  <c r="D2214" i="6"/>
  <c r="B2214" i="6"/>
  <c r="C2215" i="6" s="1"/>
  <c r="D2213" i="6"/>
  <c r="E2213" i="6" s="1"/>
  <c r="C2213" i="6"/>
  <c r="B2213" i="6"/>
  <c r="D2212" i="6"/>
  <c r="B2212" i="6"/>
  <c r="D2211" i="6"/>
  <c r="E2211" i="6" s="1"/>
  <c r="B2211" i="6"/>
  <c r="C2211" i="6" s="1"/>
  <c r="D2210" i="6"/>
  <c r="B2210" i="6"/>
  <c r="C2210" i="6" s="1"/>
  <c r="E2209" i="6"/>
  <c r="D2209" i="6"/>
  <c r="B2209" i="6"/>
  <c r="C2209" i="6" s="1"/>
  <c r="D2208" i="6"/>
  <c r="B2208" i="6"/>
  <c r="D2207" i="6"/>
  <c r="E2207" i="6" s="1"/>
  <c r="B2207" i="6"/>
  <c r="C2208" i="6" s="1"/>
  <c r="D2206" i="6"/>
  <c r="E2206" i="6" s="1"/>
  <c r="B2206" i="6"/>
  <c r="D2205" i="6"/>
  <c r="B2205" i="6"/>
  <c r="C2206" i="6" s="1"/>
  <c r="D2204" i="6"/>
  <c r="E2204" i="6" s="1"/>
  <c r="C2204" i="6"/>
  <c r="B2204" i="6"/>
  <c r="D2203" i="6"/>
  <c r="B2203" i="6"/>
  <c r="D2202" i="6"/>
  <c r="B2202" i="6"/>
  <c r="C2202" i="6" s="1"/>
  <c r="E2201" i="6"/>
  <c r="D2201" i="6"/>
  <c r="B2201" i="6"/>
  <c r="D2200" i="6"/>
  <c r="B2200" i="6"/>
  <c r="C2200" i="6" s="1"/>
  <c r="D2199" i="6"/>
  <c r="E2199" i="6" s="1"/>
  <c r="B2199" i="6"/>
  <c r="D2198" i="6"/>
  <c r="C2198" i="6"/>
  <c r="B2198" i="6"/>
  <c r="C2199" i="6" s="1"/>
  <c r="D2197" i="6"/>
  <c r="E2197" i="6" s="1"/>
  <c r="B2197" i="6"/>
  <c r="D2196" i="6"/>
  <c r="B2196" i="6"/>
  <c r="C2196" i="6" s="1"/>
  <c r="E2195" i="6"/>
  <c r="D2195" i="6"/>
  <c r="B2195" i="6"/>
  <c r="C2195" i="6" s="1"/>
  <c r="D2194" i="6"/>
  <c r="B2194" i="6"/>
  <c r="C2194" i="6" s="1"/>
  <c r="D2193" i="6"/>
  <c r="E2193" i="6" s="1"/>
  <c r="C2193" i="6"/>
  <c r="B2193" i="6"/>
  <c r="D2192" i="6"/>
  <c r="B2192" i="6"/>
  <c r="D2191" i="6"/>
  <c r="E2191" i="6" s="1"/>
  <c r="C2191" i="6"/>
  <c r="B2191" i="6"/>
  <c r="C2192" i="6" s="1"/>
  <c r="D2190" i="6"/>
  <c r="E2190" i="6" s="1"/>
  <c r="B2190" i="6"/>
  <c r="D2189" i="6"/>
  <c r="B2189" i="6"/>
  <c r="D2188" i="6"/>
  <c r="E2188" i="6" s="1"/>
  <c r="C2188" i="6"/>
  <c r="B2188" i="6"/>
  <c r="D2187" i="6"/>
  <c r="B2187" i="6"/>
  <c r="D2186" i="6"/>
  <c r="C2186" i="6"/>
  <c r="B2186" i="6"/>
  <c r="E2185" i="6"/>
  <c r="D2185" i="6"/>
  <c r="B2185" i="6"/>
  <c r="D2184" i="6"/>
  <c r="B2184" i="6"/>
  <c r="C2184" i="6" s="1"/>
  <c r="D2183" i="6"/>
  <c r="E2183" i="6" s="1"/>
  <c r="B2183" i="6"/>
  <c r="D2182" i="6"/>
  <c r="E2182" i="6" s="1"/>
  <c r="C2182" i="6"/>
  <c r="B2182" i="6"/>
  <c r="C2183" i="6" s="1"/>
  <c r="D2181" i="6"/>
  <c r="E2181" i="6" s="1"/>
  <c r="C2181" i="6"/>
  <c r="B2181" i="6"/>
  <c r="D2180" i="6"/>
  <c r="C2180" i="6"/>
  <c r="B2180" i="6"/>
  <c r="D2179" i="6"/>
  <c r="E2179" i="6" s="1"/>
  <c r="B2179" i="6"/>
  <c r="C2179" i="6" s="1"/>
  <c r="D2178" i="6"/>
  <c r="B2178" i="6"/>
  <c r="C2178" i="6" s="1"/>
  <c r="E2177" i="6"/>
  <c r="D2177" i="6"/>
  <c r="B2177" i="6"/>
  <c r="C2177" i="6" s="1"/>
  <c r="D2176" i="6"/>
  <c r="B2176" i="6"/>
  <c r="E2175" i="6"/>
  <c r="D2175" i="6"/>
  <c r="C2175" i="6"/>
  <c r="B2175" i="6"/>
  <c r="C2176" i="6" s="1"/>
  <c r="D2174" i="6"/>
  <c r="B2174" i="6"/>
  <c r="D2173" i="6"/>
  <c r="E2173" i="6" s="1"/>
  <c r="C2173" i="6"/>
  <c r="B2173" i="6"/>
  <c r="C2174" i="6" s="1"/>
  <c r="D2172" i="6"/>
  <c r="E2172" i="6" s="1"/>
  <c r="B2172" i="6"/>
  <c r="D2171" i="6"/>
  <c r="B2171" i="6"/>
  <c r="D2170" i="6"/>
  <c r="B2170" i="6"/>
  <c r="C2170" i="6" s="1"/>
  <c r="D2169" i="6"/>
  <c r="B2169" i="6"/>
  <c r="D2168" i="6"/>
  <c r="E2169" i="6" s="1"/>
  <c r="B2168" i="6"/>
  <c r="C2168" i="6" s="1"/>
  <c r="D2167" i="6"/>
  <c r="E2167" i="6" s="1"/>
  <c r="B2167" i="6"/>
  <c r="D2166" i="6"/>
  <c r="B2166" i="6"/>
  <c r="C2167" i="6" s="1"/>
  <c r="D2165" i="6"/>
  <c r="E2165" i="6" s="1"/>
  <c r="C2165" i="6"/>
  <c r="B2165" i="6"/>
  <c r="D2164" i="6"/>
  <c r="B2164" i="6"/>
  <c r="C2164" i="6" s="1"/>
  <c r="D2163" i="6"/>
  <c r="E2163" i="6" s="1"/>
  <c r="B2163" i="6"/>
  <c r="C2163" i="6" s="1"/>
  <c r="D2162" i="6"/>
  <c r="B2162" i="6"/>
  <c r="D2161" i="6"/>
  <c r="B2161" i="6"/>
  <c r="C2161" i="6" s="1"/>
  <c r="D2160" i="6"/>
  <c r="E2160" i="6" s="1"/>
  <c r="B2160" i="6"/>
  <c r="E2159" i="6"/>
  <c r="D2159" i="6"/>
  <c r="B2159" i="6"/>
  <c r="C2160" i="6" s="1"/>
  <c r="D2158" i="6"/>
  <c r="C2158" i="6"/>
  <c r="B2158" i="6"/>
  <c r="D2157" i="6"/>
  <c r="E2157" i="6" s="1"/>
  <c r="C2157" i="6"/>
  <c r="B2157" i="6"/>
  <c r="D2156" i="6"/>
  <c r="E2156" i="6" s="1"/>
  <c r="B2156" i="6"/>
  <c r="D2155" i="6"/>
  <c r="B2155" i="6"/>
  <c r="C2155" i="6" s="1"/>
  <c r="D2154" i="6"/>
  <c r="B2154" i="6"/>
  <c r="D2153" i="6"/>
  <c r="B2153" i="6"/>
  <c r="D2152" i="6"/>
  <c r="C2152" i="6"/>
  <c r="B2152" i="6"/>
  <c r="D2151" i="6"/>
  <c r="B2151" i="6"/>
  <c r="D2150" i="6"/>
  <c r="E2151" i="6" s="1"/>
  <c r="B2150" i="6"/>
  <c r="C2151" i="6" s="1"/>
  <c r="D2149" i="6"/>
  <c r="E2149" i="6" s="1"/>
  <c r="B2149" i="6"/>
  <c r="D2148" i="6"/>
  <c r="B2148" i="6"/>
  <c r="E2147" i="6"/>
  <c r="D2147" i="6"/>
  <c r="C2147" i="6"/>
  <c r="B2147" i="6"/>
  <c r="D2146" i="6"/>
  <c r="B2146" i="6"/>
  <c r="D2145" i="6"/>
  <c r="E2145" i="6" s="1"/>
  <c r="C2145" i="6"/>
  <c r="B2145" i="6"/>
  <c r="D2144" i="6"/>
  <c r="E2144" i="6" s="1"/>
  <c r="B2144" i="6"/>
  <c r="D2143" i="6"/>
  <c r="B2143" i="6"/>
  <c r="D2142" i="6"/>
  <c r="E2142" i="6" s="1"/>
  <c r="C2142" i="6"/>
  <c r="B2142" i="6"/>
  <c r="D2141" i="6"/>
  <c r="B2141" i="6"/>
  <c r="D2140" i="6"/>
  <c r="E2140" i="6" s="1"/>
  <c r="B2140" i="6"/>
  <c r="C2140" i="6" s="1"/>
  <c r="D2139" i="6"/>
  <c r="C2139" i="6"/>
  <c r="B2139" i="6"/>
  <c r="D2138" i="6"/>
  <c r="B2138" i="6"/>
  <c r="D2137" i="6"/>
  <c r="B2137" i="6"/>
  <c r="C2137" i="6" s="1"/>
  <c r="D2136" i="6"/>
  <c r="E2136" i="6" s="1"/>
  <c r="C2136" i="6"/>
  <c r="B2136" i="6"/>
  <c r="D2135" i="6"/>
  <c r="E2135" i="6" s="1"/>
  <c r="B2135" i="6"/>
  <c r="D2134" i="6"/>
  <c r="E2134" i="6" s="1"/>
  <c r="B2134" i="6"/>
  <c r="E2133" i="6"/>
  <c r="D2133" i="6"/>
  <c r="B2133" i="6"/>
  <c r="D2132" i="6"/>
  <c r="B2132" i="6"/>
  <c r="C2133" i="6" s="1"/>
  <c r="E2131" i="6"/>
  <c r="D2131" i="6"/>
  <c r="B2131" i="6"/>
  <c r="D2130" i="6"/>
  <c r="B2130" i="6"/>
  <c r="C2130" i="6" s="1"/>
  <c r="E2129" i="6"/>
  <c r="D2129" i="6"/>
  <c r="C2129" i="6"/>
  <c r="B2129" i="6"/>
  <c r="D2128" i="6"/>
  <c r="B2128" i="6"/>
  <c r="D2127" i="6"/>
  <c r="E2127" i="6" s="1"/>
  <c r="C2127" i="6"/>
  <c r="B2127" i="6"/>
  <c r="C2128" i="6" s="1"/>
  <c r="D2126" i="6"/>
  <c r="B2126" i="6"/>
  <c r="D2125" i="6"/>
  <c r="B2125" i="6"/>
  <c r="C2125" i="6" s="1"/>
  <c r="D2124" i="6"/>
  <c r="E2124" i="6" s="1"/>
  <c r="B2124" i="6"/>
  <c r="D2123" i="6"/>
  <c r="B2123" i="6"/>
  <c r="C2124" i="6" s="1"/>
  <c r="D2122" i="6"/>
  <c r="B2122" i="6"/>
  <c r="C2122" i="6" s="1"/>
  <c r="D2121" i="6"/>
  <c r="B2121" i="6"/>
  <c r="D2120" i="6"/>
  <c r="E2121" i="6" s="1"/>
  <c r="B2120" i="6"/>
  <c r="C2120" i="6" s="1"/>
  <c r="E2119" i="6"/>
  <c r="D2119" i="6"/>
  <c r="B2119" i="6"/>
  <c r="D2118" i="6"/>
  <c r="B2118" i="6"/>
  <c r="D2117" i="6"/>
  <c r="E2117" i="6" s="1"/>
  <c r="C2117" i="6"/>
  <c r="B2117" i="6"/>
  <c r="D2116" i="6"/>
  <c r="B2116" i="6"/>
  <c r="C2116" i="6" s="1"/>
  <c r="E2115" i="6"/>
  <c r="D2115" i="6"/>
  <c r="B2115" i="6"/>
  <c r="C2115" i="6" s="1"/>
  <c r="D2114" i="6"/>
  <c r="B2114" i="6"/>
  <c r="D2113" i="6"/>
  <c r="E2113" i="6" s="1"/>
  <c r="B2113" i="6"/>
  <c r="C2113" i="6" s="1"/>
  <c r="D2112" i="6"/>
  <c r="E2112" i="6" s="1"/>
  <c r="B2112" i="6"/>
  <c r="D2111" i="6"/>
  <c r="B2111" i="6"/>
  <c r="D2110" i="6"/>
  <c r="E2110" i="6" s="1"/>
  <c r="C2110" i="6"/>
  <c r="B2110" i="6"/>
  <c r="D2109" i="6"/>
  <c r="B2109" i="6"/>
  <c r="D2108" i="6"/>
  <c r="E2108" i="6" s="1"/>
  <c r="B2108" i="6"/>
  <c r="C2108" i="6" s="1"/>
  <c r="E2107" i="6"/>
  <c r="D2107" i="6"/>
  <c r="B2107" i="6"/>
  <c r="D2106" i="6"/>
  <c r="B2106" i="6"/>
  <c r="D2105" i="6"/>
  <c r="E2105" i="6" s="1"/>
  <c r="B2105" i="6"/>
  <c r="C2105" i="6" s="1"/>
  <c r="D2104" i="6"/>
  <c r="B2104" i="6"/>
  <c r="C2104" i="6" s="1"/>
  <c r="D2103" i="6"/>
  <c r="E2103" i="6" s="1"/>
  <c r="C2103" i="6"/>
  <c r="B2103" i="6"/>
  <c r="D2102" i="6"/>
  <c r="E2102" i="6" s="1"/>
  <c r="B2102" i="6"/>
  <c r="D2101" i="6"/>
  <c r="E2101" i="6" s="1"/>
  <c r="B2101" i="6"/>
  <c r="D2100" i="6"/>
  <c r="B2100" i="6"/>
  <c r="D2099" i="6"/>
  <c r="B2099" i="6"/>
  <c r="C2100" i="6" s="1"/>
  <c r="D2098" i="6"/>
  <c r="E2098" i="6" s="1"/>
  <c r="B2098" i="6"/>
  <c r="C2098" i="6" s="1"/>
  <c r="E2097" i="6"/>
  <c r="D2097" i="6"/>
  <c r="B2097" i="6"/>
  <c r="C2097" i="6" s="1"/>
  <c r="D2096" i="6"/>
  <c r="C2096" i="6"/>
  <c r="B2096" i="6"/>
  <c r="D2095" i="6"/>
  <c r="E2095" i="6" s="1"/>
  <c r="B2095" i="6"/>
  <c r="D2094" i="6"/>
  <c r="B2094" i="6"/>
  <c r="D2093" i="6"/>
  <c r="E2093" i="6" s="1"/>
  <c r="B2093" i="6"/>
  <c r="C2093" i="6" s="1"/>
  <c r="D2092" i="6"/>
  <c r="E2092" i="6" s="1"/>
  <c r="B2092" i="6"/>
  <c r="C2092" i="6" s="1"/>
  <c r="D2091" i="6"/>
  <c r="C2091" i="6"/>
  <c r="B2091" i="6"/>
  <c r="D2090" i="6"/>
  <c r="B2090" i="6"/>
  <c r="D2089" i="6"/>
  <c r="B2089" i="6"/>
  <c r="D2088" i="6"/>
  <c r="E2088" i="6" s="1"/>
  <c r="C2088" i="6"/>
  <c r="B2088" i="6"/>
  <c r="D2087" i="6"/>
  <c r="B2087" i="6"/>
  <c r="D2086" i="6"/>
  <c r="B2086" i="6"/>
  <c r="E2085" i="6"/>
  <c r="D2085" i="6"/>
  <c r="B2085" i="6"/>
  <c r="C2085" i="6" s="1"/>
  <c r="D2084" i="6"/>
  <c r="B2084" i="6"/>
  <c r="C2084" i="6" s="1"/>
  <c r="D2083" i="6"/>
  <c r="E2083" i="6" s="1"/>
  <c r="B2083" i="6"/>
  <c r="D2082" i="6"/>
  <c r="B2082" i="6"/>
  <c r="C2083" i="6" s="1"/>
  <c r="E2081" i="6"/>
  <c r="D2081" i="6"/>
  <c r="B2081" i="6"/>
  <c r="C2081" i="6" s="1"/>
  <c r="D2080" i="6"/>
  <c r="B2080" i="6"/>
  <c r="D2079" i="6"/>
  <c r="E2079" i="6" s="1"/>
  <c r="C2079" i="6"/>
  <c r="B2079" i="6"/>
  <c r="C2080" i="6" s="1"/>
  <c r="D2078" i="6"/>
  <c r="E2078" i="6" s="1"/>
  <c r="B2078" i="6"/>
  <c r="D2077" i="6"/>
  <c r="B2077" i="6"/>
  <c r="D2076" i="6"/>
  <c r="E2076" i="6" s="1"/>
  <c r="C2076" i="6"/>
  <c r="B2076" i="6"/>
  <c r="D2075" i="6"/>
  <c r="B2075" i="6"/>
  <c r="D2074" i="6"/>
  <c r="B2074" i="6"/>
  <c r="C2074" i="6" s="1"/>
  <c r="E2073" i="6"/>
  <c r="D2073" i="6"/>
  <c r="B2073" i="6"/>
  <c r="D2072" i="6"/>
  <c r="B2072" i="6"/>
  <c r="C2072" i="6" s="1"/>
  <c r="D2071" i="6"/>
  <c r="E2071" i="6" s="1"/>
  <c r="C2071" i="6"/>
  <c r="B2071" i="6"/>
  <c r="D2070" i="6"/>
  <c r="B2070" i="6"/>
  <c r="C2070" i="6" s="1"/>
  <c r="E2069" i="6"/>
  <c r="D2069" i="6"/>
  <c r="B2069" i="6"/>
  <c r="C2069" i="6" s="1"/>
  <c r="D2068" i="6"/>
  <c r="B2068" i="6"/>
  <c r="C2068" i="6" s="1"/>
  <c r="D2067" i="6"/>
  <c r="E2067" i="6" s="1"/>
  <c r="C2067" i="6"/>
  <c r="B2067" i="6"/>
  <c r="D2066" i="6"/>
  <c r="E2066" i="6" s="1"/>
  <c r="B2066" i="6"/>
  <c r="D2065" i="6"/>
  <c r="B2065" i="6"/>
  <c r="C2065" i="6" s="1"/>
  <c r="D2064" i="6"/>
  <c r="E2064" i="6" s="1"/>
  <c r="C2064" i="6"/>
  <c r="B2064" i="6"/>
  <c r="D2063" i="6"/>
  <c r="B2063" i="6"/>
  <c r="D2062" i="6"/>
  <c r="B2062" i="6"/>
  <c r="C2062" i="6" s="1"/>
  <c r="D2061" i="6"/>
  <c r="E2061" i="6" s="1"/>
  <c r="B2061" i="6"/>
  <c r="D2060" i="6"/>
  <c r="E2060" i="6" s="1"/>
  <c r="B2060" i="6"/>
  <c r="E2059" i="6"/>
  <c r="D2059" i="6"/>
  <c r="C2059" i="6"/>
  <c r="B2059" i="6"/>
  <c r="D2058" i="6"/>
  <c r="B2058" i="6"/>
  <c r="C2058" i="6" s="1"/>
  <c r="E2057" i="6"/>
  <c r="D2057" i="6"/>
  <c r="B2057" i="6"/>
  <c r="C2057" i="6" s="1"/>
  <c r="D2056" i="6"/>
  <c r="E2056" i="6" s="1"/>
  <c r="C2056" i="6"/>
  <c r="B2056" i="6"/>
  <c r="D2055" i="6"/>
  <c r="E2055" i="6" s="1"/>
  <c r="C2055" i="6"/>
  <c r="B2055" i="6"/>
  <c r="D2054" i="6"/>
  <c r="E2054" i="6" s="1"/>
  <c r="B2054" i="6"/>
  <c r="D2053" i="6"/>
  <c r="E2053" i="6" s="1"/>
  <c r="B2053" i="6"/>
  <c r="D2052" i="6"/>
  <c r="E2052" i="6" s="1"/>
  <c r="B2052" i="6"/>
  <c r="C2052" i="6" s="1"/>
  <c r="D2051" i="6"/>
  <c r="B2051" i="6"/>
  <c r="D2050" i="6"/>
  <c r="B2050" i="6"/>
  <c r="C2050" i="6" s="1"/>
  <c r="E2049" i="6"/>
  <c r="D2049" i="6"/>
  <c r="B2049" i="6"/>
  <c r="C2049" i="6" s="1"/>
  <c r="D2048" i="6"/>
  <c r="B2048" i="6"/>
  <c r="C2048" i="6" s="1"/>
  <c r="D2047" i="6"/>
  <c r="E2047" i="6" s="1"/>
  <c r="B2047" i="6"/>
  <c r="D2046" i="6"/>
  <c r="B2046" i="6"/>
  <c r="E2045" i="6"/>
  <c r="D2045" i="6"/>
  <c r="C2045" i="6"/>
  <c r="B2045" i="6"/>
  <c r="D2044" i="6"/>
  <c r="B2044" i="6"/>
  <c r="C2044" i="6" s="1"/>
  <c r="D2043" i="6"/>
  <c r="E2043" i="6" s="1"/>
  <c r="C2043" i="6"/>
  <c r="B2043" i="6"/>
  <c r="D2042" i="6"/>
  <c r="B2042" i="6"/>
  <c r="D2041" i="6"/>
  <c r="B2041" i="6"/>
  <c r="C2041" i="6" s="1"/>
  <c r="D2040" i="6"/>
  <c r="E2040" i="6" s="1"/>
  <c r="B2040" i="6"/>
  <c r="D2039" i="6"/>
  <c r="B2039" i="6"/>
  <c r="C2040" i="6" s="1"/>
  <c r="D2038" i="6"/>
  <c r="E2038" i="6" s="1"/>
  <c r="C2038" i="6"/>
  <c r="B2038" i="6"/>
  <c r="D2037" i="6"/>
  <c r="E2037" i="6" s="1"/>
  <c r="B2037" i="6"/>
  <c r="D2036" i="6"/>
  <c r="E2036" i="6" s="1"/>
  <c r="B2036" i="6"/>
  <c r="C2036" i="6" s="1"/>
  <c r="D2035" i="6"/>
  <c r="B2035" i="6"/>
  <c r="C2035" i="6" s="1"/>
  <c r="D2034" i="6"/>
  <c r="C2034" i="6"/>
  <c r="B2034" i="6"/>
  <c r="E2033" i="6"/>
  <c r="D2033" i="6"/>
  <c r="B2033" i="6"/>
  <c r="D2032" i="6"/>
  <c r="B2032" i="6"/>
  <c r="C2032" i="6" s="1"/>
  <c r="E2031" i="6"/>
  <c r="D2031" i="6"/>
  <c r="B2031" i="6"/>
  <c r="D2030" i="6"/>
  <c r="B2030" i="6"/>
  <c r="E2029" i="6"/>
  <c r="D2029" i="6"/>
  <c r="C2029" i="6"/>
  <c r="B2029" i="6"/>
  <c r="D2028" i="6"/>
  <c r="B2028" i="6"/>
  <c r="D2027" i="6"/>
  <c r="E2027" i="6" s="1"/>
  <c r="B2027" i="6"/>
  <c r="C2027" i="6" s="1"/>
  <c r="D2026" i="6"/>
  <c r="B2026" i="6"/>
  <c r="C2026" i="6" s="1"/>
  <c r="D2025" i="6"/>
  <c r="B2025" i="6"/>
  <c r="C2025" i="6" s="1"/>
  <c r="D2024" i="6"/>
  <c r="E2024" i="6" s="1"/>
  <c r="B2024" i="6"/>
  <c r="D2023" i="6"/>
  <c r="E2023" i="6" s="1"/>
  <c r="C2023" i="6"/>
  <c r="B2023" i="6"/>
  <c r="C2024" i="6" s="1"/>
  <c r="D2022" i="6"/>
  <c r="E2022" i="6" s="1"/>
  <c r="B2022" i="6"/>
  <c r="D2021" i="6"/>
  <c r="B2021" i="6"/>
  <c r="D2020" i="6"/>
  <c r="E2020" i="6" s="1"/>
  <c r="B2020" i="6"/>
  <c r="C2020" i="6" s="1"/>
  <c r="D2019" i="6"/>
  <c r="B2019" i="6"/>
  <c r="D2018" i="6"/>
  <c r="B2018" i="6"/>
  <c r="C2018" i="6" s="1"/>
  <c r="E2017" i="6"/>
  <c r="D2017" i="6"/>
  <c r="B2017" i="6"/>
  <c r="C2017" i="6" s="1"/>
  <c r="D2016" i="6"/>
  <c r="B2016" i="6"/>
  <c r="C2016" i="6" s="1"/>
  <c r="D2015" i="6"/>
  <c r="E2015" i="6" s="1"/>
  <c r="B2015" i="6"/>
  <c r="D2014" i="6"/>
  <c r="B2014" i="6"/>
  <c r="E2013" i="6"/>
  <c r="D2013" i="6"/>
  <c r="C2013" i="6"/>
  <c r="B2013" i="6"/>
  <c r="D2012" i="6"/>
  <c r="B2012" i="6"/>
  <c r="C2012" i="6" s="1"/>
  <c r="E2011" i="6"/>
  <c r="D2011" i="6"/>
  <c r="C2011" i="6"/>
  <c r="B2011" i="6"/>
  <c r="D2010" i="6"/>
  <c r="B2010" i="6"/>
  <c r="D2009" i="6"/>
  <c r="B2009" i="6"/>
  <c r="C2009" i="6" s="1"/>
  <c r="D2008" i="6"/>
  <c r="E2008" i="6" s="1"/>
  <c r="B2008" i="6"/>
  <c r="D2007" i="6"/>
  <c r="B2007" i="6"/>
  <c r="C2008" i="6" s="1"/>
  <c r="D2006" i="6"/>
  <c r="E2006" i="6" s="1"/>
  <c r="C2006" i="6"/>
  <c r="B2006" i="6"/>
  <c r="D2005" i="6"/>
  <c r="E2005" i="6" s="1"/>
  <c r="B2005" i="6"/>
  <c r="D2004" i="6"/>
  <c r="E2004" i="6" s="1"/>
  <c r="B2004" i="6"/>
  <c r="C2004" i="6" s="1"/>
  <c r="D2003" i="6"/>
  <c r="B2003" i="6"/>
  <c r="C2003" i="6" s="1"/>
  <c r="D2002" i="6"/>
  <c r="C2002" i="6"/>
  <c r="B2002" i="6"/>
  <c r="D2001" i="6"/>
  <c r="B2001" i="6"/>
  <c r="D2000" i="6"/>
  <c r="C2000" i="6"/>
  <c r="B2000" i="6"/>
  <c r="E1999" i="6"/>
  <c r="D1999" i="6"/>
  <c r="B1999" i="6"/>
  <c r="D1998" i="6"/>
  <c r="B1998" i="6"/>
  <c r="D1997" i="6"/>
  <c r="E1997" i="6" s="1"/>
  <c r="C1997" i="6"/>
  <c r="B1997" i="6"/>
  <c r="D1996" i="6"/>
  <c r="B1996" i="6"/>
  <c r="D1995" i="6"/>
  <c r="E1995" i="6" s="1"/>
  <c r="B1995" i="6"/>
  <c r="C1995" i="6" s="1"/>
  <c r="D1994" i="6"/>
  <c r="B1994" i="6"/>
  <c r="D1993" i="6"/>
  <c r="B1993" i="6"/>
  <c r="C1993" i="6" s="1"/>
  <c r="D1992" i="6"/>
  <c r="E1992" i="6" s="1"/>
  <c r="B1992" i="6"/>
  <c r="D1991" i="6"/>
  <c r="E1991" i="6" s="1"/>
  <c r="C1991" i="6"/>
  <c r="B1991" i="6"/>
  <c r="C1992" i="6" s="1"/>
  <c r="D1990" i="6"/>
  <c r="E1990" i="6" s="1"/>
  <c r="B1990" i="6"/>
  <c r="D1989" i="6"/>
  <c r="E1989" i="6" s="1"/>
  <c r="C1989" i="6"/>
  <c r="B1989" i="6"/>
  <c r="C1990" i="6" s="1"/>
  <c r="D1988" i="6"/>
  <c r="E1988" i="6" s="1"/>
  <c r="B1988" i="6"/>
  <c r="D1987" i="6"/>
  <c r="B1987" i="6"/>
  <c r="D1986" i="6"/>
  <c r="B1986" i="6"/>
  <c r="C1986" i="6" s="1"/>
  <c r="D1985" i="6"/>
  <c r="B1985" i="6"/>
  <c r="D1984" i="6"/>
  <c r="E1985" i="6" s="1"/>
  <c r="C1984" i="6"/>
  <c r="B1984" i="6"/>
  <c r="E1983" i="6"/>
  <c r="D1983" i="6"/>
  <c r="B1983" i="6"/>
  <c r="D1982" i="6"/>
  <c r="B1982" i="6"/>
  <c r="C1983" i="6" s="1"/>
  <c r="D1981" i="6"/>
  <c r="E1981" i="6" s="1"/>
  <c r="C1981" i="6"/>
  <c r="B1981" i="6"/>
  <c r="D1980" i="6"/>
  <c r="B1980" i="6"/>
  <c r="D1979" i="6"/>
  <c r="E1979" i="6" s="1"/>
  <c r="B1979" i="6"/>
  <c r="C1979" i="6" s="1"/>
  <c r="D1978" i="6"/>
  <c r="B1978" i="6"/>
  <c r="C1978" i="6" s="1"/>
  <c r="D1977" i="6"/>
  <c r="B1977" i="6"/>
  <c r="C1977" i="6" s="1"/>
  <c r="D1976" i="6"/>
  <c r="B1976" i="6"/>
  <c r="D1975" i="6"/>
  <c r="E1975" i="6" s="1"/>
  <c r="C1975" i="6"/>
  <c r="B1975" i="6"/>
  <c r="C1976" i="6" s="1"/>
  <c r="D1974" i="6"/>
  <c r="E1974" i="6" s="1"/>
  <c r="B1974" i="6"/>
  <c r="D1973" i="6"/>
  <c r="E1973" i="6" s="1"/>
  <c r="C1973" i="6"/>
  <c r="B1973" i="6"/>
  <c r="C1974" i="6" s="1"/>
  <c r="D1972" i="6"/>
  <c r="E1972" i="6" s="1"/>
  <c r="B1972" i="6"/>
  <c r="D1971" i="6"/>
  <c r="B1971" i="6"/>
  <c r="C1972" i="6" s="1"/>
  <c r="D1970" i="6"/>
  <c r="B1970" i="6"/>
  <c r="C1970" i="6" s="1"/>
  <c r="E1969" i="6"/>
  <c r="D1969" i="6"/>
  <c r="B1969" i="6"/>
  <c r="D1968" i="6"/>
  <c r="B1968" i="6"/>
  <c r="C1968" i="6" s="1"/>
  <c r="E1967" i="6"/>
  <c r="D1967" i="6"/>
  <c r="B1967" i="6"/>
  <c r="D1966" i="6"/>
  <c r="B1966" i="6"/>
  <c r="C1967" i="6" s="1"/>
  <c r="D1965" i="6"/>
  <c r="E1965" i="6" s="1"/>
  <c r="C1965" i="6"/>
  <c r="B1965" i="6"/>
  <c r="D1964" i="6"/>
  <c r="B1964" i="6"/>
  <c r="D1963" i="6"/>
  <c r="E1963" i="6" s="1"/>
  <c r="B1963" i="6"/>
  <c r="C1963" i="6" s="1"/>
  <c r="D1962" i="6"/>
  <c r="B1962" i="6"/>
  <c r="C1962" i="6" s="1"/>
  <c r="E1961" i="6"/>
  <c r="D1961" i="6"/>
  <c r="B1961" i="6"/>
  <c r="C1961" i="6" s="1"/>
  <c r="D1960" i="6"/>
  <c r="B1960" i="6"/>
  <c r="D1959" i="6"/>
  <c r="E1959" i="6" s="1"/>
  <c r="B1959" i="6"/>
  <c r="C1960" i="6" s="1"/>
  <c r="D1958" i="6"/>
  <c r="E1958" i="6" s="1"/>
  <c r="B1958" i="6"/>
  <c r="D1957" i="6"/>
  <c r="B1957" i="6"/>
  <c r="D1956" i="6"/>
  <c r="E1956" i="6" s="1"/>
  <c r="C1956" i="6"/>
  <c r="B1956" i="6"/>
  <c r="D1955" i="6"/>
  <c r="B1955" i="6"/>
  <c r="D1954" i="6"/>
  <c r="B1954" i="6"/>
  <c r="C1954" i="6" s="1"/>
  <c r="E1953" i="6"/>
  <c r="D1953" i="6"/>
  <c r="B1953" i="6"/>
  <c r="D1952" i="6"/>
  <c r="B1952" i="6"/>
  <c r="C1952" i="6" s="1"/>
  <c r="E1951" i="6"/>
  <c r="D1951" i="6"/>
  <c r="B1951" i="6"/>
  <c r="D1950" i="6"/>
  <c r="C1950" i="6"/>
  <c r="B1950" i="6"/>
  <c r="C1951" i="6" s="1"/>
  <c r="D1949" i="6"/>
  <c r="E1949" i="6" s="1"/>
  <c r="B1949" i="6"/>
  <c r="D1948" i="6"/>
  <c r="B1948" i="6"/>
  <c r="E1947" i="6"/>
  <c r="D1947" i="6"/>
  <c r="B1947" i="6"/>
  <c r="C1947" i="6" s="1"/>
  <c r="D1946" i="6"/>
  <c r="B1946" i="6"/>
  <c r="C1946" i="6" s="1"/>
  <c r="E1945" i="6"/>
  <c r="D1945" i="6"/>
  <c r="C1945" i="6"/>
  <c r="B1945" i="6"/>
  <c r="D1944" i="6"/>
  <c r="B1944" i="6"/>
  <c r="D1943" i="6"/>
  <c r="B1943" i="6"/>
  <c r="C1944" i="6" s="1"/>
  <c r="D1942" i="6"/>
  <c r="E1942" i="6" s="1"/>
  <c r="B1942" i="6"/>
  <c r="D1941" i="6"/>
  <c r="B1941" i="6"/>
  <c r="D1940" i="6"/>
  <c r="E1940" i="6" s="1"/>
  <c r="C1940" i="6"/>
  <c r="B1940" i="6"/>
  <c r="D1939" i="6"/>
  <c r="B1939" i="6"/>
  <c r="D1938" i="6"/>
  <c r="B1938" i="6"/>
  <c r="C1938" i="6" s="1"/>
  <c r="E1937" i="6"/>
  <c r="D1937" i="6"/>
  <c r="B1937" i="6"/>
  <c r="C1937" i="6" s="1"/>
  <c r="D1936" i="6"/>
  <c r="B1936" i="6"/>
  <c r="C1936" i="6" s="1"/>
  <c r="D1935" i="6"/>
  <c r="E1935" i="6" s="1"/>
  <c r="B1935" i="6"/>
  <c r="D1934" i="6"/>
  <c r="C1934" i="6"/>
  <c r="B1934" i="6"/>
  <c r="C1935" i="6" s="1"/>
  <c r="D1933" i="6"/>
  <c r="E1933" i="6" s="1"/>
  <c r="B1933" i="6"/>
  <c r="D1932" i="6"/>
  <c r="B1932" i="6"/>
  <c r="E1931" i="6"/>
  <c r="D1931" i="6"/>
  <c r="B1931" i="6"/>
  <c r="C1931" i="6" s="1"/>
  <c r="D1930" i="6"/>
  <c r="B1930" i="6"/>
  <c r="C1930" i="6" s="1"/>
  <c r="D1929" i="6"/>
  <c r="E1929" i="6" s="1"/>
  <c r="C1929" i="6"/>
  <c r="B1929" i="6"/>
  <c r="D1928" i="6"/>
  <c r="B1928" i="6"/>
  <c r="D1927" i="6"/>
  <c r="C1927" i="6"/>
  <c r="B1927" i="6"/>
  <c r="C1928" i="6" s="1"/>
  <c r="D1926" i="6"/>
  <c r="E1926" i="6" s="1"/>
  <c r="C1926" i="6"/>
  <c r="B1926" i="6"/>
  <c r="D1925" i="6"/>
  <c r="B1925" i="6"/>
  <c r="D1924" i="6"/>
  <c r="E1924" i="6" s="1"/>
  <c r="C1924" i="6"/>
  <c r="B1924" i="6"/>
  <c r="D1923" i="6"/>
  <c r="B1923" i="6"/>
  <c r="D1922" i="6"/>
  <c r="B1922" i="6"/>
  <c r="C1922" i="6" s="1"/>
  <c r="D1921" i="6"/>
  <c r="B1921" i="6"/>
  <c r="C1921" i="6" s="1"/>
  <c r="D1920" i="6"/>
  <c r="E1920" i="6" s="1"/>
  <c r="C1920" i="6"/>
  <c r="B1920" i="6"/>
  <c r="D1919" i="6"/>
  <c r="E1919" i="6" s="1"/>
  <c r="B1919" i="6"/>
  <c r="D1918" i="6"/>
  <c r="B1918" i="6"/>
  <c r="C1919" i="6" s="1"/>
  <c r="E1917" i="6"/>
  <c r="D1917" i="6"/>
  <c r="B1917" i="6"/>
  <c r="D1916" i="6"/>
  <c r="B1916" i="6"/>
  <c r="C1916" i="6" s="1"/>
  <c r="D1915" i="6"/>
  <c r="E1915" i="6" s="1"/>
  <c r="C1915" i="6"/>
  <c r="B1915" i="6"/>
  <c r="D1914" i="6"/>
  <c r="B1914" i="6"/>
  <c r="E1913" i="6"/>
  <c r="D1913" i="6"/>
  <c r="B1913" i="6"/>
  <c r="C1913" i="6" s="1"/>
  <c r="D1912" i="6"/>
  <c r="B1912" i="6"/>
  <c r="D1911" i="6"/>
  <c r="B1911" i="6"/>
  <c r="D1910" i="6"/>
  <c r="E1910" i="6" s="1"/>
  <c r="C1910" i="6"/>
  <c r="B1910" i="6"/>
  <c r="D1909" i="6"/>
  <c r="B1909" i="6"/>
  <c r="D1908" i="6"/>
  <c r="E1908" i="6" s="1"/>
  <c r="B1908" i="6"/>
  <c r="C1908" i="6" s="1"/>
  <c r="E1907" i="6"/>
  <c r="D1907" i="6"/>
  <c r="B1907" i="6"/>
  <c r="D1906" i="6"/>
  <c r="B1906" i="6"/>
  <c r="C1906" i="6" s="1"/>
  <c r="E1905" i="6"/>
  <c r="D1905" i="6"/>
  <c r="B1905" i="6"/>
  <c r="C1905" i="6" s="1"/>
  <c r="D1904" i="6"/>
  <c r="B1904" i="6"/>
  <c r="C1904" i="6" s="1"/>
  <c r="D1903" i="6"/>
  <c r="E1903" i="6" s="1"/>
  <c r="C1903" i="6"/>
  <c r="B1903" i="6"/>
  <c r="D1902" i="6"/>
  <c r="B1902" i="6"/>
  <c r="D1901" i="6"/>
  <c r="E1901" i="6" s="1"/>
  <c r="C1901" i="6"/>
  <c r="B1901" i="6"/>
  <c r="C1902" i="6" s="1"/>
  <c r="D1900" i="6"/>
  <c r="B1900" i="6"/>
  <c r="D1899" i="6"/>
  <c r="B1899" i="6"/>
  <c r="C1899" i="6" s="1"/>
  <c r="D1898" i="6"/>
  <c r="B1898" i="6"/>
  <c r="C1898" i="6" s="1"/>
  <c r="E1897" i="6"/>
  <c r="D1897" i="6"/>
  <c r="C1897" i="6"/>
  <c r="B1897" i="6"/>
  <c r="D1896" i="6"/>
  <c r="C1896" i="6"/>
  <c r="B1896" i="6"/>
  <c r="D1895" i="6"/>
  <c r="E1895" i="6" s="1"/>
  <c r="C1895" i="6"/>
  <c r="B1895" i="6"/>
  <c r="D1894" i="6"/>
  <c r="B1894" i="6"/>
  <c r="D1893" i="6"/>
  <c r="B1893" i="6"/>
  <c r="C1894" i="6" s="1"/>
  <c r="E1892" i="6"/>
  <c r="D1892" i="6"/>
  <c r="B1892" i="6"/>
  <c r="D1891" i="6"/>
  <c r="C1891" i="6"/>
  <c r="B1891" i="6"/>
  <c r="C1892" i="6" s="1"/>
  <c r="D1890" i="6"/>
  <c r="E1890" i="6" s="1"/>
  <c r="B1890" i="6"/>
  <c r="D1889" i="6"/>
  <c r="B1889" i="6"/>
  <c r="C1890" i="6" s="1"/>
  <c r="E1888" i="6"/>
  <c r="D1888" i="6"/>
  <c r="B1888" i="6"/>
  <c r="D1887" i="6"/>
  <c r="B1887" i="6"/>
  <c r="C1887" i="6" s="1"/>
  <c r="D1886" i="6"/>
  <c r="E1886" i="6" s="1"/>
  <c r="C1886" i="6"/>
  <c r="B1886" i="6"/>
  <c r="D1885" i="6"/>
  <c r="B1885" i="6"/>
  <c r="C1885" i="6" s="1"/>
  <c r="D1884" i="6"/>
  <c r="E1884" i="6" s="1"/>
  <c r="C1884" i="6"/>
  <c r="B1884" i="6"/>
  <c r="D1883" i="6"/>
  <c r="C1883" i="6"/>
  <c r="B1883" i="6"/>
  <c r="D1882" i="6"/>
  <c r="E1882" i="6" s="1"/>
  <c r="C1882" i="6"/>
  <c r="B1882" i="6"/>
  <c r="D1881" i="6"/>
  <c r="E1881" i="6" s="1"/>
  <c r="C1881" i="6"/>
  <c r="B1881" i="6"/>
  <c r="D1880" i="6"/>
  <c r="C1880" i="6"/>
  <c r="B1880" i="6"/>
  <c r="D1879" i="6"/>
  <c r="E1879" i="6" s="1"/>
  <c r="C1879" i="6"/>
  <c r="B1879" i="6"/>
  <c r="D1878" i="6"/>
  <c r="B1878" i="6"/>
  <c r="D1877" i="6"/>
  <c r="C1877" i="6"/>
  <c r="B1877" i="6"/>
  <c r="C1878" i="6" s="1"/>
  <c r="E1876" i="6"/>
  <c r="D1876" i="6"/>
  <c r="B1876" i="6"/>
  <c r="D1875" i="6"/>
  <c r="C1875" i="6"/>
  <c r="B1875" i="6"/>
  <c r="C1876" i="6" s="1"/>
  <c r="E1874" i="6"/>
  <c r="D1874" i="6"/>
  <c r="B1874" i="6"/>
  <c r="D1873" i="6"/>
  <c r="B1873" i="6"/>
  <c r="C1874" i="6" s="1"/>
  <c r="E1872" i="6"/>
  <c r="D1872" i="6"/>
  <c r="C1872" i="6"/>
  <c r="B1872" i="6"/>
  <c r="D1871" i="6"/>
  <c r="B1871" i="6"/>
  <c r="C1871" i="6" s="1"/>
  <c r="D1870" i="6"/>
  <c r="E1870" i="6" s="1"/>
  <c r="C1870" i="6"/>
  <c r="B1870" i="6"/>
  <c r="D1869" i="6"/>
  <c r="B1869" i="6"/>
  <c r="C1869" i="6" s="1"/>
  <c r="E1868" i="6"/>
  <c r="D1868" i="6"/>
  <c r="C1868" i="6"/>
  <c r="B1868" i="6"/>
  <c r="D1867" i="6"/>
  <c r="C1867" i="6"/>
  <c r="B1867" i="6"/>
  <c r="D1866" i="6"/>
  <c r="E1866" i="6" s="1"/>
  <c r="C1866" i="6"/>
  <c r="B1866" i="6"/>
  <c r="D1865" i="6"/>
  <c r="E1865" i="6" s="1"/>
  <c r="C1865" i="6"/>
  <c r="B1865" i="6"/>
  <c r="D1864" i="6"/>
  <c r="C1864" i="6"/>
  <c r="B1864" i="6"/>
  <c r="D1863" i="6"/>
  <c r="E1863" i="6" s="1"/>
  <c r="C1863" i="6"/>
  <c r="B1863" i="6"/>
  <c r="D1862" i="6"/>
  <c r="B1862" i="6"/>
  <c r="D1861" i="6"/>
  <c r="B1861" i="6"/>
  <c r="E1860" i="6"/>
  <c r="D1860" i="6"/>
  <c r="B1860" i="6"/>
  <c r="D1859" i="6"/>
  <c r="C1859" i="6"/>
  <c r="B1859" i="6"/>
  <c r="C1860" i="6" s="1"/>
  <c r="D1858" i="6"/>
  <c r="E1858" i="6" s="1"/>
  <c r="B1858" i="6"/>
  <c r="D1857" i="6"/>
  <c r="B1857" i="6"/>
  <c r="C1858" i="6" s="1"/>
  <c r="E1856" i="6"/>
  <c r="D1856" i="6"/>
  <c r="B1856" i="6"/>
  <c r="D1855" i="6"/>
  <c r="B1855" i="6"/>
  <c r="C1855" i="6" s="1"/>
  <c r="D1854" i="6"/>
  <c r="E1854" i="6" s="1"/>
  <c r="C1854" i="6"/>
  <c r="B1854" i="6"/>
  <c r="D1853" i="6"/>
  <c r="B1853" i="6"/>
  <c r="C1853" i="6" s="1"/>
  <c r="D1852" i="6"/>
  <c r="E1852" i="6" s="1"/>
  <c r="C1852" i="6"/>
  <c r="B1852" i="6"/>
  <c r="D1851" i="6"/>
  <c r="B1851" i="6"/>
  <c r="D1850" i="6"/>
  <c r="B1850" i="6"/>
  <c r="C1851" i="6" s="1"/>
  <c r="D1849" i="6"/>
  <c r="E1849" i="6" s="1"/>
  <c r="B1849" i="6"/>
  <c r="D1848" i="6"/>
  <c r="B1848" i="6"/>
  <c r="D1847" i="6"/>
  <c r="E1847" i="6" s="1"/>
  <c r="C1847" i="6"/>
  <c r="B1847" i="6"/>
  <c r="D1846" i="6"/>
  <c r="B1846" i="6"/>
  <c r="D1845" i="6"/>
  <c r="B1845" i="6"/>
  <c r="C1845" i="6" s="1"/>
  <c r="E1844" i="6"/>
  <c r="D1844" i="6"/>
  <c r="B1844" i="6"/>
  <c r="C1844" i="6" s="1"/>
  <c r="D1843" i="6"/>
  <c r="B1843" i="6"/>
  <c r="C1843" i="6" s="1"/>
  <c r="D1842" i="6"/>
  <c r="E1842" i="6" s="1"/>
  <c r="B1842" i="6"/>
  <c r="D1841" i="6"/>
  <c r="C1841" i="6"/>
  <c r="B1841" i="6"/>
  <c r="C1842" i="6" s="1"/>
  <c r="D1840" i="6"/>
  <c r="E1840" i="6" s="1"/>
  <c r="B1840" i="6"/>
  <c r="D1839" i="6"/>
  <c r="B1839" i="6"/>
  <c r="E1838" i="6"/>
  <c r="D1838" i="6"/>
  <c r="B1838" i="6"/>
  <c r="C1838" i="6" s="1"/>
  <c r="D1837" i="6"/>
  <c r="B1837" i="6"/>
  <c r="C1837" i="6" s="1"/>
  <c r="D1836" i="6"/>
  <c r="E1836" i="6" s="1"/>
  <c r="C1836" i="6"/>
  <c r="B1836" i="6"/>
  <c r="D1835" i="6"/>
  <c r="B1835" i="6"/>
  <c r="D1834" i="6"/>
  <c r="C1834" i="6"/>
  <c r="B1834" i="6"/>
  <c r="C1835" i="6" s="1"/>
  <c r="D1833" i="6"/>
  <c r="E1833" i="6" s="1"/>
  <c r="C1833" i="6"/>
  <c r="B1833" i="6"/>
  <c r="D1832" i="6"/>
  <c r="B1832" i="6"/>
  <c r="D1831" i="6"/>
  <c r="E1831" i="6" s="1"/>
  <c r="C1831" i="6"/>
  <c r="B1831" i="6"/>
  <c r="C1832" i="6" s="1"/>
  <c r="D1830" i="6"/>
  <c r="B1830" i="6"/>
  <c r="D1829" i="6"/>
  <c r="C1829" i="6"/>
  <c r="B1829" i="6"/>
  <c r="D1828" i="6"/>
  <c r="B1828" i="6"/>
  <c r="C1828" i="6" s="1"/>
  <c r="D1827" i="6"/>
  <c r="E1827" i="6" s="1"/>
  <c r="B1827" i="6"/>
  <c r="C1827" i="6" s="1"/>
  <c r="E1826" i="6"/>
  <c r="D1826" i="6"/>
  <c r="B1826" i="6"/>
  <c r="D1825" i="6"/>
  <c r="C1825" i="6"/>
  <c r="B1825" i="6"/>
  <c r="C1826" i="6" s="1"/>
  <c r="D1824" i="6"/>
  <c r="E1824" i="6" s="1"/>
  <c r="B1824" i="6"/>
  <c r="D1823" i="6"/>
  <c r="B1823" i="6"/>
  <c r="D1822" i="6"/>
  <c r="E1822" i="6" s="1"/>
  <c r="B1822" i="6"/>
  <c r="C1822" i="6" s="1"/>
  <c r="D1821" i="6"/>
  <c r="B1821" i="6"/>
  <c r="E1820" i="6"/>
  <c r="D1820" i="6"/>
  <c r="C1820" i="6"/>
  <c r="B1820" i="6"/>
  <c r="D1819" i="6"/>
  <c r="B1819" i="6"/>
  <c r="D1818" i="6"/>
  <c r="B1818" i="6"/>
  <c r="D1817" i="6"/>
  <c r="E1817" i="6" s="1"/>
  <c r="C1817" i="6"/>
  <c r="B1817" i="6"/>
  <c r="D1816" i="6"/>
  <c r="B1816" i="6"/>
  <c r="D1815" i="6"/>
  <c r="E1815" i="6" s="1"/>
  <c r="B1815" i="6"/>
  <c r="C1815" i="6" s="1"/>
  <c r="D1814" i="6"/>
  <c r="B1814" i="6"/>
  <c r="C1814" i="6" s="1"/>
  <c r="D1813" i="6"/>
  <c r="B1813" i="6"/>
  <c r="C1813" i="6" s="1"/>
  <c r="D1812" i="6"/>
  <c r="B1812" i="6"/>
  <c r="C1812" i="6" s="1"/>
  <c r="D1811" i="6"/>
  <c r="C1811" i="6"/>
  <c r="B1811" i="6"/>
  <c r="D1810" i="6"/>
  <c r="E1810" i="6" s="1"/>
  <c r="B1810" i="6"/>
  <c r="D1809" i="6"/>
  <c r="B1809" i="6"/>
  <c r="C1810" i="6" s="1"/>
  <c r="D1808" i="6"/>
  <c r="E1808" i="6" s="1"/>
  <c r="B1808" i="6"/>
  <c r="D1807" i="6"/>
  <c r="B1807" i="6"/>
  <c r="E1806" i="6"/>
  <c r="D1806" i="6"/>
  <c r="B1806" i="6"/>
  <c r="C1806" i="6" s="1"/>
  <c r="D1805" i="6"/>
  <c r="B1805" i="6"/>
  <c r="D1804" i="6"/>
  <c r="E1804" i="6" s="1"/>
  <c r="C1804" i="6"/>
  <c r="B1804" i="6"/>
  <c r="D1803" i="6"/>
  <c r="B1803" i="6"/>
  <c r="D1802" i="6"/>
  <c r="B1802" i="6"/>
  <c r="C1803" i="6" s="1"/>
  <c r="D1801" i="6"/>
  <c r="E1801" i="6" s="1"/>
  <c r="C1801" i="6"/>
  <c r="B1801" i="6"/>
  <c r="D1800" i="6"/>
  <c r="B1800" i="6"/>
  <c r="D1799" i="6"/>
  <c r="E1799" i="6" s="1"/>
  <c r="B1799" i="6"/>
  <c r="C1800" i="6" s="1"/>
  <c r="E1798" i="6"/>
  <c r="D1798" i="6"/>
  <c r="B1798" i="6"/>
  <c r="D1797" i="6"/>
  <c r="B1797" i="6"/>
  <c r="C1797" i="6" s="1"/>
  <c r="E1796" i="6"/>
  <c r="D1796" i="6"/>
  <c r="B1796" i="6"/>
  <c r="C1796" i="6" s="1"/>
  <c r="D1795" i="6"/>
  <c r="B1795" i="6"/>
  <c r="C1795" i="6" s="1"/>
  <c r="D1794" i="6"/>
  <c r="E1794" i="6" s="1"/>
  <c r="C1794" i="6"/>
  <c r="B1794" i="6"/>
  <c r="D1793" i="6"/>
  <c r="B1793" i="6"/>
  <c r="E1792" i="6"/>
  <c r="D1792" i="6"/>
  <c r="C1792" i="6"/>
  <c r="B1792" i="6"/>
  <c r="D1791" i="6"/>
  <c r="B1791" i="6"/>
  <c r="C1791" i="6" s="1"/>
  <c r="D1790" i="6"/>
  <c r="C1790" i="6"/>
  <c r="B1790" i="6"/>
  <c r="D1789" i="6"/>
  <c r="E1789" i="6" s="1"/>
  <c r="B1789" i="6"/>
  <c r="C1789" i="6" s="1"/>
  <c r="E1788" i="6"/>
  <c r="D1788" i="6"/>
  <c r="B1788" i="6"/>
  <c r="C1788" i="6" s="1"/>
  <c r="D1787" i="6"/>
  <c r="B1787" i="6"/>
  <c r="D1786" i="6"/>
  <c r="E1786" i="6" s="1"/>
  <c r="C1786" i="6"/>
  <c r="B1786" i="6"/>
  <c r="C1787" i="6" s="1"/>
  <c r="D1785" i="6"/>
  <c r="E1785" i="6" s="1"/>
  <c r="B1785" i="6"/>
  <c r="D1784" i="6"/>
  <c r="C1784" i="6"/>
  <c r="B1784" i="6"/>
  <c r="D1783" i="6"/>
  <c r="E1783" i="6" s="1"/>
  <c r="C1783" i="6"/>
  <c r="B1783" i="6"/>
  <c r="D1782" i="6"/>
  <c r="B1782" i="6"/>
  <c r="D1781" i="6"/>
  <c r="C1781" i="6"/>
  <c r="B1781" i="6"/>
  <c r="E1780" i="6"/>
  <c r="D1780" i="6"/>
  <c r="B1780" i="6"/>
  <c r="D1779" i="6"/>
  <c r="B1779" i="6"/>
  <c r="C1779" i="6" s="1"/>
  <c r="D1778" i="6"/>
  <c r="E1778" i="6" s="1"/>
  <c r="C1778" i="6"/>
  <c r="B1778" i="6"/>
  <c r="D1777" i="6"/>
  <c r="B1777" i="6"/>
  <c r="E1776" i="6"/>
  <c r="D1776" i="6"/>
  <c r="B1776" i="6"/>
  <c r="C1777" i="6" s="1"/>
  <c r="D1775" i="6"/>
  <c r="B1775" i="6"/>
  <c r="D1774" i="6"/>
  <c r="C1774" i="6"/>
  <c r="B1774" i="6"/>
  <c r="D1773" i="6"/>
  <c r="B1773" i="6"/>
  <c r="C1773" i="6" s="1"/>
  <c r="D1772" i="6"/>
  <c r="C1772" i="6"/>
  <c r="B1772" i="6"/>
  <c r="D1771" i="6"/>
  <c r="E1771" i="6" s="1"/>
  <c r="C1771" i="6"/>
  <c r="B1771" i="6"/>
  <c r="D1770" i="6"/>
  <c r="E1770" i="6" s="1"/>
  <c r="B1770" i="6"/>
  <c r="D1769" i="6"/>
  <c r="E1769" i="6" s="1"/>
  <c r="B1769" i="6"/>
  <c r="D1768" i="6"/>
  <c r="E1768" i="6" s="1"/>
  <c r="C1768" i="6"/>
  <c r="B1768" i="6"/>
  <c r="D1767" i="6"/>
  <c r="E1767" i="6" s="1"/>
  <c r="B1767" i="6"/>
  <c r="D1766" i="6"/>
  <c r="B1766" i="6"/>
  <c r="C1766" i="6" s="1"/>
  <c r="D1765" i="6"/>
  <c r="C1765" i="6"/>
  <c r="B1765" i="6"/>
  <c r="D1764" i="6"/>
  <c r="E1764" i="6" s="1"/>
  <c r="B1764" i="6"/>
  <c r="D1763" i="6"/>
  <c r="E1763" i="6" s="1"/>
  <c r="B1763" i="6"/>
  <c r="C1763" i="6" s="1"/>
  <c r="E1762" i="6"/>
  <c r="D1762" i="6"/>
  <c r="B1762" i="6"/>
  <c r="D1761" i="6"/>
  <c r="C1761" i="6"/>
  <c r="B1761" i="6"/>
  <c r="C1762" i="6" s="1"/>
  <c r="D1760" i="6"/>
  <c r="E1760" i="6" s="1"/>
  <c r="B1760" i="6"/>
  <c r="C1760" i="6" s="1"/>
  <c r="D1759" i="6"/>
  <c r="B1759" i="6"/>
  <c r="E1758" i="6"/>
  <c r="D1758" i="6"/>
  <c r="B1758" i="6"/>
  <c r="C1758" i="6" s="1"/>
  <c r="D1757" i="6"/>
  <c r="B1757" i="6"/>
  <c r="D1756" i="6"/>
  <c r="C1756" i="6"/>
  <c r="B1756" i="6"/>
  <c r="D1755" i="6"/>
  <c r="C1755" i="6"/>
  <c r="B1755" i="6"/>
  <c r="D1754" i="6"/>
  <c r="B1754" i="6"/>
  <c r="D1753" i="6"/>
  <c r="E1753" i="6" s="1"/>
  <c r="C1753" i="6"/>
  <c r="B1753" i="6"/>
  <c r="C1754" i="6" s="1"/>
  <c r="D1752" i="6"/>
  <c r="E1752" i="6" s="1"/>
  <c r="B1752" i="6"/>
  <c r="D1751" i="6"/>
  <c r="E1751" i="6" s="1"/>
  <c r="B1751" i="6"/>
  <c r="E1750" i="6"/>
  <c r="D1750" i="6"/>
  <c r="B1750" i="6"/>
  <c r="C1750" i="6" s="1"/>
  <c r="D1749" i="6"/>
  <c r="B1749" i="6"/>
  <c r="C1749" i="6" s="1"/>
  <c r="D1748" i="6"/>
  <c r="B1748" i="6"/>
  <c r="C1748" i="6" s="1"/>
  <c r="D1747" i="6"/>
  <c r="E1747" i="6" s="1"/>
  <c r="C1747" i="6"/>
  <c r="B1747" i="6"/>
  <c r="D1746" i="6"/>
  <c r="E1746" i="6" s="1"/>
  <c r="B1746" i="6"/>
  <c r="D1745" i="6"/>
  <c r="B1745" i="6"/>
  <c r="C1746" i="6" s="1"/>
  <c r="D1744" i="6"/>
  <c r="E1744" i="6" s="1"/>
  <c r="B1744" i="6"/>
  <c r="D1743" i="6"/>
  <c r="B1743" i="6"/>
  <c r="E1742" i="6"/>
  <c r="D1742" i="6"/>
  <c r="B1742" i="6"/>
  <c r="C1742" i="6" s="1"/>
  <c r="D1741" i="6"/>
  <c r="B1741" i="6"/>
  <c r="D1740" i="6"/>
  <c r="E1740" i="6" s="1"/>
  <c r="B1740" i="6"/>
  <c r="C1740" i="6" s="1"/>
  <c r="D1739" i="6"/>
  <c r="B1739" i="6"/>
  <c r="D1738" i="6"/>
  <c r="C1738" i="6"/>
  <c r="B1738" i="6"/>
  <c r="C1739" i="6" s="1"/>
  <c r="D1737" i="6"/>
  <c r="E1737" i="6" s="1"/>
  <c r="B1737" i="6"/>
  <c r="C1737" i="6" s="1"/>
  <c r="D1736" i="6"/>
  <c r="B1736" i="6"/>
  <c r="D1735" i="6"/>
  <c r="E1735" i="6" s="1"/>
  <c r="B1735" i="6"/>
  <c r="C1735" i="6" s="1"/>
  <c r="D1734" i="6"/>
  <c r="B1734" i="6"/>
  <c r="D1733" i="6"/>
  <c r="C1733" i="6"/>
  <c r="B1733" i="6"/>
  <c r="C1734" i="6" s="1"/>
  <c r="E1732" i="6"/>
  <c r="D1732" i="6"/>
  <c r="B1732" i="6"/>
  <c r="D1731" i="6"/>
  <c r="B1731" i="6"/>
  <c r="C1731" i="6" s="1"/>
  <c r="E1730" i="6"/>
  <c r="D1730" i="6"/>
  <c r="C1730" i="6"/>
  <c r="B1730" i="6"/>
  <c r="D1729" i="6"/>
  <c r="B1729" i="6"/>
  <c r="D1728" i="6"/>
  <c r="E1728" i="6" s="1"/>
  <c r="B1728" i="6"/>
  <c r="C1729" i="6" s="1"/>
  <c r="D1727" i="6"/>
  <c r="B1727" i="6"/>
  <c r="D1726" i="6"/>
  <c r="C1726" i="6"/>
  <c r="B1726" i="6"/>
  <c r="D1725" i="6"/>
  <c r="E1725" i="6" s="1"/>
  <c r="B1725" i="6"/>
  <c r="D1724" i="6"/>
  <c r="E1724" i="6" s="1"/>
  <c r="B1724" i="6"/>
  <c r="C1724" i="6" s="1"/>
  <c r="D1723" i="6"/>
  <c r="E1723" i="6" s="1"/>
  <c r="C1723" i="6"/>
  <c r="B1723" i="6"/>
  <c r="D1722" i="6"/>
  <c r="B1722" i="6"/>
  <c r="D1721" i="6"/>
  <c r="E1721" i="6" s="1"/>
  <c r="C1721" i="6"/>
  <c r="B1721" i="6"/>
  <c r="C1722" i="6" s="1"/>
  <c r="D1720" i="6"/>
  <c r="E1720" i="6" s="1"/>
  <c r="B1720" i="6"/>
  <c r="D1719" i="6"/>
  <c r="E1719" i="6" s="1"/>
  <c r="B1719" i="6"/>
  <c r="C1719" i="6" s="1"/>
  <c r="E1718" i="6"/>
  <c r="D1718" i="6"/>
  <c r="C1718" i="6"/>
  <c r="B1718" i="6"/>
  <c r="D1717" i="6"/>
  <c r="B1717" i="6"/>
  <c r="E1716" i="6"/>
  <c r="D1716" i="6"/>
  <c r="B1716" i="6"/>
  <c r="D1715" i="6"/>
  <c r="E1715" i="6" s="1"/>
  <c r="B1715" i="6"/>
  <c r="C1715" i="6" s="1"/>
  <c r="D1714" i="6"/>
  <c r="C1714" i="6"/>
  <c r="B1714" i="6"/>
  <c r="D1713" i="6"/>
  <c r="B1713" i="6"/>
  <c r="D1712" i="6"/>
  <c r="E1712" i="6" s="1"/>
  <c r="B1712" i="6"/>
  <c r="D1711" i="6"/>
  <c r="B1711" i="6"/>
  <c r="C1711" i="6" s="1"/>
  <c r="D1710" i="6"/>
  <c r="E1710" i="6" s="1"/>
  <c r="B1710" i="6"/>
  <c r="D1709" i="6"/>
  <c r="E1709" i="6" s="1"/>
  <c r="B1709" i="6"/>
  <c r="E1708" i="6"/>
  <c r="D1708" i="6"/>
  <c r="B1708" i="6"/>
  <c r="D1707" i="6"/>
  <c r="B1707" i="6"/>
  <c r="C1707" i="6" s="1"/>
  <c r="D1706" i="6"/>
  <c r="C1706" i="6"/>
  <c r="B1706" i="6"/>
  <c r="D1705" i="6"/>
  <c r="B1705" i="6"/>
  <c r="D1704" i="6"/>
  <c r="E1704" i="6" s="1"/>
  <c r="B1704" i="6"/>
  <c r="C1704" i="6" s="1"/>
  <c r="D1703" i="6"/>
  <c r="E1703" i="6" s="1"/>
  <c r="B1703" i="6"/>
  <c r="D1702" i="6"/>
  <c r="E1702" i="6" s="1"/>
  <c r="B1702" i="6"/>
  <c r="C1702" i="6" s="1"/>
  <c r="E1701" i="6"/>
  <c r="D1701" i="6"/>
  <c r="B1701" i="6"/>
  <c r="D1700" i="6"/>
  <c r="C1700" i="6"/>
  <c r="B1700" i="6"/>
  <c r="D1699" i="6"/>
  <c r="E1700" i="6" s="1"/>
  <c r="B1699" i="6"/>
  <c r="D1698" i="6"/>
  <c r="B1698" i="6"/>
  <c r="C1698" i="6" s="1"/>
  <c r="E1697" i="6"/>
  <c r="D1697" i="6"/>
  <c r="B1697" i="6"/>
  <c r="C1697" i="6" s="1"/>
  <c r="D1696" i="6"/>
  <c r="B1696" i="6"/>
  <c r="E1695" i="6"/>
  <c r="D1695" i="6"/>
  <c r="B1695" i="6"/>
  <c r="E1694" i="6"/>
  <c r="D1694" i="6"/>
  <c r="B1694" i="6"/>
  <c r="C1694" i="6" s="1"/>
  <c r="D1693" i="6"/>
  <c r="B1693" i="6"/>
  <c r="C1693" i="6" s="1"/>
  <c r="E1692" i="6"/>
  <c r="D1692" i="6"/>
  <c r="B1692" i="6"/>
  <c r="D1691" i="6"/>
  <c r="B1691" i="6"/>
  <c r="C1691" i="6" s="1"/>
  <c r="E1690" i="6"/>
  <c r="D1690" i="6"/>
  <c r="E1691" i="6" s="1"/>
  <c r="C1690" i="6"/>
  <c r="B1690" i="6"/>
  <c r="D1689" i="6"/>
  <c r="B1689" i="6"/>
  <c r="E1688" i="6"/>
  <c r="D1688" i="6"/>
  <c r="C1688" i="6"/>
  <c r="B1688" i="6"/>
  <c r="D1687" i="6"/>
  <c r="B1687" i="6"/>
  <c r="D1686" i="6"/>
  <c r="E1686" i="6" s="1"/>
  <c r="B1686" i="6"/>
  <c r="C1686" i="6" s="1"/>
  <c r="E1685" i="6"/>
  <c r="D1685" i="6"/>
  <c r="B1685" i="6"/>
  <c r="D1684" i="6"/>
  <c r="C1684" i="6"/>
  <c r="B1684" i="6"/>
  <c r="D1683" i="6"/>
  <c r="E1684" i="6" s="1"/>
  <c r="B1683" i="6"/>
  <c r="D1682" i="6"/>
  <c r="B1682" i="6"/>
  <c r="D1681" i="6"/>
  <c r="E1681" i="6" s="1"/>
  <c r="B1681" i="6"/>
  <c r="C1681" i="6" s="1"/>
  <c r="D1680" i="6"/>
  <c r="E1680" i="6" s="1"/>
  <c r="B1680" i="6"/>
  <c r="E1679" i="6"/>
  <c r="D1679" i="6"/>
  <c r="B1679" i="6"/>
  <c r="D1678" i="6"/>
  <c r="B1678" i="6"/>
  <c r="D1677" i="6"/>
  <c r="B1677" i="6"/>
  <c r="C1677" i="6" s="1"/>
  <c r="E1676" i="6"/>
  <c r="D1676" i="6"/>
  <c r="B1676" i="6"/>
  <c r="D1675" i="6"/>
  <c r="B1675" i="6"/>
  <c r="C1675" i="6" s="1"/>
  <c r="D1674" i="6"/>
  <c r="C1674" i="6"/>
  <c r="B1674" i="6"/>
  <c r="D1673" i="6"/>
  <c r="B1673" i="6"/>
  <c r="D1672" i="6"/>
  <c r="E1672" i="6" s="1"/>
  <c r="B1672" i="6"/>
  <c r="C1672" i="6" s="1"/>
  <c r="D1671" i="6"/>
  <c r="E1671" i="6" s="1"/>
  <c r="B1671" i="6"/>
  <c r="D1670" i="6"/>
  <c r="E1670" i="6" s="1"/>
  <c r="B1670" i="6"/>
  <c r="C1670" i="6" s="1"/>
  <c r="E1669" i="6"/>
  <c r="D1669" i="6"/>
  <c r="B1669" i="6"/>
  <c r="D1668" i="6"/>
  <c r="C1668" i="6"/>
  <c r="B1668" i="6"/>
  <c r="D1667" i="6"/>
  <c r="E1668" i="6" s="1"/>
  <c r="B1667" i="6"/>
  <c r="D1666" i="6"/>
  <c r="B1666" i="6"/>
  <c r="C1666" i="6" s="1"/>
  <c r="D1665" i="6"/>
  <c r="E1665" i="6" s="1"/>
  <c r="B1665" i="6"/>
  <c r="C1665" i="6" s="1"/>
  <c r="D1664" i="6"/>
  <c r="B1664" i="6"/>
  <c r="E1663" i="6"/>
  <c r="D1663" i="6"/>
  <c r="B1663" i="6"/>
  <c r="E1662" i="6"/>
  <c r="D1662" i="6"/>
  <c r="B1662" i="6"/>
  <c r="C1662" i="6" s="1"/>
  <c r="D1661" i="6"/>
  <c r="B1661" i="6"/>
  <c r="C1661" i="6" s="1"/>
  <c r="E1660" i="6"/>
  <c r="D1660" i="6"/>
  <c r="B1660" i="6"/>
  <c r="D1659" i="6"/>
  <c r="B1659" i="6"/>
  <c r="C1659" i="6" s="1"/>
  <c r="E1658" i="6"/>
  <c r="D1658" i="6"/>
  <c r="E1659" i="6" s="1"/>
  <c r="C1658" i="6"/>
  <c r="B1658" i="6"/>
  <c r="D1657" i="6"/>
  <c r="B1657" i="6"/>
  <c r="D1656" i="6"/>
  <c r="E1656" i="6" s="1"/>
  <c r="C1656" i="6"/>
  <c r="B1656" i="6"/>
  <c r="D1655" i="6"/>
  <c r="B1655" i="6"/>
  <c r="D1654" i="6"/>
  <c r="E1654" i="6" s="1"/>
  <c r="C1654" i="6"/>
  <c r="B1654" i="6"/>
  <c r="E1653" i="6"/>
  <c r="D1653" i="6"/>
  <c r="B1653" i="6"/>
  <c r="D1652" i="6"/>
  <c r="B1652" i="6"/>
  <c r="C1652" i="6" s="1"/>
  <c r="D1651" i="6"/>
  <c r="E1652" i="6" s="1"/>
  <c r="B1651" i="6"/>
  <c r="D1650" i="6"/>
  <c r="B1650" i="6"/>
  <c r="E1649" i="6"/>
  <c r="D1649" i="6"/>
  <c r="B1649" i="6"/>
  <c r="C1649" i="6" s="1"/>
  <c r="D1648" i="6"/>
  <c r="E1648" i="6" s="1"/>
  <c r="B1648" i="6"/>
  <c r="D1647" i="6"/>
  <c r="E1647" i="6" s="1"/>
  <c r="B1647" i="6"/>
  <c r="C1647" i="6" s="1"/>
  <c r="D1646" i="6"/>
  <c r="B1646" i="6"/>
  <c r="D1645" i="6"/>
  <c r="B1645" i="6"/>
  <c r="C1645" i="6" s="1"/>
  <c r="D1644" i="6"/>
  <c r="E1644" i="6" s="1"/>
  <c r="B1644" i="6"/>
  <c r="D1643" i="6"/>
  <c r="B1643" i="6"/>
  <c r="C1643" i="6" s="1"/>
  <c r="D1642" i="6"/>
  <c r="E1643" i="6" s="1"/>
  <c r="C1642" i="6"/>
  <c r="B1642" i="6"/>
  <c r="D1641" i="6"/>
  <c r="E1642" i="6" s="1"/>
  <c r="B1641" i="6"/>
  <c r="D1640" i="6"/>
  <c r="E1640" i="6" s="1"/>
  <c r="C1640" i="6"/>
  <c r="B1640" i="6"/>
  <c r="D1639" i="6"/>
  <c r="B1639" i="6"/>
  <c r="D1638" i="6"/>
  <c r="E1638" i="6" s="1"/>
  <c r="B1638" i="6"/>
  <c r="C1638" i="6" s="1"/>
  <c r="E1637" i="6"/>
  <c r="D1637" i="6"/>
  <c r="B1637" i="6"/>
  <c r="D1636" i="6"/>
  <c r="C1636" i="6"/>
  <c r="B1636" i="6"/>
  <c r="D1635" i="6"/>
  <c r="E1636" i="6" s="1"/>
  <c r="B1635" i="6"/>
  <c r="D1634" i="6"/>
  <c r="E1634" i="6" s="1"/>
  <c r="B1634" i="6"/>
  <c r="D1633" i="6"/>
  <c r="E1633" i="6" s="1"/>
  <c r="B1633" i="6"/>
  <c r="C1633" i="6" s="1"/>
  <c r="D1632" i="6"/>
  <c r="E1632" i="6" s="1"/>
  <c r="C1632" i="6"/>
  <c r="B1632" i="6"/>
  <c r="E1631" i="6"/>
  <c r="D1631" i="6"/>
  <c r="B1631" i="6"/>
  <c r="D1630" i="6"/>
  <c r="B1630" i="6"/>
  <c r="E1629" i="6"/>
  <c r="D1629" i="6"/>
  <c r="E1630" i="6" s="1"/>
  <c r="B1629" i="6"/>
  <c r="C1629" i="6" s="1"/>
  <c r="D1628" i="6"/>
  <c r="E1628" i="6" s="1"/>
  <c r="B1628" i="6"/>
  <c r="C1628" i="6" s="1"/>
  <c r="D1627" i="6"/>
  <c r="B1627" i="6"/>
  <c r="C1627" i="6" s="1"/>
  <c r="D1626" i="6"/>
  <c r="E1626" i="6" s="1"/>
  <c r="B1626" i="6"/>
  <c r="D1625" i="6"/>
  <c r="E1625" i="6" s="1"/>
  <c r="B1625" i="6"/>
  <c r="E1624" i="6"/>
  <c r="D1624" i="6"/>
  <c r="B1624" i="6"/>
  <c r="C1624" i="6" s="1"/>
  <c r="D1623" i="6"/>
  <c r="B1623" i="6"/>
  <c r="E1622" i="6"/>
  <c r="D1622" i="6"/>
  <c r="C1622" i="6"/>
  <c r="B1622" i="6"/>
  <c r="D1621" i="6"/>
  <c r="B1621" i="6"/>
  <c r="D1620" i="6"/>
  <c r="B1620" i="6"/>
  <c r="C1620" i="6" s="1"/>
  <c r="E1619" i="6"/>
  <c r="D1619" i="6"/>
  <c r="B1619" i="6"/>
  <c r="D1618" i="6"/>
  <c r="B1618" i="6"/>
  <c r="D1617" i="6"/>
  <c r="E1617" i="6" s="1"/>
  <c r="B1617" i="6"/>
  <c r="C1617" i="6" s="1"/>
  <c r="D1616" i="6"/>
  <c r="E1616" i="6" s="1"/>
  <c r="C1616" i="6"/>
  <c r="B1616" i="6"/>
  <c r="D1615" i="6"/>
  <c r="E1615" i="6" s="1"/>
  <c r="B1615" i="6"/>
  <c r="E1614" i="6"/>
  <c r="D1614" i="6"/>
  <c r="B1614" i="6"/>
  <c r="C1614" i="6" s="1"/>
  <c r="E1613" i="6"/>
  <c r="D1613" i="6"/>
  <c r="B1613" i="6"/>
  <c r="C1613" i="6" s="1"/>
  <c r="D1612" i="6"/>
  <c r="B1612" i="6"/>
  <c r="E1611" i="6"/>
  <c r="D1611" i="6"/>
  <c r="E1612" i="6" s="1"/>
  <c r="B1611" i="6"/>
  <c r="C1611" i="6" s="1"/>
  <c r="D1610" i="6"/>
  <c r="E1610" i="6" s="1"/>
  <c r="C1610" i="6"/>
  <c r="B1610" i="6"/>
  <c r="D1609" i="6"/>
  <c r="B1609" i="6"/>
  <c r="C1609" i="6" s="1"/>
  <c r="E1608" i="6"/>
  <c r="D1608" i="6"/>
  <c r="B1608" i="6"/>
  <c r="C1608" i="6" s="1"/>
  <c r="D1607" i="6"/>
  <c r="E1607" i="6" s="1"/>
  <c r="B1607" i="6"/>
  <c r="E1606" i="6"/>
  <c r="D1606" i="6"/>
  <c r="B1606" i="6"/>
  <c r="C1606" i="6" s="1"/>
  <c r="D1605" i="6"/>
  <c r="B1605" i="6"/>
  <c r="D1604" i="6"/>
  <c r="C1604" i="6"/>
  <c r="B1604" i="6"/>
  <c r="D1603" i="6"/>
  <c r="B1603" i="6"/>
  <c r="D1602" i="6"/>
  <c r="B1602" i="6"/>
  <c r="C1602" i="6" s="1"/>
  <c r="E1601" i="6"/>
  <c r="D1601" i="6"/>
  <c r="B1601" i="6"/>
  <c r="D1600" i="6"/>
  <c r="B1600" i="6"/>
  <c r="D1599" i="6"/>
  <c r="E1599" i="6" s="1"/>
  <c r="B1599" i="6"/>
  <c r="C1599" i="6" s="1"/>
  <c r="E1598" i="6"/>
  <c r="D1598" i="6"/>
  <c r="B1598" i="6"/>
  <c r="D1597" i="6"/>
  <c r="B1597" i="6"/>
  <c r="C1597" i="6" s="1"/>
  <c r="D1596" i="6"/>
  <c r="E1596" i="6" s="1"/>
  <c r="B1596" i="6"/>
  <c r="C1596" i="6" s="1"/>
  <c r="E1595" i="6"/>
  <c r="D1595" i="6"/>
  <c r="B1595" i="6"/>
  <c r="C1595" i="6" s="1"/>
  <c r="D1594" i="6"/>
  <c r="B1594" i="6"/>
  <c r="D1593" i="6"/>
  <c r="E1593" i="6" s="1"/>
  <c r="B1593" i="6"/>
  <c r="C1593" i="6" s="1"/>
  <c r="D1592" i="6"/>
  <c r="E1592" i="6" s="1"/>
  <c r="C1592" i="6"/>
  <c r="B1592" i="6"/>
  <c r="D1591" i="6"/>
  <c r="B1591" i="6"/>
  <c r="C1591" i="6" s="1"/>
  <c r="E1590" i="6"/>
  <c r="D1590" i="6"/>
  <c r="B1590" i="6"/>
  <c r="C1590" i="6" s="1"/>
  <c r="E1589" i="6"/>
  <c r="D1589" i="6"/>
  <c r="B1589" i="6"/>
  <c r="D1588" i="6"/>
  <c r="E1588" i="6" s="1"/>
  <c r="C1588" i="6"/>
  <c r="B1588" i="6"/>
  <c r="D1587" i="6"/>
  <c r="E1587" i="6" s="1"/>
  <c r="B1587" i="6"/>
  <c r="D1586" i="6"/>
  <c r="E1586" i="6" s="1"/>
  <c r="C1586" i="6"/>
  <c r="B1586" i="6"/>
  <c r="E1585" i="6"/>
  <c r="D1585" i="6"/>
  <c r="B1585" i="6"/>
  <c r="D1584" i="6"/>
  <c r="E1584" i="6" s="1"/>
  <c r="B1584" i="6"/>
  <c r="C1584" i="6" s="1"/>
  <c r="E1583" i="6"/>
  <c r="D1583" i="6"/>
  <c r="B1583" i="6"/>
  <c r="D1582" i="6"/>
  <c r="B1582" i="6"/>
  <c r="D1581" i="6"/>
  <c r="B1581" i="6"/>
  <c r="C1581" i="6" s="1"/>
  <c r="E1580" i="6"/>
  <c r="D1580" i="6"/>
  <c r="B1580" i="6"/>
  <c r="D1579" i="6"/>
  <c r="B1579" i="6"/>
  <c r="C1579" i="6" s="1"/>
  <c r="E1578" i="6"/>
  <c r="D1578" i="6"/>
  <c r="C1578" i="6"/>
  <c r="B1578" i="6"/>
  <c r="D1577" i="6"/>
  <c r="B1577" i="6"/>
  <c r="E1576" i="6"/>
  <c r="D1576" i="6"/>
  <c r="B1576" i="6"/>
  <c r="D1575" i="6"/>
  <c r="E1575" i="6" s="1"/>
  <c r="B1575" i="6"/>
  <c r="C1575" i="6" s="1"/>
  <c r="D1574" i="6"/>
  <c r="E1574" i="6" s="1"/>
  <c r="C1574" i="6"/>
  <c r="B1574" i="6"/>
  <c r="E1573" i="6"/>
  <c r="D1573" i="6"/>
  <c r="B1573" i="6"/>
  <c r="E1572" i="6"/>
  <c r="D1572" i="6"/>
  <c r="B1572" i="6"/>
  <c r="C1572" i="6" s="1"/>
  <c r="D1571" i="6"/>
  <c r="B1571" i="6"/>
  <c r="D1570" i="6"/>
  <c r="C1570" i="6"/>
  <c r="B1570" i="6"/>
  <c r="D1569" i="6"/>
  <c r="E1569" i="6" s="1"/>
  <c r="B1569" i="6"/>
  <c r="D1568" i="6"/>
  <c r="E1568" i="6" s="1"/>
  <c r="B1568" i="6"/>
  <c r="E1567" i="6"/>
  <c r="D1567" i="6"/>
  <c r="B1567" i="6"/>
  <c r="D1566" i="6"/>
  <c r="C1566" i="6"/>
  <c r="B1566" i="6"/>
  <c r="E1565" i="6"/>
  <c r="D1565" i="6"/>
  <c r="B1565" i="6"/>
  <c r="D1564" i="6"/>
  <c r="B1564" i="6"/>
  <c r="C1564" i="6" s="1"/>
  <c r="E1563" i="6"/>
  <c r="D1563" i="6"/>
  <c r="C1563" i="6"/>
  <c r="B1563" i="6"/>
  <c r="D1562" i="6"/>
  <c r="B1562" i="6"/>
  <c r="D1561" i="6"/>
  <c r="E1561" i="6" s="1"/>
  <c r="C1561" i="6"/>
  <c r="B1561" i="6"/>
  <c r="C1562" i="6" s="1"/>
  <c r="D1560" i="6"/>
  <c r="B1560" i="6"/>
  <c r="D1559" i="6"/>
  <c r="E1559" i="6" s="1"/>
  <c r="C1559" i="6"/>
  <c r="B1559" i="6"/>
  <c r="D1558" i="6"/>
  <c r="E1558" i="6" s="1"/>
  <c r="B1558" i="6"/>
  <c r="C1558" i="6" s="1"/>
  <c r="D1557" i="6"/>
  <c r="B1557" i="6"/>
  <c r="C1557" i="6" s="1"/>
  <c r="D1556" i="6"/>
  <c r="E1557" i="6" s="1"/>
  <c r="B1556" i="6"/>
  <c r="D1555" i="6"/>
  <c r="E1555" i="6" s="1"/>
  <c r="B1555" i="6"/>
  <c r="C1555" i="6" s="1"/>
  <c r="D1554" i="6"/>
  <c r="E1554" i="6" s="1"/>
  <c r="B1554" i="6"/>
  <c r="C1554" i="6" s="1"/>
  <c r="D1553" i="6"/>
  <c r="C1553" i="6"/>
  <c r="B1553" i="6"/>
  <c r="D1552" i="6"/>
  <c r="E1552" i="6" s="1"/>
  <c r="B1552" i="6"/>
  <c r="E1551" i="6"/>
  <c r="D1551" i="6"/>
  <c r="B1551" i="6"/>
  <c r="C1552" i="6" s="1"/>
  <c r="D1550" i="6"/>
  <c r="C1550" i="6"/>
  <c r="B1550" i="6"/>
  <c r="E1549" i="6"/>
  <c r="D1549" i="6"/>
  <c r="B1549" i="6"/>
  <c r="D1548" i="6"/>
  <c r="B1548" i="6"/>
  <c r="C1548" i="6" s="1"/>
  <c r="D1547" i="6"/>
  <c r="E1547" i="6" s="1"/>
  <c r="C1547" i="6"/>
  <c r="B1547" i="6"/>
  <c r="D1546" i="6"/>
  <c r="B1546" i="6"/>
  <c r="E1545" i="6"/>
  <c r="D1545" i="6"/>
  <c r="C1545" i="6"/>
  <c r="B1545" i="6"/>
  <c r="C1546" i="6" s="1"/>
  <c r="D1544" i="6"/>
  <c r="B1544" i="6"/>
  <c r="D1543" i="6"/>
  <c r="B1543" i="6"/>
  <c r="C1543" i="6" s="1"/>
  <c r="D1542" i="6"/>
  <c r="E1542" i="6" s="1"/>
  <c r="B1542" i="6"/>
  <c r="C1542" i="6" s="1"/>
  <c r="E1541" i="6"/>
  <c r="D1541" i="6"/>
  <c r="C1541" i="6"/>
  <c r="B1541" i="6"/>
  <c r="D1540" i="6"/>
  <c r="B1540" i="6"/>
  <c r="D1539" i="6"/>
  <c r="E1539" i="6" s="1"/>
  <c r="B1539" i="6"/>
  <c r="C1539" i="6" s="1"/>
  <c r="D1538" i="6"/>
  <c r="E1538" i="6" s="1"/>
  <c r="C1538" i="6"/>
  <c r="B1538" i="6"/>
  <c r="D1537" i="6"/>
  <c r="C1537" i="6"/>
  <c r="B1537" i="6"/>
  <c r="D1536" i="6"/>
  <c r="E1536" i="6" s="1"/>
  <c r="C1536" i="6"/>
  <c r="B1536" i="6"/>
  <c r="E1535" i="6"/>
  <c r="D1535" i="6"/>
  <c r="B1535" i="6"/>
  <c r="D1534" i="6"/>
  <c r="B1534" i="6"/>
  <c r="C1534" i="6" s="1"/>
  <c r="E1533" i="6"/>
  <c r="D1533" i="6"/>
  <c r="B1533" i="6"/>
  <c r="D1532" i="6"/>
  <c r="B1532" i="6"/>
  <c r="C1532" i="6" s="1"/>
  <c r="E1531" i="6"/>
  <c r="D1531" i="6"/>
  <c r="C1531" i="6"/>
  <c r="B1531" i="6"/>
  <c r="D1530" i="6"/>
  <c r="B1530" i="6"/>
  <c r="D1529" i="6"/>
  <c r="E1529" i="6" s="1"/>
  <c r="B1529" i="6"/>
  <c r="C1530" i="6" s="1"/>
  <c r="D1528" i="6"/>
  <c r="B1528" i="6"/>
  <c r="C1528" i="6" s="1"/>
  <c r="D1527" i="6"/>
  <c r="B1527" i="6"/>
  <c r="C1527" i="6" s="1"/>
  <c r="D1526" i="6"/>
  <c r="E1526" i="6" s="1"/>
  <c r="B1526" i="6"/>
  <c r="C1526" i="6" s="1"/>
  <c r="E1525" i="6"/>
  <c r="D1525" i="6"/>
  <c r="C1525" i="6"/>
  <c r="B1525" i="6"/>
  <c r="D1524" i="6"/>
  <c r="B1524" i="6"/>
  <c r="D1523" i="6"/>
  <c r="B1523" i="6"/>
  <c r="C1523" i="6" s="1"/>
  <c r="D1522" i="6"/>
  <c r="E1522" i="6" s="1"/>
  <c r="C1522" i="6"/>
  <c r="B1522" i="6"/>
  <c r="D1521" i="6"/>
  <c r="B1521" i="6"/>
  <c r="D1520" i="6"/>
  <c r="E1520" i="6" s="1"/>
  <c r="C1520" i="6"/>
  <c r="B1520" i="6"/>
  <c r="C1521" i="6" s="1"/>
  <c r="E1519" i="6"/>
  <c r="D1519" i="6"/>
  <c r="B1519" i="6"/>
  <c r="D1518" i="6"/>
  <c r="C1518" i="6"/>
  <c r="B1518" i="6"/>
  <c r="E1517" i="6"/>
  <c r="D1517" i="6"/>
  <c r="B1517" i="6"/>
  <c r="C1517" i="6" s="1"/>
  <c r="D1516" i="6"/>
  <c r="B1516" i="6"/>
  <c r="C1516" i="6" s="1"/>
  <c r="D1515" i="6"/>
  <c r="E1515" i="6" s="1"/>
  <c r="C1515" i="6"/>
  <c r="B1515" i="6"/>
  <c r="D1514" i="6"/>
  <c r="C1514" i="6"/>
  <c r="B1514" i="6"/>
  <c r="D1513" i="6"/>
  <c r="E1513" i="6" s="1"/>
  <c r="B1513" i="6"/>
  <c r="D1512" i="6"/>
  <c r="B1512" i="6"/>
  <c r="C1512" i="6" s="1"/>
  <c r="D1511" i="6"/>
  <c r="E1511" i="6" s="1"/>
  <c r="C1511" i="6"/>
  <c r="B1511" i="6"/>
  <c r="D1510" i="6"/>
  <c r="E1510" i="6" s="1"/>
  <c r="B1510" i="6"/>
  <c r="C1510" i="6" s="1"/>
  <c r="E1509" i="6"/>
  <c r="D1509" i="6"/>
  <c r="C1509" i="6"/>
  <c r="B1509" i="6"/>
  <c r="D1508" i="6"/>
  <c r="B1508" i="6"/>
  <c r="D1507" i="6"/>
  <c r="B1507" i="6"/>
  <c r="D1506" i="6"/>
  <c r="E1506" i="6" s="1"/>
  <c r="C1506" i="6"/>
  <c r="B1506" i="6"/>
  <c r="D1505" i="6"/>
  <c r="B1505" i="6"/>
  <c r="D1504" i="6"/>
  <c r="E1504" i="6" s="1"/>
  <c r="B1504" i="6"/>
  <c r="C1505" i="6" s="1"/>
  <c r="E1503" i="6"/>
  <c r="D1503" i="6"/>
  <c r="B1503" i="6"/>
  <c r="D1502" i="6"/>
  <c r="B1502" i="6"/>
  <c r="C1502" i="6" s="1"/>
  <c r="D1501" i="6"/>
  <c r="E1501" i="6" s="1"/>
  <c r="B1501" i="6"/>
  <c r="C1501" i="6" s="1"/>
  <c r="D1500" i="6"/>
  <c r="E1500" i="6" s="1"/>
  <c r="B1500" i="6"/>
  <c r="C1500" i="6" s="1"/>
  <c r="D1499" i="6"/>
  <c r="E1499" i="6" s="1"/>
  <c r="C1499" i="6"/>
  <c r="B1499" i="6"/>
  <c r="D1498" i="6"/>
  <c r="B1498" i="6"/>
  <c r="E1497" i="6"/>
  <c r="D1497" i="6"/>
  <c r="B1497" i="6"/>
  <c r="C1497" i="6" s="1"/>
  <c r="D1496" i="6"/>
  <c r="B1496" i="6"/>
  <c r="C1496" i="6" s="1"/>
  <c r="D1495" i="6"/>
  <c r="E1495" i="6" s="1"/>
  <c r="C1495" i="6"/>
  <c r="B1495" i="6"/>
  <c r="D1494" i="6"/>
  <c r="E1494" i="6" s="1"/>
  <c r="B1494" i="6"/>
  <c r="E1493" i="6"/>
  <c r="D1493" i="6"/>
  <c r="C1493" i="6"/>
  <c r="B1493" i="6"/>
  <c r="D1492" i="6"/>
  <c r="E1492" i="6" s="1"/>
  <c r="B1492" i="6"/>
  <c r="D1491" i="6"/>
  <c r="B1491" i="6"/>
  <c r="D1490" i="6"/>
  <c r="E1490" i="6" s="1"/>
  <c r="C1490" i="6"/>
  <c r="B1490" i="6"/>
  <c r="D1489" i="6"/>
  <c r="E1489" i="6" s="1"/>
  <c r="B1489" i="6"/>
  <c r="D1488" i="6"/>
  <c r="E1488" i="6" s="1"/>
  <c r="C1488" i="6"/>
  <c r="B1488" i="6"/>
  <c r="C1489" i="6" s="1"/>
  <c r="E1487" i="6"/>
  <c r="D1487" i="6"/>
  <c r="B1487" i="6"/>
  <c r="C1487" i="6" s="1"/>
  <c r="D1486" i="6"/>
  <c r="B1486" i="6"/>
  <c r="C1486" i="6" s="1"/>
  <c r="D1485" i="6"/>
  <c r="B1485" i="6"/>
  <c r="C1485" i="6" s="1"/>
  <c r="D1484" i="6"/>
  <c r="E1484" i="6" s="1"/>
  <c r="B1484" i="6"/>
  <c r="C1484" i="6" s="1"/>
  <c r="E1483" i="6"/>
  <c r="D1483" i="6"/>
  <c r="C1483" i="6"/>
  <c r="B1483" i="6"/>
  <c r="D1482" i="6"/>
  <c r="C1482" i="6"/>
  <c r="B1482" i="6"/>
  <c r="E1481" i="6"/>
  <c r="D1481" i="6"/>
  <c r="B1481" i="6"/>
  <c r="C1481" i="6" s="1"/>
  <c r="D1480" i="6"/>
  <c r="B1480" i="6"/>
  <c r="D1479" i="6"/>
  <c r="E1479" i="6" s="1"/>
  <c r="C1479" i="6"/>
  <c r="B1479" i="6"/>
  <c r="D1478" i="6"/>
  <c r="E1478" i="6" s="1"/>
  <c r="B1478" i="6"/>
  <c r="D1477" i="6"/>
  <c r="B1477" i="6"/>
  <c r="C1477" i="6" s="1"/>
  <c r="D1476" i="6"/>
  <c r="E1476" i="6" s="1"/>
  <c r="C1476" i="6"/>
  <c r="B1476" i="6"/>
  <c r="D1475" i="6"/>
  <c r="B1475" i="6"/>
  <c r="D1474" i="6"/>
  <c r="E1474" i="6" s="1"/>
  <c r="B1474" i="6"/>
  <c r="C1474" i="6" s="1"/>
  <c r="D1473" i="6"/>
  <c r="E1473" i="6" s="1"/>
  <c r="B1473" i="6"/>
  <c r="D1472" i="6"/>
  <c r="E1472" i="6" s="1"/>
  <c r="B1472" i="6"/>
  <c r="C1472" i="6" s="1"/>
  <c r="E1471" i="6"/>
  <c r="D1471" i="6"/>
  <c r="B1471" i="6"/>
  <c r="C1471" i="6" s="1"/>
  <c r="D1470" i="6"/>
  <c r="C1470" i="6"/>
  <c r="B1470" i="6"/>
  <c r="D1469" i="6"/>
  <c r="E1469" i="6" s="1"/>
  <c r="B1469" i="6"/>
  <c r="D1468" i="6"/>
  <c r="E1468" i="6" s="1"/>
  <c r="B1468" i="6"/>
  <c r="C1468" i="6" s="1"/>
  <c r="E1467" i="6"/>
  <c r="D1467" i="6"/>
  <c r="C1467" i="6"/>
  <c r="B1467" i="6"/>
  <c r="D1466" i="6"/>
  <c r="C1466" i="6"/>
  <c r="B1466" i="6"/>
  <c r="E1465" i="6"/>
  <c r="D1465" i="6"/>
  <c r="B1465" i="6"/>
  <c r="D1464" i="6"/>
  <c r="B1464" i="6"/>
  <c r="D1463" i="6"/>
  <c r="C1463" i="6"/>
  <c r="B1463" i="6"/>
  <c r="D1462" i="6"/>
  <c r="E1462" i="6" s="1"/>
  <c r="B1462" i="6"/>
  <c r="D1461" i="6"/>
  <c r="C1461" i="6"/>
  <c r="B1461" i="6"/>
  <c r="D1460" i="6"/>
  <c r="E1460" i="6" s="1"/>
  <c r="C1460" i="6"/>
  <c r="B1460" i="6"/>
  <c r="D1459" i="6"/>
  <c r="B1459" i="6"/>
  <c r="D1458" i="6"/>
  <c r="E1458" i="6" s="1"/>
  <c r="C1458" i="6"/>
  <c r="B1458" i="6"/>
  <c r="D1457" i="6"/>
  <c r="E1457" i="6" s="1"/>
  <c r="C1457" i="6"/>
  <c r="B1457" i="6"/>
  <c r="D1456" i="6"/>
  <c r="E1456" i="6" s="1"/>
  <c r="B1456" i="6"/>
  <c r="C1456" i="6" s="1"/>
  <c r="E1455" i="6"/>
  <c r="D1455" i="6"/>
  <c r="B1455" i="6"/>
  <c r="C1455" i="6" s="1"/>
  <c r="D1454" i="6"/>
  <c r="C1454" i="6"/>
  <c r="B1454" i="6"/>
  <c r="D1453" i="6"/>
  <c r="E1453" i="6" s="1"/>
  <c r="B1453" i="6"/>
  <c r="D1452" i="6"/>
  <c r="B1452" i="6"/>
  <c r="C1452" i="6" s="1"/>
  <c r="E1451" i="6"/>
  <c r="D1451" i="6"/>
  <c r="C1451" i="6"/>
  <c r="B1451" i="6"/>
  <c r="D1450" i="6"/>
  <c r="C1450" i="6"/>
  <c r="B1450" i="6"/>
  <c r="E1449" i="6"/>
  <c r="D1449" i="6"/>
  <c r="C1449" i="6"/>
  <c r="B1449" i="6"/>
  <c r="D1448" i="6"/>
  <c r="B1448" i="6"/>
  <c r="D1447" i="6"/>
  <c r="B1447" i="6"/>
  <c r="C1447" i="6" s="1"/>
  <c r="D1446" i="6"/>
  <c r="E1446" i="6" s="1"/>
  <c r="B1446" i="6"/>
  <c r="D1445" i="6"/>
  <c r="B1445" i="6"/>
  <c r="C1445" i="6" s="1"/>
  <c r="D1444" i="6"/>
  <c r="C1444" i="6"/>
  <c r="B1444" i="6"/>
  <c r="D1443" i="6"/>
  <c r="E1443" i="6" s="1"/>
  <c r="B1443" i="6"/>
  <c r="D1442" i="6"/>
  <c r="E1442" i="6" s="1"/>
  <c r="B1442" i="6"/>
  <c r="C1442" i="6" s="1"/>
  <c r="D1441" i="6"/>
  <c r="C1441" i="6"/>
  <c r="B1441" i="6"/>
  <c r="D1440" i="6"/>
  <c r="E1440" i="6" s="1"/>
  <c r="B1440" i="6"/>
  <c r="E1439" i="6"/>
  <c r="D1439" i="6"/>
  <c r="B1439" i="6"/>
  <c r="D1438" i="6"/>
  <c r="C1438" i="6"/>
  <c r="B1438" i="6"/>
  <c r="D1437" i="6"/>
  <c r="B1437" i="6"/>
  <c r="D1436" i="6"/>
  <c r="B1436" i="6"/>
  <c r="C1436" i="6" s="1"/>
  <c r="E1435" i="6"/>
  <c r="D1435" i="6"/>
  <c r="C1435" i="6"/>
  <c r="B1435" i="6"/>
  <c r="D1434" i="6"/>
  <c r="B1434" i="6"/>
  <c r="D1433" i="6"/>
  <c r="E1433" i="6" s="1"/>
  <c r="C1433" i="6"/>
  <c r="B1433" i="6"/>
  <c r="C1434" i="6" s="1"/>
  <c r="D1432" i="6"/>
  <c r="B1432" i="6"/>
  <c r="D1431" i="6"/>
  <c r="C1431" i="6"/>
  <c r="B1431" i="6"/>
  <c r="D1430" i="6"/>
  <c r="E1430" i="6" s="1"/>
  <c r="B1430" i="6"/>
  <c r="C1430" i="6" s="1"/>
  <c r="D1429" i="6"/>
  <c r="B1429" i="6"/>
  <c r="C1429" i="6" s="1"/>
  <c r="D1428" i="6"/>
  <c r="E1428" i="6" s="1"/>
  <c r="B1428" i="6"/>
  <c r="D1427" i="6"/>
  <c r="E1427" i="6" s="1"/>
  <c r="B1427" i="6"/>
  <c r="C1427" i="6" s="1"/>
  <c r="D1426" i="6"/>
  <c r="E1426" i="6" s="1"/>
  <c r="B1426" i="6"/>
  <c r="C1426" i="6" s="1"/>
  <c r="D1425" i="6"/>
  <c r="C1425" i="6"/>
  <c r="B1425" i="6"/>
  <c r="D1424" i="6"/>
  <c r="E1424" i="6" s="1"/>
  <c r="B1424" i="6"/>
  <c r="E1423" i="6"/>
  <c r="D1423" i="6"/>
  <c r="B1423" i="6"/>
  <c r="C1424" i="6" s="1"/>
  <c r="D1422" i="6"/>
  <c r="C1422" i="6"/>
  <c r="B1422" i="6"/>
  <c r="E1421" i="6"/>
  <c r="D1421" i="6"/>
  <c r="B1421" i="6"/>
  <c r="D1420" i="6"/>
  <c r="B1420" i="6"/>
  <c r="C1420" i="6" s="1"/>
  <c r="D1419" i="6"/>
  <c r="E1419" i="6" s="1"/>
  <c r="C1419" i="6"/>
  <c r="B1419" i="6"/>
  <c r="D1418" i="6"/>
  <c r="B1418" i="6"/>
  <c r="E1417" i="6"/>
  <c r="D1417" i="6"/>
  <c r="C1417" i="6"/>
  <c r="B1417" i="6"/>
  <c r="C1418" i="6" s="1"/>
  <c r="D1416" i="6"/>
  <c r="B1416" i="6"/>
  <c r="D1415" i="6"/>
  <c r="B1415" i="6"/>
  <c r="C1415" i="6" s="1"/>
  <c r="D1414" i="6"/>
  <c r="E1414" i="6" s="1"/>
  <c r="B1414" i="6"/>
  <c r="C1414" i="6" s="1"/>
  <c r="E1413" i="6"/>
  <c r="D1413" i="6"/>
  <c r="C1413" i="6"/>
  <c r="B1413" i="6"/>
  <c r="D1412" i="6"/>
  <c r="C1412" i="6"/>
  <c r="B1412" i="6"/>
  <c r="D1411" i="6"/>
  <c r="E1411" i="6" s="1"/>
  <c r="B1411" i="6"/>
  <c r="C1411" i="6" s="1"/>
  <c r="D1410" i="6"/>
  <c r="E1410" i="6" s="1"/>
  <c r="C1410" i="6"/>
  <c r="B1410" i="6"/>
  <c r="D1409" i="6"/>
  <c r="C1409" i="6"/>
  <c r="B1409" i="6"/>
  <c r="D1408" i="6"/>
  <c r="E1408" i="6" s="1"/>
  <c r="C1408" i="6"/>
  <c r="B1408" i="6"/>
  <c r="E1407" i="6"/>
  <c r="D1407" i="6"/>
  <c r="B1407" i="6"/>
  <c r="D1406" i="6"/>
  <c r="B1406" i="6"/>
  <c r="C1406" i="6" s="1"/>
  <c r="E1405" i="6"/>
  <c r="D1405" i="6"/>
  <c r="B1405" i="6"/>
  <c r="D1404" i="6"/>
  <c r="B1404" i="6"/>
  <c r="C1404" i="6" s="1"/>
  <c r="E1403" i="6"/>
  <c r="D1403" i="6"/>
  <c r="C1403" i="6"/>
  <c r="B1403" i="6"/>
  <c r="D1402" i="6"/>
  <c r="B1402" i="6"/>
  <c r="D1401" i="6"/>
  <c r="E1401" i="6" s="1"/>
  <c r="B1401" i="6"/>
  <c r="C1402" i="6" s="1"/>
  <c r="D1400" i="6"/>
  <c r="B1400" i="6"/>
  <c r="C1400" i="6" s="1"/>
  <c r="D1399" i="6"/>
  <c r="B1399" i="6"/>
  <c r="C1399" i="6" s="1"/>
  <c r="D1398" i="6"/>
  <c r="E1398" i="6" s="1"/>
  <c r="B1398" i="6"/>
  <c r="C1398" i="6" s="1"/>
  <c r="E1397" i="6"/>
  <c r="D1397" i="6"/>
  <c r="C1397" i="6"/>
  <c r="B1397" i="6"/>
  <c r="D1396" i="6"/>
  <c r="B1396" i="6"/>
  <c r="D1395" i="6"/>
  <c r="B1395" i="6"/>
  <c r="C1395" i="6" s="1"/>
  <c r="D1394" i="6"/>
  <c r="E1394" i="6" s="1"/>
  <c r="C1394" i="6"/>
  <c r="B1394" i="6"/>
  <c r="D1393" i="6"/>
  <c r="B1393" i="6"/>
  <c r="D1392" i="6"/>
  <c r="E1392" i="6" s="1"/>
  <c r="C1392" i="6"/>
  <c r="B1392" i="6"/>
  <c r="C1393" i="6" s="1"/>
  <c r="E1391" i="6"/>
  <c r="D1391" i="6"/>
  <c r="B1391" i="6"/>
  <c r="D1390" i="6"/>
  <c r="C1390" i="6"/>
  <c r="B1390" i="6"/>
  <c r="E1389" i="6"/>
  <c r="D1389" i="6"/>
  <c r="B1389" i="6"/>
  <c r="C1389" i="6" s="1"/>
  <c r="D1388" i="6"/>
  <c r="B1388" i="6"/>
  <c r="C1388" i="6" s="1"/>
  <c r="E1387" i="6"/>
  <c r="D1387" i="6"/>
  <c r="C1387" i="6"/>
  <c r="B1387" i="6"/>
  <c r="D1386" i="6"/>
  <c r="B1386" i="6"/>
  <c r="D1385" i="6"/>
  <c r="E1385" i="6" s="1"/>
  <c r="B1385" i="6"/>
  <c r="C1386" i="6" s="1"/>
  <c r="D1384" i="6"/>
  <c r="B1384" i="6"/>
  <c r="D1383" i="6"/>
  <c r="B1383" i="6"/>
  <c r="C1383" i="6" s="1"/>
  <c r="D1382" i="6"/>
  <c r="B1382" i="6"/>
  <c r="C1382" i="6" s="1"/>
  <c r="E1381" i="6"/>
  <c r="D1381" i="6"/>
  <c r="C1381" i="6"/>
  <c r="B1381" i="6"/>
  <c r="D1380" i="6"/>
  <c r="C1380" i="6"/>
  <c r="B1380" i="6"/>
  <c r="D1379" i="6"/>
  <c r="E1379" i="6" s="1"/>
  <c r="C1379" i="6"/>
  <c r="B1379" i="6"/>
  <c r="D1378" i="6"/>
  <c r="E1378" i="6" s="1"/>
  <c r="B1378" i="6"/>
  <c r="C1378" i="6" s="1"/>
  <c r="D1377" i="6"/>
  <c r="E1377" i="6" s="1"/>
  <c r="B1377" i="6"/>
  <c r="C1377" i="6" s="1"/>
  <c r="D1376" i="6"/>
  <c r="E1376" i="6" s="1"/>
  <c r="B1376" i="6"/>
  <c r="D1375" i="6"/>
  <c r="B1375" i="6"/>
  <c r="C1375" i="6" s="1"/>
  <c r="D1374" i="6"/>
  <c r="E1374" i="6" s="1"/>
  <c r="C1374" i="6"/>
  <c r="B1374" i="6"/>
  <c r="E1373" i="6"/>
  <c r="D1373" i="6"/>
  <c r="B1373" i="6"/>
  <c r="D1372" i="6"/>
  <c r="C1372" i="6"/>
  <c r="B1372" i="6"/>
  <c r="E1371" i="6"/>
  <c r="D1371" i="6"/>
  <c r="B1371" i="6"/>
  <c r="D1370" i="6"/>
  <c r="B1370" i="6"/>
  <c r="C1370" i="6" s="1"/>
  <c r="D1369" i="6"/>
  <c r="E1369" i="6" s="1"/>
  <c r="C1369" i="6"/>
  <c r="B1369" i="6"/>
  <c r="D1368" i="6"/>
  <c r="B1368" i="6"/>
  <c r="D1367" i="6"/>
  <c r="E1367" i="6" s="1"/>
  <c r="B1367" i="6"/>
  <c r="C1367" i="6" s="1"/>
  <c r="D1366" i="6"/>
  <c r="E1366" i="6" s="1"/>
  <c r="B1366" i="6"/>
  <c r="D1365" i="6"/>
  <c r="B1365" i="6"/>
  <c r="C1365" i="6" s="1"/>
  <c r="D1364" i="6"/>
  <c r="C1364" i="6"/>
  <c r="B1364" i="6"/>
  <c r="D1363" i="6"/>
  <c r="E1363" i="6" s="1"/>
  <c r="B1363" i="6"/>
  <c r="D1362" i="6"/>
  <c r="E1362" i="6" s="1"/>
  <c r="C1362" i="6"/>
  <c r="B1362" i="6"/>
  <c r="C1363" i="6" s="1"/>
  <c r="D1361" i="6"/>
  <c r="E1361" i="6" s="1"/>
  <c r="C1361" i="6"/>
  <c r="B1361" i="6"/>
  <c r="D1360" i="6"/>
  <c r="E1360" i="6" s="1"/>
  <c r="B1360" i="6"/>
  <c r="C1360" i="6" s="1"/>
  <c r="E1359" i="6"/>
  <c r="D1359" i="6"/>
  <c r="B1359" i="6"/>
  <c r="C1359" i="6" s="1"/>
  <c r="D1358" i="6"/>
  <c r="E1358" i="6" s="1"/>
  <c r="C1358" i="6"/>
  <c r="B1358" i="6"/>
  <c r="D1357" i="6"/>
  <c r="E1357" i="6" s="1"/>
  <c r="B1357" i="6"/>
  <c r="C1357" i="6" s="1"/>
  <c r="D1356" i="6"/>
  <c r="E1356" i="6" s="1"/>
  <c r="C1356" i="6"/>
  <c r="B1356" i="6"/>
  <c r="E1355" i="6"/>
  <c r="D1355" i="6"/>
  <c r="B1355" i="6"/>
  <c r="D1354" i="6"/>
  <c r="B1354" i="6"/>
  <c r="C1355" i="6" s="1"/>
  <c r="E1353" i="6"/>
  <c r="D1353" i="6"/>
  <c r="B1353" i="6"/>
  <c r="D1352" i="6"/>
  <c r="B1352" i="6"/>
  <c r="C1352" i="6" s="1"/>
  <c r="D1351" i="6"/>
  <c r="E1351" i="6" s="1"/>
  <c r="C1351" i="6"/>
  <c r="B1351" i="6"/>
  <c r="D1350" i="6"/>
  <c r="B1350" i="6"/>
  <c r="D1349" i="6"/>
  <c r="E1349" i="6" s="1"/>
  <c r="B1349" i="6"/>
  <c r="C1349" i="6" s="1"/>
  <c r="D1348" i="6"/>
  <c r="E1348" i="6" s="1"/>
  <c r="B1348" i="6"/>
  <c r="D1347" i="6"/>
  <c r="B1347" i="6"/>
  <c r="C1347" i="6" s="1"/>
  <c r="D1346" i="6"/>
  <c r="E1346" i="6" s="1"/>
  <c r="C1346" i="6"/>
  <c r="B1346" i="6"/>
  <c r="D1345" i="6"/>
  <c r="E1345" i="6" s="1"/>
  <c r="B1345" i="6"/>
  <c r="D1344" i="6"/>
  <c r="E1344" i="6" s="1"/>
  <c r="C1344" i="6"/>
  <c r="B1344" i="6"/>
  <c r="C1345" i="6" s="1"/>
  <c r="E1343" i="6"/>
  <c r="D1343" i="6"/>
  <c r="B1343" i="6"/>
  <c r="C1343" i="6" s="1"/>
  <c r="D1342" i="6"/>
  <c r="B1342" i="6"/>
  <c r="C1342" i="6" s="1"/>
  <c r="E1341" i="6"/>
  <c r="D1341" i="6"/>
  <c r="B1341" i="6"/>
  <c r="C1341" i="6" s="1"/>
  <c r="D1340" i="6"/>
  <c r="E1340" i="6" s="1"/>
  <c r="C1340" i="6"/>
  <c r="B1340" i="6"/>
  <c r="D1339" i="6"/>
  <c r="E1339" i="6" s="1"/>
  <c r="C1339" i="6"/>
  <c r="B1339" i="6"/>
  <c r="D1338" i="6"/>
  <c r="B1338" i="6"/>
  <c r="E1337" i="6"/>
  <c r="D1337" i="6"/>
  <c r="B1337" i="6"/>
  <c r="C1337" i="6" s="1"/>
  <c r="D1336" i="6"/>
  <c r="B1336" i="6"/>
  <c r="C1336" i="6" s="1"/>
  <c r="E1335" i="6"/>
  <c r="D1335" i="6"/>
  <c r="C1335" i="6"/>
  <c r="B1335" i="6"/>
  <c r="D1334" i="6"/>
  <c r="B1334" i="6"/>
  <c r="C1334" i="6" s="1"/>
  <c r="D1333" i="6"/>
  <c r="E1333" i="6" s="1"/>
  <c r="C1333" i="6"/>
  <c r="B1333" i="6"/>
  <c r="D1332" i="6"/>
  <c r="B1332" i="6"/>
  <c r="D1331" i="6"/>
  <c r="E1331" i="6" s="1"/>
  <c r="B1331" i="6"/>
  <c r="C1332" i="6" s="1"/>
  <c r="D1330" i="6"/>
  <c r="E1330" i="6" s="1"/>
  <c r="B1330" i="6"/>
  <c r="D1329" i="6"/>
  <c r="B1329" i="6"/>
  <c r="C1329" i="6" s="1"/>
  <c r="D1328" i="6"/>
  <c r="E1328" i="6" s="1"/>
  <c r="C1328" i="6"/>
  <c r="B1328" i="6"/>
  <c r="E1327" i="6"/>
  <c r="D1327" i="6"/>
  <c r="B1327" i="6"/>
  <c r="D1326" i="6"/>
  <c r="C1326" i="6"/>
  <c r="B1326" i="6"/>
  <c r="E1325" i="6"/>
  <c r="D1325" i="6"/>
  <c r="B1325" i="6"/>
  <c r="C1325" i="6" s="1"/>
  <c r="D1324" i="6"/>
  <c r="B1324" i="6"/>
  <c r="C1324" i="6" s="1"/>
  <c r="E1323" i="6"/>
  <c r="D1323" i="6"/>
  <c r="C1323" i="6"/>
  <c r="B1323" i="6"/>
  <c r="D1322" i="6"/>
  <c r="B1322" i="6"/>
  <c r="D1321" i="6"/>
  <c r="E1321" i="6" s="1"/>
  <c r="B1321" i="6"/>
  <c r="C1322" i="6" s="1"/>
  <c r="D1320" i="6"/>
  <c r="B1320" i="6"/>
  <c r="D1319" i="6"/>
  <c r="B1319" i="6"/>
  <c r="C1319" i="6" s="1"/>
  <c r="D1318" i="6"/>
  <c r="B1318" i="6"/>
  <c r="C1318" i="6" s="1"/>
  <c r="E1317" i="6"/>
  <c r="D1317" i="6"/>
  <c r="C1317" i="6"/>
  <c r="B1317" i="6"/>
  <c r="D1316" i="6"/>
  <c r="C1316" i="6"/>
  <c r="B1316" i="6"/>
  <c r="D1315" i="6"/>
  <c r="E1315" i="6" s="1"/>
  <c r="C1315" i="6"/>
  <c r="B1315" i="6"/>
  <c r="D1314" i="6"/>
  <c r="E1314" i="6" s="1"/>
  <c r="B1314" i="6"/>
  <c r="C1314" i="6" s="1"/>
  <c r="D1313" i="6"/>
  <c r="E1313" i="6" s="1"/>
  <c r="B1313" i="6"/>
  <c r="C1313" i="6" s="1"/>
  <c r="D1312" i="6"/>
  <c r="E1312" i="6" s="1"/>
  <c r="C1312" i="6"/>
  <c r="B1312" i="6"/>
  <c r="D1311" i="6"/>
  <c r="C1311" i="6"/>
  <c r="B1311" i="6"/>
  <c r="D1310" i="6"/>
  <c r="E1310" i="6" s="1"/>
  <c r="C1310" i="6"/>
  <c r="B1310" i="6"/>
  <c r="D1309" i="6"/>
  <c r="B1309" i="6"/>
  <c r="D1308" i="6"/>
  <c r="E1308" i="6" s="1"/>
  <c r="B1308" i="6"/>
  <c r="C1308" i="6" s="1"/>
  <c r="E1307" i="6"/>
  <c r="D1307" i="6"/>
  <c r="B1307" i="6"/>
  <c r="D1306" i="6"/>
  <c r="C1306" i="6"/>
  <c r="B1306" i="6"/>
  <c r="C1307" i="6" s="1"/>
  <c r="E1305" i="6"/>
  <c r="D1305" i="6"/>
  <c r="B1305" i="6"/>
  <c r="D1304" i="6"/>
  <c r="B1304" i="6"/>
  <c r="C1304" i="6" s="1"/>
  <c r="D1303" i="6"/>
  <c r="E1303" i="6" s="1"/>
  <c r="C1303" i="6"/>
  <c r="B1303" i="6"/>
  <c r="D1302" i="6"/>
  <c r="B1302" i="6"/>
  <c r="D1301" i="6"/>
  <c r="E1301" i="6" s="1"/>
  <c r="B1301" i="6"/>
  <c r="C1301" i="6" s="1"/>
  <c r="D1300" i="6"/>
  <c r="E1300" i="6" s="1"/>
  <c r="C1300" i="6"/>
  <c r="B1300" i="6"/>
  <c r="D1299" i="6"/>
  <c r="E1299" i="6" s="1"/>
  <c r="C1299" i="6"/>
  <c r="B1299" i="6"/>
  <c r="D1298" i="6"/>
  <c r="E1298" i="6" s="1"/>
  <c r="C1298" i="6"/>
  <c r="B1298" i="6"/>
  <c r="D1297" i="6"/>
  <c r="B1297" i="6"/>
  <c r="C1297" i="6" s="1"/>
  <c r="D1296" i="6"/>
  <c r="E1296" i="6" s="1"/>
  <c r="B1296" i="6"/>
  <c r="C1296" i="6" s="1"/>
  <c r="E1295" i="6"/>
  <c r="D1295" i="6"/>
  <c r="B1295" i="6"/>
  <c r="D1294" i="6"/>
  <c r="C1294" i="6"/>
  <c r="B1294" i="6"/>
  <c r="C1295" i="6" s="1"/>
  <c r="E1293" i="6"/>
  <c r="D1293" i="6"/>
  <c r="B1293" i="6"/>
  <c r="C1293" i="6" s="1"/>
  <c r="D1292" i="6"/>
  <c r="B1292" i="6"/>
  <c r="C1292" i="6" s="1"/>
  <c r="E1291" i="6"/>
  <c r="D1291" i="6"/>
  <c r="C1291" i="6"/>
  <c r="B1291" i="6"/>
  <c r="D1290" i="6"/>
  <c r="B1290" i="6"/>
  <c r="D1289" i="6"/>
  <c r="E1289" i="6" s="1"/>
  <c r="B1289" i="6"/>
  <c r="C1290" i="6" s="1"/>
  <c r="D1288" i="6"/>
  <c r="C1288" i="6"/>
  <c r="B1288" i="6"/>
  <c r="D1287" i="6"/>
  <c r="E1287" i="6" s="1"/>
  <c r="C1287" i="6"/>
  <c r="B1287" i="6"/>
  <c r="D1286" i="6"/>
  <c r="E1286" i="6" s="1"/>
  <c r="B1286" i="6"/>
  <c r="C1286" i="6" s="1"/>
  <c r="D1285" i="6"/>
  <c r="B1285" i="6"/>
  <c r="C1285" i="6" s="1"/>
  <c r="D1284" i="6"/>
  <c r="E1284" i="6" s="1"/>
  <c r="C1284" i="6"/>
  <c r="B1284" i="6"/>
  <c r="E1283" i="6"/>
  <c r="D1283" i="6"/>
  <c r="B1283" i="6"/>
  <c r="D1282" i="6"/>
  <c r="C1282" i="6"/>
  <c r="B1282" i="6"/>
  <c r="C1283" i="6" s="1"/>
  <c r="D1281" i="6"/>
  <c r="E1281" i="6" s="1"/>
  <c r="C1281" i="6"/>
  <c r="B1281" i="6"/>
  <c r="D1280" i="6"/>
  <c r="E1280" i="6" s="1"/>
  <c r="B1280" i="6"/>
  <c r="C1280" i="6" s="1"/>
  <c r="E1279" i="6"/>
  <c r="D1279" i="6"/>
  <c r="C1279" i="6"/>
  <c r="B1279" i="6"/>
  <c r="D1278" i="6"/>
  <c r="B1278" i="6"/>
  <c r="D1277" i="6"/>
  <c r="E1277" i="6" s="1"/>
  <c r="B1277" i="6"/>
  <c r="D1276" i="6"/>
  <c r="E1276" i="6" s="1"/>
  <c r="C1276" i="6"/>
  <c r="B1276" i="6"/>
  <c r="D1275" i="6"/>
  <c r="B1275" i="6"/>
  <c r="D1274" i="6"/>
  <c r="E1274" i="6" s="1"/>
  <c r="C1274" i="6"/>
  <c r="B1274" i="6"/>
  <c r="C1275" i="6" s="1"/>
  <c r="E1273" i="6"/>
  <c r="D1273" i="6"/>
  <c r="B1273" i="6"/>
  <c r="C1273" i="6" s="1"/>
  <c r="D1272" i="6"/>
  <c r="B1272" i="6"/>
  <c r="C1272" i="6" s="1"/>
  <c r="E1271" i="6"/>
  <c r="D1271" i="6"/>
  <c r="B1271" i="6"/>
  <c r="D1270" i="6"/>
  <c r="B1270" i="6"/>
  <c r="C1270" i="6" s="1"/>
  <c r="D1269" i="6"/>
  <c r="E1269" i="6" s="1"/>
  <c r="C1269" i="6"/>
  <c r="B1269" i="6"/>
  <c r="D1268" i="6"/>
  <c r="B1268" i="6"/>
  <c r="E1267" i="6"/>
  <c r="D1267" i="6"/>
  <c r="C1267" i="6"/>
  <c r="B1267" i="6"/>
  <c r="C1268" i="6" s="1"/>
  <c r="D1266" i="6"/>
  <c r="E1266" i="6" s="1"/>
  <c r="B1266" i="6"/>
  <c r="D1265" i="6"/>
  <c r="C1265" i="6"/>
  <c r="B1265" i="6"/>
  <c r="C1266" i="6" s="1"/>
  <c r="D1264" i="6"/>
  <c r="E1264" i="6" s="1"/>
  <c r="B1264" i="6"/>
  <c r="D1263" i="6"/>
  <c r="B1263" i="6"/>
  <c r="C1263" i="6" s="1"/>
  <c r="D1262" i="6"/>
  <c r="E1262" i="6" s="1"/>
  <c r="C1262" i="6"/>
  <c r="B1262" i="6"/>
  <c r="E1261" i="6"/>
  <c r="D1261" i="6"/>
  <c r="B1261" i="6"/>
  <c r="D1260" i="6"/>
  <c r="C1260" i="6"/>
  <c r="B1260" i="6"/>
  <c r="E1259" i="6"/>
  <c r="D1259" i="6"/>
  <c r="B1259" i="6"/>
  <c r="D1258" i="6"/>
  <c r="B1258" i="6"/>
  <c r="C1258" i="6" s="1"/>
  <c r="D1257" i="6"/>
  <c r="E1257" i="6" s="1"/>
  <c r="C1257" i="6"/>
  <c r="B1257" i="6"/>
  <c r="D1256" i="6"/>
  <c r="B1256" i="6"/>
  <c r="C1256" i="6" s="1"/>
  <c r="E1255" i="6"/>
  <c r="D1255" i="6"/>
  <c r="C1255" i="6"/>
  <c r="B1255" i="6"/>
  <c r="D1254" i="6"/>
  <c r="E1254" i="6" s="1"/>
  <c r="B1254" i="6"/>
  <c r="D1253" i="6"/>
  <c r="E1253" i="6" s="1"/>
  <c r="C1253" i="6"/>
  <c r="B1253" i="6"/>
  <c r="D1252" i="6"/>
  <c r="E1252" i="6" s="1"/>
  <c r="B1252" i="6"/>
  <c r="D1251" i="6"/>
  <c r="B1251" i="6"/>
  <c r="C1251" i="6" s="1"/>
  <c r="D1250" i="6"/>
  <c r="C1250" i="6"/>
  <c r="B1250" i="6"/>
  <c r="D1249" i="6"/>
  <c r="E1249" i="6" s="1"/>
  <c r="B1249" i="6"/>
  <c r="D1248" i="6"/>
  <c r="E1248" i="6" s="1"/>
  <c r="C1248" i="6"/>
  <c r="B1248" i="6"/>
  <c r="C1249" i="6" s="1"/>
  <c r="E1247" i="6"/>
  <c r="D1247" i="6"/>
  <c r="B1247" i="6"/>
  <c r="D1246" i="6"/>
  <c r="B1246" i="6"/>
  <c r="C1246" i="6" s="1"/>
  <c r="D1245" i="6"/>
  <c r="E1245" i="6" s="1"/>
  <c r="B1245" i="6"/>
  <c r="C1245" i="6" s="1"/>
  <c r="D1244" i="6"/>
  <c r="C1244" i="6"/>
  <c r="B1244" i="6"/>
  <c r="D1243" i="6"/>
  <c r="E1243" i="6" s="1"/>
  <c r="C1243" i="6"/>
  <c r="B1243" i="6"/>
  <c r="D1242" i="6"/>
  <c r="E1242" i="6" s="1"/>
  <c r="C1242" i="6"/>
  <c r="B1242" i="6"/>
  <c r="D1241" i="6"/>
  <c r="E1241" i="6" s="1"/>
  <c r="C1241" i="6"/>
  <c r="B1241" i="6"/>
  <c r="D1240" i="6"/>
  <c r="B1240" i="6"/>
  <c r="D1239" i="6"/>
  <c r="B1239" i="6"/>
  <c r="C1239" i="6" s="1"/>
  <c r="D1238" i="6"/>
  <c r="B1238" i="6"/>
  <c r="C1238" i="6" s="1"/>
  <c r="E1237" i="6"/>
  <c r="D1237" i="6"/>
  <c r="C1237" i="6"/>
  <c r="B1237" i="6"/>
  <c r="D1236" i="6"/>
  <c r="C1236" i="6"/>
  <c r="B1236" i="6"/>
  <c r="E1235" i="6"/>
  <c r="D1235" i="6"/>
  <c r="B1235" i="6"/>
  <c r="D1234" i="6"/>
  <c r="B1234" i="6"/>
  <c r="C1234" i="6" s="1"/>
  <c r="D1233" i="6"/>
  <c r="C1233" i="6"/>
  <c r="B1233" i="6"/>
  <c r="D1232" i="6"/>
  <c r="E1232" i="6" s="1"/>
  <c r="B1232" i="6"/>
  <c r="D1231" i="6"/>
  <c r="B1231" i="6"/>
  <c r="C1232" i="6" s="1"/>
  <c r="D1230" i="6"/>
  <c r="E1230" i="6" s="1"/>
  <c r="B1230" i="6"/>
  <c r="D1229" i="6"/>
  <c r="E1229" i="6" s="1"/>
  <c r="B1229" i="6"/>
  <c r="C1229" i="6" s="1"/>
  <c r="D1228" i="6"/>
  <c r="E1228" i="6" s="1"/>
  <c r="C1228" i="6"/>
  <c r="B1228" i="6"/>
  <c r="D1227" i="6"/>
  <c r="B1227" i="6"/>
  <c r="D1226" i="6"/>
  <c r="E1226" i="6" s="1"/>
  <c r="B1226" i="6"/>
  <c r="C1227" i="6" s="1"/>
  <c r="E1225" i="6"/>
  <c r="D1225" i="6"/>
  <c r="B1225" i="6"/>
  <c r="D1224" i="6"/>
  <c r="C1224" i="6"/>
  <c r="B1224" i="6"/>
  <c r="C1225" i="6" s="1"/>
  <c r="E1223" i="6"/>
  <c r="D1223" i="6"/>
  <c r="B1223" i="6"/>
  <c r="D1222" i="6"/>
  <c r="B1222" i="6"/>
  <c r="C1222" i="6" s="1"/>
  <c r="D1221" i="6"/>
  <c r="E1221" i="6" s="1"/>
  <c r="C1221" i="6"/>
  <c r="B1221" i="6"/>
  <c r="D1220" i="6"/>
  <c r="B1220" i="6"/>
  <c r="C1220" i="6" s="1"/>
  <c r="E1219" i="6"/>
  <c r="D1219" i="6"/>
  <c r="C1219" i="6"/>
  <c r="B1219" i="6"/>
  <c r="D1218" i="6"/>
  <c r="B1218" i="6"/>
  <c r="D1217" i="6"/>
  <c r="E1217" i="6" s="1"/>
  <c r="B1217" i="6"/>
  <c r="C1218" i="6" s="1"/>
  <c r="D1216" i="6"/>
  <c r="E1216" i="6" s="1"/>
  <c r="C1216" i="6"/>
  <c r="B1216" i="6"/>
  <c r="D1215" i="6"/>
  <c r="E1215" i="6" s="1"/>
  <c r="C1215" i="6"/>
  <c r="B1215" i="6"/>
  <c r="D1214" i="6"/>
  <c r="E1214" i="6" s="1"/>
  <c r="B1214" i="6"/>
  <c r="D1213" i="6"/>
  <c r="B1213" i="6"/>
  <c r="C1213" i="6" s="1"/>
  <c r="D1212" i="6"/>
  <c r="E1212" i="6" s="1"/>
  <c r="C1212" i="6"/>
  <c r="B1212" i="6"/>
  <c r="D1211" i="6"/>
  <c r="B1211" i="6"/>
  <c r="C1211" i="6" s="1"/>
  <c r="D1210" i="6"/>
  <c r="E1210" i="6" s="1"/>
  <c r="B1210" i="6"/>
  <c r="C1210" i="6" s="1"/>
  <c r="E1209" i="6"/>
  <c r="D1209" i="6"/>
  <c r="B1209" i="6"/>
  <c r="D1208" i="6"/>
  <c r="C1208" i="6"/>
  <c r="B1208" i="6"/>
  <c r="C1209" i="6" s="1"/>
  <c r="E1207" i="6"/>
  <c r="D1207" i="6"/>
  <c r="B1207" i="6"/>
  <c r="D1206" i="6"/>
  <c r="B1206" i="6"/>
  <c r="C1206" i="6" s="1"/>
  <c r="D1205" i="6"/>
  <c r="E1205" i="6" s="1"/>
  <c r="C1205" i="6"/>
  <c r="B1205" i="6"/>
  <c r="D1204" i="6"/>
  <c r="B1204" i="6"/>
  <c r="C1204" i="6" s="1"/>
  <c r="E1203" i="6"/>
  <c r="D1203" i="6"/>
  <c r="C1203" i="6"/>
  <c r="B1203" i="6"/>
  <c r="D1202" i="6"/>
  <c r="B1202" i="6"/>
  <c r="D1201" i="6"/>
  <c r="E1201" i="6" s="1"/>
  <c r="B1201" i="6"/>
  <c r="C1202" i="6" s="1"/>
  <c r="D1200" i="6"/>
  <c r="E1200" i="6" s="1"/>
  <c r="C1200" i="6"/>
  <c r="B1200" i="6"/>
  <c r="D1199" i="6"/>
  <c r="E1199" i="6" s="1"/>
  <c r="C1199" i="6"/>
  <c r="B1199" i="6"/>
  <c r="D1198" i="6"/>
  <c r="E1198" i="6" s="1"/>
  <c r="B1198" i="6"/>
  <c r="D1197" i="6"/>
  <c r="B1197" i="6"/>
  <c r="C1197" i="6" s="1"/>
  <c r="D1196" i="6"/>
  <c r="E1196" i="6" s="1"/>
  <c r="C1196" i="6"/>
  <c r="B1196" i="6"/>
  <c r="D1195" i="6"/>
  <c r="B1195" i="6"/>
  <c r="C1195" i="6" s="1"/>
  <c r="D1194" i="6"/>
  <c r="E1194" i="6" s="1"/>
  <c r="B1194" i="6"/>
  <c r="C1194" i="6" s="1"/>
  <c r="E1193" i="6"/>
  <c r="D1193" i="6"/>
  <c r="B1193" i="6"/>
  <c r="D1192" i="6"/>
  <c r="C1192" i="6"/>
  <c r="B1192" i="6"/>
  <c r="C1193" i="6" s="1"/>
  <c r="E1191" i="6"/>
  <c r="D1191" i="6"/>
  <c r="B1191" i="6"/>
  <c r="D1190" i="6"/>
  <c r="B1190" i="6"/>
  <c r="C1190" i="6" s="1"/>
  <c r="D1189" i="6"/>
  <c r="E1189" i="6" s="1"/>
  <c r="C1189" i="6"/>
  <c r="B1189" i="6"/>
  <c r="D1188" i="6"/>
  <c r="B1188" i="6"/>
  <c r="C1188" i="6" s="1"/>
  <c r="E1187" i="6"/>
  <c r="D1187" i="6"/>
  <c r="C1187" i="6"/>
  <c r="B1187" i="6"/>
  <c r="D1186" i="6"/>
  <c r="B1186" i="6"/>
  <c r="D1185" i="6"/>
  <c r="E1185" i="6" s="1"/>
  <c r="B1185" i="6"/>
  <c r="C1186" i="6" s="1"/>
  <c r="D1184" i="6"/>
  <c r="E1184" i="6" s="1"/>
  <c r="C1184" i="6"/>
  <c r="B1184" i="6"/>
  <c r="D1183" i="6"/>
  <c r="E1183" i="6" s="1"/>
  <c r="C1183" i="6"/>
  <c r="B1183" i="6"/>
  <c r="D1182" i="6"/>
  <c r="E1182" i="6" s="1"/>
  <c r="B1182" i="6"/>
  <c r="D1181" i="6"/>
  <c r="B1181" i="6"/>
  <c r="C1181" i="6" s="1"/>
  <c r="D1180" i="6"/>
  <c r="E1180" i="6" s="1"/>
  <c r="C1180" i="6"/>
  <c r="B1180" i="6"/>
  <c r="D1179" i="6"/>
  <c r="B1179" i="6"/>
  <c r="C1179" i="6" s="1"/>
  <c r="D1178" i="6"/>
  <c r="E1178" i="6" s="1"/>
  <c r="B1178" i="6"/>
  <c r="C1178" i="6" s="1"/>
  <c r="E1177" i="6"/>
  <c r="D1177" i="6"/>
  <c r="B1177" i="6"/>
  <c r="D1176" i="6"/>
  <c r="C1176" i="6"/>
  <c r="B1176" i="6"/>
  <c r="C1177" i="6" s="1"/>
  <c r="E1175" i="6"/>
  <c r="D1175" i="6"/>
  <c r="B1175" i="6"/>
  <c r="D1174" i="6"/>
  <c r="B1174" i="6"/>
  <c r="C1174" i="6" s="1"/>
  <c r="D1173" i="6"/>
  <c r="E1173" i="6" s="1"/>
  <c r="C1173" i="6"/>
  <c r="B1173" i="6"/>
  <c r="D1172" i="6"/>
  <c r="B1172" i="6"/>
  <c r="C1172" i="6" s="1"/>
  <c r="E1171" i="6"/>
  <c r="D1171" i="6"/>
  <c r="C1171" i="6"/>
  <c r="B1171" i="6"/>
  <c r="D1170" i="6"/>
  <c r="B1170" i="6"/>
  <c r="D1169" i="6"/>
  <c r="E1169" i="6" s="1"/>
  <c r="B1169" i="6"/>
  <c r="C1170" i="6" s="1"/>
  <c r="D1168" i="6"/>
  <c r="E1168" i="6" s="1"/>
  <c r="C1168" i="6"/>
  <c r="B1168" i="6"/>
  <c r="D1167" i="6"/>
  <c r="E1167" i="6" s="1"/>
  <c r="C1167" i="6"/>
  <c r="B1167" i="6"/>
  <c r="D1166" i="6"/>
  <c r="E1166" i="6" s="1"/>
  <c r="B1166" i="6"/>
  <c r="D1165" i="6"/>
  <c r="B1165" i="6"/>
  <c r="C1165" i="6" s="1"/>
  <c r="D1164" i="6"/>
  <c r="E1164" i="6" s="1"/>
  <c r="C1164" i="6"/>
  <c r="B1164" i="6"/>
  <c r="D1163" i="6"/>
  <c r="B1163" i="6"/>
  <c r="C1163" i="6" s="1"/>
  <c r="D1162" i="6"/>
  <c r="E1162" i="6" s="1"/>
  <c r="B1162" i="6"/>
  <c r="C1162" i="6" s="1"/>
  <c r="E1161" i="6"/>
  <c r="D1161" i="6"/>
  <c r="B1161" i="6"/>
  <c r="D1160" i="6"/>
  <c r="C1160" i="6"/>
  <c r="B1160" i="6"/>
  <c r="C1161" i="6" s="1"/>
  <c r="E1159" i="6"/>
  <c r="D1159" i="6"/>
  <c r="B1159" i="6"/>
  <c r="D1158" i="6"/>
  <c r="B1158" i="6"/>
  <c r="C1158" i="6" s="1"/>
  <c r="D1157" i="6"/>
  <c r="E1157" i="6" s="1"/>
  <c r="C1157" i="6"/>
  <c r="B1157" i="6"/>
  <c r="D1156" i="6"/>
  <c r="B1156" i="6"/>
  <c r="C1156" i="6" s="1"/>
  <c r="E1155" i="6"/>
  <c r="D1155" i="6"/>
  <c r="C1155" i="6"/>
  <c r="B1155" i="6"/>
  <c r="D1154" i="6"/>
  <c r="B1154" i="6"/>
  <c r="D1153" i="6"/>
  <c r="E1153" i="6" s="1"/>
  <c r="B1153" i="6"/>
  <c r="C1154" i="6" s="1"/>
  <c r="D1152" i="6"/>
  <c r="E1152" i="6" s="1"/>
  <c r="C1152" i="6"/>
  <c r="B1152" i="6"/>
  <c r="D1151" i="6"/>
  <c r="E1151" i="6" s="1"/>
  <c r="C1151" i="6"/>
  <c r="B1151" i="6"/>
  <c r="D1150" i="6"/>
  <c r="E1150" i="6" s="1"/>
  <c r="B1150" i="6"/>
  <c r="D1149" i="6"/>
  <c r="B1149" i="6"/>
  <c r="C1149" i="6" s="1"/>
  <c r="D1148" i="6"/>
  <c r="E1148" i="6" s="1"/>
  <c r="C1148" i="6"/>
  <c r="B1148" i="6"/>
  <c r="D1147" i="6"/>
  <c r="B1147" i="6"/>
  <c r="C1147" i="6" s="1"/>
  <c r="D1146" i="6"/>
  <c r="E1146" i="6" s="1"/>
  <c r="B1146" i="6"/>
  <c r="C1146" i="6" s="1"/>
  <c r="E1145" i="6"/>
  <c r="D1145" i="6"/>
  <c r="B1145" i="6"/>
  <c r="D1144" i="6"/>
  <c r="C1144" i="6"/>
  <c r="B1144" i="6"/>
  <c r="C1145" i="6" s="1"/>
  <c r="E1143" i="6"/>
  <c r="D1143" i="6"/>
  <c r="B1143" i="6"/>
  <c r="D1142" i="6"/>
  <c r="B1142" i="6"/>
  <c r="C1142" i="6" s="1"/>
  <c r="D1141" i="6"/>
  <c r="E1141" i="6" s="1"/>
  <c r="C1141" i="6"/>
  <c r="B1141" i="6"/>
  <c r="D1140" i="6"/>
  <c r="B1140" i="6"/>
  <c r="C1140" i="6" s="1"/>
  <c r="E1139" i="6"/>
  <c r="D1139" i="6"/>
  <c r="C1139" i="6"/>
  <c r="B1139" i="6"/>
  <c r="D1138" i="6"/>
  <c r="B1138" i="6"/>
  <c r="D1137" i="6"/>
  <c r="E1137" i="6" s="1"/>
  <c r="B1137" i="6"/>
  <c r="C1138" i="6" s="1"/>
  <c r="D1136" i="6"/>
  <c r="E1136" i="6" s="1"/>
  <c r="C1136" i="6"/>
  <c r="B1136" i="6"/>
  <c r="D1135" i="6"/>
  <c r="E1135" i="6" s="1"/>
  <c r="C1135" i="6"/>
  <c r="B1135" i="6"/>
  <c r="D1134" i="6"/>
  <c r="E1134" i="6" s="1"/>
  <c r="B1134" i="6"/>
  <c r="D1133" i="6"/>
  <c r="B1133" i="6"/>
  <c r="C1133" i="6" s="1"/>
  <c r="D1132" i="6"/>
  <c r="E1132" i="6" s="1"/>
  <c r="C1132" i="6"/>
  <c r="B1132" i="6"/>
  <c r="D1131" i="6"/>
  <c r="B1131" i="6"/>
  <c r="C1131" i="6" s="1"/>
  <c r="D1130" i="6"/>
  <c r="E1130" i="6" s="1"/>
  <c r="B1130" i="6"/>
  <c r="C1130" i="6" s="1"/>
  <c r="E1129" i="6"/>
  <c r="D1129" i="6"/>
  <c r="B1129" i="6"/>
  <c r="D1128" i="6"/>
  <c r="C1128" i="6"/>
  <c r="B1128" i="6"/>
  <c r="C1129" i="6" s="1"/>
  <c r="E1127" i="6"/>
  <c r="D1127" i="6"/>
  <c r="B1127" i="6"/>
  <c r="D1126" i="6"/>
  <c r="B1126" i="6"/>
  <c r="C1126" i="6" s="1"/>
  <c r="D1125" i="6"/>
  <c r="E1125" i="6" s="1"/>
  <c r="C1125" i="6"/>
  <c r="B1125" i="6"/>
  <c r="D1124" i="6"/>
  <c r="B1124" i="6"/>
  <c r="C1124" i="6" s="1"/>
  <c r="E1123" i="6"/>
  <c r="D1123" i="6"/>
  <c r="C1123" i="6"/>
  <c r="B1123" i="6"/>
  <c r="D1122" i="6"/>
  <c r="B1122" i="6"/>
  <c r="D1121" i="6"/>
  <c r="E1121" i="6" s="1"/>
  <c r="B1121" i="6"/>
  <c r="C1122" i="6" s="1"/>
  <c r="D1120" i="6"/>
  <c r="E1120" i="6" s="1"/>
  <c r="C1120" i="6"/>
  <c r="B1120" i="6"/>
  <c r="D1119" i="6"/>
  <c r="E1119" i="6" s="1"/>
  <c r="C1119" i="6"/>
  <c r="B1119" i="6"/>
  <c r="D1118" i="6"/>
  <c r="E1118" i="6" s="1"/>
  <c r="B1118" i="6"/>
  <c r="D1117" i="6"/>
  <c r="B1117" i="6"/>
  <c r="C1117" i="6" s="1"/>
  <c r="D1116" i="6"/>
  <c r="E1116" i="6" s="1"/>
  <c r="C1116" i="6"/>
  <c r="B1116" i="6"/>
  <c r="D1115" i="6"/>
  <c r="B1115" i="6"/>
  <c r="C1115" i="6" s="1"/>
  <c r="D1114" i="6"/>
  <c r="E1114" i="6" s="1"/>
  <c r="B1114" i="6"/>
  <c r="C1114" i="6" s="1"/>
  <c r="E1113" i="6"/>
  <c r="D1113" i="6"/>
  <c r="B1113" i="6"/>
  <c r="D1112" i="6"/>
  <c r="C1112" i="6"/>
  <c r="B1112" i="6"/>
  <c r="C1113" i="6" s="1"/>
  <c r="E1111" i="6"/>
  <c r="D1111" i="6"/>
  <c r="B1111" i="6"/>
  <c r="D1110" i="6"/>
  <c r="B1110" i="6"/>
  <c r="C1110" i="6" s="1"/>
  <c r="D1109" i="6"/>
  <c r="E1109" i="6" s="1"/>
  <c r="C1109" i="6"/>
  <c r="B1109" i="6"/>
  <c r="D1108" i="6"/>
  <c r="B1108" i="6"/>
  <c r="C1108" i="6" s="1"/>
  <c r="E1107" i="6"/>
  <c r="D1107" i="6"/>
  <c r="C1107" i="6"/>
  <c r="B1107" i="6"/>
  <c r="D1106" i="6"/>
  <c r="B1106" i="6"/>
  <c r="D1105" i="6"/>
  <c r="E1105" i="6" s="1"/>
  <c r="B1105" i="6"/>
  <c r="C1106" i="6" s="1"/>
  <c r="D1104" i="6"/>
  <c r="E1104" i="6" s="1"/>
  <c r="C1104" i="6"/>
  <c r="B1104" i="6"/>
  <c r="D1103" i="6"/>
  <c r="E1103" i="6" s="1"/>
  <c r="C1103" i="6"/>
  <c r="B1103" i="6"/>
  <c r="D1102" i="6"/>
  <c r="E1102" i="6" s="1"/>
  <c r="B1102" i="6"/>
  <c r="D1101" i="6"/>
  <c r="B1101" i="6"/>
  <c r="C1101" i="6" s="1"/>
  <c r="D1100" i="6"/>
  <c r="E1100" i="6" s="1"/>
  <c r="C1100" i="6"/>
  <c r="B1100" i="6"/>
  <c r="D1099" i="6"/>
  <c r="B1099" i="6"/>
  <c r="C1099" i="6" s="1"/>
  <c r="D1098" i="6"/>
  <c r="E1098" i="6" s="1"/>
  <c r="B1098" i="6"/>
  <c r="C1098" i="6" s="1"/>
  <c r="E1097" i="6"/>
  <c r="D1097" i="6"/>
  <c r="B1097" i="6"/>
  <c r="D1096" i="6"/>
  <c r="C1096" i="6"/>
  <c r="B1096" i="6"/>
  <c r="C1097" i="6" s="1"/>
  <c r="E1095" i="6"/>
  <c r="D1095" i="6"/>
  <c r="B1095" i="6"/>
  <c r="D1094" i="6"/>
  <c r="B1094" i="6"/>
  <c r="C1094" i="6" s="1"/>
  <c r="D1093" i="6"/>
  <c r="E1093" i="6" s="1"/>
  <c r="C1093" i="6"/>
  <c r="B1093" i="6"/>
  <c r="D1092" i="6"/>
  <c r="B1092" i="6"/>
  <c r="C1092" i="6" s="1"/>
  <c r="E1091" i="6"/>
  <c r="D1091" i="6"/>
  <c r="C1091" i="6"/>
  <c r="B1091" i="6"/>
  <c r="D1090" i="6"/>
  <c r="B1090" i="6"/>
  <c r="D1089" i="6"/>
  <c r="E1089" i="6" s="1"/>
  <c r="B1089" i="6"/>
  <c r="C1090" i="6" s="1"/>
  <c r="D1088" i="6"/>
  <c r="E1088" i="6" s="1"/>
  <c r="C1088" i="6"/>
  <c r="B1088" i="6"/>
  <c r="D1087" i="6"/>
  <c r="E1087" i="6" s="1"/>
  <c r="C1087" i="6"/>
  <c r="B1087" i="6"/>
  <c r="D1086" i="6"/>
  <c r="E1086" i="6" s="1"/>
  <c r="B1086" i="6"/>
  <c r="D1085" i="6"/>
  <c r="B1085" i="6"/>
  <c r="C1085" i="6" s="1"/>
  <c r="D1084" i="6"/>
  <c r="E1084" i="6" s="1"/>
  <c r="C1084" i="6"/>
  <c r="B1084" i="6"/>
  <c r="D1083" i="6"/>
  <c r="B1083" i="6"/>
  <c r="C1083" i="6" s="1"/>
  <c r="D1082" i="6"/>
  <c r="E1082" i="6" s="1"/>
  <c r="B1082" i="6"/>
  <c r="C1082" i="6" s="1"/>
  <c r="E1081" i="6"/>
  <c r="D1081" i="6"/>
  <c r="B1081" i="6"/>
  <c r="D1080" i="6"/>
  <c r="C1080" i="6"/>
  <c r="B1080" i="6"/>
  <c r="C1081" i="6" s="1"/>
  <c r="E1079" i="6"/>
  <c r="D1079" i="6"/>
  <c r="B1079" i="6"/>
  <c r="D1078" i="6"/>
  <c r="B1078" i="6"/>
  <c r="C1078" i="6" s="1"/>
  <c r="D1077" i="6"/>
  <c r="E1077" i="6" s="1"/>
  <c r="C1077" i="6"/>
  <c r="B1077" i="6"/>
  <c r="D1076" i="6"/>
  <c r="B1076" i="6"/>
  <c r="C1076" i="6" s="1"/>
  <c r="E1075" i="6"/>
  <c r="D1075" i="6"/>
  <c r="C1075" i="6"/>
  <c r="B1075" i="6"/>
  <c r="D1074" i="6"/>
  <c r="B1074" i="6"/>
  <c r="D1073" i="6"/>
  <c r="E1073" i="6" s="1"/>
  <c r="B1073" i="6"/>
  <c r="C1074" i="6" s="1"/>
  <c r="D1072" i="6"/>
  <c r="E1072" i="6" s="1"/>
  <c r="C1072" i="6"/>
  <c r="B1072" i="6"/>
  <c r="D1071" i="6"/>
  <c r="E1071" i="6" s="1"/>
  <c r="C1071" i="6"/>
  <c r="B1071" i="6"/>
  <c r="D1070" i="6"/>
  <c r="E1070" i="6" s="1"/>
  <c r="B1070" i="6"/>
  <c r="D1069" i="6"/>
  <c r="B1069" i="6"/>
  <c r="C1069" i="6" s="1"/>
  <c r="D1068" i="6"/>
  <c r="E1068" i="6" s="1"/>
  <c r="C1068" i="6"/>
  <c r="B1068" i="6"/>
  <c r="D1067" i="6"/>
  <c r="B1067" i="6"/>
  <c r="C1067" i="6" s="1"/>
  <c r="D1066" i="6"/>
  <c r="E1066" i="6" s="1"/>
  <c r="B1066" i="6"/>
  <c r="C1066" i="6" s="1"/>
  <c r="E1065" i="6"/>
  <c r="D1065" i="6"/>
  <c r="B1065" i="6"/>
  <c r="D1064" i="6"/>
  <c r="C1064" i="6"/>
  <c r="B1064" i="6"/>
  <c r="C1065" i="6" s="1"/>
  <c r="E1063" i="6"/>
  <c r="D1063" i="6"/>
  <c r="B1063" i="6"/>
  <c r="D1062" i="6"/>
  <c r="B1062" i="6"/>
  <c r="C1062" i="6" s="1"/>
  <c r="D1061" i="6"/>
  <c r="E1061" i="6" s="1"/>
  <c r="C1061" i="6"/>
  <c r="B1061" i="6"/>
  <c r="D1060" i="6"/>
  <c r="B1060" i="6"/>
  <c r="C1060" i="6" s="1"/>
  <c r="E1059" i="6"/>
  <c r="D1059" i="6"/>
  <c r="C1059" i="6"/>
  <c r="B1059" i="6"/>
  <c r="D1058" i="6"/>
  <c r="B1058" i="6"/>
  <c r="D1057" i="6"/>
  <c r="E1057" i="6" s="1"/>
  <c r="B1057" i="6"/>
  <c r="C1058" i="6" s="1"/>
  <c r="D1056" i="6"/>
  <c r="E1056" i="6" s="1"/>
  <c r="C1056" i="6"/>
  <c r="B1056" i="6"/>
  <c r="D1055" i="6"/>
  <c r="E1055" i="6" s="1"/>
  <c r="C1055" i="6"/>
  <c r="B1055" i="6"/>
  <c r="D1054" i="6"/>
  <c r="E1054" i="6" s="1"/>
  <c r="B1054" i="6"/>
  <c r="D1053" i="6"/>
  <c r="B1053" i="6"/>
  <c r="C1053" i="6" s="1"/>
  <c r="D1052" i="6"/>
  <c r="E1052" i="6" s="1"/>
  <c r="C1052" i="6"/>
  <c r="B1052" i="6"/>
  <c r="E1051" i="6"/>
  <c r="D1051" i="6"/>
  <c r="B1051" i="6"/>
  <c r="C1051" i="6" s="1"/>
  <c r="E1050" i="6"/>
  <c r="D1050" i="6"/>
  <c r="C1050" i="6"/>
  <c r="B1050" i="6"/>
  <c r="E1049" i="6"/>
  <c r="D1049" i="6"/>
  <c r="B1049" i="6"/>
  <c r="C1049" i="6" s="1"/>
  <c r="E1048" i="6"/>
  <c r="D1048" i="6"/>
  <c r="C1048" i="6"/>
  <c r="B1048" i="6"/>
  <c r="E1047" i="6"/>
  <c r="D1047" i="6"/>
  <c r="B1047" i="6"/>
  <c r="C1047" i="6" s="1"/>
  <c r="E1046" i="6"/>
  <c r="D1046" i="6"/>
  <c r="C1046" i="6"/>
  <c r="B1046" i="6"/>
  <c r="E1045" i="6"/>
  <c r="D1045" i="6"/>
  <c r="B1045" i="6"/>
  <c r="C1045" i="6" s="1"/>
  <c r="E1044" i="6"/>
  <c r="D1044" i="6"/>
  <c r="C1044" i="6"/>
  <c r="B1044" i="6"/>
  <c r="E1043" i="6"/>
  <c r="D1043" i="6"/>
  <c r="B1043" i="6"/>
  <c r="C1043" i="6" s="1"/>
  <c r="E1042" i="6"/>
  <c r="D1042" i="6"/>
  <c r="C1042" i="6"/>
  <c r="B1042" i="6"/>
  <c r="E1041" i="6"/>
  <c r="D1041" i="6"/>
  <c r="B1041" i="6"/>
  <c r="C1041" i="6" s="1"/>
  <c r="E1040" i="6"/>
  <c r="D1040" i="6"/>
  <c r="C1040" i="6"/>
  <c r="B1040" i="6"/>
  <c r="E1039" i="6"/>
  <c r="D1039" i="6"/>
  <c r="B1039" i="6"/>
  <c r="C1039" i="6" s="1"/>
  <c r="E1038" i="6"/>
  <c r="D1038" i="6"/>
  <c r="C1038" i="6"/>
  <c r="B1038" i="6"/>
  <c r="E1037" i="6"/>
  <c r="D1037" i="6"/>
  <c r="B1037" i="6"/>
  <c r="C1037" i="6" s="1"/>
  <c r="E1036" i="6"/>
  <c r="D1036" i="6"/>
  <c r="C1036" i="6"/>
  <c r="B1036" i="6"/>
  <c r="E1035" i="6"/>
  <c r="D1035" i="6"/>
  <c r="B1035" i="6"/>
  <c r="C1035" i="6" s="1"/>
  <c r="E1034" i="6"/>
  <c r="D1034" i="6"/>
  <c r="C1034" i="6"/>
  <c r="B1034" i="6"/>
  <c r="E1033" i="6"/>
  <c r="D1033" i="6"/>
  <c r="B1033" i="6"/>
  <c r="C1033" i="6" s="1"/>
  <c r="E1032" i="6"/>
  <c r="D1032" i="6"/>
  <c r="C1032" i="6"/>
  <c r="B1032" i="6"/>
  <c r="E1031" i="6"/>
  <c r="D1031" i="6"/>
  <c r="B1031" i="6"/>
  <c r="C1031" i="6" s="1"/>
  <c r="E1030" i="6"/>
  <c r="D1030" i="6"/>
  <c r="C1030" i="6"/>
  <c r="B1030" i="6"/>
  <c r="E1029" i="6"/>
  <c r="D1029" i="6"/>
  <c r="B1029" i="6"/>
  <c r="C1029" i="6" s="1"/>
  <c r="E1028" i="6"/>
  <c r="D1028" i="6"/>
  <c r="C1028" i="6"/>
  <c r="B1028" i="6"/>
  <c r="E1027" i="6"/>
  <c r="D1027" i="6"/>
  <c r="B1027" i="6"/>
  <c r="C1027" i="6" s="1"/>
  <c r="E1026" i="6"/>
  <c r="D1026" i="6"/>
  <c r="C1026" i="6"/>
  <c r="B1026" i="6"/>
  <c r="E1025" i="6"/>
  <c r="D1025" i="6"/>
  <c r="B1025" i="6"/>
  <c r="C1025" i="6" s="1"/>
  <c r="E1024" i="6"/>
  <c r="D1024" i="6"/>
  <c r="C1024" i="6"/>
  <c r="B1024" i="6"/>
  <c r="E1023" i="6"/>
  <c r="D1023" i="6"/>
  <c r="B1023" i="6"/>
  <c r="C1023" i="6" s="1"/>
  <c r="E1022" i="6"/>
  <c r="D1022" i="6"/>
  <c r="C1022" i="6"/>
  <c r="B1022" i="6"/>
  <c r="E1021" i="6"/>
  <c r="D1021" i="6"/>
  <c r="B1021" i="6"/>
  <c r="C1021" i="6" s="1"/>
  <c r="E1020" i="6"/>
  <c r="D1020" i="6"/>
  <c r="C1020" i="6"/>
  <c r="B1020" i="6"/>
  <c r="E1019" i="6"/>
  <c r="D1019" i="6"/>
  <c r="B1019" i="6"/>
  <c r="C1019" i="6" s="1"/>
  <c r="E1018" i="6"/>
  <c r="D1018" i="6"/>
  <c r="C1018" i="6"/>
  <c r="B1018" i="6"/>
  <c r="E1017" i="6"/>
  <c r="D1017" i="6"/>
  <c r="B1017" i="6"/>
  <c r="C1017" i="6" s="1"/>
  <c r="E1016" i="6"/>
  <c r="D1016" i="6"/>
  <c r="C1016" i="6"/>
  <c r="B1016" i="6"/>
  <c r="E1015" i="6"/>
  <c r="D1015" i="6"/>
  <c r="B1015" i="6"/>
  <c r="C1015" i="6" s="1"/>
  <c r="E1014" i="6"/>
  <c r="D1014" i="6"/>
  <c r="C1014" i="6"/>
  <c r="B1014" i="6"/>
  <c r="E1013" i="6"/>
  <c r="D1013" i="6"/>
  <c r="B1013" i="6"/>
  <c r="C1013" i="6" s="1"/>
  <c r="E1012" i="6"/>
  <c r="D1012" i="6"/>
  <c r="C1012" i="6"/>
  <c r="B1012" i="6"/>
  <c r="E1011" i="6"/>
  <c r="D1011" i="6"/>
  <c r="B1011" i="6"/>
  <c r="C1011" i="6" s="1"/>
  <c r="E1010" i="6"/>
  <c r="D1010" i="6"/>
  <c r="C1010" i="6"/>
  <c r="B1010" i="6"/>
  <c r="E1009" i="6"/>
  <c r="D1009" i="6"/>
  <c r="B1009" i="6"/>
  <c r="C1009" i="6" s="1"/>
  <c r="E1008" i="6"/>
  <c r="D1008" i="6"/>
  <c r="C1008" i="6"/>
  <c r="B1008" i="6"/>
  <c r="E1007" i="6"/>
  <c r="D1007" i="6"/>
  <c r="B1007" i="6"/>
  <c r="C1007" i="6" s="1"/>
  <c r="E1006" i="6"/>
  <c r="D1006" i="6"/>
  <c r="C1006" i="6"/>
  <c r="B1006" i="6"/>
  <c r="E1005" i="6"/>
  <c r="D1005" i="6"/>
  <c r="B1005" i="6"/>
  <c r="C1005" i="6" s="1"/>
  <c r="E1004" i="6"/>
  <c r="D1004" i="6"/>
  <c r="C1004" i="6"/>
  <c r="B1004" i="6"/>
  <c r="E1003" i="6"/>
  <c r="D1003" i="6"/>
  <c r="B1003" i="6"/>
  <c r="C1003" i="6" s="1"/>
  <c r="E1002" i="6"/>
  <c r="D1002" i="6"/>
  <c r="C1002" i="6"/>
  <c r="B1002" i="6"/>
  <c r="E1001" i="6"/>
  <c r="D1001" i="6"/>
  <c r="B1001" i="6"/>
  <c r="C1001" i="6" s="1"/>
  <c r="E1000" i="6"/>
  <c r="D1000" i="6"/>
  <c r="C1000" i="6"/>
  <c r="B1000" i="6"/>
  <c r="E999" i="6"/>
  <c r="D999" i="6"/>
  <c r="B999" i="6"/>
  <c r="C999" i="6" s="1"/>
  <c r="E998" i="6"/>
  <c r="D998" i="6"/>
  <c r="C998" i="6"/>
  <c r="B998" i="6"/>
  <c r="E997" i="6"/>
  <c r="D997" i="6"/>
  <c r="B997" i="6"/>
  <c r="C997" i="6" s="1"/>
  <c r="E996" i="6"/>
  <c r="D996" i="6"/>
  <c r="C996" i="6"/>
  <c r="B996" i="6"/>
  <c r="E995" i="6"/>
  <c r="D995" i="6"/>
  <c r="B995" i="6"/>
  <c r="C995" i="6" s="1"/>
  <c r="E994" i="6"/>
  <c r="D994" i="6"/>
  <c r="C994" i="6"/>
  <c r="B994" i="6"/>
  <c r="E993" i="6"/>
  <c r="D993" i="6"/>
  <c r="B993" i="6"/>
  <c r="C993" i="6" s="1"/>
  <c r="E992" i="6"/>
  <c r="D992" i="6"/>
  <c r="C992" i="6"/>
  <c r="B992" i="6"/>
  <c r="E991" i="6"/>
  <c r="D991" i="6"/>
  <c r="B991" i="6"/>
  <c r="C991" i="6" s="1"/>
  <c r="E990" i="6"/>
  <c r="D990" i="6"/>
  <c r="C990" i="6"/>
  <c r="B990" i="6"/>
  <c r="E989" i="6"/>
  <c r="D989" i="6"/>
  <c r="B989" i="6"/>
  <c r="C989" i="6" s="1"/>
  <c r="E988" i="6"/>
  <c r="D988" i="6"/>
  <c r="C988" i="6"/>
  <c r="B988" i="6"/>
  <c r="E987" i="6"/>
  <c r="D987" i="6"/>
  <c r="B987" i="6"/>
  <c r="C987" i="6" s="1"/>
  <c r="E986" i="6"/>
  <c r="D986" i="6"/>
  <c r="C986" i="6"/>
  <c r="B986" i="6"/>
  <c r="E985" i="6"/>
  <c r="D985" i="6"/>
  <c r="B985" i="6"/>
  <c r="C985" i="6" s="1"/>
  <c r="E984" i="6"/>
  <c r="D984" i="6"/>
  <c r="C984" i="6"/>
  <c r="B984" i="6"/>
  <c r="E983" i="6"/>
  <c r="D983" i="6"/>
  <c r="B983" i="6"/>
  <c r="C983" i="6" s="1"/>
  <c r="E982" i="6"/>
  <c r="D982" i="6"/>
  <c r="C982" i="6"/>
  <c r="B982" i="6"/>
  <c r="E981" i="6"/>
  <c r="D981" i="6"/>
  <c r="B981" i="6"/>
  <c r="C981" i="6" s="1"/>
  <c r="E980" i="6"/>
  <c r="D980" i="6"/>
  <c r="C980" i="6"/>
  <c r="B980" i="6"/>
  <c r="E979" i="6"/>
  <c r="D979" i="6"/>
  <c r="B979" i="6"/>
  <c r="C979" i="6" s="1"/>
  <c r="E978" i="6"/>
  <c r="D978" i="6"/>
  <c r="C978" i="6"/>
  <c r="B978" i="6"/>
  <c r="E977" i="6"/>
  <c r="D977" i="6"/>
  <c r="B977" i="6"/>
  <c r="C977" i="6" s="1"/>
  <c r="E976" i="6"/>
  <c r="D976" i="6"/>
  <c r="C976" i="6"/>
  <c r="B976" i="6"/>
  <c r="E975" i="6"/>
  <c r="D975" i="6"/>
  <c r="B975" i="6"/>
  <c r="C975" i="6" s="1"/>
  <c r="E974" i="6"/>
  <c r="D974" i="6"/>
  <c r="C974" i="6"/>
  <c r="B974" i="6"/>
  <c r="E973" i="6"/>
  <c r="D973" i="6"/>
  <c r="B973" i="6"/>
  <c r="C973" i="6" s="1"/>
  <c r="E972" i="6"/>
  <c r="D972" i="6"/>
  <c r="C972" i="6"/>
  <c r="B972" i="6"/>
  <c r="E971" i="6"/>
  <c r="D971" i="6"/>
  <c r="B971" i="6"/>
  <c r="C971" i="6" s="1"/>
  <c r="E970" i="6"/>
  <c r="D970" i="6"/>
  <c r="C970" i="6"/>
  <c r="B970" i="6"/>
  <c r="E969" i="6"/>
  <c r="D969" i="6"/>
  <c r="B969" i="6"/>
  <c r="C969" i="6" s="1"/>
  <c r="E968" i="6"/>
  <c r="D968" i="6"/>
  <c r="C968" i="6"/>
  <c r="B968" i="6"/>
  <c r="E967" i="6"/>
  <c r="D967" i="6"/>
  <c r="B967" i="6"/>
  <c r="C967" i="6" s="1"/>
  <c r="E966" i="6"/>
  <c r="D966" i="6"/>
  <c r="C966" i="6"/>
  <c r="B966" i="6"/>
  <c r="E965" i="6"/>
  <c r="D965" i="6"/>
  <c r="B965" i="6"/>
  <c r="C965" i="6" s="1"/>
  <c r="E964" i="6"/>
  <c r="D964" i="6"/>
  <c r="C964" i="6"/>
  <c r="B964" i="6"/>
  <c r="E963" i="6"/>
  <c r="D963" i="6"/>
  <c r="B963" i="6"/>
  <c r="C963" i="6" s="1"/>
  <c r="E962" i="6"/>
  <c r="D962" i="6"/>
  <c r="C962" i="6"/>
  <c r="B962" i="6"/>
  <c r="E961" i="6"/>
  <c r="D961" i="6"/>
  <c r="B961" i="6"/>
  <c r="C961" i="6" s="1"/>
  <c r="E960" i="6"/>
  <c r="D960" i="6"/>
  <c r="C960" i="6"/>
  <c r="B960" i="6"/>
  <c r="E959" i="6"/>
  <c r="D959" i="6"/>
  <c r="B959" i="6"/>
  <c r="C959" i="6" s="1"/>
  <c r="E958" i="6"/>
  <c r="D958" i="6"/>
  <c r="C958" i="6"/>
  <c r="B958" i="6"/>
  <c r="E957" i="6"/>
  <c r="D957" i="6"/>
  <c r="B957" i="6"/>
  <c r="C957" i="6" s="1"/>
  <c r="E956" i="6"/>
  <c r="D956" i="6"/>
  <c r="B956" i="6"/>
  <c r="C956" i="6" s="1"/>
  <c r="E955" i="6"/>
  <c r="D955" i="6"/>
  <c r="B955" i="6"/>
  <c r="C955" i="6" s="1"/>
  <c r="E954" i="6"/>
  <c r="D954" i="6"/>
  <c r="B954" i="6"/>
  <c r="C954" i="6" s="1"/>
  <c r="E953" i="6"/>
  <c r="D953" i="6"/>
  <c r="B953" i="6"/>
  <c r="C953" i="6" s="1"/>
  <c r="E952" i="6"/>
  <c r="D952" i="6"/>
  <c r="B952" i="6"/>
  <c r="C952" i="6" s="1"/>
  <c r="E951" i="6"/>
  <c r="D951" i="6"/>
  <c r="B951" i="6"/>
  <c r="C951" i="6" s="1"/>
  <c r="E950" i="6"/>
  <c r="D950" i="6"/>
  <c r="B950" i="6"/>
  <c r="C950" i="6" s="1"/>
  <c r="E949" i="6"/>
  <c r="D949" i="6"/>
  <c r="B949" i="6"/>
  <c r="C949" i="6" s="1"/>
  <c r="E948" i="6"/>
  <c r="D948" i="6"/>
  <c r="B948" i="6"/>
  <c r="C948" i="6" s="1"/>
  <c r="E947" i="6"/>
  <c r="D947" i="6"/>
  <c r="B947" i="6"/>
  <c r="C947" i="6" s="1"/>
  <c r="E946" i="6"/>
  <c r="D946" i="6"/>
  <c r="B946" i="6"/>
  <c r="C946" i="6" s="1"/>
  <c r="E945" i="6"/>
  <c r="D945" i="6"/>
  <c r="B945" i="6"/>
  <c r="C945" i="6" s="1"/>
  <c r="E944" i="6"/>
  <c r="D944" i="6"/>
  <c r="B944" i="6"/>
  <c r="C944" i="6" s="1"/>
  <c r="E943" i="6"/>
  <c r="D943" i="6"/>
  <c r="B943" i="6"/>
  <c r="E942" i="6"/>
  <c r="D942" i="6"/>
  <c r="B942" i="6"/>
  <c r="C942" i="6" s="1"/>
  <c r="E941" i="6"/>
  <c r="D941" i="6"/>
  <c r="B941" i="6"/>
  <c r="E940" i="6"/>
  <c r="D940" i="6"/>
  <c r="B940" i="6"/>
  <c r="C940" i="6" s="1"/>
  <c r="E939" i="6"/>
  <c r="D939" i="6"/>
  <c r="B939" i="6"/>
  <c r="C939" i="6" s="1"/>
  <c r="E938" i="6"/>
  <c r="D938" i="6"/>
  <c r="B938" i="6"/>
  <c r="C938" i="6" s="1"/>
  <c r="E937" i="6"/>
  <c r="D937" i="6"/>
  <c r="B937" i="6"/>
  <c r="C937" i="6" s="1"/>
  <c r="E936" i="6"/>
  <c r="D936" i="6"/>
  <c r="B936" i="6"/>
  <c r="C936" i="6" s="1"/>
  <c r="E935" i="6"/>
  <c r="D935" i="6"/>
  <c r="B935" i="6"/>
  <c r="E934" i="6"/>
  <c r="D934" i="6"/>
  <c r="B934" i="6"/>
  <c r="C934" i="6" s="1"/>
  <c r="E933" i="6"/>
  <c r="D933" i="6"/>
  <c r="B933" i="6"/>
  <c r="E932" i="6"/>
  <c r="D932" i="6"/>
  <c r="B932" i="6"/>
  <c r="C932" i="6" s="1"/>
  <c r="E931" i="6"/>
  <c r="D931" i="6"/>
  <c r="B931" i="6"/>
  <c r="E930" i="6"/>
  <c r="D930" i="6"/>
  <c r="B930" i="6"/>
  <c r="C930" i="6" s="1"/>
  <c r="E929" i="6"/>
  <c r="D929" i="6"/>
  <c r="B929" i="6"/>
  <c r="C929" i="6" s="1"/>
  <c r="E928" i="6"/>
  <c r="D928" i="6"/>
  <c r="B928" i="6"/>
  <c r="C928" i="6" s="1"/>
  <c r="E927" i="6"/>
  <c r="D927" i="6"/>
  <c r="B927" i="6"/>
  <c r="E926" i="6"/>
  <c r="D926" i="6"/>
  <c r="B926" i="6"/>
  <c r="C926" i="6" s="1"/>
  <c r="E925" i="6"/>
  <c r="D925" i="6"/>
  <c r="B925" i="6"/>
  <c r="E924" i="6"/>
  <c r="D924" i="6"/>
  <c r="B924" i="6"/>
  <c r="C924" i="6" s="1"/>
  <c r="E923" i="6"/>
  <c r="D923" i="6"/>
  <c r="B923" i="6"/>
  <c r="E922" i="6"/>
  <c r="D922" i="6"/>
  <c r="B922" i="6"/>
  <c r="C922" i="6" s="1"/>
  <c r="E921" i="6"/>
  <c r="D921" i="6"/>
  <c r="B921" i="6"/>
  <c r="C921" i="6" s="1"/>
  <c r="E920" i="6"/>
  <c r="D920" i="6"/>
  <c r="B920" i="6"/>
  <c r="C920" i="6" s="1"/>
  <c r="E919" i="6"/>
  <c r="D919" i="6"/>
  <c r="B919" i="6"/>
  <c r="E918" i="6"/>
  <c r="D918" i="6"/>
  <c r="B918" i="6"/>
  <c r="C918" i="6" s="1"/>
  <c r="E917" i="6"/>
  <c r="D917" i="6"/>
  <c r="B917" i="6"/>
  <c r="E916" i="6"/>
  <c r="D916" i="6"/>
  <c r="B916" i="6"/>
  <c r="C916" i="6" s="1"/>
  <c r="E915" i="6"/>
  <c r="D915" i="6"/>
  <c r="B915" i="6"/>
  <c r="E914" i="6"/>
  <c r="D914" i="6"/>
  <c r="B914" i="6"/>
  <c r="C914" i="6" s="1"/>
  <c r="E913" i="6"/>
  <c r="D913" i="6"/>
  <c r="B913" i="6"/>
  <c r="C913" i="6" s="1"/>
  <c r="E912" i="6"/>
  <c r="D912" i="6"/>
  <c r="B912" i="6"/>
  <c r="C912" i="6" s="1"/>
  <c r="E911" i="6"/>
  <c r="D911" i="6"/>
  <c r="B911" i="6"/>
  <c r="E910" i="6"/>
  <c r="D910" i="6"/>
  <c r="B910" i="6"/>
  <c r="C910" i="6" s="1"/>
  <c r="E909" i="6"/>
  <c r="D909" i="6"/>
  <c r="B909" i="6"/>
  <c r="E908" i="6"/>
  <c r="D908" i="6"/>
  <c r="B908" i="6"/>
  <c r="C908" i="6" s="1"/>
  <c r="E907" i="6"/>
  <c r="D907" i="6"/>
  <c r="B907" i="6"/>
  <c r="E906" i="6"/>
  <c r="D906" i="6"/>
  <c r="B906" i="6"/>
  <c r="C906" i="6" s="1"/>
  <c r="E905" i="6"/>
  <c r="D905" i="6"/>
  <c r="B905" i="6"/>
  <c r="C905" i="6" s="1"/>
  <c r="E904" i="6"/>
  <c r="D904" i="6"/>
  <c r="B904" i="6"/>
  <c r="C904" i="6" s="1"/>
  <c r="E903" i="6"/>
  <c r="D903" i="6"/>
  <c r="B903" i="6"/>
  <c r="E902" i="6"/>
  <c r="D902" i="6"/>
  <c r="B902" i="6"/>
  <c r="C902" i="6" s="1"/>
  <c r="E901" i="6"/>
  <c r="D901" i="6"/>
  <c r="B901" i="6"/>
  <c r="E900" i="6"/>
  <c r="D900" i="6"/>
  <c r="C900" i="6"/>
  <c r="B900" i="6"/>
  <c r="E899" i="6"/>
  <c r="D899" i="6"/>
  <c r="B899" i="6"/>
  <c r="E898" i="6"/>
  <c r="D898" i="6"/>
  <c r="B898" i="6"/>
  <c r="C898" i="6" s="1"/>
  <c r="E897" i="6"/>
  <c r="D897" i="6"/>
  <c r="B897" i="6"/>
  <c r="E896" i="6"/>
  <c r="D896" i="6"/>
  <c r="B896" i="6"/>
  <c r="C896" i="6" s="1"/>
  <c r="E895" i="6"/>
  <c r="D895" i="6"/>
  <c r="B895" i="6"/>
  <c r="C895" i="6" s="1"/>
  <c r="E894" i="6"/>
  <c r="D894" i="6"/>
  <c r="B894" i="6"/>
  <c r="C894" i="6" s="1"/>
  <c r="E893" i="6"/>
  <c r="D893" i="6"/>
  <c r="B893" i="6"/>
  <c r="C893" i="6" s="1"/>
  <c r="E892" i="6"/>
  <c r="D892" i="6"/>
  <c r="B892" i="6"/>
  <c r="C892" i="6" s="1"/>
  <c r="E891" i="6"/>
  <c r="D891" i="6"/>
  <c r="B891" i="6"/>
  <c r="C891" i="6" s="1"/>
  <c r="E890" i="6"/>
  <c r="D890" i="6"/>
  <c r="C890" i="6"/>
  <c r="B890" i="6"/>
  <c r="E889" i="6"/>
  <c r="D889" i="6"/>
  <c r="B889" i="6"/>
  <c r="C889" i="6" s="1"/>
  <c r="E888" i="6"/>
  <c r="D888" i="6"/>
  <c r="C888" i="6"/>
  <c r="B888" i="6"/>
  <c r="E887" i="6"/>
  <c r="D887" i="6"/>
  <c r="B887" i="6"/>
  <c r="E886" i="6"/>
  <c r="D886" i="6"/>
  <c r="B886" i="6"/>
  <c r="C886" i="6" s="1"/>
  <c r="E885" i="6"/>
  <c r="D885" i="6"/>
  <c r="B885" i="6"/>
  <c r="E884" i="6"/>
  <c r="D884" i="6"/>
  <c r="C884" i="6"/>
  <c r="B884" i="6"/>
  <c r="E883" i="6"/>
  <c r="D883" i="6"/>
  <c r="B883" i="6"/>
  <c r="E882" i="6"/>
  <c r="D882" i="6"/>
  <c r="B882" i="6"/>
  <c r="C882" i="6" s="1"/>
  <c r="E881" i="6"/>
  <c r="D881" i="6"/>
  <c r="B881" i="6"/>
  <c r="E880" i="6"/>
  <c r="D880" i="6"/>
  <c r="B880" i="6"/>
  <c r="C880" i="6" s="1"/>
  <c r="E879" i="6"/>
  <c r="D879" i="6"/>
  <c r="B879" i="6"/>
  <c r="C879" i="6" s="1"/>
  <c r="E878" i="6"/>
  <c r="D878" i="6"/>
  <c r="B878" i="6"/>
  <c r="C878" i="6" s="1"/>
  <c r="E877" i="6"/>
  <c r="D877" i="6"/>
  <c r="B877" i="6"/>
  <c r="C877" i="6" s="1"/>
  <c r="E876" i="6"/>
  <c r="D876" i="6"/>
  <c r="B876" i="6"/>
  <c r="C876" i="6" s="1"/>
  <c r="E875" i="6"/>
  <c r="D875" i="6"/>
  <c r="B875" i="6"/>
  <c r="C875" i="6" s="1"/>
  <c r="E874" i="6"/>
  <c r="D874" i="6"/>
  <c r="C874" i="6"/>
  <c r="B874" i="6"/>
  <c r="E873" i="6"/>
  <c r="D873" i="6"/>
  <c r="B873" i="6"/>
  <c r="C873" i="6" s="1"/>
  <c r="E872" i="6"/>
  <c r="D872" i="6"/>
  <c r="C872" i="6"/>
  <c r="B872" i="6"/>
  <c r="E871" i="6"/>
  <c r="D871" i="6"/>
  <c r="B871" i="6"/>
  <c r="E870" i="6"/>
  <c r="D870" i="6"/>
  <c r="B870" i="6"/>
  <c r="C870" i="6" s="1"/>
  <c r="E869" i="6"/>
  <c r="D869" i="6"/>
  <c r="B869" i="6"/>
  <c r="E868" i="6"/>
  <c r="D868" i="6"/>
  <c r="C868" i="6"/>
  <c r="B868" i="6"/>
  <c r="E867" i="6"/>
  <c r="D867" i="6"/>
  <c r="B867" i="6"/>
  <c r="E866" i="6"/>
  <c r="D866" i="6"/>
  <c r="B866" i="6"/>
  <c r="C866" i="6" s="1"/>
  <c r="E865" i="6"/>
  <c r="D865" i="6"/>
  <c r="B865" i="6"/>
  <c r="E864" i="6"/>
  <c r="D864" i="6"/>
  <c r="B864" i="6"/>
  <c r="C864" i="6" s="1"/>
  <c r="E863" i="6"/>
  <c r="D863" i="6"/>
  <c r="B863" i="6"/>
  <c r="C863" i="6" s="1"/>
  <c r="E862" i="6"/>
  <c r="D862" i="6"/>
  <c r="B862" i="6"/>
  <c r="C862" i="6" s="1"/>
  <c r="E861" i="6"/>
  <c r="D861" i="6"/>
  <c r="B861" i="6"/>
  <c r="C861" i="6" s="1"/>
  <c r="E860" i="6"/>
  <c r="D860" i="6"/>
  <c r="B860" i="6"/>
  <c r="C860" i="6" s="1"/>
  <c r="E859" i="6"/>
  <c r="D859" i="6"/>
  <c r="B859" i="6"/>
  <c r="C859" i="6" s="1"/>
  <c r="E858" i="6"/>
  <c r="D858" i="6"/>
  <c r="C858" i="6"/>
  <c r="B858" i="6"/>
  <c r="E857" i="6"/>
  <c r="D857" i="6"/>
  <c r="B857" i="6"/>
  <c r="C857" i="6" s="1"/>
  <c r="E856" i="6"/>
  <c r="D856" i="6"/>
  <c r="C856" i="6"/>
  <c r="B856" i="6"/>
  <c r="E855" i="6"/>
  <c r="D855" i="6"/>
  <c r="B855" i="6"/>
  <c r="E854" i="6"/>
  <c r="D854" i="6"/>
  <c r="B854" i="6"/>
  <c r="C854" i="6" s="1"/>
  <c r="E853" i="6"/>
  <c r="D853" i="6"/>
  <c r="B853" i="6"/>
  <c r="E852" i="6"/>
  <c r="D852" i="6"/>
  <c r="C852" i="6"/>
  <c r="B852" i="6"/>
  <c r="E851" i="6"/>
  <c r="D851" i="6"/>
  <c r="B851" i="6"/>
  <c r="E850" i="6"/>
  <c r="D850" i="6"/>
  <c r="B850" i="6"/>
  <c r="C850" i="6" s="1"/>
  <c r="E849" i="6"/>
  <c r="D849" i="6"/>
  <c r="B849" i="6"/>
  <c r="E848" i="6"/>
  <c r="D848" i="6"/>
  <c r="B848" i="6"/>
  <c r="C848" i="6" s="1"/>
  <c r="E847" i="6"/>
  <c r="D847" i="6"/>
  <c r="B847" i="6"/>
  <c r="C847" i="6" s="1"/>
  <c r="E846" i="6"/>
  <c r="D846" i="6"/>
  <c r="B846" i="6"/>
  <c r="C846" i="6" s="1"/>
  <c r="E845" i="6"/>
  <c r="D845" i="6"/>
  <c r="B845" i="6"/>
  <c r="C845" i="6" s="1"/>
  <c r="E844" i="6"/>
  <c r="D844" i="6"/>
  <c r="B844" i="6"/>
  <c r="C844" i="6" s="1"/>
  <c r="E843" i="6"/>
  <c r="D843" i="6"/>
  <c r="B843" i="6"/>
  <c r="C843" i="6" s="1"/>
  <c r="E842" i="6"/>
  <c r="D842" i="6"/>
  <c r="C842" i="6"/>
  <c r="B842" i="6"/>
  <c r="E841" i="6"/>
  <c r="D841" i="6"/>
  <c r="B841" i="6"/>
  <c r="C841" i="6" s="1"/>
  <c r="E840" i="6"/>
  <c r="D840" i="6"/>
  <c r="C840" i="6"/>
  <c r="B840" i="6"/>
  <c r="E839" i="6"/>
  <c r="D839" i="6"/>
  <c r="B839" i="6"/>
  <c r="E838" i="6"/>
  <c r="D838" i="6"/>
  <c r="B838" i="6"/>
  <c r="C838" i="6" s="1"/>
  <c r="E837" i="6"/>
  <c r="D837" i="6"/>
  <c r="B837" i="6"/>
  <c r="E836" i="6"/>
  <c r="D836" i="6"/>
  <c r="C836" i="6"/>
  <c r="B836" i="6"/>
  <c r="E835" i="6"/>
  <c r="D835" i="6"/>
  <c r="B835" i="6"/>
  <c r="E834" i="6"/>
  <c r="D834" i="6"/>
  <c r="B834" i="6"/>
  <c r="C834" i="6" s="1"/>
  <c r="E833" i="6"/>
  <c r="D833" i="6"/>
  <c r="B833" i="6"/>
  <c r="E832" i="6"/>
  <c r="D832" i="6"/>
  <c r="B832" i="6"/>
  <c r="C832" i="6" s="1"/>
  <c r="E831" i="6"/>
  <c r="D831" i="6"/>
  <c r="B831" i="6"/>
  <c r="C831" i="6" s="1"/>
  <c r="E830" i="6"/>
  <c r="D830" i="6"/>
  <c r="B830" i="6"/>
  <c r="C830" i="6" s="1"/>
  <c r="E829" i="6"/>
  <c r="D829" i="6"/>
  <c r="B829" i="6"/>
  <c r="C829" i="6" s="1"/>
  <c r="E828" i="6"/>
  <c r="D828" i="6"/>
  <c r="B828" i="6"/>
  <c r="C828" i="6" s="1"/>
  <c r="E827" i="6"/>
  <c r="D827" i="6"/>
  <c r="B827" i="6"/>
  <c r="C827" i="6" s="1"/>
  <c r="E826" i="6"/>
  <c r="D826" i="6"/>
  <c r="C826" i="6"/>
  <c r="B826" i="6"/>
  <c r="E825" i="6"/>
  <c r="D825" i="6"/>
  <c r="B825" i="6"/>
  <c r="C825" i="6" s="1"/>
  <c r="E824" i="6"/>
  <c r="D824" i="6"/>
  <c r="C824" i="6"/>
  <c r="B824" i="6"/>
  <c r="E823" i="6"/>
  <c r="D823" i="6"/>
  <c r="B823" i="6"/>
  <c r="E822" i="6"/>
  <c r="D822" i="6"/>
  <c r="B822" i="6"/>
  <c r="C822" i="6" s="1"/>
  <c r="E821" i="6"/>
  <c r="D821" i="6"/>
  <c r="B821" i="6"/>
  <c r="E820" i="6"/>
  <c r="D820" i="6"/>
  <c r="C820" i="6"/>
  <c r="B820" i="6"/>
  <c r="E819" i="6"/>
  <c r="D819" i="6"/>
  <c r="B819" i="6"/>
  <c r="E818" i="6"/>
  <c r="D818" i="6"/>
  <c r="B818" i="6"/>
  <c r="C818" i="6" s="1"/>
  <c r="E817" i="6"/>
  <c r="D817" i="6"/>
  <c r="B817" i="6"/>
  <c r="E816" i="6"/>
  <c r="D816" i="6"/>
  <c r="B816" i="6"/>
  <c r="C816" i="6" s="1"/>
  <c r="E815" i="6"/>
  <c r="D815" i="6"/>
  <c r="B815" i="6"/>
  <c r="C815" i="6" s="1"/>
  <c r="E814" i="6"/>
  <c r="D814" i="6"/>
  <c r="B814" i="6"/>
  <c r="C814" i="6" s="1"/>
  <c r="E813" i="6"/>
  <c r="D813" i="6"/>
  <c r="B813" i="6"/>
  <c r="C813" i="6" s="1"/>
  <c r="E812" i="6"/>
  <c r="D812" i="6"/>
  <c r="B812" i="6"/>
  <c r="C812" i="6" s="1"/>
  <c r="E811" i="6"/>
  <c r="D811" i="6"/>
  <c r="B811" i="6"/>
  <c r="C811" i="6" s="1"/>
  <c r="E810" i="6"/>
  <c r="D810" i="6"/>
  <c r="C810" i="6"/>
  <c r="B810" i="6"/>
  <c r="E809" i="6"/>
  <c r="D809" i="6"/>
  <c r="B809" i="6"/>
  <c r="C809" i="6" s="1"/>
  <c r="E808" i="6"/>
  <c r="D808" i="6"/>
  <c r="C808" i="6"/>
  <c r="B808" i="6"/>
  <c r="E807" i="6"/>
  <c r="D807" i="6"/>
  <c r="B807" i="6"/>
  <c r="E806" i="6"/>
  <c r="D806" i="6"/>
  <c r="B806" i="6"/>
  <c r="C806" i="6" s="1"/>
  <c r="E805" i="6"/>
  <c r="D805" i="6"/>
  <c r="B805" i="6"/>
  <c r="E804" i="6"/>
  <c r="D804" i="6"/>
  <c r="C804" i="6"/>
  <c r="B804" i="6"/>
  <c r="E803" i="6"/>
  <c r="D803" i="6"/>
  <c r="B803" i="6"/>
  <c r="E802" i="6"/>
  <c r="D802" i="6"/>
  <c r="B802" i="6"/>
  <c r="C802" i="6" s="1"/>
  <c r="E801" i="6"/>
  <c r="D801" i="6"/>
  <c r="B801" i="6"/>
  <c r="E800" i="6"/>
  <c r="D800" i="6"/>
  <c r="B800" i="6"/>
  <c r="C800" i="6" s="1"/>
  <c r="E799" i="6"/>
  <c r="D799" i="6"/>
  <c r="B799" i="6"/>
  <c r="C799" i="6" s="1"/>
  <c r="E798" i="6"/>
  <c r="D798" i="6"/>
  <c r="B798" i="6"/>
  <c r="C798" i="6" s="1"/>
  <c r="E797" i="6"/>
  <c r="D797" i="6"/>
  <c r="B797" i="6"/>
  <c r="C797" i="6" s="1"/>
  <c r="E796" i="6"/>
  <c r="D796" i="6"/>
  <c r="B796" i="6"/>
  <c r="C796" i="6" s="1"/>
  <c r="E795" i="6"/>
  <c r="D795" i="6"/>
  <c r="B795" i="6"/>
  <c r="C795" i="6" s="1"/>
  <c r="E794" i="6"/>
  <c r="D794" i="6"/>
  <c r="C794" i="6"/>
  <c r="B794" i="6"/>
  <c r="E793" i="6"/>
  <c r="D793" i="6"/>
  <c r="B793" i="6"/>
  <c r="C793" i="6" s="1"/>
  <c r="E792" i="6"/>
  <c r="D792" i="6"/>
  <c r="C792" i="6"/>
  <c r="B792" i="6"/>
  <c r="E791" i="6"/>
  <c r="D791" i="6"/>
  <c r="B791" i="6"/>
  <c r="E790" i="6"/>
  <c r="D790" i="6"/>
  <c r="B790" i="6"/>
  <c r="C790" i="6" s="1"/>
  <c r="E789" i="6"/>
  <c r="D789" i="6"/>
  <c r="B789" i="6"/>
  <c r="E788" i="6"/>
  <c r="D788" i="6"/>
  <c r="C788" i="6"/>
  <c r="B788" i="6"/>
  <c r="E787" i="6"/>
  <c r="D787" i="6"/>
  <c r="B787" i="6"/>
  <c r="E786" i="6"/>
  <c r="D786" i="6"/>
  <c r="B786" i="6"/>
  <c r="C786" i="6" s="1"/>
  <c r="E785" i="6"/>
  <c r="D785" i="6"/>
  <c r="B785" i="6"/>
  <c r="E784" i="6"/>
  <c r="D784" i="6"/>
  <c r="B784" i="6"/>
  <c r="C784" i="6" s="1"/>
  <c r="E783" i="6"/>
  <c r="D783" i="6"/>
  <c r="B783" i="6"/>
  <c r="C783" i="6" s="1"/>
  <c r="E782" i="6"/>
  <c r="D782" i="6"/>
  <c r="B782" i="6"/>
  <c r="C782" i="6" s="1"/>
  <c r="E781" i="6"/>
  <c r="D781" i="6"/>
  <c r="B781" i="6"/>
  <c r="C781" i="6" s="1"/>
  <c r="E780" i="6"/>
  <c r="D780" i="6"/>
  <c r="B780" i="6"/>
  <c r="C780" i="6" s="1"/>
  <c r="E779" i="6"/>
  <c r="D779" i="6"/>
  <c r="B779" i="6"/>
  <c r="C779" i="6" s="1"/>
  <c r="E778" i="6"/>
  <c r="D778" i="6"/>
  <c r="C778" i="6"/>
  <c r="B778" i="6"/>
  <c r="E777" i="6"/>
  <c r="D777" i="6"/>
  <c r="B777" i="6"/>
  <c r="C777" i="6" s="1"/>
  <c r="E776" i="6"/>
  <c r="D776" i="6"/>
  <c r="C776" i="6"/>
  <c r="B776" i="6"/>
  <c r="E775" i="6"/>
  <c r="D775" i="6"/>
  <c r="B775" i="6"/>
  <c r="E774" i="6"/>
  <c r="D774" i="6"/>
  <c r="B774" i="6"/>
  <c r="C774" i="6" s="1"/>
  <c r="E773" i="6"/>
  <c r="D773" i="6"/>
  <c r="B773" i="6"/>
  <c r="E772" i="6"/>
  <c r="D772" i="6"/>
  <c r="C772" i="6"/>
  <c r="B772" i="6"/>
  <c r="E771" i="6"/>
  <c r="D771" i="6"/>
  <c r="B771" i="6"/>
  <c r="E770" i="6"/>
  <c r="D770" i="6"/>
  <c r="B770" i="6"/>
  <c r="C770" i="6" s="1"/>
  <c r="E769" i="6"/>
  <c r="D769" i="6"/>
  <c r="B769" i="6"/>
  <c r="E768" i="6"/>
  <c r="D768" i="6"/>
  <c r="B768" i="6"/>
  <c r="C768" i="6" s="1"/>
  <c r="E767" i="6"/>
  <c r="D767" i="6"/>
  <c r="B767" i="6"/>
  <c r="C767" i="6" s="1"/>
  <c r="E766" i="6"/>
  <c r="D766" i="6"/>
  <c r="B766" i="6"/>
  <c r="C766" i="6" s="1"/>
  <c r="E765" i="6"/>
  <c r="D765" i="6"/>
  <c r="B765" i="6"/>
  <c r="C765" i="6" s="1"/>
  <c r="E764" i="6"/>
  <c r="D764" i="6"/>
  <c r="B764" i="6"/>
  <c r="C764" i="6" s="1"/>
  <c r="E763" i="6"/>
  <c r="D763" i="6"/>
  <c r="B763" i="6"/>
  <c r="C763" i="6" s="1"/>
  <c r="E762" i="6"/>
  <c r="D762" i="6"/>
  <c r="C762" i="6"/>
  <c r="B762" i="6"/>
  <c r="E761" i="6"/>
  <c r="D761" i="6"/>
  <c r="B761" i="6"/>
  <c r="C761" i="6" s="1"/>
  <c r="E760" i="6"/>
  <c r="D760" i="6"/>
  <c r="C760" i="6"/>
  <c r="B760" i="6"/>
  <c r="E759" i="6"/>
  <c r="D759" i="6"/>
  <c r="B759" i="6"/>
  <c r="E758" i="6"/>
  <c r="D758" i="6"/>
  <c r="B758" i="6"/>
  <c r="C758" i="6" s="1"/>
  <c r="E757" i="6"/>
  <c r="D757" i="6"/>
  <c r="B757" i="6"/>
  <c r="E756" i="6"/>
  <c r="D756" i="6"/>
  <c r="C756" i="6"/>
  <c r="B756" i="6"/>
  <c r="E755" i="6"/>
  <c r="D755" i="6"/>
  <c r="B755" i="6"/>
  <c r="E754" i="6"/>
  <c r="D754" i="6"/>
  <c r="B754" i="6"/>
  <c r="C754" i="6" s="1"/>
  <c r="E753" i="6"/>
  <c r="D753" i="6"/>
  <c r="B753" i="6"/>
  <c r="E752" i="6"/>
  <c r="D752" i="6"/>
  <c r="B752" i="6"/>
  <c r="C752" i="6" s="1"/>
  <c r="E751" i="6"/>
  <c r="D751" i="6"/>
  <c r="B751" i="6"/>
  <c r="C751" i="6" s="1"/>
  <c r="E750" i="6"/>
  <c r="D750" i="6"/>
  <c r="B750" i="6"/>
  <c r="C750" i="6" s="1"/>
  <c r="E749" i="6"/>
  <c r="D749" i="6"/>
  <c r="B749" i="6"/>
  <c r="C749" i="6" s="1"/>
  <c r="E748" i="6"/>
  <c r="D748" i="6"/>
  <c r="B748" i="6"/>
  <c r="C748" i="6" s="1"/>
  <c r="E747" i="6"/>
  <c r="D747" i="6"/>
  <c r="B747" i="6"/>
  <c r="C747" i="6" s="1"/>
  <c r="E746" i="6"/>
  <c r="D746" i="6"/>
  <c r="C746" i="6"/>
  <c r="B746" i="6"/>
  <c r="E745" i="6"/>
  <c r="D745" i="6"/>
  <c r="B745" i="6"/>
  <c r="C745" i="6" s="1"/>
  <c r="E744" i="6"/>
  <c r="D744" i="6"/>
  <c r="C744" i="6"/>
  <c r="B744" i="6"/>
  <c r="E743" i="6"/>
  <c r="D743" i="6"/>
  <c r="B743" i="6"/>
  <c r="E742" i="6"/>
  <c r="D742" i="6"/>
  <c r="B742" i="6"/>
  <c r="C742" i="6" s="1"/>
  <c r="E741" i="6"/>
  <c r="D741" i="6"/>
  <c r="B741" i="6"/>
  <c r="E740" i="6"/>
  <c r="D740" i="6"/>
  <c r="C740" i="6"/>
  <c r="B740" i="6"/>
  <c r="E739" i="6"/>
  <c r="D739" i="6"/>
  <c r="B739" i="6"/>
  <c r="E738" i="6"/>
  <c r="D738" i="6"/>
  <c r="B738" i="6"/>
  <c r="C738" i="6" s="1"/>
  <c r="E737" i="6"/>
  <c r="D737" i="6"/>
  <c r="B737" i="6"/>
  <c r="E736" i="6"/>
  <c r="D736" i="6"/>
  <c r="B736" i="6"/>
  <c r="C736" i="6" s="1"/>
  <c r="E735" i="6"/>
  <c r="D735" i="6"/>
  <c r="B735" i="6"/>
  <c r="C735" i="6" s="1"/>
  <c r="E734" i="6"/>
  <c r="D734" i="6"/>
  <c r="B734" i="6"/>
  <c r="C734" i="6" s="1"/>
  <c r="E733" i="6"/>
  <c r="D733" i="6"/>
  <c r="B733" i="6"/>
  <c r="C733" i="6" s="1"/>
  <c r="E732" i="6"/>
  <c r="D732" i="6"/>
  <c r="B732" i="6"/>
  <c r="C732" i="6" s="1"/>
  <c r="E731" i="6"/>
  <c r="D731" i="6"/>
  <c r="B731" i="6"/>
  <c r="C731" i="6" s="1"/>
  <c r="E730" i="6"/>
  <c r="D730" i="6"/>
  <c r="C730" i="6"/>
  <c r="B730" i="6"/>
  <c r="E729" i="6"/>
  <c r="D729" i="6"/>
  <c r="B729" i="6"/>
  <c r="C729" i="6" s="1"/>
  <c r="E728" i="6"/>
  <c r="D728" i="6"/>
  <c r="C728" i="6"/>
  <c r="B728" i="6"/>
  <c r="E727" i="6"/>
  <c r="D727" i="6"/>
  <c r="B727" i="6"/>
  <c r="E726" i="6"/>
  <c r="D726" i="6"/>
  <c r="B726" i="6"/>
  <c r="C726" i="6" s="1"/>
  <c r="E725" i="6"/>
  <c r="D725" i="6"/>
  <c r="B725" i="6"/>
  <c r="E724" i="6"/>
  <c r="D724" i="6"/>
  <c r="C724" i="6"/>
  <c r="B724" i="6"/>
  <c r="E723" i="6"/>
  <c r="D723" i="6"/>
  <c r="B723" i="6"/>
  <c r="E722" i="6"/>
  <c r="D722" i="6"/>
  <c r="B722" i="6"/>
  <c r="C722" i="6" s="1"/>
  <c r="E721" i="6"/>
  <c r="D721" i="6"/>
  <c r="B721" i="6"/>
  <c r="E720" i="6"/>
  <c r="D720" i="6"/>
  <c r="B720" i="6"/>
  <c r="C720" i="6" s="1"/>
  <c r="E719" i="6"/>
  <c r="D719" i="6"/>
  <c r="B719" i="6"/>
  <c r="C719" i="6" s="1"/>
  <c r="E718" i="6"/>
  <c r="D718" i="6"/>
  <c r="B718" i="6"/>
  <c r="C718" i="6" s="1"/>
  <c r="E717" i="6"/>
  <c r="D717" i="6"/>
  <c r="B717" i="6"/>
  <c r="C717" i="6" s="1"/>
  <c r="E716" i="6"/>
  <c r="D716" i="6"/>
  <c r="B716" i="6"/>
  <c r="C716" i="6" s="1"/>
  <c r="E715" i="6"/>
  <c r="D715" i="6"/>
  <c r="B715" i="6"/>
  <c r="C715" i="6" s="1"/>
  <c r="E714" i="6"/>
  <c r="D714" i="6"/>
  <c r="C714" i="6"/>
  <c r="B714" i="6"/>
  <c r="E713" i="6"/>
  <c r="D713" i="6"/>
  <c r="B713" i="6"/>
  <c r="C713" i="6" s="1"/>
  <c r="E712" i="6"/>
  <c r="D712" i="6"/>
  <c r="C712" i="6"/>
  <c r="B712" i="6"/>
  <c r="E711" i="6"/>
  <c r="D711" i="6"/>
  <c r="B711" i="6"/>
  <c r="E710" i="6"/>
  <c r="D710" i="6"/>
  <c r="B710" i="6"/>
  <c r="C710" i="6" s="1"/>
  <c r="E709" i="6"/>
  <c r="D709" i="6"/>
  <c r="B709" i="6"/>
  <c r="E708" i="6"/>
  <c r="D708" i="6"/>
  <c r="C708" i="6"/>
  <c r="B708" i="6"/>
  <c r="E707" i="6"/>
  <c r="D707" i="6"/>
  <c r="B707" i="6"/>
  <c r="E706" i="6"/>
  <c r="D706" i="6"/>
  <c r="B706" i="6"/>
  <c r="C706" i="6" s="1"/>
  <c r="E705" i="6"/>
  <c r="D705" i="6"/>
  <c r="B705" i="6"/>
  <c r="E704" i="6"/>
  <c r="D704" i="6"/>
  <c r="B704" i="6"/>
  <c r="C704" i="6" s="1"/>
  <c r="E703" i="6"/>
  <c r="D703" i="6"/>
  <c r="B703" i="6"/>
  <c r="C703" i="6" s="1"/>
  <c r="E702" i="6"/>
  <c r="D702" i="6"/>
  <c r="B702" i="6"/>
  <c r="C702" i="6" s="1"/>
  <c r="E701" i="6"/>
  <c r="D701" i="6"/>
  <c r="B701" i="6"/>
  <c r="C701" i="6" s="1"/>
  <c r="E700" i="6"/>
  <c r="D700" i="6"/>
  <c r="B700" i="6"/>
  <c r="C700" i="6" s="1"/>
  <c r="E699" i="6"/>
  <c r="D699" i="6"/>
  <c r="B699" i="6"/>
  <c r="C699" i="6" s="1"/>
  <c r="E698" i="6"/>
  <c r="D698" i="6"/>
  <c r="C698" i="6"/>
  <c r="B698" i="6"/>
  <c r="E697" i="6"/>
  <c r="D697" i="6"/>
  <c r="B697" i="6"/>
  <c r="C697" i="6" s="1"/>
  <c r="E696" i="6"/>
  <c r="D696" i="6"/>
  <c r="C696" i="6"/>
  <c r="B696" i="6"/>
  <c r="E695" i="6"/>
  <c r="D695" i="6"/>
  <c r="B695" i="6"/>
  <c r="E694" i="6"/>
  <c r="D694" i="6"/>
  <c r="B694" i="6"/>
  <c r="C694" i="6" s="1"/>
  <c r="E693" i="6"/>
  <c r="D693" i="6"/>
  <c r="B693" i="6"/>
  <c r="E692" i="6"/>
  <c r="D692" i="6"/>
  <c r="C692" i="6"/>
  <c r="B692" i="6"/>
  <c r="E691" i="6"/>
  <c r="D691" i="6"/>
  <c r="B691" i="6"/>
  <c r="E690" i="6"/>
  <c r="D690" i="6"/>
  <c r="B690" i="6"/>
  <c r="C690" i="6" s="1"/>
  <c r="E689" i="6"/>
  <c r="D689" i="6"/>
  <c r="B689" i="6"/>
  <c r="E688" i="6"/>
  <c r="D688" i="6"/>
  <c r="B688" i="6"/>
  <c r="C688" i="6" s="1"/>
  <c r="E687" i="6"/>
  <c r="D687" i="6"/>
  <c r="B687" i="6"/>
  <c r="C687" i="6" s="1"/>
  <c r="E686" i="6"/>
  <c r="D686" i="6"/>
  <c r="B686" i="6"/>
  <c r="C686" i="6" s="1"/>
  <c r="E685" i="6"/>
  <c r="D685" i="6"/>
  <c r="B685" i="6"/>
  <c r="C685" i="6" s="1"/>
  <c r="E684" i="6"/>
  <c r="D684" i="6"/>
  <c r="B684" i="6"/>
  <c r="C684" i="6" s="1"/>
  <c r="E683" i="6"/>
  <c r="D683" i="6"/>
  <c r="B683" i="6"/>
  <c r="C683" i="6" s="1"/>
  <c r="E682" i="6"/>
  <c r="D682" i="6"/>
  <c r="C682" i="6"/>
  <c r="B682" i="6"/>
  <c r="E681" i="6"/>
  <c r="D681" i="6"/>
  <c r="B681" i="6"/>
  <c r="C681" i="6" s="1"/>
  <c r="E680" i="6"/>
  <c r="D680" i="6"/>
  <c r="C680" i="6"/>
  <c r="B680" i="6"/>
  <c r="E679" i="6"/>
  <c r="D679" i="6"/>
  <c r="B679" i="6"/>
  <c r="E678" i="6"/>
  <c r="D678" i="6"/>
  <c r="B678" i="6"/>
  <c r="C678" i="6" s="1"/>
  <c r="E677" i="6"/>
  <c r="D677" i="6"/>
  <c r="B677" i="6"/>
  <c r="E676" i="6"/>
  <c r="D676" i="6"/>
  <c r="C676" i="6"/>
  <c r="B676" i="6"/>
  <c r="E675" i="6"/>
  <c r="D675" i="6"/>
  <c r="B675" i="6"/>
  <c r="E674" i="6"/>
  <c r="D674" i="6"/>
  <c r="B674" i="6"/>
  <c r="C674" i="6" s="1"/>
  <c r="E673" i="6"/>
  <c r="D673" i="6"/>
  <c r="B673" i="6"/>
  <c r="E672" i="6"/>
  <c r="D672" i="6"/>
  <c r="B672" i="6"/>
  <c r="C672" i="6" s="1"/>
  <c r="E671" i="6"/>
  <c r="D671" i="6"/>
  <c r="B671" i="6"/>
  <c r="C671" i="6" s="1"/>
  <c r="E670" i="6"/>
  <c r="D670" i="6"/>
  <c r="B670" i="6"/>
  <c r="C670" i="6" s="1"/>
  <c r="E669" i="6"/>
  <c r="D669" i="6"/>
  <c r="B669" i="6"/>
  <c r="C669" i="6" s="1"/>
  <c r="E668" i="6"/>
  <c r="D668" i="6"/>
  <c r="B668" i="6"/>
  <c r="C668" i="6" s="1"/>
  <c r="E667" i="6"/>
  <c r="D667" i="6"/>
  <c r="B667" i="6"/>
  <c r="C667" i="6" s="1"/>
  <c r="E666" i="6"/>
  <c r="D666" i="6"/>
  <c r="C666" i="6"/>
  <c r="B666" i="6"/>
  <c r="E665" i="6"/>
  <c r="D665" i="6"/>
  <c r="B665" i="6"/>
  <c r="C665" i="6" s="1"/>
  <c r="E664" i="6"/>
  <c r="D664" i="6"/>
  <c r="C664" i="6"/>
  <c r="B664" i="6"/>
  <c r="E663" i="6"/>
  <c r="D663" i="6"/>
  <c r="B663" i="6"/>
  <c r="E662" i="6"/>
  <c r="D662" i="6"/>
  <c r="B662" i="6"/>
  <c r="C662" i="6" s="1"/>
  <c r="E661" i="6"/>
  <c r="D661" i="6"/>
  <c r="B661" i="6"/>
  <c r="E660" i="6"/>
  <c r="D660" i="6"/>
  <c r="C660" i="6"/>
  <c r="B660" i="6"/>
  <c r="E659" i="6"/>
  <c r="D659" i="6"/>
  <c r="B659" i="6"/>
  <c r="E658" i="6"/>
  <c r="D658" i="6"/>
  <c r="B658" i="6"/>
  <c r="C658" i="6" s="1"/>
  <c r="E657" i="6"/>
  <c r="D657" i="6"/>
  <c r="B657" i="6"/>
  <c r="E656" i="6"/>
  <c r="D656" i="6"/>
  <c r="B656" i="6"/>
  <c r="C656" i="6" s="1"/>
  <c r="E655" i="6"/>
  <c r="D655" i="6"/>
  <c r="B655" i="6"/>
  <c r="C655" i="6" s="1"/>
  <c r="E654" i="6"/>
  <c r="D654" i="6"/>
  <c r="B654" i="6"/>
  <c r="C654" i="6" s="1"/>
  <c r="E653" i="6"/>
  <c r="D653" i="6"/>
  <c r="B653" i="6"/>
  <c r="C653" i="6" s="1"/>
  <c r="E652" i="6"/>
  <c r="D652" i="6"/>
  <c r="B652" i="6"/>
  <c r="C652" i="6" s="1"/>
  <c r="E651" i="6"/>
  <c r="D651" i="6"/>
  <c r="B651" i="6"/>
  <c r="C651" i="6" s="1"/>
  <c r="E650" i="6"/>
  <c r="D650" i="6"/>
  <c r="C650" i="6"/>
  <c r="B650" i="6"/>
  <c r="E649" i="6"/>
  <c r="D649" i="6"/>
  <c r="B649" i="6"/>
  <c r="C649" i="6" s="1"/>
  <c r="E648" i="6"/>
  <c r="D648" i="6"/>
  <c r="C648" i="6"/>
  <c r="B648" i="6"/>
  <c r="E647" i="6"/>
  <c r="D647" i="6"/>
  <c r="B647" i="6"/>
  <c r="E646" i="6"/>
  <c r="D646" i="6"/>
  <c r="B646" i="6"/>
  <c r="C646" i="6" s="1"/>
  <c r="E645" i="6"/>
  <c r="D645" i="6"/>
  <c r="B645" i="6"/>
  <c r="E644" i="6"/>
  <c r="D644" i="6"/>
  <c r="C644" i="6"/>
  <c r="B644" i="6"/>
  <c r="E643" i="6"/>
  <c r="D643" i="6"/>
  <c r="B643" i="6"/>
  <c r="E642" i="6"/>
  <c r="D642" i="6"/>
  <c r="B642" i="6"/>
  <c r="C642" i="6" s="1"/>
  <c r="E641" i="6"/>
  <c r="D641" i="6"/>
  <c r="B641" i="6"/>
  <c r="E640" i="6"/>
  <c r="D640" i="6"/>
  <c r="B640" i="6"/>
  <c r="C640" i="6" s="1"/>
  <c r="E639" i="6"/>
  <c r="D639" i="6"/>
  <c r="B639" i="6"/>
  <c r="C639" i="6" s="1"/>
  <c r="E638" i="6"/>
  <c r="D638" i="6"/>
  <c r="B638" i="6"/>
  <c r="C638" i="6" s="1"/>
  <c r="E637" i="6"/>
  <c r="D637" i="6"/>
  <c r="B637" i="6"/>
  <c r="C637" i="6" s="1"/>
  <c r="E636" i="6"/>
  <c r="D636" i="6"/>
  <c r="B636" i="6"/>
  <c r="C636" i="6" s="1"/>
  <c r="E635" i="6"/>
  <c r="D635" i="6"/>
  <c r="B635" i="6"/>
  <c r="C635" i="6" s="1"/>
  <c r="E634" i="6"/>
  <c r="D634" i="6"/>
  <c r="C634" i="6"/>
  <c r="B634" i="6"/>
  <c r="E633" i="6"/>
  <c r="D633" i="6"/>
  <c r="B633" i="6"/>
  <c r="C633" i="6" s="1"/>
  <c r="E632" i="6"/>
  <c r="D632" i="6"/>
  <c r="C632" i="6"/>
  <c r="B632" i="6"/>
  <c r="E631" i="6"/>
  <c r="D631" i="6"/>
  <c r="B631" i="6"/>
  <c r="E630" i="6"/>
  <c r="D630" i="6"/>
  <c r="B630" i="6"/>
  <c r="C630" i="6" s="1"/>
  <c r="E629" i="6"/>
  <c r="D629" i="6"/>
  <c r="B629" i="6"/>
  <c r="E628" i="6"/>
  <c r="D628" i="6"/>
  <c r="C628" i="6"/>
  <c r="B628" i="6"/>
  <c r="E627" i="6"/>
  <c r="D627" i="6"/>
  <c r="B627" i="6"/>
  <c r="E626" i="6"/>
  <c r="D626" i="6"/>
  <c r="B626" i="6"/>
  <c r="C626" i="6" s="1"/>
  <c r="E625" i="6"/>
  <c r="D625" i="6"/>
  <c r="B625" i="6"/>
  <c r="E624" i="6"/>
  <c r="D624" i="6"/>
  <c r="B624" i="6"/>
  <c r="C624" i="6" s="1"/>
  <c r="E623" i="6"/>
  <c r="D623" i="6"/>
  <c r="B623" i="6"/>
  <c r="C623" i="6" s="1"/>
  <c r="E622" i="6"/>
  <c r="D622" i="6"/>
  <c r="B622" i="6"/>
  <c r="C622" i="6" s="1"/>
  <c r="E621" i="6"/>
  <c r="D621" i="6"/>
  <c r="B621" i="6"/>
  <c r="C621" i="6" s="1"/>
  <c r="E620" i="6"/>
  <c r="D620" i="6"/>
  <c r="B620" i="6"/>
  <c r="C620" i="6" s="1"/>
  <c r="E619" i="6"/>
  <c r="D619" i="6"/>
  <c r="B619" i="6"/>
  <c r="C619" i="6" s="1"/>
  <c r="E618" i="6"/>
  <c r="D618" i="6"/>
  <c r="C618" i="6"/>
  <c r="B618" i="6"/>
  <c r="E617" i="6"/>
  <c r="D617" i="6"/>
  <c r="B617" i="6"/>
  <c r="C617" i="6" s="1"/>
  <c r="E616" i="6"/>
  <c r="D616" i="6"/>
  <c r="C616" i="6"/>
  <c r="B616" i="6"/>
  <c r="E615" i="6"/>
  <c r="D615" i="6"/>
  <c r="B615" i="6"/>
  <c r="E614" i="6"/>
  <c r="D614" i="6"/>
  <c r="B614" i="6"/>
  <c r="C614" i="6" s="1"/>
  <c r="E613" i="6"/>
  <c r="D613" i="6"/>
  <c r="B613" i="6"/>
  <c r="E612" i="6"/>
  <c r="D612" i="6"/>
  <c r="C612" i="6"/>
  <c r="B612" i="6"/>
  <c r="E611" i="6"/>
  <c r="D611" i="6"/>
  <c r="B611" i="6"/>
  <c r="E610" i="6"/>
  <c r="D610" i="6"/>
  <c r="B610" i="6"/>
  <c r="C610" i="6" s="1"/>
  <c r="E609" i="6"/>
  <c r="D609" i="6"/>
  <c r="B609" i="6"/>
  <c r="E608" i="6"/>
  <c r="D608" i="6"/>
  <c r="B608" i="6"/>
  <c r="C608" i="6" s="1"/>
  <c r="E607" i="6"/>
  <c r="D607" i="6"/>
  <c r="B607" i="6"/>
  <c r="C607" i="6" s="1"/>
  <c r="E606" i="6"/>
  <c r="D606" i="6"/>
  <c r="B606" i="6"/>
  <c r="C606" i="6" s="1"/>
  <c r="E605" i="6"/>
  <c r="D605" i="6"/>
  <c r="B605" i="6"/>
  <c r="C605" i="6" s="1"/>
  <c r="E604" i="6"/>
  <c r="D604" i="6"/>
  <c r="B604" i="6"/>
  <c r="C604" i="6" s="1"/>
  <c r="E603" i="6"/>
  <c r="D603" i="6"/>
  <c r="B603" i="6"/>
  <c r="C603" i="6" s="1"/>
  <c r="E602" i="6"/>
  <c r="D602" i="6"/>
  <c r="C602" i="6"/>
  <c r="B602" i="6"/>
  <c r="E601" i="6"/>
  <c r="D601" i="6"/>
  <c r="B601" i="6"/>
  <c r="C601" i="6" s="1"/>
  <c r="E600" i="6"/>
  <c r="D600" i="6"/>
  <c r="C600" i="6"/>
  <c r="B600" i="6"/>
  <c r="E599" i="6"/>
  <c r="D599" i="6"/>
  <c r="B599" i="6"/>
  <c r="E598" i="6"/>
  <c r="D598" i="6"/>
  <c r="B598" i="6"/>
  <c r="C598" i="6" s="1"/>
  <c r="E597" i="6"/>
  <c r="D597" i="6"/>
  <c r="B597" i="6"/>
  <c r="E596" i="6"/>
  <c r="D596" i="6"/>
  <c r="C596" i="6"/>
  <c r="B596" i="6"/>
  <c r="E595" i="6"/>
  <c r="D595" i="6"/>
  <c r="B595" i="6"/>
  <c r="E594" i="6"/>
  <c r="D594" i="6"/>
  <c r="B594" i="6"/>
  <c r="C594" i="6" s="1"/>
  <c r="E593" i="6"/>
  <c r="D593" i="6"/>
  <c r="B593" i="6"/>
  <c r="E592" i="6"/>
  <c r="D592" i="6"/>
  <c r="B592" i="6"/>
  <c r="C592" i="6" s="1"/>
  <c r="E591" i="6"/>
  <c r="D591" i="6"/>
  <c r="B591" i="6"/>
  <c r="C591" i="6" s="1"/>
  <c r="E590" i="6"/>
  <c r="D590" i="6"/>
  <c r="B590" i="6"/>
  <c r="C590" i="6" s="1"/>
  <c r="E589" i="6"/>
  <c r="D589" i="6"/>
  <c r="B589" i="6"/>
  <c r="C589" i="6" s="1"/>
  <c r="E588" i="6"/>
  <c r="D588" i="6"/>
  <c r="B588" i="6"/>
  <c r="C588" i="6" s="1"/>
  <c r="E587" i="6"/>
  <c r="D587" i="6"/>
  <c r="B587" i="6"/>
  <c r="C587" i="6" s="1"/>
  <c r="E586" i="6"/>
  <c r="D586" i="6"/>
  <c r="C586" i="6"/>
  <c r="B586" i="6"/>
  <c r="E585" i="6"/>
  <c r="D585" i="6"/>
  <c r="B585" i="6"/>
  <c r="C585" i="6" s="1"/>
  <c r="E584" i="6"/>
  <c r="D584" i="6"/>
  <c r="C584" i="6"/>
  <c r="B584" i="6"/>
  <c r="E583" i="6"/>
  <c r="D583" i="6"/>
  <c r="B583" i="6"/>
  <c r="E582" i="6"/>
  <c r="D582" i="6"/>
  <c r="B582" i="6"/>
  <c r="C582" i="6" s="1"/>
  <c r="E581" i="6"/>
  <c r="D581" i="6"/>
  <c r="B581" i="6"/>
  <c r="E580" i="6"/>
  <c r="D580" i="6"/>
  <c r="C580" i="6"/>
  <c r="B580" i="6"/>
  <c r="E579" i="6"/>
  <c r="D579" i="6"/>
  <c r="B579" i="6"/>
  <c r="E578" i="6"/>
  <c r="D578" i="6"/>
  <c r="B578" i="6"/>
  <c r="C578" i="6" s="1"/>
  <c r="E577" i="6"/>
  <c r="D577" i="6"/>
  <c r="B577" i="6"/>
  <c r="E576" i="6"/>
  <c r="D576" i="6"/>
  <c r="B576" i="6"/>
  <c r="C576" i="6" s="1"/>
  <c r="E575" i="6"/>
  <c r="D575" i="6"/>
  <c r="B575" i="6"/>
  <c r="C575" i="6" s="1"/>
  <c r="E574" i="6"/>
  <c r="D574" i="6"/>
  <c r="B574" i="6"/>
  <c r="C574" i="6" s="1"/>
  <c r="E573" i="6"/>
  <c r="D573" i="6"/>
  <c r="B573" i="6"/>
  <c r="C573" i="6" s="1"/>
  <c r="E572" i="6"/>
  <c r="D572" i="6"/>
  <c r="B572" i="6"/>
  <c r="C572" i="6" s="1"/>
  <c r="E571" i="6"/>
  <c r="D571" i="6"/>
  <c r="B571" i="6"/>
  <c r="C571" i="6" s="1"/>
  <c r="E570" i="6"/>
  <c r="D570" i="6"/>
  <c r="C570" i="6"/>
  <c r="B570" i="6"/>
  <c r="E569" i="6"/>
  <c r="D569" i="6"/>
  <c r="B569" i="6"/>
  <c r="C569" i="6" s="1"/>
  <c r="E568" i="6"/>
  <c r="D568" i="6"/>
  <c r="C568" i="6"/>
  <c r="B568" i="6"/>
  <c r="E567" i="6"/>
  <c r="D567" i="6"/>
  <c r="B567" i="6"/>
  <c r="E566" i="6"/>
  <c r="D566" i="6"/>
  <c r="B566" i="6"/>
  <c r="C566" i="6" s="1"/>
  <c r="E565" i="6"/>
  <c r="D565" i="6"/>
  <c r="B565" i="6"/>
  <c r="E564" i="6"/>
  <c r="D564" i="6"/>
  <c r="C564" i="6"/>
  <c r="B564" i="6"/>
  <c r="E563" i="6"/>
  <c r="D563" i="6"/>
  <c r="B563" i="6"/>
  <c r="E562" i="6"/>
  <c r="D562" i="6"/>
  <c r="B562" i="6"/>
  <c r="C562" i="6" s="1"/>
  <c r="E561" i="6"/>
  <c r="D561" i="6"/>
  <c r="B561" i="6"/>
  <c r="E560" i="6"/>
  <c r="D560" i="6"/>
  <c r="B560" i="6"/>
  <c r="C560" i="6" s="1"/>
  <c r="E559" i="6"/>
  <c r="D559" i="6"/>
  <c r="B559" i="6"/>
  <c r="C559" i="6" s="1"/>
  <c r="E558" i="6"/>
  <c r="D558" i="6"/>
  <c r="B558" i="6"/>
  <c r="C558" i="6" s="1"/>
  <c r="E557" i="6"/>
  <c r="D557" i="6"/>
  <c r="B557" i="6"/>
  <c r="C557" i="6" s="1"/>
  <c r="E556" i="6"/>
  <c r="D556" i="6"/>
  <c r="B556" i="6"/>
  <c r="C556" i="6" s="1"/>
  <c r="E555" i="6"/>
  <c r="D555" i="6"/>
  <c r="B555" i="6"/>
  <c r="C555" i="6" s="1"/>
  <c r="E554" i="6"/>
  <c r="D554" i="6"/>
  <c r="C554" i="6"/>
  <c r="B554" i="6"/>
  <c r="E553" i="6"/>
  <c r="D553" i="6"/>
  <c r="B553" i="6"/>
  <c r="C553" i="6" s="1"/>
  <c r="E552" i="6"/>
  <c r="D552" i="6"/>
  <c r="C552" i="6"/>
  <c r="B552" i="6"/>
  <c r="E551" i="6"/>
  <c r="D551" i="6"/>
  <c r="B551" i="6"/>
  <c r="E550" i="6"/>
  <c r="D550" i="6"/>
  <c r="B550" i="6"/>
  <c r="C550" i="6" s="1"/>
  <c r="E549" i="6"/>
  <c r="D549" i="6"/>
  <c r="B549" i="6"/>
  <c r="E548" i="6"/>
  <c r="D548" i="6"/>
  <c r="C548" i="6"/>
  <c r="B548" i="6"/>
  <c r="E547" i="6"/>
  <c r="D547" i="6"/>
  <c r="B547" i="6"/>
  <c r="E546" i="6"/>
  <c r="D546" i="6"/>
  <c r="B546" i="6"/>
  <c r="C546" i="6" s="1"/>
  <c r="E545" i="6"/>
  <c r="D545" i="6"/>
  <c r="B545" i="6"/>
  <c r="E544" i="6"/>
  <c r="D544" i="6"/>
  <c r="B544" i="6"/>
  <c r="C544" i="6" s="1"/>
  <c r="E543" i="6"/>
  <c r="D543" i="6"/>
  <c r="B543" i="6"/>
  <c r="C543" i="6" s="1"/>
  <c r="E542" i="6"/>
  <c r="D542" i="6"/>
  <c r="B542" i="6"/>
  <c r="C542" i="6" s="1"/>
  <c r="E541" i="6"/>
  <c r="D541" i="6"/>
  <c r="B541" i="6"/>
  <c r="C541" i="6" s="1"/>
  <c r="E540" i="6"/>
  <c r="D540" i="6"/>
  <c r="B540" i="6"/>
  <c r="C540" i="6" s="1"/>
  <c r="E539" i="6"/>
  <c r="D539" i="6"/>
  <c r="B539" i="6"/>
  <c r="C539" i="6" s="1"/>
  <c r="E538" i="6"/>
  <c r="D538" i="6"/>
  <c r="C538" i="6"/>
  <c r="B538" i="6"/>
  <c r="E537" i="6"/>
  <c r="D537" i="6"/>
  <c r="B537" i="6"/>
  <c r="C537" i="6" s="1"/>
  <c r="E536" i="6"/>
  <c r="D536" i="6"/>
  <c r="C536" i="6"/>
  <c r="B536" i="6"/>
  <c r="E535" i="6"/>
  <c r="D535" i="6"/>
  <c r="B535" i="6"/>
  <c r="E534" i="6"/>
  <c r="D534" i="6"/>
  <c r="B534" i="6"/>
  <c r="C534" i="6" s="1"/>
  <c r="E533" i="6"/>
  <c r="D533" i="6"/>
  <c r="B533" i="6"/>
  <c r="E532" i="6"/>
  <c r="D532" i="6"/>
  <c r="C532" i="6"/>
  <c r="B532" i="6"/>
  <c r="E531" i="6"/>
  <c r="D531" i="6"/>
  <c r="B531" i="6"/>
  <c r="E530" i="6"/>
  <c r="D530" i="6"/>
  <c r="B530" i="6"/>
  <c r="C530" i="6" s="1"/>
  <c r="E529" i="6"/>
  <c r="D529" i="6"/>
  <c r="B529" i="6"/>
  <c r="E528" i="6"/>
  <c r="D528" i="6"/>
  <c r="B528" i="6"/>
  <c r="C528" i="6" s="1"/>
  <c r="E527" i="6"/>
  <c r="D527" i="6"/>
  <c r="B527" i="6"/>
  <c r="C527" i="6" s="1"/>
  <c r="E526" i="6"/>
  <c r="D526" i="6"/>
  <c r="B526" i="6"/>
  <c r="C526" i="6" s="1"/>
  <c r="E525" i="6"/>
  <c r="D525" i="6"/>
  <c r="B525" i="6"/>
  <c r="C525" i="6" s="1"/>
  <c r="E524" i="6"/>
  <c r="D524" i="6"/>
  <c r="B524" i="6"/>
  <c r="C524" i="6" s="1"/>
  <c r="E523" i="6"/>
  <c r="D523" i="6"/>
  <c r="B523" i="6"/>
  <c r="C523" i="6" s="1"/>
  <c r="E522" i="6"/>
  <c r="D522" i="6"/>
  <c r="C522" i="6"/>
  <c r="B522" i="6"/>
  <c r="E521" i="6"/>
  <c r="D521" i="6"/>
  <c r="B521" i="6"/>
  <c r="C521" i="6" s="1"/>
  <c r="E520" i="6"/>
  <c r="D520" i="6"/>
  <c r="C520" i="6"/>
  <c r="B520" i="6"/>
  <c r="E519" i="6"/>
  <c r="D519" i="6"/>
  <c r="B519" i="6"/>
  <c r="E518" i="6"/>
  <c r="D518" i="6"/>
  <c r="B518" i="6"/>
  <c r="C518" i="6" s="1"/>
  <c r="E517" i="6"/>
  <c r="D517" i="6"/>
  <c r="B517" i="6"/>
  <c r="E516" i="6"/>
  <c r="D516" i="6"/>
  <c r="C516" i="6"/>
  <c r="B516" i="6"/>
  <c r="E515" i="6"/>
  <c r="D515" i="6"/>
  <c r="B515" i="6"/>
  <c r="E514" i="6"/>
  <c r="D514" i="6"/>
  <c r="B514" i="6"/>
  <c r="C514" i="6" s="1"/>
  <c r="E513" i="6"/>
  <c r="D513" i="6"/>
  <c r="B513" i="6"/>
  <c r="E512" i="6"/>
  <c r="D512" i="6"/>
  <c r="B512" i="6"/>
  <c r="C512" i="6" s="1"/>
  <c r="E511" i="6"/>
  <c r="D511" i="6"/>
  <c r="B511" i="6"/>
  <c r="C511" i="6" s="1"/>
  <c r="E510" i="6"/>
  <c r="D510" i="6"/>
  <c r="B510" i="6"/>
  <c r="C510" i="6" s="1"/>
  <c r="E509" i="6"/>
  <c r="D509" i="6"/>
  <c r="B509" i="6"/>
  <c r="C509" i="6" s="1"/>
  <c r="E508" i="6"/>
  <c r="D508" i="6"/>
  <c r="B508" i="6"/>
  <c r="C508" i="6" s="1"/>
  <c r="E507" i="6"/>
  <c r="D507" i="6"/>
  <c r="B507" i="6"/>
  <c r="C507" i="6" s="1"/>
  <c r="E506" i="6"/>
  <c r="D506" i="6"/>
  <c r="C506" i="6"/>
  <c r="B506" i="6"/>
  <c r="E505" i="6"/>
  <c r="D505" i="6"/>
  <c r="B505" i="6"/>
  <c r="C505" i="6" s="1"/>
  <c r="E504" i="6"/>
  <c r="D504" i="6"/>
  <c r="C504" i="6"/>
  <c r="B504" i="6"/>
  <c r="E503" i="6"/>
  <c r="D503" i="6"/>
  <c r="B503" i="6"/>
  <c r="E502" i="6"/>
  <c r="D502" i="6"/>
  <c r="B502" i="6"/>
  <c r="C502" i="6" s="1"/>
  <c r="E501" i="6"/>
  <c r="D501" i="6"/>
  <c r="B501" i="6"/>
  <c r="E500" i="6"/>
  <c r="D500" i="6"/>
  <c r="C500" i="6"/>
  <c r="B500" i="6"/>
  <c r="E499" i="6"/>
  <c r="D499" i="6"/>
  <c r="B499" i="6"/>
  <c r="E498" i="6"/>
  <c r="D498" i="6"/>
  <c r="B498" i="6"/>
  <c r="C498" i="6" s="1"/>
  <c r="E497" i="6"/>
  <c r="D497" i="6"/>
  <c r="B497" i="6"/>
  <c r="E496" i="6"/>
  <c r="D496" i="6"/>
  <c r="B496" i="6"/>
  <c r="C496" i="6" s="1"/>
  <c r="E495" i="6"/>
  <c r="D495" i="6"/>
  <c r="B495" i="6"/>
  <c r="C495" i="6" s="1"/>
  <c r="E494" i="6"/>
  <c r="D494" i="6"/>
  <c r="B494" i="6"/>
  <c r="C494" i="6" s="1"/>
  <c r="E493" i="6"/>
  <c r="D493" i="6"/>
  <c r="B493" i="6"/>
  <c r="C493" i="6" s="1"/>
  <c r="E492" i="6"/>
  <c r="D492" i="6"/>
  <c r="B492" i="6"/>
  <c r="C492" i="6" s="1"/>
  <c r="E491" i="6"/>
  <c r="D491" i="6"/>
  <c r="B491" i="6"/>
  <c r="C491" i="6" s="1"/>
  <c r="E490" i="6"/>
  <c r="D490" i="6"/>
  <c r="C490" i="6"/>
  <c r="B490" i="6"/>
  <c r="E489" i="6"/>
  <c r="D489" i="6"/>
  <c r="B489" i="6"/>
  <c r="C489" i="6" s="1"/>
  <c r="E488" i="6"/>
  <c r="D488" i="6"/>
  <c r="C488" i="6"/>
  <c r="B488" i="6"/>
  <c r="E487" i="6"/>
  <c r="D487" i="6"/>
  <c r="B487" i="6"/>
  <c r="E486" i="6"/>
  <c r="D486" i="6"/>
  <c r="B486" i="6"/>
  <c r="C486" i="6" s="1"/>
  <c r="E485" i="6"/>
  <c r="D485" i="6"/>
  <c r="B485" i="6"/>
  <c r="E484" i="6"/>
  <c r="D484" i="6"/>
  <c r="C484" i="6"/>
  <c r="B484" i="6"/>
  <c r="E483" i="6"/>
  <c r="D483" i="6"/>
  <c r="B483" i="6"/>
  <c r="E482" i="6"/>
  <c r="D482" i="6"/>
  <c r="B482" i="6"/>
  <c r="C482" i="6" s="1"/>
  <c r="E481" i="6"/>
  <c r="D481" i="6"/>
  <c r="B481" i="6"/>
  <c r="E480" i="6"/>
  <c r="D480" i="6"/>
  <c r="B480" i="6"/>
  <c r="C480" i="6" s="1"/>
  <c r="E479" i="6"/>
  <c r="D479" i="6"/>
  <c r="B479" i="6"/>
  <c r="C479" i="6" s="1"/>
  <c r="E478" i="6"/>
  <c r="D478" i="6"/>
  <c r="B478" i="6"/>
  <c r="C478" i="6" s="1"/>
  <c r="E477" i="6"/>
  <c r="D477" i="6"/>
  <c r="B477" i="6"/>
  <c r="C477" i="6" s="1"/>
  <c r="E476" i="6"/>
  <c r="D476" i="6"/>
  <c r="B476" i="6"/>
  <c r="C476" i="6" s="1"/>
  <c r="E475" i="6"/>
  <c r="D475" i="6"/>
  <c r="B475" i="6"/>
  <c r="C475" i="6" s="1"/>
  <c r="E474" i="6"/>
  <c r="D474" i="6"/>
  <c r="C474" i="6"/>
  <c r="B474" i="6"/>
  <c r="E473" i="6"/>
  <c r="D473" i="6"/>
  <c r="B473" i="6"/>
  <c r="C473" i="6" s="1"/>
  <c r="E472" i="6"/>
  <c r="D472" i="6"/>
  <c r="C472" i="6"/>
  <c r="B472" i="6"/>
  <c r="E471" i="6"/>
  <c r="D471" i="6"/>
  <c r="B471" i="6"/>
  <c r="E470" i="6"/>
  <c r="D470" i="6"/>
  <c r="B470" i="6"/>
  <c r="C470" i="6" s="1"/>
  <c r="E469" i="6"/>
  <c r="D469" i="6"/>
  <c r="B469" i="6"/>
  <c r="E468" i="6"/>
  <c r="D468" i="6"/>
  <c r="C468" i="6"/>
  <c r="B468" i="6"/>
  <c r="E467" i="6"/>
  <c r="D467" i="6"/>
  <c r="B467" i="6"/>
  <c r="E466" i="6"/>
  <c r="D466" i="6"/>
  <c r="B466" i="6"/>
  <c r="C466" i="6" s="1"/>
  <c r="E465" i="6"/>
  <c r="D465" i="6"/>
  <c r="B465" i="6"/>
  <c r="E464" i="6"/>
  <c r="D464" i="6"/>
  <c r="B464" i="6"/>
  <c r="C464" i="6" s="1"/>
  <c r="E463" i="6"/>
  <c r="D463" i="6"/>
  <c r="B463" i="6"/>
  <c r="C463" i="6" s="1"/>
  <c r="E462" i="6"/>
  <c r="D462" i="6"/>
  <c r="B462" i="6"/>
  <c r="C462" i="6" s="1"/>
  <c r="E461" i="6"/>
  <c r="D461" i="6"/>
  <c r="B461" i="6"/>
  <c r="C461" i="6" s="1"/>
  <c r="E460" i="6"/>
  <c r="D460" i="6"/>
  <c r="B460" i="6"/>
  <c r="C460" i="6" s="1"/>
  <c r="E459" i="6"/>
  <c r="D459" i="6"/>
  <c r="B459" i="6"/>
  <c r="C459" i="6" s="1"/>
  <c r="E458" i="6"/>
  <c r="D458" i="6"/>
  <c r="C458" i="6"/>
  <c r="B458" i="6"/>
  <c r="E457" i="6"/>
  <c r="D457" i="6"/>
  <c r="B457" i="6"/>
  <c r="C457" i="6" s="1"/>
  <c r="E456" i="6"/>
  <c r="D456" i="6"/>
  <c r="C456" i="6"/>
  <c r="B456" i="6"/>
  <c r="E455" i="6"/>
  <c r="D455" i="6"/>
  <c r="B455" i="6"/>
  <c r="E454" i="6"/>
  <c r="D454" i="6"/>
  <c r="B454" i="6"/>
  <c r="C454" i="6" s="1"/>
  <c r="E453" i="6"/>
  <c r="D453" i="6"/>
  <c r="B453" i="6"/>
  <c r="E452" i="6"/>
  <c r="D452" i="6"/>
  <c r="C452" i="6"/>
  <c r="B452" i="6"/>
  <c r="E451" i="6"/>
  <c r="D451" i="6"/>
  <c r="B451" i="6"/>
  <c r="E450" i="6"/>
  <c r="D450" i="6"/>
  <c r="B450" i="6"/>
  <c r="C450" i="6" s="1"/>
  <c r="E449" i="6"/>
  <c r="D449" i="6"/>
  <c r="B449" i="6"/>
  <c r="E448" i="6"/>
  <c r="D448" i="6"/>
  <c r="B448" i="6"/>
  <c r="C448" i="6" s="1"/>
  <c r="E447" i="6"/>
  <c r="D447" i="6"/>
  <c r="B447" i="6"/>
  <c r="C447" i="6" s="1"/>
  <c r="E446" i="6"/>
  <c r="D446" i="6"/>
  <c r="B446" i="6"/>
  <c r="C446" i="6" s="1"/>
  <c r="E445" i="6"/>
  <c r="D445" i="6"/>
  <c r="B445" i="6"/>
  <c r="C445" i="6" s="1"/>
  <c r="E444" i="6"/>
  <c r="D444" i="6"/>
  <c r="B444" i="6"/>
  <c r="C444" i="6" s="1"/>
  <c r="E443" i="6"/>
  <c r="D443" i="6"/>
  <c r="B443" i="6"/>
  <c r="C443" i="6" s="1"/>
  <c r="E442" i="6"/>
  <c r="D442" i="6"/>
  <c r="C442" i="6"/>
  <c r="B442" i="6"/>
  <c r="E441" i="6"/>
  <c r="D441" i="6"/>
  <c r="B441" i="6"/>
  <c r="C441" i="6" s="1"/>
  <c r="E440" i="6"/>
  <c r="D440" i="6"/>
  <c r="C440" i="6"/>
  <c r="B440" i="6"/>
  <c r="E439" i="6"/>
  <c r="D439" i="6"/>
  <c r="B439" i="6"/>
  <c r="E438" i="6"/>
  <c r="D438" i="6"/>
  <c r="B438" i="6"/>
  <c r="C438" i="6" s="1"/>
  <c r="E437" i="6"/>
  <c r="D437" i="6"/>
  <c r="B437" i="6"/>
  <c r="E436" i="6"/>
  <c r="D436" i="6"/>
  <c r="C436" i="6"/>
  <c r="B436" i="6"/>
  <c r="E435" i="6"/>
  <c r="D435" i="6"/>
  <c r="B435" i="6"/>
  <c r="E434" i="6"/>
  <c r="D434" i="6"/>
  <c r="B434" i="6"/>
  <c r="C434" i="6" s="1"/>
  <c r="E433" i="6"/>
  <c r="D433" i="6"/>
  <c r="B433" i="6"/>
  <c r="E432" i="6"/>
  <c r="D432" i="6"/>
  <c r="B432" i="6"/>
  <c r="C432" i="6" s="1"/>
  <c r="E431" i="6"/>
  <c r="D431" i="6"/>
  <c r="B431" i="6"/>
  <c r="C431" i="6" s="1"/>
  <c r="E430" i="6"/>
  <c r="D430" i="6"/>
  <c r="B430" i="6"/>
  <c r="C430" i="6" s="1"/>
  <c r="E429" i="6"/>
  <c r="D429" i="6"/>
  <c r="B429" i="6"/>
  <c r="C429" i="6" s="1"/>
  <c r="E428" i="6"/>
  <c r="D428" i="6"/>
  <c r="B428" i="6"/>
  <c r="C428" i="6" s="1"/>
  <c r="E427" i="6"/>
  <c r="D427" i="6"/>
  <c r="B427" i="6"/>
  <c r="C427" i="6" s="1"/>
  <c r="E426" i="6"/>
  <c r="D426" i="6"/>
  <c r="C426" i="6"/>
  <c r="B426" i="6"/>
  <c r="E425" i="6"/>
  <c r="D425" i="6"/>
  <c r="B425" i="6"/>
  <c r="C425" i="6" s="1"/>
  <c r="E424" i="6"/>
  <c r="D424" i="6"/>
  <c r="C424" i="6"/>
  <c r="B424" i="6"/>
  <c r="E423" i="6"/>
  <c r="D423" i="6"/>
  <c r="B423" i="6"/>
  <c r="E422" i="6"/>
  <c r="D422" i="6"/>
  <c r="B422" i="6"/>
  <c r="C422" i="6" s="1"/>
  <c r="E421" i="6"/>
  <c r="D421" i="6"/>
  <c r="B421" i="6"/>
  <c r="E420" i="6"/>
  <c r="D420" i="6"/>
  <c r="C420" i="6"/>
  <c r="B420" i="6"/>
  <c r="E419" i="6"/>
  <c r="D419" i="6"/>
  <c r="B419" i="6"/>
  <c r="E418" i="6"/>
  <c r="D418" i="6"/>
  <c r="B418" i="6"/>
  <c r="C418" i="6" s="1"/>
  <c r="E417" i="6"/>
  <c r="D417" i="6"/>
  <c r="B417" i="6"/>
  <c r="E416" i="6"/>
  <c r="D416" i="6"/>
  <c r="B416" i="6"/>
  <c r="C416" i="6" s="1"/>
  <c r="E415" i="6"/>
  <c r="D415" i="6"/>
  <c r="B415" i="6"/>
  <c r="C415" i="6" s="1"/>
  <c r="E414" i="6"/>
  <c r="D414" i="6"/>
  <c r="B414" i="6"/>
  <c r="C414" i="6" s="1"/>
  <c r="E413" i="6"/>
  <c r="D413" i="6"/>
  <c r="B413" i="6"/>
  <c r="C413" i="6" s="1"/>
  <c r="E412" i="6"/>
  <c r="D412" i="6"/>
  <c r="B412" i="6"/>
  <c r="C412" i="6" s="1"/>
  <c r="E411" i="6"/>
  <c r="D411" i="6"/>
  <c r="B411" i="6"/>
  <c r="C411" i="6" s="1"/>
  <c r="E410" i="6"/>
  <c r="D410" i="6"/>
  <c r="C410" i="6"/>
  <c r="B410" i="6"/>
  <c r="E409" i="6"/>
  <c r="D409" i="6"/>
  <c r="B409" i="6"/>
  <c r="C409" i="6" s="1"/>
  <c r="E408" i="6"/>
  <c r="D408" i="6"/>
  <c r="C408" i="6"/>
  <c r="B408" i="6"/>
  <c r="E407" i="6"/>
  <c r="D407" i="6"/>
  <c r="B407" i="6"/>
  <c r="E406" i="6"/>
  <c r="D406" i="6"/>
  <c r="B406" i="6"/>
  <c r="C406" i="6" s="1"/>
  <c r="E405" i="6"/>
  <c r="D405" i="6"/>
  <c r="B405" i="6"/>
  <c r="E404" i="6"/>
  <c r="D404" i="6"/>
  <c r="C404" i="6"/>
  <c r="B404" i="6"/>
  <c r="E403" i="6"/>
  <c r="D403" i="6"/>
  <c r="B403" i="6"/>
  <c r="E402" i="6"/>
  <c r="D402" i="6"/>
  <c r="B402" i="6"/>
  <c r="C402" i="6" s="1"/>
  <c r="E401" i="6"/>
  <c r="D401" i="6"/>
  <c r="B401" i="6"/>
  <c r="E400" i="6"/>
  <c r="D400" i="6"/>
  <c r="B400" i="6"/>
  <c r="C400" i="6" s="1"/>
  <c r="E399" i="6"/>
  <c r="D399" i="6"/>
  <c r="B399" i="6"/>
  <c r="C399" i="6" s="1"/>
  <c r="E398" i="6"/>
  <c r="D398" i="6"/>
  <c r="B398" i="6"/>
  <c r="C398" i="6" s="1"/>
  <c r="E397" i="6"/>
  <c r="D397" i="6"/>
  <c r="B397" i="6"/>
  <c r="C397" i="6" s="1"/>
  <c r="E396" i="6"/>
  <c r="D396" i="6"/>
  <c r="B396" i="6"/>
  <c r="C396" i="6" s="1"/>
  <c r="E395" i="6"/>
  <c r="D395" i="6"/>
  <c r="B395" i="6"/>
  <c r="C395" i="6" s="1"/>
  <c r="E394" i="6"/>
  <c r="D394" i="6"/>
  <c r="C394" i="6"/>
  <c r="B394" i="6"/>
  <c r="E393" i="6"/>
  <c r="D393" i="6"/>
  <c r="B393" i="6"/>
  <c r="C393" i="6" s="1"/>
  <c r="E392" i="6"/>
  <c r="D392" i="6"/>
  <c r="C392" i="6"/>
  <c r="B392" i="6"/>
  <c r="E391" i="6"/>
  <c r="D391" i="6"/>
  <c r="B391" i="6"/>
  <c r="E390" i="6"/>
  <c r="D390" i="6"/>
  <c r="B390" i="6"/>
  <c r="C390" i="6" s="1"/>
  <c r="E389" i="6"/>
  <c r="D389" i="6"/>
  <c r="B389" i="6"/>
  <c r="E388" i="6"/>
  <c r="D388" i="6"/>
  <c r="C388" i="6"/>
  <c r="B388" i="6"/>
  <c r="E387" i="6"/>
  <c r="D387" i="6"/>
  <c r="B387" i="6"/>
  <c r="E386" i="6"/>
  <c r="D386" i="6"/>
  <c r="B386" i="6"/>
  <c r="C386" i="6" s="1"/>
  <c r="E385" i="6"/>
  <c r="D385" i="6"/>
  <c r="B385" i="6"/>
  <c r="E384" i="6"/>
  <c r="D384" i="6"/>
  <c r="B384" i="6"/>
  <c r="C384" i="6" s="1"/>
  <c r="E383" i="6"/>
  <c r="D383" i="6"/>
  <c r="B383" i="6"/>
  <c r="C383" i="6" s="1"/>
  <c r="E382" i="6"/>
  <c r="D382" i="6"/>
  <c r="B382" i="6"/>
  <c r="C382" i="6" s="1"/>
  <c r="E381" i="6"/>
  <c r="D381" i="6"/>
  <c r="B381" i="6"/>
  <c r="C381" i="6" s="1"/>
  <c r="E380" i="6"/>
  <c r="D380" i="6"/>
  <c r="B380" i="6"/>
  <c r="C380" i="6" s="1"/>
  <c r="E379" i="6"/>
  <c r="D379" i="6"/>
  <c r="B379" i="6"/>
  <c r="C379" i="6" s="1"/>
  <c r="E378" i="6"/>
  <c r="D378" i="6"/>
  <c r="C378" i="6"/>
  <c r="B378" i="6"/>
  <c r="E377" i="6"/>
  <c r="D377" i="6"/>
  <c r="B377" i="6"/>
  <c r="C377" i="6" s="1"/>
  <c r="E376" i="6"/>
  <c r="D376" i="6"/>
  <c r="C376" i="6"/>
  <c r="B376" i="6"/>
  <c r="E375" i="6"/>
  <c r="D375" i="6"/>
  <c r="B375" i="6"/>
  <c r="E374" i="6"/>
  <c r="D374" i="6"/>
  <c r="B374" i="6"/>
  <c r="C374" i="6" s="1"/>
  <c r="E373" i="6"/>
  <c r="D373" i="6"/>
  <c r="B373" i="6"/>
  <c r="E372" i="6"/>
  <c r="D372" i="6"/>
  <c r="C372" i="6"/>
  <c r="B372" i="6"/>
  <c r="E371" i="6"/>
  <c r="D371" i="6"/>
  <c r="B371" i="6"/>
  <c r="E370" i="6"/>
  <c r="D370" i="6"/>
  <c r="B370" i="6"/>
  <c r="C370" i="6" s="1"/>
  <c r="E369" i="6"/>
  <c r="D369" i="6"/>
  <c r="B369" i="6"/>
  <c r="E368" i="6"/>
  <c r="D368" i="6"/>
  <c r="B368" i="6"/>
  <c r="C368" i="6" s="1"/>
  <c r="E367" i="6"/>
  <c r="D367" i="6"/>
  <c r="B367" i="6"/>
  <c r="C367" i="6" s="1"/>
  <c r="E366" i="6"/>
  <c r="D366" i="6"/>
  <c r="B366" i="6"/>
  <c r="C366" i="6" s="1"/>
  <c r="E365" i="6"/>
  <c r="D365" i="6"/>
  <c r="B365" i="6"/>
  <c r="C365" i="6" s="1"/>
  <c r="E364" i="6"/>
  <c r="D364" i="6"/>
  <c r="B364" i="6"/>
  <c r="C364" i="6" s="1"/>
  <c r="E363" i="6"/>
  <c r="D363" i="6"/>
  <c r="B363" i="6"/>
  <c r="C363" i="6" s="1"/>
  <c r="E362" i="6"/>
  <c r="D362" i="6"/>
  <c r="C362" i="6"/>
  <c r="B362" i="6"/>
  <c r="E361" i="6"/>
  <c r="D361" i="6"/>
  <c r="B361" i="6"/>
  <c r="C361" i="6" s="1"/>
  <c r="E360" i="6"/>
  <c r="D360" i="6"/>
  <c r="C360" i="6"/>
  <c r="B360" i="6"/>
  <c r="E359" i="6"/>
  <c r="D359" i="6"/>
  <c r="B359" i="6"/>
  <c r="E358" i="6"/>
  <c r="D358" i="6"/>
  <c r="B358" i="6"/>
  <c r="C358" i="6" s="1"/>
  <c r="E357" i="6"/>
  <c r="D357" i="6"/>
  <c r="B357" i="6"/>
  <c r="E356" i="6"/>
  <c r="D356" i="6"/>
  <c r="C356" i="6"/>
  <c r="B356" i="6"/>
  <c r="E355" i="6"/>
  <c r="D355" i="6"/>
  <c r="B355" i="6"/>
  <c r="E354" i="6"/>
  <c r="D354" i="6"/>
  <c r="B354" i="6"/>
  <c r="C354" i="6" s="1"/>
  <c r="E353" i="6"/>
  <c r="D353" i="6"/>
  <c r="B353" i="6"/>
  <c r="E352" i="6"/>
  <c r="D352" i="6"/>
  <c r="B352" i="6"/>
  <c r="C352" i="6" s="1"/>
  <c r="E351" i="6"/>
  <c r="D351" i="6"/>
  <c r="B351" i="6"/>
  <c r="C351" i="6" s="1"/>
  <c r="E350" i="6"/>
  <c r="D350" i="6"/>
  <c r="B350" i="6"/>
  <c r="C350" i="6" s="1"/>
  <c r="E349" i="6"/>
  <c r="D349" i="6"/>
  <c r="B349" i="6"/>
  <c r="C349" i="6" s="1"/>
  <c r="E348" i="6"/>
  <c r="D348" i="6"/>
  <c r="B348" i="6"/>
  <c r="C348" i="6" s="1"/>
  <c r="E347" i="6"/>
  <c r="D347" i="6"/>
  <c r="B347" i="6"/>
  <c r="C347" i="6" s="1"/>
  <c r="E346" i="6"/>
  <c r="D346" i="6"/>
  <c r="C346" i="6"/>
  <c r="B346" i="6"/>
  <c r="E345" i="6"/>
  <c r="D345" i="6"/>
  <c r="B345" i="6"/>
  <c r="C345" i="6" s="1"/>
  <c r="E344" i="6"/>
  <c r="D344" i="6"/>
  <c r="C344" i="6"/>
  <c r="B344" i="6"/>
  <c r="E343" i="6"/>
  <c r="D343" i="6"/>
  <c r="B343" i="6"/>
  <c r="E342" i="6"/>
  <c r="D342" i="6"/>
  <c r="B342" i="6"/>
  <c r="C342" i="6" s="1"/>
  <c r="E341" i="6"/>
  <c r="D341" i="6"/>
  <c r="B341" i="6"/>
  <c r="E340" i="6"/>
  <c r="D340" i="6"/>
  <c r="C340" i="6"/>
  <c r="B340" i="6"/>
  <c r="E339" i="6"/>
  <c r="D339" i="6"/>
  <c r="B339" i="6"/>
  <c r="E338" i="6"/>
  <c r="D338" i="6"/>
  <c r="B338" i="6"/>
  <c r="C338" i="6" s="1"/>
  <c r="E337" i="6"/>
  <c r="D337" i="6"/>
  <c r="B337" i="6"/>
  <c r="E336" i="6"/>
  <c r="D336" i="6"/>
  <c r="B336" i="6"/>
  <c r="C336" i="6" s="1"/>
  <c r="E335" i="6"/>
  <c r="D335" i="6"/>
  <c r="B335" i="6"/>
  <c r="C335" i="6" s="1"/>
  <c r="E334" i="6"/>
  <c r="D334" i="6"/>
  <c r="B334" i="6"/>
  <c r="C334" i="6" s="1"/>
  <c r="E333" i="6"/>
  <c r="D333" i="6"/>
  <c r="B333" i="6"/>
  <c r="C333" i="6" s="1"/>
  <c r="E332" i="6"/>
  <c r="D332" i="6"/>
  <c r="B332" i="6"/>
  <c r="C332" i="6" s="1"/>
  <c r="E331" i="6"/>
  <c r="D331" i="6"/>
  <c r="B331" i="6"/>
  <c r="C331" i="6" s="1"/>
  <c r="E330" i="6"/>
  <c r="D330" i="6"/>
  <c r="C330" i="6"/>
  <c r="B330" i="6"/>
  <c r="E329" i="6"/>
  <c r="D329" i="6"/>
  <c r="B329" i="6"/>
  <c r="C329" i="6" s="1"/>
  <c r="E328" i="6"/>
  <c r="D328" i="6"/>
  <c r="C328" i="6"/>
  <c r="B328" i="6"/>
  <c r="E327" i="6"/>
  <c r="D327" i="6"/>
  <c r="B327" i="6"/>
  <c r="E326" i="6"/>
  <c r="D326" i="6"/>
  <c r="B326" i="6"/>
  <c r="C326" i="6" s="1"/>
  <c r="E325" i="6"/>
  <c r="D325" i="6"/>
  <c r="B325" i="6"/>
  <c r="E324" i="6"/>
  <c r="D324" i="6"/>
  <c r="C324" i="6"/>
  <c r="B324" i="6"/>
  <c r="E323" i="6"/>
  <c r="D323" i="6"/>
  <c r="B323" i="6"/>
  <c r="E322" i="6"/>
  <c r="D322" i="6"/>
  <c r="B322" i="6"/>
  <c r="C322" i="6" s="1"/>
  <c r="E321" i="6"/>
  <c r="D321" i="6"/>
  <c r="B321" i="6"/>
  <c r="E320" i="6"/>
  <c r="D320" i="6"/>
  <c r="B320" i="6"/>
  <c r="C320" i="6" s="1"/>
  <c r="E319" i="6"/>
  <c r="D319" i="6"/>
  <c r="B319" i="6"/>
  <c r="C319" i="6" s="1"/>
  <c r="E318" i="6"/>
  <c r="D318" i="6"/>
  <c r="B318" i="6"/>
  <c r="C318" i="6" s="1"/>
  <c r="E317" i="6"/>
  <c r="D317" i="6"/>
  <c r="B317" i="6"/>
  <c r="C317" i="6" s="1"/>
  <c r="E316" i="6"/>
  <c r="D316" i="6"/>
  <c r="B316" i="6"/>
  <c r="C316" i="6" s="1"/>
  <c r="E315" i="6"/>
  <c r="D315" i="6"/>
  <c r="B315" i="6"/>
  <c r="C315" i="6" s="1"/>
  <c r="E314" i="6"/>
  <c r="D314" i="6"/>
  <c r="C314" i="6"/>
  <c r="B314" i="6"/>
  <c r="E313" i="6"/>
  <c r="D313" i="6"/>
  <c r="B313" i="6"/>
  <c r="C313" i="6" s="1"/>
  <c r="E312" i="6"/>
  <c r="D312" i="6"/>
  <c r="C312" i="6"/>
  <c r="B312" i="6"/>
  <c r="E311" i="6"/>
  <c r="D311" i="6"/>
  <c r="B311" i="6"/>
  <c r="E310" i="6"/>
  <c r="D310" i="6"/>
  <c r="B310" i="6"/>
  <c r="C310" i="6" s="1"/>
  <c r="E309" i="6"/>
  <c r="D309" i="6"/>
  <c r="B309" i="6"/>
  <c r="E308" i="6"/>
  <c r="D308" i="6"/>
  <c r="C308" i="6"/>
  <c r="B308" i="6"/>
  <c r="E307" i="6"/>
  <c r="D307" i="6"/>
  <c r="B307" i="6"/>
  <c r="E306" i="6"/>
  <c r="D306" i="6"/>
  <c r="B306" i="6"/>
  <c r="C306" i="6" s="1"/>
  <c r="E305" i="6"/>
  <c r="D305" i="6"/>
  <c r="B305" i="6"/>
  <c r="E304" i="6"/>
  <c r="D304" i="6"/>
  <c r="B304" i="6"/>
  <c r="C304" i="6" s="1"/>
  <c r="E303" i="6"/>
  <c r="D303" i="6"/>
  <c r="B303" i="6"/>
  <c r="C303" i="6" s="1"/>
  <c r="E302" i="6"/>
  <c r="D302" i="6"/>
  <c r="B302" i="6"/>
  <c r="C302" i="6" s="1"/>
  <c r="E301" i="6"/>
  <c r="D301" i="6"/>
  <c r="B301" i="6"/>
  <c r="C301" i="6" s="1"/>
  <c r="E300" i="6"/>
  <c r="D300" i="6"/>
  <c r="B300" i="6"/>
  <c r="C300" i="6" s="1"/>
  <c r="E299" i="6"/>
  <c r="D299" i="6"/>
  <c r="B299" i="6"/>
  <c r="C299" i="6" s="1"/>
  <c r="E298" i="6"/>
  <c r="D298" i="6"/>
  <c r="C298" i="6"/>
  <c r="B298" i="6"/>
  <c r="E297" i="6"/>
  <c r="D297" i="6"/>
  <c r="B297" i="6"/>
  <c r="C297" i="6" s="1"/>
  <c r="E296" i="6"/>
  <c r="D296" i="6"/>
  <c r="C296" i="6"/>
  <c r="B296" i="6"/>
  <c r="E295" i="6"/>
  <c r="D295" i="6"/>
  <c r="B295" i="6"/>
  <c r="E294" i="6"/>
  <c r="D294" i="6"/>
  <c r="B294" i="6"/>
  <c r="C294" i="6" s="1"/>
  <c r="E293" i="6"/>
  <c r="D293" i="6"/>
  <c r="B293" i="6"/>
  <c r="E292" i="6"/>
  <c r="D292" i="6"/>
  <c r="C292" i="6"/>
  <c r="B292" i="6"/>
  <c r="E291" i="6"/>
  <c r="D291" i="6"/>
  <c r="B291" i="6"/>
  <c r="E290" i="6"/>
  <c r="D290" i="6"/>
  <c r="B290" i="6"/>
  <c r="C290" i="6" s="1"/>
  <c r="E289" i="6"/>
  <c r="D289" i="6"/>
  <c r="B289" i="6"/>
  <c r="E288" i="6"/>
  <c r="D288" i="6"/>
  <c r="B288" i="6"/>
  <c r="C288" i="6" s="1"/>
  <c r="E287" i="6"/>
  <c r="D287" i="6"/>
  <c r="B287" i="6"/>
  <c r="C287" i="6" s="1"/>
  <c r="E286" i="6"/>
  <c r="D286" i="6"/>
  <c r="B286" i="6"/>
  <c r="C286" i="6" s="1"/>
  <c r="E285" i="6"/>
  <c r="D285" i="6"/>
  <c r="B285" i="6"/>
  <c r="C285" i="6" s="1"/>
  <c r="E284" i="6"/>
  <c r="D284" i="6"/>
  <c r="B284" i="6"/>
  <c r="C284" i="6" s="1"/>
  <c r="E283" i="6"/>
  <c r="D283" i="6"/>
  <c r="B283" i="6"/>
  <c r="C283" i="6" s="1"/>
  <c r="E282" i="6"/>
  <c r="D282" i="6"/>
  <c r="C282" i="6"/>
  <c r="B282" i="6"/>
  <c r="E281" i="6"/>
  <c r="D281" i="6"/>
  <c r="B281" i="6"/>
  <c r="C281" i="6" s="1"/>
  <c r="E280" i="6"/>
  <c r="D280" i="6"/>
  <c r="C280" i="6"/>
  <c r="B280" i="6"/>
  <c r="E279" i="6"/>
  <c r="D279" i="6"/>
  <c r="B279" i="6"/>
  <c r="E278" i="6"/>
  <c r="D278" i="6"/>
  <c r="B278" i="6"/>
  <c r="C278" i="6" s="1"/>
  <c r="E277" i="6"/>
  <c r="D277" i="6"/>
  <c r="B277" i="6"/>
  <c r="E276" i="6"/>
  <c r="D276" i="6"/>
  <c r="C276" i="6"/>
  <c r="B276" i="6"/>
  <c r="E275" i="6"/>
  <c r="D275" i="6"/>
  <c r="B275" i="6"/>
  <c r="E274" i="6"/>
  <c r="D274" i="6"/>
  <c r="B274" i="6"/>
  <c r="C274" i="6" s="1"/>
  <c r="E273" i="6"/>
  <c r="D273" i="6"/>
  <c r="B273" i="6"/>
  <c r="E272" i="6"/>
  <c r="D272" i="6"/>
  <c r="B272" i="6"/>
  <c r="C272" i="6" s="1"/>
  <c r="E271" i="6"/>
  <c r="D271" i="6"/>
  <c r="B271" i="6"/>
  <c r="C271" i="6" s="1"/>
  <c r="E270" i="6"/>
  <c r="D270" i="6"/>
  <c r="B270" i="6"/>
  <c r="C270" i="6" s="1"/>
  <c r="E269" i="6"/>
  <c r="D269" i="6"/>
  <c r="B269" i="6"/>
  <c r="C269" i="6" s="1"/>
  <c r="E268" i="6"/>
  <c r="D268" i="6"/>
  <c r="B268" i="6"/>
  <c r="C268" i="6" s="1"/>
  <c r="E267" i="6"/>
  <c r="D267" i="6"/>
  <c r="B267" i="6"/>
  <c r="C267" i="6" s="1"/>
  <c r="E266" i="6"/>
  <c r="D266" i="6"/>
  <c r="C266" i="6"/>
  <c r="B266" i="6"/>
  <c r="E265" i="6"/>
  <c r="D265" i="6"/>
  <c r="B265" i="6"/>
  <c r="C265" i="6" s="1"/>
  <c r="E264" i="6"/>
  <c r="D264" i="6"/>
  <c r="C264" i="6"/>
  <c r="B264" i="6"/>
  <c r="E263" i="6"/>
  <c r="D263" i="6"/>
  <c r="B263" i="6"/>
  <c r="E262" i="6"/>
  <c r="D262" i="6"/>
  <c r="B262" i="6"/>
  <c r="C262" i="6" s="1"/>
  <c r="E261" i="6"/>
  <c r="D261" i="6"/>
  <c r="B261" i="6"/>
  <c r="E260" i="6"/>
  <c r="D260" i="6"/>
  <c r="C260" i="6"/>
  <c r="B260" i="6"/>
  <c r="E259" i="6"/>
  <c r="D259" i="6"/>
  <c r="B259" i="6"/>
  <c r="E258" i="6"/>
  <c r="D258" i="6"/>
  <c r="B258" i="6"/>
  <c r="C258" i="6" s="1"/>
  <c r="E257" i="6"/>
  <c r="D257" i="6"/>
  <c r="B257" i="6"/>
  <c r="E256" i="6"/>
  <c r="D256" i="6"/>
  <c r="B256" i="6"/>
  <c r="C256" i="6" s="1"/>
  <c r="E255" i="6"/>
  <c r="D255" i="6"/>
  <c r="B255" i="6"/>
  <c r="C255" i="6" s="1"/>
  <c r="E254" i="6"/>
  <c r="D254" i="6"/>
  <c r="B254" i="6"/>
  <c r="C254" i="6" s="1"/>
  <c r="E253" i="6"/>
  <c r="D253" i="6"/>
  <c r="B253" i="6"/>
  <c r="C253" i="6" s="1"/>
  <c r="E252" i="6"/>
  <c r="D252" i="6"/>
  <c r="B252" i="6"/>
  <c r="C252" i="6" s="1"/>
  <c r="E251" i="6"/>
  <c r="D251" i="6"/>
  <c r="B251" i="6"/>
  <c r="C251" i="6" s="1"/>
  <c r="E250" i="6"/>
  <c r="D250" i="6"/>
  <c r="C250" i="6"/>
  <c r="B250" i="6"/>
  <c r="E249" i="6"/>
  <c r="D249" i="6"/>
  <c r="B249" i="6"/>
  <c r="C249" i="6" s="1"/>
  <c r="E248" i="6"/>
  <c r="D248" i="6"/>
  <c r="C248" i="6"/>
  <c r="B248" i="6"/>
  <c r="E247" i="6"/>
  <c r="D247" i="6"/>
  <c r="B247" i="6"/>
  <c r="E246" i="6"/>
  <c r="D246" i="6"/>
  <c r="B246" i="6"/>
  <c r="C246" i="6" s="1"/>
  <c r="E245" i="6"/>
  <c r="D245" i="6"/>
  <c r="B245" i="6"/>
  <c r="E244" i="6"/>
  <c r="D244" i="6"/>
  <c r="C244" i="6"/>
  <c r="B244" i="6"/>
  <c r="E243" i="6"/>
  <c r="D243" i="6"/>
  <c r="B243" i="6"/>
  <c r="E242" i="6"/>
  <c r="D242" i="6"/>
  <c r="B242" i="6"/>
  <c r="C242" i="6" s="1"/>
  <c r="E241" i="6"/>
  <c r="D241" i="6"/>
  <c r="B241" i="6"/>
  <c r="E240" i="6"/>
  <c r="D240" i="6"/>
  <c r="B240" i="6"/>
  <c r="C240" i="6" s="1"/>
  <c r="E239" i="6"/>
  <c r="D239" i="6"/>
  <c r="B239" i="6"/>
  <c r="C239" i="6" s="1"/>
  <c r="E238" i="6"/>
  <c r="D238" i="6"/>
  <c r="B238" i="6"/>
  <c r="C238" i="6" s="1"/>
  <c r="E237" i="6"/>
  <c r="D237" i="6"/>
  <c r="B237" i="6"/>
  <c r="C237" i="6" s="1"/>
  <c r="E236" i="6"/>
  <c r="D236" i="6"/>
  <c r="B236" i="6"/>
  <c r="C236" i="6" s="1"/>
  <c r="E235" i="6"/>
  <c r="D235" i="6"/>
  <c r="B235" i="6"/>
  <c r="C235" i="6" s="1"/>
  <c r="E234" i="6"/>
  <c r="D234" i="6"/>
  <c r="C234" i="6"/>
  <c r="B234" i="6"/>
  <c r="E233" i="6"/>
  <c r="D233" i="6"/>
  <c r="B233" i="6"/>
  <c r="C233" i="6" s="1"/>
  <c r="E232" i="6"/>
  <c r="D232" i="6"/>
  <c r="C232" i="6"/>
  <c r="B232" i="6"/>
  <c r="E231" i="6"/>
  <c r="D231" i="6"/>
  <c r="B231" i="6"/>
  <c r="E230" i="6"/>
  <c r="D230" i="6"/>
  <c r="B230" i="6"/>
  <c r="C230" i="6" s="1"/>
  <c r="E229" i="6"/>
  <c r="D229" i="6"/>
  <c r="B229" i="6"/>
  <c r="E228" i="6"/>
  <c r="D228" i="6"/>
  <c r="C228" i="6"/>
  <c r="B228" i="6"/>
  <c r="E227" i="6"/>
  <c r="D227" i="6"/>
  <c r="B227" i="6"/>
  <c r="E226" i="6"/>
  <c r="D226" i="6"/>
  <c r="B226" i="6"/>
  <c r="C226" i="6" s="1"/>
  <c r="E225" i="6"/>
  <c r="D225" i="6"/>
  <c r="B225" i="6"/>
  <c r="E224" i="6"/>
  <c r="D224" i="6"/>
  <c r="B224" i="6"/>
  <c r="C224" i="6" s="1"/>
  <c r="E223" i="6"/>
  <c r="D223" i="6"/>
  <c r="B223" i="6"/>
  <c r="C223" i="6" s="1"/>
  <c r="E222" i="6"/>
  <c r="D222" i="6"/>
  <c r="B222" i="6"/>
  <c r="C222" i="6" s="1"/>
  <c r="E221" i="6"/>
  <c r="D221" i="6"/>
  <c r="B221" i="6"/>
  <c r="C221" i="6" s="1"/>
  <c r="E220" i="6"/>
  <c r="D220" i="6"/>
  <c r="B220" i="6"/>
  <c r="C220" i="6" s="1"/>
  <c r="E219" i="6"/>
  <c r="D219" i="6"/>
  <c r="B219" i="6"/>
  <c r="C219" i="6" s="1"/>
  <c r="E218" i="6"/>
  <c r="D218" i="6"/>
  <c r="C218" i="6"/>
  <c r="B218" i="6"/>
  <c r="E217" i="6"/>
  <c r="D217" i="6"/>
  <c r="B217" i="6"/>
  <c r="C217" i="6" s="1"/>
  <c r="E216" i="6"/>
  <c r="D216" i="6"/>
  <c r="C216" i="6"/>
  <c r="B216" i="6"/>
  <c r="E215" i="6"/>
  <c r="D215" i="6"/>
  <c r="B215" i="6"/>
  <c r="E214" i="6"/>
  <c r="D214" i="6"/>
  <c r="B214" i="6"/>
  <c r="C214" i="6" s="1"/>
  <c r="E213" i="6"/>
  <c r="D213" i="6"/>
  <c r="B213" i="6"/>
  <c r="E212" i="6"/>
  <c r="D212" i="6"/>
  <c r="C212" i="6"/>
  <c r="B212" i="6"/>
  <c r="E211" i="6"/>
  <c r="D211" i="6"/>
  <c r="B211" i="6"/>
  <c r="E210" i="6"/>
  <c r="D210" i="6"/>
  <c r="B210" i="6"/>
  <c r="C210" i="6" s="1"/>
  <c r="E209" i="6"/>
  <c r="D209" i="6"/>
  <c r="B209" i="6"/>
  <c r="E208" i="6"/>
  <c r="D208" i="6"/>
  <c r="B208" i="6"/>
  <c r="C208" i="6" s="1"/>
  <c r="E207" i="6"/>
  <c r="D207" i="6"/>
  <c r="B207" i="6"/>
  <c r="C207" i="6" s="1"/>
  <c r="E206" i="6"/>
  <c r="D206" i="6"/>
  <c r="B206" i="6"/>
  <c r="C206" i="6" s="1"/>
  <c r="E205" i="6"/>
  <c r="D205" i="6"/>
  <c r="B205" i="6"/>
  <c r="C205" i="6" s="1"/>
  <c r="E204" i="6"/>
  <c r="D204" i="6"/>
  <c r="B204" i="6"/>
  <c r="C204" i="6" s="1"/>
  <c r="E203" i="6"/>
  <c r="D203" i="6"/>
  <c r="B203" i="6"/>
  <c r="C203" i="6" s="1"/>
  <c r="E202" i="6"/>
  <c r="D202" i="6"/>
  <c r="C202" i="6"/>
  <c r="B202" i="6"/>
  <c r="E201" i="6"/>
  <c r="D201" i="6"/>
  <c r="B201" i="6"/>
  <c r="C201" i="6" s="1"/>
  <c r="E200" i="6"/>
  <c r="D200" i="6"/>
  <c r="C200" i="6"/>
  <c r="B200" i="6"/>
  <c r="E199" i="6"/>
  <c r="D199" i="6"/>
  <c r="B199" i="6"/>
  <c r="E198" i="6"/>
  <c r="D198" i="6"/>
  <c r="B198" i="6"/>
  <c r="C198" i="6" s="1"/>
  <c r="E197" i="6"/>
  <c r="D197" i="6"/>
  <c r="B197" i="6"/>
  <c r="E196" i="6"/>
  <c r="D196" i="6"/>
  <c r="C196" i="6"/>
  <c r="B196" i="6"/>
  <c r="E195" i="6"/>
  <c r="D195" i="6"/>
  <c r="B195" i="6"/>
  <c r="D194" i="6"/>
  <c r="E194" i="6" s="1"/>
  <c r="B194" i="6"/>
  <c r="C194" i="6" s="1"/>
  <c r="E193" i="6"/>
  <c r="D193" i="6"/>
  <c r="B193" i="6"/>
  <c r="D192" i="6"/>
  <c r="E192" i="6" s="1"/>
  <c r="B192" i="6"/>
  <c r="C192" i="6" s="1"/>
  <c r="E191" i="6"/>
  <c r="D191" i="6"/>
  <c r="B191" i="6"/>
  <c r="C191" i="6" s="1"/>
  <c r="E190" i="6"/>
  <c r="D190" i="6"/>
  <c r="B190" i="6"/>
  <c r="C190" i="6" s="1"/>
  <c r="E189" i="6"/>
  <c r="D189" i="6"/>
  <c r="B189" i="6"/>
  <c r="C189" i="6" s="1"/>
  <c r="E188" i="6"/>
  <c r="D188" i="6"/>
  <c r="B188" i="6"/>
  <c r="C188" i="6" s="1"/>
  <c r="D187" i="6"/>
  <c r="B187" i="6"/>
  <c r="C187" i="6" s="1"/>
  <c r="D186" i="6"/>
  <c r="E187" i="6" s="1"/>
  <c r="C186" i="6"/>
  <c r="B186" i="6"/>
  <c r="D185" i="6"/>
  <c r="B185" i="6"/>
  <c r="C185" i="6" s="1"/>
  <c r="E184" i="6"/>
  <c r="D184" i="6"/>
  <c r="E185" i="6" s="1"/>
  <c r="C184" i="6"/>
  <c r="B184" i="6"/>
  <c r="D183" i="6"/>
  <c r="B183" i="6"/>
  <c r="D182" i="6"/>
  <c r="E183" i="6" s="1"/>
  <c r="B182" i="6"/>
  <c r="C182" i="6" s="1"/>
  <c r="D181" i="6"/>
  <c r="B181" i="6"/>
  <c r="D180" i="6"/>
  <c r="E180" i="6" s="1"/>
  <c r="C180" i="6"/>
  <c r="B180" i="6"/>
  <c r="E179" i="6"/>
  <c r="D179" i="6"/>
  <c r="B179" i="6"/>
  <c r="D178" i="6"/>
  <c r="E178" i="6" s="1"/>
  <c r="B178" i="6"/>
  <c r="C178" i="6" s="1"/>
  <c r="E177" i="6"/>
  <c r="D177" i="6"/>
  <c r="B177" i="6"/>
  <c r="D176" i="6"/>
  <c r="E176" i="6" s="1"/>
  <c r="B176" i="6"/>
  <c r="C176" i="6" s="1"/>
  <c r="E175" i="6"/>
  <c r="D175" i="6"/>
  <c r="B175" i="6"/>
  <c r="C175" i="6" s="1"/>
  <c r="E174" i="6"/>
  <c r="D174" i="6"/>
  <c r="B174" i="6"/>
  <c r="C174" i="6" s="1"/>
  <c r="E173" i="6"/>
  <c r="D173" i="6"/>
  <c r="B173" i="6"/>
  <c r="C173" i="6" s="1"/>
  <c r="E172" i="6"/>
  <c r="D172" i="6"/>
  <c r="B172" i="6"/>
  <c r="C172" i="6" s="1"/>
  <c r="D171" i="6"/>
  <c r="B171" i="6"/>
  <c r="C171" i="6" s="1"/>
  <c r="D170" i="6"/>
  <c r="E171" i="6" s="1"/>
  <c r="C170" i="6"/>
  <c r="B170" i="6"/>
  <c r="D169" i="6"/>
  <c r="B169" i="6"/>
  <c r="C169" i="6" s="1"/>
  <c r="E168" i="6"/>
  <c r="D168" i="6"/>
  <c r="E169" i="6" s="1"/>
  <c r="C168" i="6"/>
  <c r="B168" i="6"/>
  <c r="D167" i="6"/>
  <c r="B167" i="6"/>
  <c r="D166" i="6"/>
  <c r="E167" i="6" s="1"/>
  <c r="B166" i="6"/>
  <c r="C166" i="6" s="1"/>
  <c r="D165" i="6"/>
  <c r="B165" i="6"/>
  <c r="D164" i="6"/>
  <c r="E164" i="6" s="1"/>
  <c r="C164" i="6"/>
  <c r="B164" i="6"/>
  <c r="E163" i="6"/>
  <c r="D163" i="6"/>
  <c r="B163" i="6"/>
  <c r="D162" i="6"/>
  <c r="E162" i="6" s="1"/>
  <c r="B162" i="6"/>
  <c r="C162" i="6" s="1"/>
  <c r="E161" i="6"/>
  <c r="D161" i="6"/>
  <c r="B161" i="6"/>
  <c r="D160" i="6"/>
  <c r="E160" i="6" s="1"/>
  <c r="B160" i="6"/>
  <c r="C160" i="6" s="1"/>
  <c r="E159" i="6"/>
  <c r="D159" i="6"/>
  <c r="B159" i="6"/>
  <c r="C159" i="6" s="1"/>
  <c r="E158" i="6"/>
  <c r="D158" i="6"/>
  <c r="B158" i="6"/>
  <c r="C158" i="6" s="1"/>
  <c r="E157" i="6"/>
  <c r="D157" i="6"/>
  <c r="B157" i="6"/>
  <c r="C157" i="6" s="1"/>
  <c r="E156" i="6"/>
  <c r="D156" i="6"/>
  <c r="B156" i="6"/>
  <c r="C156" i="6" s="1"/>
  <c r="D155" i="6"/>
  <c r="B155" i="6"/>
  <c r="C155" i="6" s="1"/>
  <c r="D154" i="6"/>
  <c r="E155" i="6" s="1"/>
  <c r="C154" i="6"/>
  <c r="B154" i="6"/>
  <c r="D153" i="6"/>
  <c r="B153" i="6"/>
  <c r="C153" i="6" s="1"/>
  <c r="E152" i="6"/>
  <c r="D152" i="6"/>
  <c r="E153" i="6" s="1"/>
  <c r="C152" i="6"/>
  <c r="B152" i="6"/>
  <c r="D151" i="6"/>
  <c r="B151" i="6"/>
  <c r="D150" i="6"/>
  <c r="E151" i="6" s="1"/>
  <c r="B150" i="6"/>
  <c r="C150" i="6" s="1"/>
  <c r="D149" i="6"/>
  <c r="B149" i="6"/>
  <c r="D148" i="6"/>
  <c r="E148" i="6" s="1"/>
  <c r="C148" i="6"/>
  <c r="B148" i="6"/>
  <c r="E147" i="6"/>
  <c r="D147" i="6"/>
  <c r="B147" i="6"/>
  <c r="D146" i="6"/>
  <c r="E146" i="6" s="1"/>
  <c r="B146" i="6"/>
  <c r="C146" i="6" s="1"/>
  <c r="E145" i="6"/>
  <c r="D145" i="6"/>
  <c r="B145" i="6"/>
  <c r="D144" i="6"/>
  <c r="E144" i="6" s="1"/>
  <c r="B144" i="6"/>
  <c r="C144" i="6" s="1"/>
  <c r="E143" i="6"/>
  <c r="D143" i="6"/>
  <c r="B143" i="6"/>
  <c r="C143" i="6" s="1"/>
  <c r="E142" i="6"/>
  <c r="D142" i="6"/>
  <c r="B142" i="6"/>
  <c r="C142" i="6" s="1"/>
  <c r="E141" i="6"/>
  <c r="D141" i="6"/>
  <c r="B141" i="6"/>
  <c r="C141" i="6" s="1"/>
  <c r="E140" i="6"/>
  <c r="D140" i="6"/>
  <c r="B140" i="6"/>
  <c r="C140" i="6" s="1"/>
  <c r="D139" i="6"/>
  <c r="B139" i="6"/>
  <c r="C139" i="6" s="1"/>
  <c r="D138" i="6"/>
  <c r="E139" i="6" s="1"/>
  <c r="C138" i="6"/>
  <c r="B138" i="6"/>
  <c r="D137" i="6"/>
  <c r="B137" i="6"/>
  <c r="C137" i="6" s="1"/>
  <c r="E136" i="6"/>
  <c r="D136" i="6"/>
  <c r="E137" i="6" s="1"/>
  <c r="C136" i="6"/>
  <c r="B136" i="6"/>
  <c r="D135" i="6"/>
  <c r="B135" i="6"/>
  <c r="D134" i="6"/>
  <c r="E135" i="6" s="1"/>
  <c r="B134" i="6"/>
  <c r="C134" i="6" s="1"/>
  <c r="D133" i="6"/>
  <c r="B133" i="6"/>
  <c r="D132" i="6"/>
  <c r="E132" i="6" s="1"/>
  <c r="C132" i="6"/>
  <c r="B132" i="6"/>
  <c r="E131" i="6"/>
  <c r="D131" i="6"/>
  <c r="B131" i="6"/>
  <c r="D130" i="6"/>
  <c r="E130" i="6" s="1"/>
  <c r="B130" i="6"/>
  <c r="C130" i="6" s="1"/>
  <c r="E129" i="6"/>
  <c r="D129" i="6"/>
  <c r="B129" i="6"/>
  <c r="D128" i="6"/>
  <c r="E128" i="6" s="1"/>
  <c r="B128" i="6"/>
  <c r="C128" i="6" s="1"/>
  <c r="E127" i="6"/>
  <c r="D127" i="6"/>
  <c r="B127" i="6"/>
  <c r="C127" i="6" s="1"/>
  <c r="E126" i="6"/>
  <c r="D126" i="6"/>
  <c r="B126" i="6"/>
  <c r="C126" i="6" s="1"/>
  <c r="E125" i="6"/>
  <c r="D125" i="6"/>
  <c r="B125" i="6"/>
  <c r="C125" i="6" s="1"/>
  <c r="E124" i="6"/>
  <c r="D124" i="6"/>
  <c r="B124" i="6"/>
  <c r="C124" i="6" s="1"/>
  <c r="D123" i="6"/>
  <c r="B123" i="6"/>
  <c r="C123" i="6" s="1"/>
  <c r="D122" i="6"/>
  <c r="E123" i="6" s="1"/>
  <c r="C122" i="6"/>
  <c r="B122" i="6"/>
  <c r="D121" i="6"/>
  <c r="B121" i="6"/>
  <c r="C121" i="6" s="1"/>
  <c r="E120" i="6"/>
  <c r="D120" i="6"/>
  <c r="E121" i="6" s="1"/>
  <c r="C120" i="6"/>
  <c r="B120" i="6"/>
  <c r="D119" i="6"/>
  <c r="B119" i="6"/>
  <c r="D118" i="6"/>
  <c r="E119" i="6" s="1"/>
  <c r="B118" i="6"/>
  <c r="C118" i="6" s="1"/>
  <c r="D117" i="6"/>
  <c r="B117" i="6"/>
  <c r="D116" i="6"/>
  <c r="E116" i="6" s="1"/>
  <c r="C116" i="6"/>
  <c r="B116" i="6"/>
  <c r="E115" i="6"/>
  <c r="D115" i="6"/>
  <c r="B115" i="6"/>
  <c r="D114" i="6"/>
  <c r="E114" i="6" s="1"/>
  <c r="B114" i="6"/>
  <c r="C114" i="6" s="1"/>
  <c r="E113" i="6"/>
  <c r="D113" i="6"/>
  <c r="B113" i="6"/>
  <c r="D112" i="6"/>
  <c r="E112" i="6" s="1"/>
  <c r="B112" i="6"/>
  <c r="C112" i="6" s="1"/>
  <c r="E111" i="6"/>
  <c r="D111" i="6"/>
  <c r="B111" i="6"/>
  <c r="C111" i="6" s="1"/>
  <c r="E110" i="6"/>
  <c r="D110" i="6"/>
  <c r="B110" i="6"/>
  <c r="C110" i="6" s="1"/>
  <c r="E109" i="6"/>
  <c r="D109" i="6"/>
  <c r="B109" i="6"/>
  <c r="C109" i="6" s="1"/>
  <c r="E108" i="6"/>
  <c r="D108" i="6"/>
  <c r="B108" i="6"/>
  <c r="C108" i="6" s="1"/>
  <c r="D107" i="6"/>
  <c r="B107" i="6"/>
  <c r="C107" i="6" s="1"/>
  <c r="D106" i="6"/>
  <c r="E107" i="6" s="1"/>
  <c r="B106" i="6"/>
  <c r="D105" i="6"/>
  <c r="B105" i="6"/>
  <c r="C105" i="6" s="1"/>
  <c r="E104" i="6"/>
  <c r="D104" i="6"/>
  <c r="E105" i="6" s="1"/>
  <c r="C104" i="6"/>
  <c r="B104" i="6"/>
  <c r="D103" i="6"/>
  <c r="B103" i="6"/>
  <c r="D102" i="6"/>
  <c r="E103" i="6" s="1"/>
  <c r="B102" i="6"/>
  <c r="C102" i="6" s="1"/>
  <c r="D101" i="6"/>
  <c r="B101" i="6"/>
  <c r="D100" i="6"/>
  <c r="E100" i="6" s="1"/>
  <c r="C100" i="6"/>
  <c r="B100" i="6"/>
  <c r="E99" i="6"/>
  <c r="D99" i="6"/>
  <c r="B99" i="6"/>
  <c r="D98" i="6"/>
  <c r="E98" i="6" s="1"/>
  <c r="B98" i="6"/>
  <c r="C98" i="6" s="1"/>
  <c r="E97" i="6"/>
  <c r="D97" i="6"/>
  <c r="B97" i="6"/>
  <c r="D96" i="6"/>
  <c r="E96" i="6" s="1"/>
  <c r="B96" i="6"/>
  <c r="C96" i="6" s="1"/>
  <c r="E95" i="6"/>
  <c r="D95" i="6"/>
  <c r="B95" i="6"/>
  <c r="C95" i="6" s="1"/>
  <c r="E94" i="6"/>
  <c r="D94" i="6"/>
  <c r="B94" i="6"/>
  <c r="C94" i="6" s="1"/>
  <c r="E93" i="6"/>
  <c r="D93" i="6"/>
  <c r="B93" i="6"/>
  <c r="C93" i="6" s="1"/>
  <c r="E92" i="6"/>
  <c r="D92" i="6"/>
  <c r="B92" i="6"/>
  <c r="C92" i="6" s="1"/>
  <c r="D91" i="6"/>
  <c r="B91" i="6"/>
  <c r="C91" i="6" s="1"/>
  <c r="D90" i="6"/>
  <c r="E91" i="6" s="1"/>
  <c r="B90" i="6"/>
  <c r="D89" i="6"/>
  <c r="B89" i="6"/>
  <c r="C89" i="6" s="1"/>
  <c r="E88" i="6"/>
  <c r="D88" i="6"/>
  <c r="E89" i="6" s="1"/>
  <c r="C88" i="6"/>
  <c r="B88" i="6"/>
  <c r="D87" i="6"/>
  <c r="B87" i="6"/>
  <c r="D86" i="6"/>
  <c r="E87" i="6" s="1"/>
  <c r="B86" i="6"/>
  <c r="C86" i="6" s="1"/>
  <c r="D85" i="6"/>
  <c r="B85" i="6"/>
  <c r="D84" i="6"/>
  <c r="E84" i="6" s="1"/>
  <c r="C84" i="6"/>
  <c r="B84" i="6"/>
  <c r="E83" i="6"/>
  <c r="D83" i="6"/>
  <c r="B83" i="6"/>
  <c r="D82" i="6"/>
  <c r="E82" i="6" s="1"/>
  <c r="B82" i="6"/>
  <c r="C82" i="6" s="1"/>
  <c r="E81" i="6"/>
  <c r="D81" i="6"/>
  <c r="B81" i="6"/>
  <c r="D80" i="6"/>
  <c r="E80" i="6" s="1"/>
  <c r="B80" i="6"/>
  <c r="C80" i="6" s="1"/>
  <c r="E79" i="6"/>
  <c r="D79" i="6"/>
  <c r="B79" i="6"/>
  <c r="C79" i="6" s="1"/>
  <c r="E78" i="6"/>
  <c r="D78" i="6"/>
  <c r="B78" i="6"/>
  <c r="C78" i="6" s="1"/>
  <c r="E77" i="6"/>
  <c r="D77" i="6"/>
  <c r="B77" i="6"/>
  <c r="C77" i="6" s="1"/>
  <c r="E76" i="6"/>
  <c r="D76" i="6"/>
  <c r="B76" i="6"/>
  <c r="C76" i="6" s="1"/>
  <c r="D75" i="6"/>
  <c r="B75" i="6"/>
  <c r="C75" i="6" s="1"/>
  <c r="D74" i="6"/>
  <c r="E75" i="6" s="1"/>
  <c r="B74" i="6"/>
  <c r="D73" i="6"/>
  <c r="B73" i="6"/>
  <c r="C73" i="6" s="1"/>
  <c r="E72" i="6"/>
  <c r="D72" i="6"/>
  <c r="E73" i="6" s="1"/>
  <c r="C72" i="6"/>
  <c r="B72" i="6"/>
  <c r="D71" i="6"/>
  <c r="B71" i="6"/>
  <c r="D70" i="6"/>
  <c r="E71" i="6" s="1"/>
  <c r="B70" i="6"/>
  <c r="C70" i="6" s="1"/>
  <c r="D69" i="6"/>
  <c r="B69" i="6"/>
  <c r="D68" i="6"/>
  <c r="E68" i="6" s="1"/>
  <c r="C68" i="6"/>
  <c r="B68" i="6"/>
  <c r="E67" i="6"/>
  <c r="D67" i="6"/>
  <c r="B67" i="6"/>
  <c r="D66" i="6"/>
  <c r="E66" i="6" s="1"/>
  <c r="B66" i="6"/>
  <c r="C66" i="6" s="1"/>
  <c r="E65" i="6"/>
  <c r="D65" i="6"/>
  <c r="B65" i="6"/>
  <c r="D64" i="6"/>
  <c r="E64" i="6" s="1"/>
  <c r="B64" i="6"/>
  <c r="C64" i="6" s="1"/>
  <c r="E63" i="6"/>
  <c r="D63" i="6"/>
  <c r="B63" i="6"/>
  <c r="C63" i="6" s="1"/>
  <c r="E62" i="6"/>
  <c r="D62" i="6"/>
  <c r="B62" i="6"/>
  <c r="C62" i="6" s="1"/>
  <c r="E61" i="6"/>
  <c r="D61" i="6"/>
  <c r="B61" i="6"/>
  <c r="C61" i="6" s="1"/>
  <c r="E60" i="6"/>
  <c r="D60" i="6"/>
  <c r="B60" i="6"/>
  <c r="C60" i="6" s="1"/>
  <c r="D59" i="6"/>
  <c r="B59" i="6"/>
  <c r="C59" i="6" s="1"/>
  <c r="D58" i="6"/>
  <c r="E59" i="6" s="1"/>
  <c r="B58" i="6"/>
  <c r="D57" i="6"/>
  <c r="B57" i="6"/>
  <c r="C57" i="6" s="1"/>
  <c r="E56" i="6"/>
  <c r="D56" i="6"/>
  <c r="E57" i="6" s="1"/>
  <c r="C56" i="6"/>
  <c r="B56" i="6"/>
  <c r="D55" i="6"/>
  <c r="B55" i="6"/>
  <c r="D54" i="6"/>
  <c r="E55" i="6" s="1"/>
  <c r="B54" i="6"/>
  <c r="C54" i="6" s="1"/>
  <c r="D53" i="6"/>
  <c r="B53" i="6"/>
  <c r="D52" i="6"/>
  <c r="E52" i="6" s="1"/>
  <c r="C52" i="6"/>
  <c r="B52" i="6"/>
  <c r="E51" i="6"/>
  <c r="D51" i="6"/>
  <c r="B51" i="6"/>
  <c r="D50" i="6"/>
  <c r="E50" i="6" s="1"/>
  <c r="B50" i="6"/>
  <c r="C50" i="6" s="1"/>
  <c r="E49" i="6"/>
  <c r="D49" i="6"/>
  <c r="B49" i="6"/>
  <c r="D48" i="6"/>
  <c r="E48" i="6" s="1"/>
  <c r="B48" i="6"/>
  <c r="C48" i="6" s="1"/>
  <c r="E47" i="6"/>
  <c r="D47" i="6"/>
  <c r="B47" i="6"/>
  <c r="C47" i="6" s="1"/>
  <c r="E46" i="6"/>
  <c r="D46" i="6"/>
  <c r="B46" i="6"/>
  <c r="C46" i="6" s="1"/>
  <c r="E45" i="6"/>
  <c r="D45" i="6"/>
  <c r="B45" i="6"/>
  <c r="C45" i="6" s="1"/>
  <c r="E44" i="6"/>
  <c r="D44" i="6"/>
  <c r="B44" i="6"/>
  <c r="C44" i="6" s="1"/>
  <c r="D43" i="6"/>
  <c r="B43" i="6"/>
  <c r="C43" i="6" s="1"/>
  <c r="D42" i="6"/>
  <c r="E43" i="6" s="1"/>
  <c r="B42" i="6"/>
  <c r="D41" i="6"/>
  <c r="B41" i="6"/>
  <c r="C41" i="6" s="1"/>
  <c r="E40" i="6"/>
  <c r="D40" i="6"/>
  <c r="E41" i="6" s="1"/>
  <c r="C40" i="6"/>
  <c r="B40" i="6"/>
  <c r="D39" i="6"/>
  <c r="B39" i="6"/>
  <c r="D38" i="6"/>
  <c r="E39" i="6" s="1"/>
  <c r="B38" i="6"/>
  <c r="C38" i="6" s="1"/>
  <c r="D37" i="6"/>
  <c r="B37" i="6"/>
  <c r="D36" i="6"/>
  <c r="E36" i="6" s="1"/>
  <c r="C36" i="6"/>
  <c r="B36" i="6"/>
  <c r="E35" i="6"/>
  <c r="D35" i="6"/>
  <c r="B35" i="6"/>
  <c r="D34" i="6"/>
  <c r="E34" i="6" s="1"/>
  <c r="B34" i="6"/>
  <c r="C34" i="6" s="1"/>
  <c r="E33" i="6"/>
  <c r="D33" i="6"/>
  <c r="B33" i="6"/>
  <c r="D32" i="6"/>
  <c r="E32" i="6" s="1"/>
  <c r="B32" i="6"/>
  <c r="C32" i="6" s="1"/>
  <c r="E31" i="6"/>
  <c r="D31" i="6"/>
  <c r="B31" i="6"/>
  <c r="C31" i="6" s="1"/>
  <c r="D30" i="6"/>
  <c r="B30" i="6"/>
  <c r="C30" i="6" s="1"/>
  <c r="D29" i="6"/>
  <c r="E29" i="6" s="1"/>
  <c r="B29" i="6"/>
  <c r="C29" i="6" s="1"/>
  <c r="E28" i="6"/>
  <c r="D28" i="6"/>
  <c r="B28" i="6"/>
  <c r="C28" i="6" s="1"/>
  <c r="D27" i="6"/>
  <c r="E27" i="6" s="1"/>
  <c r="B27" i="6"/>
  <c r="C27" i="6" s="1"/>
  <c r="D26" i="6"/>
  <c r="E26" i="6" s="1"/>
  <c r="B26" i="6"/>
  <c r="D25" i="6"/>
  <c r="E25" i="6" s="1"/>
  <c r="B25" i="6"/>
  <c r="C25" i="6" s="1"/>
  <c r="E24" i="6"/>
  <c r="D24" i="6"/>
  <c r="C24" i="6"/>
  <c r="B24" i="6"/>
  <c r="D23" i="6"/>
  <c r="E23" i="6" s="1"/>
  <c r="B23" i="6"/>
  <c r="D22" i="6"/>
  <c r="E22" i="6" s="1"/>
  <c r="B22" i="6"/>
  <c r="C22" i="6" s="1"/>
  <c r="D21" i="6"/>
  <c r="B21" i="6"/>
  <c r="D20" i="6"/>
  <c r="E20" i="6" s="1"/>
  <c r="C20" i="6"/>
  <c r="B20" i="6"/>
  <c r="E19" i="6"/>
  <c r="D19" i="6"/>
  <c r="B19" i="6"/>
  <c r="D18" i="6"/>
  <c r="E18" i="6" s="1"/>
  <c r="B18" i="6"/>
  <c r="C18" i="6" s="1"/>
  <c r="D17" i="6"/>
  <c r="E17" i="6" s="1"/>
  <c r="B17" i="6"/>
  <c r="D16" i="6"/>
  <c r="E16" i="6" s="1"/>
  <c r="B16" i="6"/>
  <c r="C16" i="6" s="1"/>
  <c r="E15" i="6"/>
  <c r="D15" i="6"/>
  <c r="B15" i="6"/>
  <c r="C15" i="6" s="1"/>
  <c r="D14" i="6"/>
  <c r="B14" i="6"/>
  <c r="C14" i="6" s="1"/>
  <c r="D13" i="6"/>
  <c r="E13" i="6" s="1"/>
  <c r="B13" i="6"/>
  <c r="C13" i="6" s="1"/>
  <c r="E12" i="6"/>
  <c r="D12" i="6"/>
  <c r="B12" i="6"/>
  <c r="C12" i="6" s="1"/>
  <c r="D11" i="6"/>
  <c r="E11" i="6" s="1"/>
  <c r="B11" i="6"/>
  <c r="C11" i="6" s="1"/>
  <c r="D10" i="6"/>
  <c r="E10" i="6" s="1"/>
  <c r="B10" i="6"/>
  <c r="D9" i="6"/>
  <c r="E9" i="6" s="1"/>
  <c r="B9" i="6"/>
  <c r="C9" i="6" s="1"/>
  <c r="E8" i="6"/>
  <c r="D8" i="6"/>
  <c r="C8" i="6"/>
  <c r="B8" i="6"/>
  <c r="D7" i="6"/>
  <c r="E7" i="6" s="1"/>
  <c r="B7" i="6"/>
  <c r="D6" i="6"/>
  <c r="E6" i="6" s="1"/>
  <c r="B6" i="6"/>
  <c r="C6" i="6" s="1"/>
  <c r="D5" i="6"/>
  <c r="B5" i="6"/>
  <c r="F1006" i="5"/>
  <c r="E1006" i="5"/>
  <c r="B1006" i="5"/>
  <c r="F1005" i="5"/>
  <c r="E1005" i="5"/>
  <c r="B1005" i="5"/>
  <c r="F1004" i="5"/>
  <c r="E1004" i="5"/>
  <c r="B1004" i="5"/>
  <c r="C1004" i="5" s="1"/>
  <c r="F1003" i="5"/>
  <c r="E1003" i="5"/>
  <c r="B1003" i="5"/>
  <c r="F1002" i="5"/>
  <c r="E1002" i="5"/>
  <c r="B1002" i="5"/>
  <c r="F1001" i="5"/>
  <c r="E1001" i="5"/>
  <c r="B1001" i="5"/>
  <c r="C1001" i="5" s="1"/>
  <c r="C246" i="8" s="1"/>
  <c r="F1000" i="5"/>
  <c r="E1000" i="5"/>
  <c r="B1000" i="5"/>
  <c r="C1000" i="5" s="1"/>
  <c r="F999" i="5"/>
  <c r="E999" i="5"/>
  <c r="B999" i="5"/>
  <c r="F998" i="5"/>
  <c r="E998" i="5"/>
  <c r="B998" i="5"/>
  <c r="F997" i="5"/>
  <c r="E997" i="5"/>
  <c r="B997" i="5"/>
  <c r="F996" i="5"/>
  <c r="E996" i="5"/>
  <c r="B996" i="5"/>
  <c r="F995" i="5"/>
  <c r="E995" i="5"/>
  <c r="B995" i="5"/>
  <c r="F994" i="5"/>
  <c r="E994" i="5"/>
  <c r="B994" i="5"/>
  <c r="F993" i="5"/>
  <c r="E993" i="5"/>
  <c r="B993" i="5"/>
  <c r="C993" i="5" s="1"/>
  <c r="F992" i="5"/>
  <c r="E992" i="5"/>
  <c r="B992" i="5"/>
  <c r="F991" i="5"/>
  <c r="E991" i="5"/>
  <c r="B991" i="5"/>
  <c r="C991" i="5" s="1"/>
  <c r="F990" i="5"/>
  <c r="E990" i="5"/>
  <c r="B990" i="5"/>
  <c r="F989" i="5"/>
  <c r="E989" i="5"/>
  <c r="B989" i="5"/>
  <c r="F988" i="5"/>
  <c r="E988" i="5"/>
  <c r="B988" i="5"/>
  <c r="C988" i="5" s="1"/>
  <c r="F987" i="5"/>
  <c r="E987" i="5"/>
  <c r="B987" i="5"/>
  <c r="F986" i="5"/>
  <c r="E986" i="5"/>
  <c r="B986" i="5"/>
  <c r="F985" i="5"/>
  <c r="E985" i="5"/>
  <c r="B985" i="5"/>
  <c r="F984" i="5"/>
  <c r="E984" i="5"/>
  <c r="B984" i="5"/>
  <c r="F983" i="5"/>
  <c r="E983" i="5"/>
  <c r="B983" i="5"/>
  <c r="C983" i="5" s="1"/>
  <c r="C228" i="8" s="1"/>
  <c r="F982" i="5"/>
  <c r="E982" i="5"/>
  <c r="B982" i="5"/>
  <c r="F981" i="5"/>
  <c r="E981" i="5"/>
  <c r="B981" i="5"/>
  <c r="C982" i="5" s="1"/>
  <c r="C227" i="8" s="1"/>
  <c r="F980" i="5"/>
  <c r="E980" i="5"/>
  <c r="B980" i="5"/>
  <c r="F979" i="5"/>
  <c r="E979" i="5"/>
  <c r="B979" i="5"/>
  <c r="F978" i="5"/>
  <c r="E978" i="5"/>
  <c r="B978" i="5"/>
  <c r="F977" i="5"/>
  <c r="E977" i="5"/>
  <c r="B977" i="5"/>
  <c r="C977" i="5" s="1"/>
  <c r="C222" i="8" s="1"/>
  <c r="F976" i="5"/>
  <c r="E976" i="5"/>
  <c r="B976" i="5"/>
  <c r="C976" i="5" s="1"/>
  <c r="F975" i="5"/>
  <c r="E975" i="5"/>
  <c r="B975" i="5"/>
  <c r="F974" i="5"/>
  <c r="E974" i="5"/>
  <c r="B974" i="5"/>
  <c r="F973" i="5"/>
  <c r="E973" i="5"/>
  <c r="B973" i="5"/>
  <c r="F972" i="5"/>
  <c r="E972" i="5"/>
  <c r="B972" i="5"/>
  <c r="F971" i="5"/>
  <c r="E971" i="5"/>
  <c r="B971" i="5"/>
  <c r="F970" i="5"/>
  <c r="E970" i="5"/>
  <c r="B970" i="5"/>
  <c r="F969" i="5"/>
  <c r="E969" i="5"/>
  <c r="B969" i="5"/>
  <c r="F968" i="5"/>
  <c r="E968" i="5"/>
  <c r="B968" i="5"/>
  <c r="F967" i="5"/>
  <c r="E967" i="5"/>
  <c r="B967" i="5"/>
  <c r="F966" i="5"/>
  <c r="E966" i="5"/>
  <c r="B966" i="5"/>
  <c r="C966" i="5" s="1"/>
  <c r="F965" i="5"/>
  <c r="E965" i="5"/>
  <c r="B965" i="5"/>
  <c r="F964" i="5"/>
  <c r="E964" i="5"/>
  <c r="B964" i="5"/>
  <c r="F963" i="5"/>
  <c r="E963" i="5"/>
  <c r="B963" i="5"/>
  <c r="F962" i="5"/>
  <c r="E962" i="5"/>
  <c r="B962" i="5"/>
  <c r="F961" i="5"/>
  <c r="E961" i="5"/>
  <c r="B961" i="5"/>
  <c r="F960" i="5"/>
  <c r="E960" i="5"/>
  <c r="B960" i="5"/>
  <c r="F959" i="5"/>
  <c r="E959" i="5"/>
  <c r="B959" i="5"/>
  <c r="C959" i="5" s="1"/>
  <c r="F958" i="5"/>
  <c r="E958" i="5"/>
  <c r="B958" i="5"/>
  <c r="F957" i="5"/>
  <c r="E957" i="5"/>
  <c r="B957" i="5"/>
  <c r="C957" i="5" s="1"/>
  <c r="F956" i="5"/>
  <c r="E956" i="5"/>
  <c r="B956" i="5"/>
  <c r="F955" i="5"/>
  <c r="E955" i="5"/>
  <c r="B955" i="5"/>
  <c r="F954" i="5"/>
  <c r="E954" i="5"/>
  <c r="B954" i="5"/>
  <c r="F953" i="5"/>
  <c r="E953" i="5"/>
  <c r="B953" i="5"/>
  <c r="F952" i="5"/>
  <c r="E952" i="5"/>
  <c r="C952" i="5"/>
  <c r="C197" i="8" s="1"/>
  <c r="B952" i="5"/>
  <c r="C953" i="5" s="1"/>
  <c r="C198" i="8" s="1"/>
  <c r="F951" i="5"/>
  <c r="E951" i="5"/>
  <c r="B951" i="5"/>
  <c r="F950" i="5"/>
  <c r="E950" i="5"/>
  <c r="B950" i="5"/>
  <c r="C951" i="5" s="1"/>
  <c r="C196" i="8" s="1"/>
  <c r="F949" i="5"/>
  <c r="E949" i="5"/>
  <c r="B949" i="5"/>
  <c r="F948" i="5"/>
  <c r="E948" i="5"/>
  <c r="B948" i="5"/>
  <c r="F947" i="5"/>
  <c r="E947" i="5"/>
  <c r="B947" i="5"/>
  <c r="C948" i="5" s="1"/>
  <c r="C193" i="8" s="1"/>
  <c r="F946" i="5"/>
  <c r="E946" i="5"/>
  <c r="B946" i="5"/>
  <c r="F945" i="5"/>
  <c r="E945" i="5"/>
  <c r="B945" i="5"/>
  <c r="F944" i="5"/>
  <c r="E944" i="5"/>
  <c r="B944" i="5"/>
  <c r="F943" i="5"/>
  <c r="E943" i="5"/>
  <c r="B943" i="5"/>
  <c r="F942" i="5"/>
  <c r="E942" i="5"/>
  <c r="C942" i="5"/>
  <c r="B942" i="5"/>
  <c r="C943" i="5" s="1"/>
  <c r="C188" i="8" s="1"/>
  <c r="F941" i="5"/>
  <c r="E941" i="5"/>
  <c r="B941" i="5"/>
  <c r="F940" i="5"/>
  <c r="E940" i="5"/>
  <c r="B940" i="5"/>
  <c r="F939" i="5"/>
  <c r="E939" i="5"/>
  <c r="B939" i="5"/>
  <c r="C939" i="5" s="1"/>
  <c r="F938" i="5"/>
  <c r="E938" i="5"/>
  <c r="B938" i="5"/>
  <c r="F937" i="5"/>
  <c r="E937" i="5"/>
  <c r="B937" i="5"/>
  <c r="C937" i="5" s="1"/>
  <c r="F936" i="5"/>
  <c r="E936" i="5"/>
  <c r="B936" i="5"/>
  <c r="F935" i="5"/>
  <c r="E935" i="5"/>
  <c r="B935" i="5"/>
  <c r="F934" i="5"/>
  <c r="E934" i="5"/>
  <c r="B934" i="5"/>
  <c r="C935" i="5" s="1"/>
  <c r="F933" i="5"/>
  <c r="E933" i="5"/>
  <c r="B933" i="5"/>
  <c r="F932" i="5"/>
  <c r="E932" i="5"/>
  <c r="B932" i="5"/>
  <c r="C933" i="5" s="1"/>
  <c r="C178" i="8" s="1"/>
  <c r="F931" i="5"/>
  <c r="E931" i="5"/>
  <c r="B931" i="5"/>
  <c r="F930" i="5"/>
  <c r="E930" i="5"/>
  <c r="B930" i="5"/>
  <c r="F929" i="5"/>
  <c r="E929" i="5"/>
  <c r="B929" i="5"/>
  <c r="F928" i="5"/>
  <c r="E928" i="5"/>
  <c r="B928" i="5"/>
  <c r="F927" i="5"/>
  <c r="E927" i="5"/>
  <c r="B927" i="5"/>
  <c r="C927" i="5" s="1"/>
  <c r="F926" i="5"/>
  <c r="E926" i="5"/>
  <c r="B926" i="5"/>
  <c r="F925" i="5"/>
  <c r="E925" i="5"/>
  <c r="B925" i="5"/>
  <c r="F924" i="5"/>
  <c r="E924" i="5"/>
  <c r="B924" i="5"/>
  <c r="F923" i="5"/>
  <c r="E923" i="5"/>
  <c r="B923" i="5"/>
  <c r="F922" i="5"/>
  <c r="E922" i="5"/>
  <c r="B922" i="5"/>
  <c r="F921" i="5"/>
  <c r="E921" i="5"/>
  <c r="B921" i="5"/>
  <c r="F920" i="5"/>
  <c r="E920" i="5"/>
  <c r="B920" i="5"/>
  <c r="F919" i="5"/>
  <c r="E919" i="5"/>
  <c r="B919" i="5"/>
  <c r="C919" i="5" s="1"/>
  <c r="C164" i="8" s="1"/>
  <c r="F918" i="5"/>
  <c r="E918" i="5"/>
  <c r="B918" i="5"/>
  <c r="F917" i="5"/>
  <c r="E917" i="5"/>
  <c r="B917" i="5"/>
  <c r="F916" i="5"/>
  <c r="E916" i="5"/>
  <c r="B916" i="5"/>
  <c r="F915" i="5"/>
  <c r="E915" i="5"/>
  <c r="B915" i="5"/>
  <c r="F914" i="5"/>
  <c r="E914" i="5"/>
  <c r="B914" i="5"/>
  <c r="F913" i="5"/>
  <c r="E913" i="5"/>
  <c r="B913" i="5"/>
  <c r="F912" i="5"/>
  <c r="E912" i="5"/>
  <c r="B912" i="5"/>
  <c r="C912" i="5" s="1"/>
  <c r="F911" i="5"/>
  <c r="E911" i="5"/>
  <c r="B911" i="5"/>
  <c r="F910" i="5"/>
  <c r="E910" i="5"/>
  <c r="B910" i="5"/>
  <c r="F909" i="5"/>
  <c r="E909" i="5"/>
  <c r="B909" i="5"/>
  <c r="F908" i="5"/>
  <c r="E908" i="5"/>
  <c r="B908" i="5"/>
  <c r="C908" i="5" s="1"/>
  <c r="F907" i="5"/>
  <c r="E907" i="5"/>
  <c r="B907" i="5"/>
  <c r="F906" i="5"/>
  <c r="E906" i="5"/>
  <c r="B906" i="5"/>
  <c r="F905" i="5"/>
  <c r="E905" i="5"/>
  <c r="B905" i="5"/>
  <c r="F904" i="5"/>
  <c r="E904" i="5"/>
  <c r="B904" i="5"/>
  <c r="F903" i="5"/>
  <c r="E903" i="5"/>
  <c r="B903" i="5"/>
  <c r="F902" i="5"/>
  <c r="E902" i="5"/>
  <c r="B902" i="5"/>
  <c r="F901" i="5"/>
  <c r="E901" i="5"/>
  <c r="B901" i="5"/>
  <c r="C902" i="5" s="1"/>
  <c r="F900" i="5"/>
  <c r="E900" i="5"/>
  <c r="B900" i="5"/>
  <c r="F899" i="5"/>
  <c r="E899" i="5"/>
  <c r="B899" i="5"/>
  <c r="F898" i="5"/>
  <c r="E898" i="5"/>
  <c r="B898" i="5"/>
  <c r="C898" i="5" s="1"/>
  <c r="F897" i="5"/>
  <c r="E897" i="5"/>
  <c r="B897" i="5"/>
  <c r="F896" i="5"/>
  <c r="E896" i="5"/>
  <c r="B896" i="5"/>
  <c r="C896" i="5" s="1"/>
  <c r="C141" i="8" s="1"/>
  <c r="F895" i="5"/>
  <c r="E895" i="5"/>
  <c r="B895" i="5"/>
  <c r="C895" i="5" s="1"/>
  <c r="F894" i="5"/>
  <c r="E894" i="5"/>
  <c r="B894" i="5"/>
  <c r="F893" i="5"/>
  <c r="E893" i="5"/>
  <c r="B893" i="5"/>
  <c r="F892" i="5"/>
  <c r="E892" i="5"/>
  <c r="B892" i="5"/>
  <c r="F891" i="5"/>
  <c r="E891" i="5"/>
  <c r="B891" i="5"/>
  <c r="F890" i="5"/>
  <c r="E890" i="5"/>
  <c r="B890" i="5"/>
  <c r="F889" i="5"/>
  <c r="E889" i="5"/>
  <c r="B889" i="5"/>
  <c r="F888" i="5"/>
  <c r="E888" i="5"/>
  <c r="B888" i="5"/>
  <c r="C889" i="5" s="1"/>
  <c r="C134" i="8" s="1"/>
  <c r="F887" i="5"/>
  <c r="E887" i="5"/>
  <c r="B887" i="5"/>
  <c r="F886" i="5"/>
  <c r="E886" i="5"/>
  <c r="B886" i="5"/>
  <c r="F885" i="5"/>
  <c r="E885" i="5"/>
  <c r="C885" i="5"/>
  <c r="B885" i="5"/>
  <c r="F884" i="5"/>
  <c r="E884" i="5"/>
  <c r="B884" i="5"/>
  <c r="F883" i="5"/>
  <c r="E883" i="5"/>
  <c r="B883" i="5"/>
  <c r="C884" i="5" s="1"/>
  <c r="C129" i="8" s="1"/>
  <c r="F882" i="5"/>
  <c r="E882" i="5"/>
  <c r="B882" i="5"/>
  <c r="F881" i="5"/>
  <c r="E881" i="5"/>
  <c r="B881" i="5"/>
  <c r="C881" i="5" s="1"/>
  <c r="C126" i="8" s="1"/>
  <c r="F880" i="5"/>
  <c r="E880" i="5"/>
  <c r="B880" i="5"/>
  <c r="F879" i="5"/>
  <c r="E879" i="5"/>
  <c r="B879" i="5"/>
  <c r="F878" i="5"/>
  <c r="E878" i="5"/>
  <c r="B878" i="5"/>
  <c r="F877" i="5"/>
  <c r="E877" i="5"/>
  <c r="B877" i="5"/>
  <c r="F876" i="5"/>
  <c r="E876" i="5"/>
  <c r="B876" i="5"/>
  <c r="F875" i="5"/>
  <c r="E875" i="5"/>
  <c r="B875" i="5"/>
  <c r="F874" i="5"/>
  <c r="E874" i="5"/>
  <c r="B874" i="5"/>
  <c r="F873" i="5"/>
  <c r="E873" i="5"/>
  <c r="B873" i="5"/>
  <c r="F872" i="5"/>
  <c r="E872" i="5"/>
  <c r="B872" i="5"/>
  <c r="F871" i="5"/>
  <c r="E871" i="5"/>
  <c r="B871" i="5"/>
  <c r="F870" i="5"/>
  <c r="E870" i="5"/>
  <c r="B870" i="5"/>
  <c r="C871" i="5" s="1"/>
  <c r="C116" i="8" s="1"/>
  <c r="F869" i="5"/>
  <c r="E869" i="5"/>
  <c r="B869" i="5"/>
  <c r="F868" i="5"/>
  <c r="E868" i="5"/>
  <c r="B868" i="5"/>
  <c r="F867" i="5"/>
  <c r="E867" i="5"/>
  <c r="B867" i="5"/>
  <c r="C867" i="5" s="1"/>
  <c r="F866" i="5"/>
  <c r="E866" i="5"/>
  <c r="B866" i="5"/>
  <c r="F865" i="5"/>
  <c r="E865" i="5"/>
  <c r="B865" i="5"/>
  <c r="F864" i="5"/>
  <c r="E864" i="5"/>
  <c r="B864" i="5"/>
  <c r="C864" i="5" s="1"/>
  <c r="C109" i="8" s="1"/>
  <c r="F863" i="5"/>
  <c r="E863" i="5"/>
  <c r="B863" i="5"/>
  <c r="C863" i="5" s="1"/>
  <c r="F862" i="5"/>
  <c r="E862" i="5"/>
  <c r="B862" i="5"/>
  <c r="F861" i="5"/>
  <c r="E861" i="5"/>
  <c r="B861" i="5"/>
  <c r="F860" i="5"/>
  <c r="E860" i="5"/>
  <c r="B860" i="5"/>
  <c r="F859" i="5"/>
  <c r="E859" i="5"/>
  <c r="B859" i="5"/>
  <c r="F858" i="5"/>
  <c r="E858" i="5"/>
  <c r="B858" i="5"/>
  <c r="F857" i="5"/>
  <c r="E857" i="5"/>
  <c r="B857" i="5"/>
  <c r="C857" i="5" s="1"/>
  <c r="C102" i="8" s="1"/>
  <c r="F856" i="5"/>
  <c r="E856" i="5"/>
  <c r="B856" i="5"/>
  <c r="F855" i="5"/>
  <c r="E855" i="5"/>
  <c r="B855" i="5"/>
  <c r="F854" i="5"/>
  <c r="E854" i="5"/>
  <c r="B854" i="5"/>
  <c r="F853" i="5"/>
  <c r="E853" i="5"/>
  <c r="B853" i="5"/>
  <c r="F852" i="5"/>
  <c r="E852" i="5"/>
  <c r="B852" i="5"/>
  <c r="C852" i="5" s="1"/>
  <c r="F851" i="5"/>
  <c r="E851" i="5"/>
  <c r="B851" i="5"/>
  <c r="F850" i="5"/>
  <c r="E850" i="5"/>
  <c r="B850" i="5"/>
  <c r="F849" i="5"/>
  <c r="E849" i="5"/>
  <c r="B849" i="5"/>
  <c r="C849" i="5" s="1"/>
  <c r="C94" i="8" s="1"/>
  <c r="F848" i="5"/>
  <c r="E848" i="5"/>
  <c r="B848" i="5"/>
  <c r="F847" i="5"/>
  <c r="E847" i="5"/>
  <c r="B847" i="5"/>
  <c r="C848" i="5" s="1"/>
  <c r="F846" i="5"/>
  <c r="E846" i="5"/>
  <c r="B846" i="5"/>
  <c r="F845" i="5"/>
  <c r="E845" i="5"/>
  <c r="B845" i="5"/>
  <c r="C846" i="5" s="1"/>
  <c r="F844" i="5"/>
  <c r="E844" i="5"/>
  <c r="B844" i="5"/>
  <c r="F843" i="5"/>
  <c r="E843" i="5"/>
  <c r="B843" i="5"/>
  <c r="F842" i="5"/>
  <c r="E842" i="5"/>
  <c r="B842" i="5"/>
  <c r="F841" i="5"/>
  <c r="E841" i="5"/>
  <c r="B841" i="5"/>
  <c r="F840" i="5"/>
  <c r="E840" i="5"/>
  <c r="B840" i="5"/>
  <c r="F839" i="5"/>
  <c r="E839" i="5"/>
  <c r="B839" i="5"/>
  <c r="F838" i="5"/>
  <c r="E838" i="5"/>
  <c r="B838" i="5"/>
  <c r="F837" i="5"/>
  <c r="E837" i="5"/>
  <c r="B837" i="5"/>
  <c r="F836" i="5"/>
  <c r="E836" i="5"/>
  <c r="B836" i="5"/>
  <c r="F835" i="5"/>
  <c r="E835" i="5"/>
  <c r="B835" i="5"/>
  <c r="F834" i="5"/>
  <c r="E834" i="5"/>
  <c r="C834" i="5"/>
  <c r="B834" i="5"/>
  <c r="F833" i="5"/>
  <c r="E833" i="5"/>
  <c r="B833" i="5"/>
  <c r="F832" i="5"/>
  <c r="E832" i="5"/>
  <c r="B832" i="5"/>
  <c r="F831" i="5"/>
  <c r="E831" i="5"/>
  <c r="B831" i="5"/>
  <c r="F830" i="5"/>
  <c r="E830" i="5"/>
  <c r="B830" i="5"/>
  <c r="F829" i="5"/>
  <c r="E829" i="5"/>
  <c r="B829" i="5"/>
  <c r="F828" i="5"/>
  <c r="E828" i="5"/>
  <c r="B828" i="5"/>
  <c r="F827" i="5"/>
  <c r="E827" i="5"/>
  <c r="B827" i="5"/>
  <c r="F826" i="5"/>
  <c r="E826" i="5"/>
  <c r="B826" i="5"/>
  <c r="F825" i="5"/>
  <c r="E825" i="5"/>
  <c r="B825" i="5"/>
  <c r="C825" i="5" s="1"/>
  <c r="C70" i="8" s="1"/>
  <c r="F824" i="5"/>
  <c r="E824" i="5"/>
  <c r="B824" i="5"/>
  <c r="F823" i="5"/>
  <c r="E823" i="5"/>
  <c r="B823" i="5"/>
  <c r="F822" i="5"/>
  <c r="E822" i="5"/>
  <c r="B822" i="5"/>
  <c r="F821" i="5"/>
  <c r="E821" i="5"/>
  <c r="B821" i="5"/>
  <c r="C822" i="5" s="1"/>
  <c r="F820" i="5"/>
  <c r="E820" i="5"/>
  <c r="B820" i="5"/>
  <c r="C820" i="5" s="1"/>
  <c r="F819" i="5"/>
  <c r="E819" i="5"/>
  <c r="B819" i="5"/>
  <c r="F818" i="5"/>
  <c r="E818" i="5"/>
  <c r="C818" i="5"/>
  <c r="B818" i="5"/>
  <c r="C819" i="5" s="1"/>
  <c r="C64" i="8" s="1"/>
  <c r="F817" i="5"/>
  <c r="E817" i="5"/>
  <c r="B817" i="5"/>
  <c r="F816" i="5"/>
  <c r="E816" i="5"/>
  <c r="B816" i="5"/>
  <c r="F815" i="5"/>
  <c r="E815" i="5"/>
  <c r="B815" i="5"/>
  <c r="F814" i="5"/>
  <c r="E814" i="5"/>
  <c r="B814" i="5"/>
  <c r="F813" i="5"/>
  <c r="E813" i="5"/>
  <c r="C813" i="5"/>
  <c r="B813" i="5"/>
  <c r="C814" i="5" s="1"/>
  <c r="C59" i="8" s="1"/>
  <c r="F812" i="5"/>
  <c r="E812" i="5"/>
  <c r="B812" i="5"/>
  <c r="F811" i="5"/>
  <c r="E811" i="5"/>
  <c r="B811" i="5"/>
  <c r="F810" i="5"/>
  <c r="E810" i="5"/>
  <c r="B810" i="5"/>
  <c r="F809" i="5"/>
  <c r="E809" i="5"/>
  <c r="B809" i="5"/>
  <c r="F808" i="5"/>
  <c r="E808" i="5"/>
  <c r="B808" i="5"/>
  <c r="C808" i="5" s="1"/>
  <c r="F807" i="5"/>
  <c r="E807" i="5"/>
  <c r="B807" i="5"/>
  <c r="F806" i="5"/>
  <c r="E806" i="5"/>
  <c r="B806" i="5"/>
  <c r="F805" i="5"/>
  <c r="E805" i="5"/>
  <c r="B805" i="5"/>
  <c r="F804" i="5"/>
  <c r="E804" i="5"/>
  <c r="B804" i="5"/>
  <c r="F803" i="5"/>
  <c r="E803" i="5"/>
  <c r="B803" i="5"/>
  <c r="F802" i="5"/>
  <c r="E802" i="5"/>
  <c r="B802" i="5"/>
  <c r="F801" i="5"/>
  <c r="E801" i="5"/>
  <c r="B801" i="5"/>
  <c r="F800" i="5"/>
  <c r="E800" i="5"/>
  <c r="B800" i="5"/>
  <c r="C800" i="5" s="1"/>
  <c r="F799" i="5"/>
  <c r="E799" i="5"/>
  <c r="B799" i="5"/>
  <c r="F798" i="5"/>
  <c r="E798" i="5"/>
  <c r="B798" i="5"/>
  <c r="F797" i="5"/>
  <c r="E797" i="5"/>
  <c r="B797" i="5"/>
  <c r="F796" i="5"/>
  <c r="E796" i="5"/>
  <c r="B796" i="5"/>
  <c r="F795" i="5"/>
  <c r="E795" i="5"/>
  <c r="B795" i="5"/>
  <c r="C795" i="5" s="1"/>
  <c r="C40" i="8" s="1"/>
  <c r="F794" i="5"/>
  <c r="E794" i="5"/>
  <c r="B794" i="5"/>
  <c r="F793" i="5"/>
  <c r="E793" i="5"/>
  <c r="B793" i="5"/>
  <c r="F792" i="5"/>
  <c r="E792" i="5"/>
  <c r="B792" i="5"/>
  <c r="F791" i="5"/>
  <c r="E791" i="5"/>
  <c r="B791" i="5"/>
  <c r="F790" i="5"/>
  <c r="E790" i="5"/>
  <c r="B790" i="5"/>
  <c r="F789" i="5"/>
  <c r="E789" i="5"/>
  <c r="B789" i="5"/>
  <c r="F788" i="5"/>
  <c r="E788" i="5"/>
  <c r="B788" i="5"/>
  <c r="F787" i="5"/>
  <c r="E787" i="5"/>
  <c r="B787" i="5"/>
  <c r="F786" i="5"/>
  <c r="E786" i="5"/>
  <c r="B786" i="5"/>
  <c r="F785" i="5"/>
  <c r="E785" i="5"/>
  <c r="B785" i="5"/>
  <c r="F784" i="5"/>
  <c r="E784" i="5"/>
  <c r="B784" i="5"/>
  <c r="F783" i="5"/>
  <c r="E783" i="5"/>
  <c r="B783" i="5"/>
  <c r="F782" i="5"/>
  <c r="E782" i="5"/>
  <c r="B782" i="5"/>
  <c r="C783" i="5" s="1"/>
  <c r="F781" i="5"/>
  <c r="E781" i="5"/>
  <c r="B781" i="5"/>
  <c r="F780" i="5"/>
  <c r="E780" i="5"/>
  <c r="B780" i="5"/>
  <c r="F779" i="5"/>
  <c r="E779" i="5"/>
  <c r="B779" i="5"/>
  <c r="F778" i="5"/>
  <c r="E778" i="5"/>
  <c r="B778" i="5"/>
  <c r="F777" i="5"/>
  <c r="E777" i="5"/>
  <c r="B777" i="5"/>
  <c r="C778" i="5" s="1"/>
  <c r="F776" i="5"/>
  <c r="E776" i="5"/>
  <c r="B776" i="5"/>
  <c r="C776" i="5" s="1"/>
  <c r="C21" i="8" s="1"/>
  <c r="F775" i="5"/>
  <c r="E775" i="5"/>
  <c r="B775" i="5"/>
  <c r="F774" i="5"/>
  <c r="E774" i="5"/>
  <c r="B774" i="5"/>
  <c r="F773" i="5"/>
  <c r="E773" i="5"/>
  <c r="B773" i="5"/>
  <c r="F772" i="5"/>
  <c r="E772" i="5"/>
  <c r="B772" i="5"/>
  <c r="F771" i="5"/>
  <c r="E771" i="5"/>
  <c r="B771" i="5"/>
  <c r="F770" i="5"/>
  <c r="E770" i="5"/>
  <c r="B770" i="5"/>
  <c r="F769" i="5"/>
  <c r="E769" i="5"/>
  <c r="B769" i="5"/>
  <c r="F768" i="5"/>
  <c r="E768" i="5"/>
  <c r="B768" i="5"/>
  <c r="C768" i="5" s="1"/>
  <c r="F767" i="5"/>
  <c r="E767" i="5"/>
  <c r="B767" i="5"/>
  <c r="F766" i="5"/>
  <c r="E766" i="5"/>
  <c r="B766" i="5"/>
  <c r="F765" i="5"/>
  <c r="E765" i="5"/>
  <c r="B765" i="5"/>
  <c r="F764" i="5"/>
  <c r="E764" i="5"/>
  <c r="B764" i="5"/>
  <c r="F763" i="5"/>
  <c r="E763" i="5"/>
  <c r="B763" i="5"/>
  <c r="F762" i="5"/>
  <c r="E762" i="5"/>
  <c r="B762" i="5"/>
  <c r="F761" i="5"/>
  <c r="E761" i="5"/>
  <c r="B761" i="5"/>
  <c r="F760" i="5"/>
  <c r="E760" i="5"/>
  <c r="B760" i="5"/>
  <c r="F759" i="5"/>
  <c r="E759" i="5"/>
  <c r="B759" i="5"/>
  <c r="F758" i="5"/>
  <c r="E758" i="5"/>
  <c r="B758" i="5"/>
  <c r="F757" i="5"/>
  <c r="E757" i="5"/>
  <c r="B757" i="5"/>
  <c r="F756" i="5"/>
  <c r="E756" i="5"/>
  <c r="B756" i="5"/>
  <c r="C756" i="5" s="1"/>
  <c r="F755" i="5"/>
  <c r="E755" i="5"/>
  <c r="B755" i="5"/>
  <c r="F754" i="5"/>
  <c r="E754" i="5"/>
  <c r="B754" i="5"/>
  <c r="F753" i="5"/>
  <c r="E753" i="5"/>
  <c r="B753" i="5"/>
  <c r="C753" i="5" s="1"/>
  <c r="F752" i="5"/>
  <c r="E752" i="5"/>
  <c r="B752" i="5"/>
  <c r="F751" i="5"/>
  <c r="E751" i="5"/>
  <c r="B751" i="5"/>
  <c r="C751" i="5" s="1"/>
  <c r="F750" i="5"/>
  <c r="E750" i="5"/>
  <c r="B750" i="5"/>
  <c r="F749" i="5"/>
  <c r="E749" i="5"/>
  <c r="B749" i="5"/>
  <c r="F748" i="5"/>
  <c r="E748" i="5"/>
  <c r="B748" i="5"/>
  <c r="F747" i="5"/>
  <c r="E747" i="5"/>
  <c r="B747" i="5"/>
  <c r="F746" i="5"/>
  <c r="E746" i="5"/>
  <c r="B746" i="5"/>
  <c r="C746" i="5" s="1"/>
  <c r="F745" i="5"/>
  <c r="E745" i="5"/>
  <c r="B745" i="5"/>
  <c r="F744" i="5"/>
  <c r="E744" i="5"/>
  <c r="B744" i="5"/>
  <c r="F743" i="5"/>
  <c r="E743" i="5"/>
  <c r="B743" i="5"/>
  <c r="F742" i="5"/>
  <c r="E742" i="5"/>
  <c r="B742" i="5"/>
  <c r="F741" i="5"/>
  <c r="E741" i="5"/>
  <c r="B741" i="5"/>
  <c r="F740" i="5"/>
  <c r="E740" i="5"/>
  <c r="B740" i="5"/>
  <c r="F739" i="5"/>
  <c r="E739" i="5"/>
  <c r="B739" i="5"/>
  <c r="C739" i="5" s="1"/>
  <c r="F738" i="5"/>
  <c r="E738" i="5"/>
  <c r="B738" i="5"/>
  <c r="F737" i="5"/>
  <c r="E737" i="5"/>
  <c r="B737" i="5"/>
  <c r="F736" i="5"/>
  <c r="E736" i="5"/>
  <c r="B736" i="5"/>
  <c r="F735" i="5"/>
  <c r="E735" i="5"/>
  <c r="B735" i="5"/>
  <c r="C735" i="5" s="1"/>
  <c r="F734" i="5"/>
  <c r="E734" i="5"/>
  <c r="B734" i="5"/>
  <c r="F733" i="5"/>
  <c r="E733" i="5"/>
  <c r="B733" i="5"/>
  <c r="F732" i="5"/>
  <c r="E732" i="5"/>
  <c r="C732" i="5"/>
  <c r="B732" i="5"/>
  <c r="F731" i="5"/>
  <c r="E731" i="5"/>
  <c r="B731" i="5"/>
  <c r="F730" i="5"/>
  <c r="E730" i="5"/>
  <c r="B730" i="5"/>
  <c r="F729" i="5"/>
  <c r="E729" i="5"/>
  <c r="B729" i="5"/>
  <c r="F728" i="5"/>
  <c r="E728" i="5"/>
  <c r="B728" i="5"/>
  <c r="F727" i="5"/>
  <c r="E727" i="5"/>
  <c r="C727" i="5"/>
  <c r="B727" i="5"/>
  <c r="C728" i="5" s="1"/>
  <c r="F726" i="5"/>
  <c r="E726" i="5"/>
  <c r="B726" i="5"/>
  <c r="F725" i="5"/>
  <c r="E725" i="5"/>
  <c r="B725" i="5"/>
  <c r="C726" i="5" s="1"/>
  <c r="F724" i="5"/>
  <c r="E724" i="5"/>
  <c r="B724" i="5"/>
  <c r="F723" i="5"/>
  <c r="E723" i="5"/>
  <c r="B723" i="5"/>
  <c r="F722" i="5"/>
  <c r="E722" i="5"/>
  <c r="B722" i="5"/>
  <c r="C722" i="5" s="1"/>
  <c r="F721" i="5"/>
  <c r="E721" i="5"/>
  <c r="B721" i="5"/>
  <c r="F720" i="5"/>
  <c r="E720" i="5"/>
  <c r="B720" i="5"/>
  <c r="C720" i="5" s="1"/>
  <c r="F719" i="5"/>
  <c r="E719" i="5"/>
  <c r="B719" i="5"/>
  <c r="F718" i="5"/>
  <c r="E718" i="5"/>
  <c r="B718" i="5"/>
  <c r="F717" i="5"/>
  <c r="E717" i="5"/>
  <c r="B717" i="5"/>
  <c r="C718" i="5" s="1"/>
  <c r="F716" i="5"/>
  <c r="E716" i="5"/>
  <c r="B716" i="5"/>
  <c r="F715" i="5"/>
  <c r="E715" i="5"/>
  <c r="B715" i="5"/>
  <c r="F714" i="5"/>
  <c r="E714" i="5"/>
  <c r="B714" i="5"/>
  <c r="F713" i="5"/>
  <c r="E713" i="5"/>
  <c r="B713" i="5"/>
  <c r="F712" i="5"/>
  <c r="E712" i="5"/>
  <c r="B712" i="5"/>
  <c r="F711" i="5"/>
  <c r="E711" i="5"/>
  <c r="B711" i="5"/>
  <c r="F710" i="5"/>
  <c r="E710" i="5"/>
  <c r="B710" i="5"/>
  <c r="F709" i="5"/>
  <c r="E709" i="5"/>
  <c r="B709" i="5"/>
  <c r="F708" i="5"/>
  <c r="E708" i="5"/>
  <c r="B708" i="5"/>
  <c r="F707" i="5"/>
  <c r="E707" i="5"/>
  <c r="B707" i="5"/>
  <c r="F706" i="5"/>
  <c r="E706" i="5"/>
  <c r="B706" i="5"/>
  <c r="F705" i="5"/>
  <c r="E705" i="5"/>
  <c r="B705" i="5"/>
  <c r="C705" i="5" s="1"/>
  <c r="F704" i="5"/>
  <c r="E704" i="5"/>
  <c r="B704" i="5"/>
  <c r="F703" i="5"/>
  <c r="E703" i="5"/>
  <c r="B703" i="5"/>
  <c r="C703" i="5" s="1"/>
  <c r="F702" i="5"/>
  <c r="E702" i="5"/>
  <c r="B702" i="5"/>
  <c r="F701" i="5"/>
  <c r="E701" i="5"/>
  <c r="B701" i="5"/>
  <c r="F700" i="5"/>
  <c r="E700" i="5"/>
  <c r="B700" i="5"/>
  <c r="C700" i="5" s="1"/>
  <c r="F699" i="5"/>
  <c r="E699" i="5"/>
  <c r="B699" i="5"/>
  <c r="F698" i="5"/>
  <c r="E698" i="5"/>
  <c r="C698" i="5"/>
  <c r="B698" i="5"/>
  <c r="C699" i="5" s="1"/>
  <c r="F697" i="5"/>
  <c r="E697" i="5"/>
  <c r="B697" i="5"/>
  <c r="F696" i="5"/>
  <c r="E696" i="5"/>
  <c r="B696" i="5"/>
  <c r="C696" i="5" s="1"/>
  <c r="F695" i="5"/>
  <c r="E695" i="5"/>
  <c r="B695" i="5"/>
  <c r="C695" i="5" s="1"/>
  <c r="F694" i="5"/>
  <c r="E694" i="5"/>
  <c r="B694" i="5"/>
  <c r="F693" i="5"/>
  <c r="E693" i="5"/>
  <c r="B693" i="5"/>
  <c r="C694" i="5" s="1"/>
  <c r="F692" i="5"/>
  <c r="E692" i="5"/>
  <c r="B692" i="5"/>
  <c r="C692" i="5" s="1"/>
  <c r="F691" i="5"/>
  <c r="E691" i="5"/>
  <c r="B691" i="5"/>
  <c r="F690" i="5"/>
  <c r="E690" i="5"/>
  <c r="B690" i="5"/>
  <c r="C690" i="5" s="1"/>
  <c r="F689" i="5"/>
  <c r="E689" i="5"/>
  <c r="B689" i="5"/>
  <c r="F688" i="5"/>
  <c r="E688" i="5"/>
  <c r="B688" i="5"/>
  <c r="C688" i="5" s="1"/>
  <c r="F687" i="5"/>
  <c r="E687" i="5"/>
  <c r="B687" i="5"/>
  <c r="C687" i="5" s="1"/>
  <c r="F686" i="5"/>
  <c r="E686" i="5"/>
  <c r="B686" i="5"/>
  <c r="F685" i="5"/>
  <c r="E685" i="5"/>
  <c r="B685" i="5"/>
  <c r="F684" i="5"/>
  <c r="E684" i="5"/>
  <c r="B684" i="5"/>
  <c r="F683" i="5"/>
  <c r="E683" i="5"/>
  <c r="B683" i="5"/>
  <c r="F682" i="5"/>
  <c r="E682" i="5"/>
  <c r="B682" i="5"/>
  <c r="C682" i="5" s="1"/>
  <c r="F681" i="5"/>
  <c r="E681" i="5"/>
  <c r="B681" i="5"/>
  <c r="F680" i="5"/>
  <c r="E680" i="5"/>
  <c r="C680" i="5"/>
  <c r="B680" i="5"/>
  <c r="F679" i="5"/>
  <c r="E679" i="5"/>
  <c r="B679" i="5"/>
  <c r="F678" i="5"/>
  <c r="E678" i="5"/>
  <c r="B678" i="5"/>
  <c r="C679" i="5" s="1"/>
  <c r="F677" i="5"/>
  <c r="E677" i="5"/>
  <c r="B677" i="5"/>
  <c r="F676" i="5"/>
  <c r="E676" i="5"/>
  <c r="B676" i="5"/>
  <c r="C676" i="5" s="1"/>
  <c r="F675" i="5"/>
  <c r="E675" i="5"/>
  <c r="B675" i="5"/>
  <c r="F674" i="5"/>
  <c r="E674" i="5"/>
  <c r="B674" i="5"/>
  <c r="F673" i="5"/>
  <c r="E673" i="5"/>
  <c r="B673" i="5"/>
  <c r="C673" i="5" s="1"/>
  <c r="F672" i="5"/>
  <c r="E672" i="5"/>
  <c r="B672" i="5"/>
  <c r="F671" i="5"/>
  <c r="E671" i="5"/>
  <c r="B671" i="5"/>
  <c r="C671" i="5" s="1"/>
  <c r="F670" i="5"/>
  <c r="E670" i="5"/>
  <c r="B670" i="5"/>
  <c r="F669" i="5"/>
  <c r="E669" i="5"/>
  <c r="B669" i="5"/>
  <c r="F668" i="5"/>
  <c r="E668" i="5"/>
  <c r="B668" i="5"/>
  <c r="C668" i="5" s="1"/>
  <c r="F667" i="5"/>
  <c r="E667" i="5"/>
  <c r="B667" i="5"/>
  <c r="F666" i="5"/>
  <c r="E666" i="5"/>
  <c r="B666" i="5"/>
  <c r="F665" i="5"/>
  <c r="E665" i="5"/>
  <c r="B665" i="5"/>
  <c r="C665" i="5" s="1"/>
  <c r="F664" i="5"/>
  <c r="E664" i="5"/>
  <c r="B664" i="5"/>
  <c r="F663" i="5"/>
  <c r="E663" i="5"/>
  <c r="B663" i="5"/>
  <c r="F662" i="5"/>
  <c r="E662" i="5"/>
  <c r="B662" i="5"/>
  <c r="F661" i="5"/>
  <c r="E661" i="5"/>
  <c r="B661" i="5"/>
  <c r="F660" i="5"/>
  <c r="E660" i="5"/>
  <c r="B660" i="5"/>
  <c r="C661" i="5" s="1"/>
  <c r="F659" i="5"/>
  <c r="E659" i="5"/>
  <c r="B659" i="5"/>
  <c r="F658" i="5"/>
  <c r="E658" i="5"/>
  <c r="B658" i="5"/>
  <c r="F657" i="5"/>
  <c r="E657" i="5"/>
  <c r="B657" i="5"/>
  <c r="F656" i="5"/>
  <c r="E656" i="5"/>
  <c r="B656" i="5"/>
  <c r="F655" i="5"/>
  <c r="E655" i="5"/>
  <c r="B655" i="5"/>
  <c r="C655" i="5" s="1"/>
  <c r="F654" i="5"/>
  <c r="E654" i="5"/>
  <c r="B654" i="5"/>
  <c r="F653" i="5"/>
  <c r="E653" i="5"/>
  <c r="B653" i="5"/>
  <c r="F652" i="5"/>
  <c r="E652" i="5"/>
  <c r="B652" i="5"/>
  <c r="F651" i="5"/>
  <c r="E651" i="5"/>
  <c r="B651" i="5"/>
  <c r="F650" i="5"/>
  <c r="E650" i="5"/>
  <c r="B650" i="5"/>
  <c r="C651" i="5" s="1"/>
  <c r="F649" i="5"/>
  <c r="E649" i="5"/>
  <c r="B649" i="5"/>
  <c r="F648" i="5"/>
  <c r="E648" i="5"/>
  <c r="B648" i="5"/>
  <c r="C648" i="5" s="1"/>
  <c r="F647" i="5"/>
  <c r="E647" i="5"/>
  <c r="B647" i="5"/>
  <c r="F646" i="5"/>
  <c r="E646" i="5"/>
  <c r="B646" i="5"/>
  <c r="F645" i="5"/>
  <c r="E645" i="5"/>
  <c r="B645" i="5"/>
  <c r="F644" i="5"/>
  <c r="E644" i="5"/>
  <c r="B644" i="5"/>
  <c r="C644" i="5" s="1"/>
  <c r="F643" i="5"/>
  <c r="E643" i="5"/>
  <c r="B643" i="5"/>
  <c r="C643" i="5" s="1"/>
  <c r="F642" i="5"/>
  <c r="E642" i="5"/>
  <c r="B642" i="5"/>
  <c r="F641" i="5"/>
  <c r="E641" i="5"/>
  <c r="B641" i="5"/>
  <c r="F640" i="5"/>
  <c r="E640" i="5"/>
  <c r="B640" i="5"/>
  <c r="F639" i="5"/>
  <c r="E639" i="5"/>
  <c r="B639" i="5"/>
  <c r="C639" i="5" s="1"/>
  <c r="F638" i="5"/>
  <c r="E638" i="5"/>
  <c r="B638" i="5"/>
  <c r="F637" i="5"/>
  <c r="E637" i="5"/>
  <c r="B637" i="5"/>
  <c r="F636" i="5"/>
  <c r="E636" i="5"/>
  <c r="B636" i="5"/>
  <c r="F635" i="5"/>
  <c r="E635" i="5"/>
  <c r="B635" i="5"/>
  <c r="C636" i="5" s="1"/>
  <c r="F634" i="5"/>
  <c r="E634" i="5"/>
  <c r="B634" i="5"/>
  <c r="F633" i="5"/>
  <c r="E633" i="5"/>
  <c r="B633" i="5"/>
  <c r="C634" i="5" s="1"/>
  <c r="F632" i="5"/>
  <c r="E632" i="5"/>
  <c r="B632" i="5"/>
  <c r="F631" i="5"/>
  <c r="E631" i="5"/>
  <c r="B631" i="5"/>
  <c r="F630" i="5"/>
  <c r="E630" i="5"/>
  <c r="B630" i="5"/>
  <c r="F629" i="5"/>
  <c r="E629" i="5"/>
  <c r="B629" i="5"/>
  <c r="F628" i="5"/>
  <c r="E628" i="5"/>
  <c r="B628" i="5"/>
  <c r="F627" i="5"/>
  <c r="E627" i="5"/>
  <c r="B627" i="5"/>
  <c r="F626" i="5"/>
  <c r="E626" i="5"/>
  <c r="B626" i="5"/>
  <c r="F625" i="5"/>
  <c r="E625" i="5"/>
  <c r="B625" i="5"/>
  <c r="F624" i="5"/>
  <c r="E624" i="5"/>
  <c r="B624" i="5"/>
  <c r="F623" i="5"/>
  <c r="E623" i="5"/>
  <c r="B623" i="5"/>
  <c r="F622" i="5"/>
  <c r="E622" i="5"/>
  <c r="B622" i="5"/>
  <c r="F621" i="5"/>
  <c r="E621" i="5"/>
  <c r="B621" i="5"/>
  <c r="F620" i="5"/>
  <c r="E620" i="5"/>
  <c r="B620" i="5"/>
  <c r="C620" i="5" s="1"/>
  <c r="F619" i="5"/>
  <c r="E619" i="5"/>
  <c r="B619" i="5"/>
  <c r="C619" i="5" s="1"/>
  <c r="F618" i="5"/>
  <c r="E618" i="5"/>
  <c r="B618" i="5"/>
  <c r="F617" i="5"/>
  <c r="E617" i="5"/>
  <c r="B617" i="5"/>
  <c r="F616" i="5"/>
  <c r="E616" i="5"/>
  <c r="B616" i="5"/>
  <c r="F615" i="5"/>
  <c r="E615" i="5"/>
  <c r="B615" i="5"/>
  <c r="F614" i="5"/>
  <c r="E614" i="5"/>
  <c r="C614" i="5"/>
  <c r="B614" i="5"/>
  <c r="F613" i="5"/>
  <c r="E613" i="5"/>
  <c r="B613" i="5"/>
  <c r="F612" i="5"/>
  <c r="E612" i="5"/>
  <c r="B612" i="5"/>
  <c r="C612" i="5" s="1"/>
  <c r="F611" i="5"/>
  <c r="E611" i="5"/>
  <c r="B611" i="5"/>
  <c r="F610" i="5"/>
  <c r="E610" i="5"/>
  <c r="B610" i="5"/>
  <c r="F609" i="5"/>
  <c r="E609" i="5"/>
  <c r="B609" i="5"/>
  <c r="F608" i="5"/>
  <c r="E608" i="5"/>
  <c r="B608" i="5"/>
  <c r="F607" i="5"/>
  <c r="E607" i="5"/>
  <c r="B607" i="5"/>
  <c r="F606" i="5"/>
  <c r="E606" i="5"/>
  <c r="B606" i="5"/>
  <c r="F605" i="5"/>
  <c r="E605" i="5"/>
  <c r="B605" i="5"/>
  <c r="F604" i="5"/>
  <c r="E604" i="5"/>
  <c r="B604" i="5"/>
  <c r="F603" i="5"/>
  <c r="E603" i="5"/>
  <c r="B603" i="5"/>
  <c r="F602" i="5"/>
  <c r="E602" i="5"/>
  <c r="B602" i="5"/>
  <c r="F601" i="5"/>
  <c r="E601" i="5"/>
  <c r="B601" i="5"/>
  <c r="C601" i="5" s="1"/>
  <c r="F600" i="5"/>
  <c r="E600" i="5"/>
  <c r="B600" i="5"/>
  <c r="F599" i="5"/>
  <c r="E599" i="5"/>
  <c r="B599" i="5"/>
  <c r="F598" i="5"/>
  <c r="E598" i="5"/>
  <c r="B598" i="5"/>
  <c r="F597" i="5"/>
  <c r="E597" i="5"/>
  <c r="B597" i="5"/>
  <c r="F596" i="5"/>
  <c r="E596" i="5"/>
  <c r="B596" i="5"/>
  <c r="C596" i="5" s="1"/>
  <c r="F595" i="5"/>
  <c r="E595" i="5"/>
  <c r="B595" i="5"/>
  <c r="F594" i="5"/>
  <c r="E594" i="5"/>
  <c r="B594" i="5"/>
  <c r="F593" i="5"/>
  <c r="E593" i="5"/>
  <c r="B593" i="5"/>
  <c r="F592" i="5"/>
  <c r="E592" i="5"/>
  <c r="B592" i="5"/>
  <c r="F591" i="5"/>
  <c r="E591" i="5"/>
  <c r="B591" i="5"/>
  <c r="F590" i="5"/>
  <c r="E590" i="5"/>
  <c r="B590" i="5"/>
  <c r="F589" i="5"/>
  <c r="E589" i="5"/>
  <c r="B589" i="5"/>
  <c r="F588" i="5"/>
  <c r="E588" i="5"/>
  <c r="B588" i="5"/>
  <c r="C589" i="5" s="1"/>
  <c r="F587" i="5"/>
  <c r="E587" i="5"/>
  <c r="B587" i="5"/>
  <c r="F586" i="5"/>
  <c r="E586" i="5"/>
  <c r="B586" i="5"/>
  <c r="F585" i="5"/>
  <c r="E585" i="5"/>
  <c r="B585" i="5"/>
  <c r="F584" i="5"/>
  <c r="E584" i="5"/>
  <c r="B584" i="5"/>
  <c r="F583" i="5"/>
  <c r="E583" i="5"/>
  <c r="B583" i="5"/>
  <c r="C583" i="5" s="1"/>
  <c r="F582" i="5"/>
  <c r="E582" i="5"/>
  <c r="B582" i="5"/>
  <c r="F581" i="5"/>
  <c r="E581" i="5"/>
  <c r="B581" i="5"/>
  <c r="F580" i="5"/>
  <c r="E580" i="5"/>
  <c r="B580" i="5"/>
  <c r="F579" i="5"/>
  <c r="E579" i="5"/>
  <c r="B579" i="5"/>
  <c r="F578" i="5"/>
  <c r="E578" i="5"/>
  <c r="B578" i="5"/>
  <c r="F577" i="5"/>
  <c r="E577" i="5"/>
  <c r="B577" i="5"/>
  <c r="F576" i="5"/>
  <c r="E576" i="5"/>
  <c r="B576" i="5"/>
  <c r="F575" i="5"/>
  <c r="E575" i="5"/>
  <c r="B575" i="5"/>
  <c r="F574" i="5"/>
  <c r="E574" i="5"/>
  <c r="C574" i="5"/>
  <c r="B574" i="5"/>
  <c r="F573" i="5"/>
  <c r="E573" i="5"/>
  <c r="B573" i="5"/>
  <c r="F572" i="5"/>
  <c r="E572" i="5"/>
  <c r="B572" i="5"/>
  <c r="C572" i="5" s="1"/>
  <c r="F571" i="5"/>
  <c r="E571" i="5"/>
  <c r="B571" i="5"/>
  <c r="F570" i="5"/>
  <c r="E570" i="5"/>
  <c r="B570" i="5"/>
  <c r="F569" i="5"/>
  <c r="E569" i="5"/>
  <c r="B569" i="5"/>
  <c r="F568" i="5"/>
  <c r="E568" i="5"/>
  <c r="B568" i="5"/>
  <c r="F567" i="5"/>
  <c r="E567" i="5"/>
  <c r="B567" i="5"/>
  <c r="C568" i="5" s="1"/>
  <c r="F566" i="5"/>
  <c r="E566" i="5"/>
  <c r="B566" i="5"/>
  <c r="F565" i="5"/>
  <c r="E565" i="5"/>
  <c r="B565" i="5"/>
  <c r="F564" i="5"/>
  <c r="E564" i="5"/>
  <c r="B564" i="5"/>
  <c r="C564" i="5" s="1"/>
  <c r="F563" i="5"/>
  <c r="E563" i="5"/>
  <c r="B563" i="5"/>
  <c r="F562" i="5"/>
  <c r="E562" i="5"/>
  <c r="B562" i="5"/>
  <c r="F561" i="5"/>
  <c r="E561" i="5"/>
  <c r="B561" i="5"/>
  <c r="F560" i="5"/>
  <c r="E560" i="5"/>
  <c r="B560" i="5"/>
  <c r="F559" i="5"/>
  <c r="E559" i="5"/>
  <c r="B559" i="5"/>
  <c r="F558" i="5"/>
  <c r="E558" i="5"/>
  <c r="B558" i="5"/>
  <c r="F557" i="5"/>
  <c r="E557" i="5"/>
  <c r="B557" i="5"/>
  <c r="F556" i="5"/>
  <c r="E556" i="5"/>
  <c r="B556" i="5"/>
  <c r="C556" i="5" s="1"/>
  <c r="F555" i="5"/>
  <c r="E555" i="5"/>
  <c r="B555" i="5"/>
  <c r="F554" i="5"/>
  <c r="E554" i="5"/>
  <c r="B554" i="5"/>
  <c r="C554" i="5" s="1"/>
  <c r="F553" i="5"/>
  <c r="E553" i="5"/>
  <c r="B553" i="5"/>
  <c r="F552" i="5"/>
  <c r="E552" i="5"/>
  <c r="B552" i="5"/>
  <c r="F551" i="5"/>
  <c r="E551" i="5"/>
  <c r="B551" i="5"/>
  <c r="C551" i="5" s="1"/>
  <c r="F550" i="5"/>
  <c r="E550" i="5"/>
  <c r="B550" i="5"/>
  <c r="F549" i="5"/>
  <c r="E549" i="5"/>
  <c r="B549" i="5"/>
  <c r="F548" i="5"/>
  <c r="E548" i="5"/>
  <c r="B548" i="5"/>
  <c r="F547" i="5"/>
  <c r="E547" i="5"/>
  <c r="B547" i="5"/>
  <c r="F546" i="5"/>
  <c r="E546" i="5"/>
  <c r="B546" i="5"/>
  <c r="C547" i="5" s="1"/>
  <c r="F545" i="5"/>
  <c r="E545" i="5"/>
  <c r="B545" i="5"/>
  <c r="F544" i="5"/>
  <c r="E544" i="5"/>
  <c r="B544" i="5"/>
  <c r="F543" i="5"/>
  <c r="E543" i="5"/>
  <c r="B543" i="5"/>
  <c r="F542" i="5"/>
  <c r="E542" i="5"/>
  <c r="B542" i="5"/>
  <c r="F541" i="5"/>
  <c r="E541" i="5"/>
  <c r="B541" i="5"/>
  <c r="C542" i="5" s="1"/>
  <c r="F540" i="5"/>
  <c r="E540" i="5"/>
  <c r="B540" i="5"/>
  <c r="C540" i="5" s="1"/>
  <c r="F539" i="5"/>
  <c r="E539" i="5"/>
  <c r="B539" i="5"/>
  <c r="F538" i="5"/>
  <c r="E538" i="5"/>
  <c r="B538" i="5"/>
  <c r="C539" i="5" s="1"/>
  <c r="F537" i="5"/>
  <c r="E537" i="5"/>
  <c r="B537" i="5"/>
  <c r="C537" i="5" s="1"/>
  <c r="F536" i="5"/>
  <c r="E536" i="5"/>
  <c r="B536" i="5"/>
  <c r="F535" i="5"/>
  <c r="E535" i="5"/>
  <c r="C535" i="5"/>
  <c r="B535" i="5"/>
  <c r="F534" i="5"/>
  <c r="E534" i="5"/>
  <c r="B534" i="5"/>
  <c r="F533" i="5"/>
  <c r="E533" i="5"/>
  <c r="B533" i="5"/>
  <c r="F532" i="5"/>
  <c r="E532" i="5"/>
  <c r="B532" i="5"/>
  <c r="C532" i="5" s="1"/>
  <c r="F531" i="5"/>
  <c r="E531" i="5"/>
  <c r="B531" i="5"/>
  <c r="F530" i="5"/>
  <c r="E530" i="5"/>
  <c r="B530" i="5"/>
  <c r="F529" i="5"/>
  <c r="E529" i="5"/>
  <c r="B529" i="5"/>
  <c r="F528" i="5"/>
  <c r="E528" i="5"/>
  <c r="B528" i="5"/>
  <c r="F527" i="5"/>
  <c r="E527" i="5"/>
  <c r="B527" i="5"/>
  <c r="C527" i="5" s="1"/>
  <c r="F526" i="5"/>
  <c r="E526" i="5"/>
  <c r="B526" i="5"/>
  <c r="F525" i="5"/>
  <c r="E525" i="5"/>
  <c r="B525" i="5"/>
  <c r="C526" i="5" s="1"/>
  <c r="F524" i="5"/>
  <c r="E524" i="5"/>
  <c r="B524" i="5"/>
  <c r="F523" i="5"/>
  <c r="E523" i="5"/>
  <c r="B523" i="5"/>
  <c r="C523" i="5" s="1"/>
  <c r="F522" i="5"/>
  <c r="E522" i="5"/>
  <c r="B522" i="5"/>
  <c r="C522" i="5" s="1"/>
  <c r="F521" i="5"/>
  <c r="E521" i="5"/>
  <c r="B521" i="5"/>
  <c r="F520" i="5"/>
  <c r="E520" i="5"/>
  <c r="B520" i="5"/>
  <c r="C520" i="5" s="1"/>
  <c r="F519" i="5"/>
  <c r="E519" i="5"/>
  <c r="B519" i="5"/>
  <c r="F518" i="5"/>
  <c r="E518" i="5"/>
  <c r="B518" i="5"/>
  <c r="F517" i="5"/>
  <c r="E517" i="5"/>
  <c r="B517" i="5"/>
  <c r="C517" i="5" s="1"/>
  <c r="F516" i="5"/>
  <c r="E516" i="5"/>
  <c r="B516" i="5"/>
  <c r="C516" i="5" s="1"/>
  <c r="F515" i="5"/>
  <c r="E515" i="5"/>
  <c r="B515" i="5"/>
  <c r="C515" i="5" s="1"/>
  <c r="F514" i="5"/>
  <c r="E514" i="5"/>
  <c r="B514" i="5"/>
  <c r="F513" i="5"/>
  <c r="E513" i="5"/>
  <c r="B513" i="5"/>
  <c r="F512" i="5"/>
  <c r="E512" i="5"/>
  <c r="B512" i="5"/>
  <c r="F511" i="5"/>
  <c r="E511" i="5"/>
  <c r="B511" i="5"/>
  <c r="F510" i="5"/>
  <c r="E510" i="5"/>
  <c r="B510" i="5"/>
  <c r="C510" i="5" s="1"/>
  <c r="F509" i="5"/>
  <c r="E509" i="5"/>
  <c r="B509" i="5"/>
  <c r="F508" i="5"/>
  <c r="E508" i="5"/>
  <c r="B508" i="5"/>
  <c r="F507" i="5"/>
  <c r="E507" i="5"/>
  <c r="B507" i="5"/>
  <c r="F506" i="5"/>
  <c r="E506" i="5"/>
  <c r="B506" i="5"/>
  <c r="F505" i="5"/>
  <c r="E505" i="5"/>
  <c r="B505" i="5"/>
  <c r="F504" i="5"/>
  <c r="E504" i="5"/>
  <c r="B504" i="5"/>
  <c r="F503" i="5"/>
  <c r="E503" i="5"/>
  <c r="B503" i="5"/>
  <c r="F502" i="5"/>
  <c r="E502" i="5"/>
  <c r="B502" i="5"/>
  <c r="F501" i="5"/>
  <c r="E501" i="5"/>
  <c r="B501" i="5"/>
  <c r="F500" i="5"/>
  <c r="E500" i="5"/>
  <c r="B500" i="5"/>
  <c r="F499" i="5"/>
  <c r="E499" i="5"/>
  <c r="B499" i="5"/>
  <c r="F498" i="5"/>
  <c r="E498" i="5"/>
  <c r="B498" i="5"/>
  <c r="F497" i="5"/>
  <c r="E497" i="5"/>
  <c r="B497" i="5"/>
  <c r="F496" i="5"/>
  <c r="E496" i="5"/>
  <c r="B496" i="5"/>
  <c r="F495" i="5"/>
  <c r="E495" i="5"/>
  <c r="B495" i="5"/>
  <c r="C495" i="5" s="1"/>
  <c r="F494" i="5"/>
  <c r="E494" i="5"/>
  <c r="B494" i="5"/>
  <c r="F493" i="5"/>
  <c r="E493" i="5"/>
  <c r="B493" i="5"/>
  <c r="F492" i="5"/>
  <c r="E492" i="5"/>
  <c r="B492" i="5"/>
  <c r="F491" i="5"/>
  <c r="E491" i="5"/>
  <c r="B491" i="5"/>
  <c r="F490" i="5"/>
  <c r="E490" i="5"/>
  <c r="B490" i="5"/>
  <c r="F489" i="5"/>
  <c r="E489" i="5"/>
  <c r="B489" i="5"/>
  <c r="F488" i="5"/>
  <c r="E488" i="5"/>
  <c r="B488" i="5"/>
  <c r="F487" i="5"/>
  <c r="E487" i="5"/>
  <c r="B487" i="5"/>
  <c r="C487" i="5" s="1"/>
  <c r="F486" i="5"/>
  <c r="E486" i="5"/>
  <c r="B486" i="5"/>
  <c r="F485" i="5"/>
  <c r="E485" i="5"/>
  <c r="B485" i="5"/>
  <c r="F484" i="5"/>
  <c r="E484" i="5"/>
  <c r="B484" i="5"/>
  <c r="F483" i="5"/>
  <c r="E483" i="5"/>
  <c r="B483" i="5"/>
  <c r="C484" i="5" s="1"/>
  <c r="F482" i="5"/>
  <c r="E482" i="5"/>
  <c r="B482" i="5"/>
  <c r="F481" i="5"/>
  <c r="E481" i="5"/>
  <c r="B481" i="5"/>
  <c r="F480" i="5"/>
  <c r="E480" i="5"/>
  <c r="B480" i="5"/>
  <c r="F479" i="5"/>
  <c r="E479" i="5"/>
  <c r="B479" i="5"/>
  <c r="F478" i="5"/>
  <c r="E478" i="5"/>
  <c r="B478" i="5"/>
  <c r="C479" i="5" s="1"/>
  <c r="F477" i="5"/>
  <c r="E477" i="5"/>
  <c r="B477" i="5"/>
  <c r="F476" i="5"/>
  <c r="E476" i="5"/>
  <c r="B476" i="5"/>
  <c r="F475" i="5"/>
  <c r="E475" i="5"/>
  <c r="B475" i="5"/>
  <c r="F474" i="5"/>
  <c r="E474" i="5"/>
  <c r="B474" i="5"/>
  <c r="F473" i="5"/>
  <c r="E473" i="5"/>
  <c r="B473" i="5"/>
  <c r="C473" i="5" s="1"/>
  <c r="F472" i="5"/>
  <c r="E472" i="5"/>
  <c r="B472" i="5"/>
  <c r="F471" i="5"/>
  <c r="E471" i="5"/>
  <c r="B471" i="5"/>
  <c r="F470" i="5"/>
  <c r="E470" i="5"/>
  <c r="B470" i="5"/>
  <c r="F469" i="5"/>
  <c r="E469" i="5"/>
  <c r="B469" i="5"/>
  <c r="F468" i="5"/>
  <c r="E468" i="5"/>
  <c r="B468" i="5"/>
  <c r="F467" i="5"/>
  <c r="E467" i="5"/>
  <c r="B467" i="5"/>
  <c r="F466" i="5"/>
  <c r="E466" i="5"/>
  <c r="B466" i="5"/>
  <c r="F465" i="5"/>
  <c r="E465" i="5"/>
  <c r="B465" i="5"/>
  <c r="F464" i="5"/>
  <c r="E464" i="5"/>
  <c r="B464" i="5"/>
  <c r="F463" i="5"/>
  <c r="E463" i="5"/>
  <c r="B463" i="5"/>
  <c r="F462" i="5"/>
  <c r="E462" i="5"/>
  <c r="B462" i="5"/>
  <c r="F461" i="5"/>
  <c r="E461" i="5"/>
  <c r="B461" i="5"/>
  <c r="F460" i="5"/>
  <c r="E460" i="5"/>
  <c r="B460" i="5"/>
  <c r="F459" i="5"/>
  <c r="E459" i="5"/>
  <c r="B459" i="5"/>
  <c r="C459" i="5" s="1"/>
  <c r="F458" i="5"/>
  <c r="E458" i="5"/>
  <c r="B458" i="5"/>
  <c r="F457" i="5"/>
  <c r="E457" i="5"/>
  <c r="B457" i="5"/>
  <c r="F456" i="5"/>
  <c r="E456" i="5"/>
  <c r="B456" i="5"/>
  <c r="F455" i="5"/>
  <c r="E455" i="5"/>
  <c r="B455" i="5"/>
  <c r="F454" i="5"/>
  <c r="E454" i="5"/>
  <c r="B454" i="5"/>
  <c r="F453" i="5"/>
  <c r="E453" i="5"/>
  <c r="B453" i="5"/>
  <c r="F452" i="5"/>
  <c r="E452" i="5"/>
  <c r="B452" i="5"/>
  <c r="C452" i="5" s="1"/>
  <c r="F451" i="5"/>
  <c r="E451" i="5"/>
  <c r="B451" i="5"/>
  <c r="F450" i="5"/>
  <c r="E450" i="5"/>
  <c r="B450" i="5"/>
  <c r="F449" i="5"/>
  <c r="E449" i="5"/>
  <c r="B449" i="5"/>
  <c r="C449" i="5" s="1"/>
  <c r="F448" i="5"/>
  <c r="E448" i="5"/>
  <c r="B448" i="5"/>
  <c r="F447" i="5"/>
  <c r="E447" i="5"/>
  <c r="B447" i="5"/>
  <c r="F446" i="5"/>
  <c r="E446" i="5"/>
  <c r="B446" i="5"/>
  <c r="F445" i="5"/>
  <c r="E445" i="5"/>
  <c r="B445" i="5"/>
  <c r="F444" i="5"/>
  <c r="E444" i="5"/>
  <c r="B444" i="5"/>
  <c r="F443" i="5"/>
  <c r="E443" i="5"/>
  <c r="B443" i="5"/>
  <c r="F442" i="5"/>
  <c r="E442" i="5"/>
  <c r="B442" i="5"/>
  <c r="F441" i="5"/>
  <c r="E441" i="5"/>
  <c r="B441" i="5"/>
  <c r="F440" i="5"/>
  <c r="E440" i="5"/>
  <c r="B440" i="5"/>
  <c r="F439" i="5"/>
  <c r="E439" i="5"/>
  <c r="B439" i="5"/>
  <c r="F438" i="5"/>
  <c r="E438" i="5"/>
  <c r="B438" i="5"/>
  <c r="F437" i="5"/>
  <c r="E437" i="5"/>
  <c r="B437" i="5"/>
  <c r="F436" i="5"/>
  <c r="E436" i="5"/>
  <c r="B436" i="5"/>
  <c r="F435" i="5"/>
  <c r="E435" i="5"/>
  <c r="B435" i="5"/>
  <c r="F434" i="5"/>
  <c r="E434" i="5"/>
  <c r="B434" i="5"/>
  <c r="F433" i="5"/>
  <c r="E433" i="5"/>
  <c r="B433" i="5"/>
  <c r="F432" i="5"/>
  <c r="E432" i="5"/>
  <c r="B432" i="5"/>
  <c r="C432" i="5" s="1"/>
  <c r="F431" i="5"/>
  <c r="E431" i="5"/>
  <c r="B431" i="5"/>
  <c r="F430" i="5"/>
  <c r="E430" i="5"/>
  <c r="B430" i="5"/>
  <c r="F429" i="5"/>
  <c r="E429" i="5"/>
  <c r="B429" i="5"/>
  <c r="F428" i="5"/>
  <c r="E428" i="5"/>
  <c r="B428" i="5"/>
  <c r="F427" i="5"/>
  <c r="E427" i="5"/>
  <c r="B427" i="5"/>
  <c r="F426" i="5"/>
  <c r="E426" i="5"/>
  <c r="B426" i="5"/>
  <c r="F425" i="5"/>
  <c r="E425" i="5"/>
  <c r="B425" i="5"/>
  <c r="F424" i="5"/>
  <c r="E424" i="5"/>
  <c r="B424" i="5"/>
  <c r="C424" i="5" s="1"/>
  <c r="F423" i="5"/>
  <c r="E423" i="5"/>
  <c r="B423" i="5"/>
  <c r="F422" i="5"/>
  <c r="E422" i="5"/>
  <c r="B422" i="5"/>
  <c r="C422" i="5" s="1"/>
  <c r="F421" i="5"/>
  <c r="E421" i="5"/>
  <c r="B421" i="5"/>
  <c r="C421" i="5" s="1"/>
  <c r="F420" i="5"/>
  <c r="E420" i="5"/>
  <c r="B420" i="5"/>
  <c r="F419" i="5"/>
  <c r="E419" i="5"/>
  <c r="B419" i="5"/>
  <c r="F418" i="5"/>
  <c r="E418" i="5"/>
  <c r="B418" i="5"/>
  <c r="F417" i="5"/>
  <c r="E417" i="5"/>
  <c r="B417" i="5"/>
  <c r="C417" i="5" s="1"/>
  <c r="F416" i="5"/>
  <c r="E416" i="5"/>
  <c r="B416" i="5"/>
  <c r="F415" i="5"/>
  <c r="E415" i="5"/>
  <c r="B415" i="5"/>
  <c r="F414" i="5"/>
  <c r="E414" i="5"/>
  <c r="B414" i="5"/>
  <c r="C414" i="5" s="1"/>
  <c r="F413" i="5"/>
  <c r="E413" i="5"/>
  <c r="B413" i="5"/>
  <c r="F412" i="5"/>
  <c r="E412" i="5"/>
  <c r="B412" i="5"/>
  <c r="C412" i="5" s="1"/>
  <c r="F411" i="5"/>
  <c r="E411" i="5"/>
  <c r="B411" i="5"/>
  <c r="F410" i="5"/>
  <c r="E410" i="5"/>
  <c r="B410" i="5"/>
  <c r="F409" i="5"/>
  <c r="E409" i="5"/>
  <c r="B409" i="5"/>
  <c r="F408" i="5"/>
  <c r="E408" i="5"/>
  <c r="B408" i="5"/>
  <c r="F407" i="5"/>
  <c r="E407" i="5"/>
  <c r="B407" i="5"/>
  <c r="C408" i="5" s="1"/>
  <c r="F406" i="5"/>
  <c r="E406" i="5"/>
  <c r="B406" i="5"/>
  <c r="F405" i="5"/>
  <c r="E405" i="5"/>
  <c r="B405" i="5"/>
  <c r="F404" i="5"/>
  <c r="E404" i="5"/>
  <c r="B404" i="5"/>
  <c r="C404" i="5" s="1"/>
  <c r="F403" i="5"/>
  <c r="E403" i="5"/>
  <c r="B403" i="5"/>
  <c r="F402" i="5"/>
  <c r="E402" i="5"/>
  <c r="B402" i="5"/>
  <c r="F401" i="5"/>
  <c r="E401" i="5"/>
  <c r="B401" i="5"/>
  <c r="F400" i="5"/>
  <c r="E400" i="5"/>
  <c r="B400" i="5"/>
  <c r="F399" i="5"/>
  <c r="E399" i="5"/>
  <c r="B399" i="5"/>
  <c r="C399" i="5" s="1"/>
  <c r="F398" i="5"/>
  <c r="E398" i="5"/>
  <c r="B398" i="5"/>
  <c r="F397" i="5"/>
  <c r="E397" i="5"/>
  <c r="B397" i="5"/>
  <c r="F396" i="5"/>
  <c r="E396" i="5"/>
  <c r="B396" i="5"/>
  <c r="F395" i="5"/>
  <c r="E395" i="5"/>
  <c r="B395" i="5"/>
  <c r="F394" i="5"/>
  <c r="E394" i="5"/>
  <c r="B394" i="5"/>
  <c r="C394" i="5" s="1"/>
  <c r="F393" i="5"/>
  <c r="E393" i="5"/>
  <c r="B393" i="5"/>
  <c r="F392" i="5"/>
  <c r="E392" i="5"/>
  <c r="B392" i="5"/>
  <c r="F391" i="5"/>
  <c r="E391" i="5"/>
  <c r="B391" i="5"/>
  <c r="C391" i="5" s="1"/>
  <c r="F390" i="5"/>
  <c r="E390" i="5"/>
  <c r="B390" i="5"/>
  <c r="F389" i="5"/>
  <c r="E389" i="5"/>
  <c r="B389" i="5"/>
  <c r="F388" i="5"/>
  <c r="E388" i="5"/>
  <c r="B388" i="5"/>
  <c r="F387" i="5"/>
  <c r="E387" i="5"/>
  <c r="B387" i="5"/>
  <c r="F386" i="5"/>
  <c r="E386" i="5"/>
  <c r="B386" i="5"/>
  <c r="C386" i="5" s="1"/>
  <c r="F385" i="5"/>
  <c r="E385" i="5"/>
  <c r="B385" i="5"/>
  <c r="F384" i="5"/>
  <c r="E384" i="5"/>
  <c r="B384" i="5"/>
  <c r="F383" i="5"/>
  <c r="E383" i="5"/>
  <c r="B383" i="5"/>
  <c r="F382" i="5"/>
  <c r="E382" i="5"/>
  <c r="B382" i="5"/>
  <c r="F381" i="5"/>
  <c r="E381" i="5"/>
  <c r="B381" i="5"/>
  <c r="F380" i="5"/>
  <c r="E380" i="5"/>
  <c r="B380" i="5"/>
  <c r="F379" i="5"/>
  <c r="E379" i="5"/>
  <c r="B379" i="5"/>
  <c r="F378" i="5"/>
  <c r="E378" i="5"/>
  <c r="B378" i="5"/>
  <c r="F377" i="5"/>
  <c r="E377" i="5"/>
  <c r="B377" i="5"/>
  <c r="C377" i="5" s="1"/>
  <c r="F376" i="5"/>
  <c r="E376" i="5"/>
  <c r="B376" i="5"/>
  <c r="F375" i="5"/>
  <c r="E375" i="5"/>
  <c r="B375" i="5"/>
  <c r="C376" i="5" s="1"/>
  <c r="F374" i="5"/>
  <c r="E374" i="5"/>
  <c r="B374" i="5"/>
  <c r="F373" i="5"/>
  <c r="E373" i="5"/>
  <c r="B373" i="5"/>
  <c r="F372" i="5"/>
  <c r="E372" i="5"/>
  <c r="B372" i="5"/>
  <c r="F371" i="5"/>
  <c r="E371" i="5"/>
  <c r="B371" i="5"/>
  <c r="F370" i="5"/>
  <c r="E370" i="5"/>
  <c r="B370" i="5"/>
  <c r="F369" i="5"/>
  <c r="E369" i="5"/>
  <c r="B369" i="5"/>
  <c r="F368" i="5"/>
  <c r="E368" i="5"/>
  <c r="B368" i="5"/>
  <c r="F367" i="5"/>
  <c r="E367" i="5"/>
  <c r="B367" i="5"/>
  <c r="F366" i="5"/>
  <c r="E366" i="5"/>
  <c r="B366" i="5"/>
  <c r="F365" i="5"/>
  <c r="E365" i="5"/>
  <c r="B365" i="5"/>
  <c r="F364" i="5"/>
  <c r="E364" i="5"/>
  <c r="B364" i="5"/>
  <c r="F363" i="5"/>
  <c r="E363" i="5"/>
  <c r="B363" i="5"/>
  <c r="F362" i="5"/>
  <c r="E362" i="5"/>
  <c r="B362" i="5"/>
  <c r="F361" i="5"/>
  <c r="E361" i="5"/>
  <c r="B361" i="5"/>
  <c r="F360" i="5"/>
  <c r="E360" i="5"/>
  <c r="B360" i="5"/>
  <c r="F359" i="5"/>
  <c r="E359" i="5"/>
  <c r="B359" i="5"/>
  <c r="F358" i="5"/>
  <c r="E358" i="5"/>
  <c r="B358" i="5"/>
  <c r="C358" i="5" s="1"/>
  <c r="F357" i="5"/>
  <c r="E357" i="5"/>
  <c r="B357" i="5"/>
  <c r="F356" i="5"/>
  <c r="E356" i="5"/>
  <c r="B356" i="5"/>
  <c r="C356" i="5" s="1"/>
  <c r="F355" i="5"/>
  <c r="E355" i="5"/>
  <c r="B355" i="5"/>
  <c r="F354" i="5"/>
  <c r="E354" i="5"/>
  <c r="B354" i="5"/>
  <c r="F353" i="5"/>
  <c r="E353" i="5"/>
  <c r="B353" i="5"/>
  <c r="F352" i="5"/>
  <c r="E352" i="5"/>
  <c r="B352" i="5"/>
  <c r="F351" i="5"/>
  <c r="E351" i="5"/>
  <c r="B351" i="5"/>
  <c r="F350" i="5"/>
  <c r="E350" i="5"/>
  <c r="B350" i="5"/>
  <c r="F349" i="5"/>
  <c r="E349" i="5"/>
  <c r="B349" i="5"/>
  <c r="C349" i="5" s="1"/>
  <c r="F348" i="5"/>
  <c r="E348" i="5"/>
  <c r="B348" i="5"/>
  <c r="F347" i="5"/>
  <c r="E347" i="5"/>
  <c r="B347" i="5"/>
  <c r="F346" i="5"/>
  <c r="E346" i="5"/>
  <c r="B346" i="5"/>
  <c r="F345" i="5"/>
  <c r="E345" i="5"/>
  <c r="B345" i="5"/>
  <c r="F344" i="5"/>
  <c r="E344" i="5"/>
  <c r="B344" i="5"/>
  <c r="F343" i="5"/>
  <c r="E343" i="5"/>
  <c r="B343" i="5"/>
  <c r="F342" i="5"/>
  <c r="E342" i="5"/>
  <c r="B342" i="5"/>
  <c r="F341" i="5"/>
  <c r="E341" i="5"/>
  <c r="C341" i="5"/>
  <c r="B341" i="5"/>
  <c r="C342" i="5" s="1"/>
  <c r="F340" i="5"/>
  <c r="E340" i="5"/>
  <c r="B340" i="5"/>
  <c r="F339" i="5"/>
  <c r="E339" i="5"/>
  <c r="B339" i="5"/>
  <c r="F338" i="5"/>
  <c r="E338" i="5"/>
  <c r="B338" i="5"/>
  <c r="F337" i="5"/>
  <c r="E337" i="5"/>
  <c r="B337" i="5"/>
  <c r="F336" i="5"/>
  <c r="E336" i="5"/>
  <c r="B336" i="5"/>
  <c r="C336" i="5" s="1"/>
  <c r="F335" i="5"/>
  <c r="E335" i="5"/>
  <c r="B335" i="5"/>
  <c r="F334" i="5"/>
  <c r="E334" i="5"/>
  <c r="B334" i="5"/>
  <c r="F333" i="5"/>
  <c r="E333" i="5"/>
  <c r="B333" i="5"/>
  <c r="F332" i="5"/>
  <c r="E332" i="5"/>
  <c r="B332" i="5"/>
  <c r="F331" i="5"/>
  <c r="E331" i="5"/>
  <c r="B331" i="5"/>
  <c r="C331" i="5" s="1"/>
  <c r="F330" i="5"/>
  <c r="E330" i="5"/>
  <c r="B330" i="5"/>
  <c r="F329" i="5"/>
  <c r="E329" i="5"/>
  <c r="B329" i="5"/>
  <c r="F328" i="5"/>
  <c r="E328" i="5"/>
  <c r="C328" i="5"/>
  <c r="B328" i="5"/>
  <c r="F327" i="5"/>
  <c r="E327" i="5"/>
  <c r="B327" i="5"/>
  <c r="F326" i="5"/>
  <c r="E326" i="5"/>
  <c r="B326" i="5"/>
  <c r="F325" i="5"/>
  <c r="E325" i="5"/>
  <c r="B325" i="5"/>
  <c r="F324" i="5"/>
  <c r="E324" i="5"/>
  <c r="B324" i="5"/>
  <c r="F323" i="5"/>
  <c r="E323" i="5"/>
  <c r="B323" i="5"/>
  <c r="C323" i="5" s="1"/>
  <c r="F322" i="5"/>
  <c r="E322" i="5"/>
  <c r="B322" i="5"/>
  <c r="F321" i="5"/>
  <c r="E321" i="5"/>
  <c r="B321" i="5"/>
  <c r="C321" i="5" s="1"/>
  <c r="F320" i="5"/>
  <c r="E320" i="5"/>
  <c r="B320" i="5"/>
  <c r="F319" i="5"/>
  <c r="E319" i="5"/>
  <c r="B319" i="5"/>
  <c r="F318" i="5"/>
  <c r="E318" i="5"/>
  <c r="B318" i="5"/>
  <c r="C318" i="5" s="1"/>
  <c r="F317" i="5"/>
  <c r="E317" i="5"/>
  <c r="B317" i="5"/>
  <c r="F316" i="5"/>
  <c r="E316" i="5"/>
  <c r="B316" i="5"/>
  <c r="C316" i="5" s="1"/>
  <c r="F315" i="5"/>
  <c r="E315" i="5"/>
  <c r="B315" i="5"/>
  <c r="F314" i="5"/>
  <c r="E314" i="5"/>
  <c r="B314" i="5"/>
  <c r="C315" i="5" s="1"/>
  <c r="F313" i="5"/>
  <c r="E313" i="5"/>
  <c r="B313" i="5"/>
  <c r="C313" i="5" s="1"/>
  <c r="F312" i="5"/>
  <c r="E312" i="5"/>
  <c r="B312" i="5"/>
  <c r="F311" i="5"/>
  <c r="E311" i="5"/>
  <c r="B311" i="5"/>
  <c r="F310" i="5"/>
  <c r="E310" i="5"/>
  <c r="B310" i="5"/>
  <c r="F309" i="5"/>
  <c r="E309" i="5"/>
  <c r="B309" i="5"/>
  <c r="F308" i="5"/>
  <c r="E308" i="5"/>
  <c r="B308" i="5"/>
  <c r="C308" i="5" s="1"/>
  <c r="F307" i="5"/>
  <c r="E307" i="5"/>
  <c r="B307" i="5"/>
  <c r="F306" i="5"/>
  <c r="E306" i="5"/>
  <c r="B306" i="5"/>
  <c r="C307" i="5" s="1"/>
  <c r="F305" i="5"/>
  <c r="E305" i="5"/>
  <c r="B305" i="5"/>
  <c r="F304" i="5"/>
  <c r="E304" i="5"/>
  <c r="B304" i="5"/>
  <c r="F303" i="5"/>
  <c r="E303" i="5"/>
  <c r="B303" i="5"/>
  <c r="F302" i="5"/>
  <c r="E302" i="5"/>
  <c r="B302" i="5"/>
  <c r="F301" i="5"/>
  <c r="E301" i="5"/>
  <c r="B301" i="5"/>
  <c r="F300" i="5"/>
  <c r="E300" i="5"/>
  <c r="B300" i="5"/>
  <c r="C300" i="5" s="1"/>
  <c r="F299" i="5"/>
  <c r="E299" i="5"/>
  <c r="B299" i="5"/>
  <c r="F298" i="5"/>
  <c r="E298" i="5"/>
  <c r="B298" i="5"/>
  <c r="F297" i="5"/>
  <c r="E297" i="5"/>
  <c r="B297" i="5"/>
  <c r="F296" i="5"/>
  <c r="E296" i="5"/>
  <c r="B296" i="5"/>
  <c r="F295" i="5"/>
  <c r="E295" i="5"/>
  <c r="B295" i="5"/>
  <c r="F294" i="5"/>
  <c r="E294" i="5"/>
  <c r="B294" i="5"/>
  <c r="C294" i="5" s="1"/>
  <c r="F293" i="5"/>
  <c r="E293" i="5"/>
  <c r="B293" i="5"/>
  <c r="C293" i="5" s="1"/>
  <c r="F292" i="5"/>
  <c r="E292" i="5"/>
  <c r="B292" i="5"/>
  <c r="F291" i="5"/>
  <c r="E291" i="5"/>
  <c r="B291" i="5"/>
  <c r="F290" i="5"/>
  <c r="E290" i="5"/>
  <c r="B290" i="5"/>
  <c r="F289" i="5"/>
  <c r="E289" i="5"/>
  <c r="B289" i="5"/>
  <c r="F288" i="5"/>
  <c r="E288" i="5"/>
  <c r="B288" i="5"/>
  <c r="F287" i="5"/>
  <c r="E287" i="5"/>
  <c r="B287" i="5"/>
  <c r="F286" i="5"/>
  <c r="E286" i="5"/>
  <c r="B286" i="5"/>
  <c r="C286" i="5" s="1"/>
  <c r="F285" i="5"/>
  <c r="E285" i="5"/>
  <c r="B285" i="5"/>
  <c r="F284" i="5"/>
  <c r="E284" i="5"/>
  <c r="B284" i="5"/>
  <c r="C284" i="5" s="1"/>
  <c r="F283" i="5"/>
  <c r="E283" i="5"/>
  <c r="B283" i="5"/>
  <c r="F282" i="5"/>
  <c r="E282" i="5"/>
  <c r="B282" i="5"/>
  <c r="F281" i="5"/>
  <c r="E281" i="5"/>
  <c r="B281" i="5"/>
  <c r="C281" i="5" s="1"/>
  <c r="F280" i="5"/>
  <c r="E280" i="5"/>
  <c r="B280" i="5"/>
  <c r="F279" i="5"/>
  <c r="E279" i="5"/>
  <c r="B279" i="5"/>
  <c r="F278" i="5"/>
  <c r="E278" i="5"/>
  <c r="B278" i="5"/>
  <c r="F277" i="5"/>
  <c r="E277" i="5"/>
  <c r="B277" i="5"/>
  <c r="F276" i="5"/>
  <c r="E276" i="5"/>
  <c r="B276" i="5"/>
  <c r="C276" i="5" s="1"/>
  <c r="F275" i="5"/>
  <c r="E275" i="5"/>
  <c r="B275" i="5"/>
  <c r="F274" i="5"/>
  <c r="E274" i="5"/>
  <c r="B274" i="5"/>
  <c r="C275" i="5" s="1"/>
  <c r="F273" i="5"/>
  <c r="E273" i="5"/>
  <c r="B273" i="5"/>
  <c r="F272" i="5"/>
  <c r="E272" i="5"/>
  <c r="B272" i="5"/>
  <c r="F271" i="5"/>
  <c r="E271" i="5"/>
  <c r="B271" i="5"/>
  <c r="F270" i="5"/>
  <c r="E270" i="5"/>
  <c r="B270" i="5"/>
  <c r="F269" i="5"/>
  <c r="E269" i="5"/>
  <c r="B269" i="5"/>
  <c r="F268" i="5"/>
  <c r="E268" i="5"/>
  <c r="B268" i="5"/>
  <c r="F267" i="5"/>
  <c r="E267" i="5"/>
  <c r="B267" i="5"/>
  <c r="F266" i="5"/>
  <c r="E266" i="5"/>
  <c r="B266" i="5"/>
  <c r="F265" i="5"/>
  <c r="E265" i="5"/>
  <c r="B265" i="5"/>
  <c r="F264" i="5"/>
  <c r="E264" i="5"/>
  <c r="B264" i="5"/>
  <c r="F263" i="5"/>
  <c r="E263" i="5"/>
  <c r="B263" i="5"/>
  <c r="F262" i="5"/>
  <c r="E262" i="5"/>
  <c r="B262" i="5"/>
  <c r="F261" i="5"/>
  <c r="E261" i="5"/>
  <c r="B261" i="5"/>
  <c r="F260" i="5"/>
  <c r="E260" i="5"/>
  <c r="B260" i="5"/>
  <c r="C260" i="5" s="1"/>
  <c r="F259" i="5"/>
  <c r="E259" i="5"/>
  <c r="B259" i="5"/>
  <c r="F258" i="5"/>
  <c r="E258" i="5"/>
  <c r="B258" i="5"/>
  <c r="F257" i="5"/>
  <c r="E257" i="5"/>
  <c r="B257" i="5"/>
  <c r="F256" i="5"/>
  <c r="E256" i="5"/>
  <c r="B256" i="5"/>
  <c r="F255" i="5"/>
  <c r="E255" i="5"/>
  <c r="B255" i="5"/>
  <c r="C256" i="5" s="1"/>
  <c r="F254" i="5"/>
  <c r="E254" i="5"/>
  <c r="B254" i="5"/>
  <c r="F253" i="5"/>
  <c r="E253" i="5"/>
  <c r="B253" i="5"/>
  <c r="F252" i="5"/>
  <c r="E252" i="5"/>
  <c r="B252" i="5"/>
  <c r="F251" i="5"/>
  <c r="E251" i="5"/>
  <c r="B251" i="5"/>
  <c r="F250" i="5"/>
  <c r="E250" i="5"/>
  <c r="B250" i="5"/>
  <c r="C250" i="5" s="1"/>
  <c r="F249" i="5"/>
  <c r="E249" i="5"/>
  <c r="B249" i="5"/>
  <c r="F248" i="5"/>
  <c r="E248" i="5"/>
  <c r="B248" i="5"/>
  <c r="F247" i="5"/>
  <c r="E247" i="5"/>
  <c r="B247" i="5"/>
  <c r="F246" i="5"/>
  <c r="E246" i="5"/>
  <c r="B246" i="5"/>
  <c r="F245" i="5"/>
  <c r="E245" i="5"/>
  <c r="B245" i="5"/>
  <c r="F244" i="5"/>
  <c r="E244" i="5"/>
  <c r="B244" i="5"/>
  <c r="F243" i="5"/>
  <c r="E243" i="5"/>
  <c r="B243" i="5"/>
  <c r="F242" i="5"/>
  <c r="E242" i="5"/>
  <c r="B242" i="5"/>
  <c r="F241" i="5"/>
  <c r="E241" i="5"/>
  <c r="B241" i="5"/>
  <c r="F240" i="5"/>
  <c r="E240" i="5"/>
  <c r="B240" i="5"/>
  <c r="F239" i="5"/>
  <c r="E239" i="5"/>
  <c r="B239" i="5"/>
  <c r="F238" i="5"/>
  <c r="E238" i="5"/>
  <c r="B238" i="5"/>
  <c r="F237" i="5"/>
  <c r="E237" i="5"/>
  <c r="B237" i="5"/>
  <c r="F236" i="5"/>
  <c r="E236" i="5"/>
  <c r="B236" i="5"/>
  <c r="F235" i="5"/>
  <c r="E235" i="5"/>
  <c r="B235" i="5"/>
  <c r="F234" i="5"/>
  <c r="E234" i="5"/>
  <c r="B234" i="5"/>
  <c r="F233" i="5"/>
  <c r="E233" i="5"/>
  <c r="B233" i="5"/>
  <c r="F232" i="5"/>
  <c r="E232" i="5"/>
  <c r="B232" i="5"/>
  <c r="F231" i="5"/>
  <c r="E231" i="5"/>
  <c r="B231" i="5"/>
  <c r="F230" i="5"/>
  <c r="E230" i="5"/>
  <c r="B230" i="5"/>
  <c r="C230" i="5" s="1"/>
  <c r="F229" i="5"/>
  <c r="E229" i="5"/>
  <c r="B229" i="5"/>
  <c r="F228" i="5"/>
  <c r="E228" i="5"/>
  <c r="B228" i="5"/>
  <c r="C228" i="5" s="1"/>
  <c r="F227" i="5"/>
  <c r="E227" i="5"/>
  <c r="B227" i="5"/>
  <c r="F226" i="5"/>
  <c r="E226" i="5"/>
  <c r="B226" i="5"/>
  <c r="C227" i="5" s="1"/>
  <c r="F225" i="5"/>
  <c r="E225" i="5"/>
  <c r="B225" i="5"/>
  <c r="C225" i="5" s="1"/>
  <c r="F224" i="5"/>
  <c r="E224" i="5"/>
  <c r="B224" i="5"/>
  <c r="F223" i="5"/>
  <c r="E223" i="5"/>
  <c r="B223" i="5"/>
  <c r="F222" i="5"/>
  <c r="E222" i="5"/>
  <c r="B222" i="5"/>
  <c r="F221" i="5"/>
  <c r="E221" i="5"/>
  <c r="B221" i="5"/>
  <c r="F220" i="5"/>
  <c r="E220" i="5"/>
  <c r="B220" i="5"/>
  <c r="C220" i="5" s="1"/>
  <c r="F219" i="5"/>
  <c r="E219" i="5"/>
  <c r="B219" i="5"/>
  <c r="F218" i="5"/>
  <c r="E218" i="5"/>
  <c r="B218" i="5"/>
  <c r="F217" i="5"/>
  <c r="E217" i="5"/>
  <c r="B217" i="5"/>
  <c r="F216" i="5"/>
  <c r="E216" i="5"/>
  <c r="B216" i="5"/>
  <c r="F215" i="5"/>
  <c r="E215" i="5"/>
  <c r="B215" i="5"/>
  <c r="F214" i="5"/>
  <c r="E214" i="5"/>
  <c r="B214" i="5"/>
  <c r="F213" i="5"/>
  <c r="E213" i="5"/>
  <c r="B213" i="5"/>
  <c r="C214" i="5" s="1"/>
  <c r="F212" i="5"/>
  <c r="E212" i="5"/>
  <c r="B212" i="5"/>
  <c r="C212" i="5" s="1"/>
  <c r="F211" i="5"/>
  <c r="E211" i="5"/>
  <c r="B211" i="5"/>
  <c r="F210" i="5"/>
  <c r="E210" i="5"/>
  <c r="B210" i="5"/>
  <c r="F209" i="5"/>
  <c r="E209" i="5"/>
  <c r="B209" i="5"/>
  <c r="F208" i="5"/>
  <c r="E208" i="5"/>
  <c r="B208" i="5"/>
  <c r="F207" i="5"/>
  <c r="E207" i="5"/>
  <c r="B207" i="5"/>
  <c r="C207" i="5" s="1"/>
  <c r="F206" i="5"/>
  <c r="E206" i="5"/>
  <c r="B206" i="5"/>
  <c r="F205" i="5"/>
  <c r="E205" i="5"/>
  <c r="B205" i="5"/>
  <c r="C206" i="5" s="1"/>
  <c r="F204" i="5"/>
  <c r="E204" i="5"/>
  <c r="B204" i="5"/>
  <c r="F203" i="5"/>
  <c r="E203" i="5"/>
  <c r="B203" i="5"/>
  <c r="F202" i="5"/>
  <c r="E202" i="5"/>
  <c r="B202" i="5"/>
  <c r="C202" i="5" s="1"/>
  <c r="F201" i="5"/>
  <c r="E201" i="5"/>
  <c r="B201" i="5"/>
  <c r="F200" i="5"/>
  <c r="E200" i="5"/>
  <c r="B200" i="5"/>
  <c r="C200" i="5" s="1"/>
  <c r="F199" i="5"/>
  <c r="E199" i="5"/>
  <c r="B199" i="5"/>
  <c r="C199" i="5" s="1"/>
  <c r="F198" i="5"/>
  <c r="E198" i="5"/>
  <c r="B198" i="5"/>
  <c r="F197" i="5"/>
  <c r="E197" i="5"/>
  <c r="B197" i="5"/>
  <c r="C197" i="5" s="1"/>
  <c r="F196" i="5"/>
  <c r="E196" i="5"/>
  <c r="B196" i="5"/>
  <c r="C196" i="5" s="1"/>
  <c r="F195" i="5"/>
  <c r="E195" i="5"/>
  <c r="B195" i="5"/>
  <c r="C195" i="5" s="1"/>
  <c r="F194" i="5"/>
  <c r="E194" i="5"/>
  <c r="B194" i="5"/>
  <c r="C194" i="5" s="1"/>
  <c r="F193" i="5"/>
  <c r="E193" i="5"/>
  <c r="B193" i="5"/>
  <c r="F192" i="5"/>
  <c r="E192" i="5"/>
  <c r="B192" i="5"/>
  <c r="F191" i="5"/>
  <c r="E191" i="5"/>
  <c r="B191" i="5"/>
  <c r="F190" i="5"/>
  <c r="E190" i="5"/>
  <c r="B190" i="5"/>
  <c r="C190" i="5" s="1"/>
  <c r="F189" i="5"/>
  <c r="E189" i="5"/>
  <c r="B189" i="5"/>
  <c r="F188" i="5"/>
  <c r="E188" i="5"/>
  <c r="B188" i="5"/>
  <c r="F187" i="5"/>
  <c r="E187" i="5"/>
  <c r="B187" i="5"/>
  <c r="F186" i="5"/>
  <c r="E186" i="5"/>
  <c r="B186" i="5"/>
  <c r="F185" i="5"/>
  <c r="E185" i="5"/>
  <c r="B185" i="5"/>
  <c r="F184" i="5"/>
  <c r="E184" i="5"/>
  <c r="B184" i="5"/>
  <c r="F183" i="5"/>
  <c r="E183" i="5"/>
  <c r="B183" i="5"/>
  <c r="F182" i="5"/>
  <c r="E182" i="5"/>
  <c r="B182" i="5"/>
  <c r="F181" i="5"/>
  <c r="E181" i="5"/>
  <c r="B181" i="5"/>
  <c r="F180" i="5"/>
  <c r="E180" i="5"/>
  <c r="B180" i="5"/>
  <c r="F179" i="5"/>
  <c r="E179" i="5"/>
  <c r="B179" i="5"/>
  <c r="F178" i="5"/>
  <c r="E178" i="5"/>
  <c r="B178" i="5"/>
  <c r="F177" i="5"/>
  <c r="E177" i="5"/>
  <c r="B177" i="5"/>
  <c r="F176" i="5"/>
  <c r="E176" i="5"/>
  <c r="B176" i="5"/>
  <c r="F175" i="5"/>
  <c r="E175" i="5"/>
  <c r="B175" i="5"/>
  <c r="C175" i="5" s="1"/>
  <c r="F174" i="5"/>
  <c r="E174" i="5"/>
  <c r="B174" i="5"/>
  <c r="F173" i="5"/>
  <c r="E173" i="5"/>
  <c r="B173" i="5"/>
  <c r="F172" i="5"/>
  <c r="E172" i="5"/>
  <c r="B172" i="5"/>
  <c r="F171" i="5"/>
  <c r="E171" i="5"/>
  <c r="B171" i="5"/>
  <c r="F170" i="5"/>
  <c r="E170" i="5"/>
  <c r="B170" i="5"/>
  <c r="F169" i="5"/>
  <c r="E169" i="5"/>
  <c r="B169" i="5"/>
  <c r="F168" i="5"/>
  <c r="E168" i="5"/>
  <c r="B168" i="5"/>
  <c r="F167" i="5"/>
  <c r="E167" i="5"/>
  <c r="B167" i="5"/>
  <c r="C167" i="5" s="1"/>
  <c r="F166" i="5"/>
  <c r="E166" i="5"/>
  <c r="B166" i="5"/>
  <c r="C166" i="5" s="1"/>
  <c r="F165" i="5"/>
  <c r="E165" i="5"/>
  <c r="B165" i="5"/>
  <c r="C165" i="5" s="1"/>
  <c r="F164" i="5"/>
  <c r="E164" i="5"/>
  <c r="B164" i="5"/>
  <c r="F163" i="5"/>
  <c r="E163" i="5"/>
  <c r="B163" i="5"/>
  <c r="C163" i="5" s="1"/>
  <c r="F162" i="5"/>
  <c r="E162" i="5"/>
  <c r="B162" i="5"/>
  <c r="F161" i="5"/>
  <c r="E161" i="5"/>
  <c r="B161" i="5"/>
  <c r="F160" i="5"/>
  <c r="E160" i="5"/>
  <c r="B160" i="5"/>
  <c r="F159" i="5"/>
  <c r="E159" i="5"/>
  <c r="B159" i="5"/>
  <c r="F158" i="5"/>
  <c r="E158" i="5"/>
  <c r="B158" i="5"/>
  <c r="C158" i="5" s="1"/>
  <c r="F157" i="5"/>
  <c r="E157" i="5"/>
  <c r="B157" i="5"/>
  <c r="F156" i="5"/>
  <c r="E156" i="5"/>
  <c r="B156" i="5"/>
  <c r="F155" i="5"/>
  <c r="E155" i="5"/>
  <c r="B155" i="5"/>
  <c r="F154" i="5"/>
  <c r="E154" i="5"/>
  <c r="B154" i="5"/>
  <c r="F153" i="5"/>
  <c r="E153" i="5"/>
  <c r="B153" i="5"/>
  <c r="F152" i="5"/>
  <c r="E152" i="5"/>
  <c r="B152" i="5"/>
  <c r="F151" i="5"/>
  <c r="E151" i="5"/>
  <c r="B151" i="5"/>
  <c r="F150" i="5"/>
  <c r="E150" i="5"/>
  <c r="B150" i="5"/>
  <c r="F149" i="5"/>
  <c r="E149" i="5"/>
  <c r="B149" i="5"/>
  <c r="F148" i="5"/>
  <c r="E148" i="5"/>
  <c r="B148" i="5"/>
  <c r="F147" i="5"/>
  <c r="E147" i="5"/>
  <c r="B147" i="5"/>
  <c r="F146" i="5"/>
  <c r="E146" i="5"/>
  <c r="B146" i="5"/>
  <c r="F145" i="5"/>
  <c r="E145" i="5"/>
  <c r="B145" i="5"/>
  <c r="F144" i="5"/>
  <c r="E144" i="5"/>
  <c r="B144" i="5"/>
  <c r="F143" i="5"/>
  <c r="E143" i="5"/>
  <c r="B143" i="5"/>
  <c r="F142" i="5"/>
  <c r="E142" i="5"/>
  <c r="B142" i="5"/>
  <c r="F141" i="5"/>
  <c r="E141" i="5"/>
  <c r="B141" i="5"/>
  <c r="F140" i="5"/>
  <c r="E140" i="5"/>
  <c r="B140" i="5"/>
  <c r="F139" i="5"/>
  <c r="E139" i="5"/>
  <c r="B139" i="5"/>
  <c r="C139" i="5" s="1"/>
  <c r="F138" i="5"/>
  <c r="E138" i="5"/>
  <c r="B138" i="5"/>
  <c r="F137" i="5"/>
  <c r="E137" i="5"/>
  <c r="B137" i="5"/>
  <c r="F136" i="5"/>
  <c r="E136" i="5"/>
  <c r="B136" i="5"/>
  <c r="C136" i="5" s="1"/>
  <c r="F135" i="5"/>
  <c r="E135" i="5"/>
  <c r="B135" i="5"/>
  <c r="F134" i="5"/>
  <c r="E134" i="5"/>
  <c r="B134" i="5"/>
  <c r="F133" i="5"/>
  <c r="E133" i="5"/>
  <c r="B133" i="5"/>
  <c r="F132" i="5"/>
  <c r="E132" i="5"/>
  <c r="B132" i="5"/>
  <c r="C132" i="5" s="1"/>
  <c r="F131" i="5"/>
  <c r="E131" i="5"/>
  <c r="B131" i="5"/>
  <c r="F130" i="5"/>
  <c r="E130" i="5"/>
  <c r="B130" i="5"/>
  <c r="F129" i="5"/>
  <c r="E129" i="5"/>
  <c r="B129" i="5"/>
  <c r="C129" i="5" s="1"/>
  <c r="F128" i="5"/>
  <c r="E128" i="5"/>
  <c r="B128" i="5"/>
  <c r="F127" i="5"/>
  <c r="E127" i="5"/>
  <c r="B127" i="5"/>
  <c r="C128" i="5" s="1"/>
  <c r="F126" i="5"/>
  <c r="E126" i="5"/>
  <c r="B126" i="5"/>
  <c r="F125" i="5"/>
  <c r="E125" i="5"/>
  <c r="B125" i="5"/>
  <c r="F124" i="5"/>
  <c r="E124" i="5"/>
  <c r="B124" i="5"/>
  <c r="F123" i="5"/>
  <c r="E123" i="5"/>
  <c r="B123" i="5"/>
  <c r="F122" i="5"/>
  <c r="E122" i="5"/>
  <c r="B122" i="5"/>
  <c r="F121" i="5"/>
  <c r="E121" i="5"/>
  <c r="B121" i="5"/>
  <c r="F120" i="5"/>
  <c r="E120" i="5"/>
  <c r="B120" i="5"/>
  <c r="B119" i="5"/>
  <c r="B118" i="5"/>
  <c r="B117" i="5"/>
  <c r="B116" i="5"/>
  <c r="B115" i="5"/>
  <c r="B114" i="5"/>
  <c r="B113" i="5"/>
  <c r="B112" i="5"/>
  <c r="C112" i="5" s="1"/>
  <c r="B111" i="5"/>
  <c r="B110" i="5"/>
  <c r="B109" i="5"/>
  <c r="B108" i="5"/>
  <c r="B107" i="5"/>
  <c r="B106" i="5"/>
  <c r="B105" i="5"/>
  <c r="C106" i="5" s="1"/>
  <c r="B104" i="5"/>
  <c r="B103" i="5"/>
  <c r="B102" i="5"/>
  <c r="B101" i="5"/>
  <c r="B100" i="5"/>
  <c r="B99" i="5"/>
  <c r="C99" i="5" s="1"/>
  <c r="B98" i="5"/>
  <c r="B97" i="5"/>
  <c r="C97" i="5" s="1"/>
  <c r="B96" i="5"/>
  <c r="B95" i="5"/>
  <c r="B94" i="5"/>
  <c r="B93" i="5"/>
  <c r="B92" i="5"/>
  <c r="C93" i="5" s="1"/>
  <c r="B91" i="5"/>
  <c r="C91" i="5" s="1"/>
  <c r="B90" i="5"/>
  <c r="C89" i="5"/>
  <c r="B89" i="5"/>
  <c r="B88" i="5"/>
  <c r="C88" i="5" s="1"/>
  <c r="B87" i="5"/>
  <c r="B86" i="5"/>
  <c r="C86" i="5" s="1"/>
  <c r="B85" i="5"/>
  <c r="C85" i="5" s="1"/>
  <c r="B84" i="5"/>
  <c r="B83" i="5"/>
  <c r="C84" i="5" s="1"/>
  <c r="B82" i="5"/>
  <c r="B81" i="5"/>
  <c r="B80" i="5"/>
  <c r="B79" i="5"/>
  <c r="B78" i="5"/>
  <c r="B77" i="5"/>
  <c r="C77" i="5" s="1"/>
  <c r="B76" i="5"/>
  <c r="B75" i="5"/>
  <c r="B74" i="5"/>
  <c r="C74" i="5" s="1"/>
  <c r="B73" i="5"/>
  <c r="B72" i="5"/>
  <c r="B71" i="5"/>
  <c r="B70" i="5"/>
  <c r="B69" i="5"/>
  <c r="B68" i="5"/>
  <c r="C68" i="5" s="1"/>
  <c r="B67" i="5"/>
  <c r="B66" i="5"/>
  <c r="B65" i="5"/>
  <c r="B64" i="5"/>
  <c r="B63" i="5"/>
  <c r="B62" i="5"/>
  <c r="C62" i="5" s="1"/>
  <c r="B61" i="5"/>
  <c r="B60" i="5"/>
  <c r="C61" i="5" s="1"/>
  <c r="B59" i="5"/>
  <c r="B58" i="5"/>
  <c r="B57" i="5"/>
  <c r="B56" i="5"/>
  <c r="B55" i="5"/>
  <c r="C56" i="5" s="1"/>
  <c r="B54" i="5"/>
  <c r="C54" i="5" s="1"/>
  <c r="B53" i="5"/>
  <c r="B52" i="5"/>
  <c r="C53" i="5" s="1"/>
  <c r="B51" i="5"/>
  <c r="B50" i="5"/>
  <c r="B49" i="5"/>
  <c r="B48" i="5"/>
  <c r="B47" i="5"/>
  <c r="B46" i="5"/>
  <c r="B45" i="5"/>
  <c r="B44" i="5"/>
  <c r="B43" i="5"/>
  <c r="B42" i="5"/>
  <c r="B41" i="5"/>
  <c r="B40" i="5"/>
  <c r="B39" i="5"/>
  <c r="B38" i="5"/>
  <c r="C38" i="5" s="1"/>
  <c r="B37" i="5"/>
  <c r="B36" i="5"/>
  <c r="B35" i="5"/>
  <c r="B34" i="5"/>
  <c r="B33" i="5"/>
  <c r="B32" i="5"/>
  <c r="B31" i="5"/>
  <c r="B30" i="5"/>
  <c r="B29" i="5"/>
  <c r="B28" i="5"/>
  <c r="C29" i="5" s="1"/>
  <c r="B27" i="5"/>
  <c r="C27" i="5" s="1"/>
  <c r="B26" i="5"/>
  <c r="B25" i="5"/>
  <c r="C25" i="5" s="1"/>
  <c r="B24" i="5"/>
  <c r="B23" i="5"/>
  <c r="B22" i="5"/>
  <c r="B21" i="5"/>
  <c r="C21" i="5" s="1"/>
  <c r="B20" i="5"/>
  <c r="B19" i="5"/>
  <c r="B18" i="5"/>
  <c r="B17" i="5"/>
  <c r="B16" i="5"/>
  <c r="B15" i="5"/>
  <c r="B14" i="5"/>
  <c r="B13" i="5"/>
  <c r="C14" i="5" s="1"/>
  <c r="B12" i="5"/>
  <c r="P18" i="1"/>
  <c r="R17" i="1"/>
  <c r="Q17" i="1"/>
  <c r="P17" i="1"/>
  <c r="P16" i="1"/>
  <c r="Q14" i="1"/>
  <c r="Q16" i="1" s="1"/>
  <c r="R16" i="1" s="1"/>
  <c r="C978" i="5" l="1"/>
  <c r="C223" i="8" s="1"/>
  <c r="C65" i="5"/>
  <c r="C94" i="5"/>
  <c r="C117" i="5"/>
  <c r="C972" i="5"/>
  <c r="C33" i="5"/>
  <c r="C246" i="5"/>
  <c r="C403" i="5"/>
  <c r="C659" i="5"/>
  <c r="C664" i="5"/>
  <c r="C807" i="5"/>
  <c r="C847" i="5"/>
  <c r="C856" i="5"/>
  <c r="C887" i="5"/>
  <c r="C132" i="8" s="1"/>
  <c r="C932" i="5"/>
  <c r="C20" i="5"/>
  <c r="C34" i="5"/>
  <c r="C42" i="5"/>
  <c r="C59" i="5"/>
  <c r="C66" i="5"/>
  <c r="C123" i="5"/>
  <c r="C127" i="5"/>
  <c r="C156" i="5"/>
  <c r="C185" i="5"/>
  <c r="C232" i="5"/>
  <c r="C240" i="5"/>
  <c r="C258" i="5"/>
  <c r="C263" i="5"/>
  <c r="C280" i="5"/>
  <c r="C295" i="5"/>
  <c r="C303" i="5"/>
  <c r="C312" i="5"/>
  <c r="C389" i="5"/>
  <c r="C398" i="5"/>
  <c r="C448" i="5"/>
  <c r="C505" i="5"/>
  <c r="C549" i="5"/>
  <c r="C558" i="5"/>
  <c r="C578" i="5"/>
  <c r="C586" i="5"/>
  <c r="C611" i="5"/>
  <c r="C615" i="5"/>
  <c r="C654" i="5"/>
  <c r="D656" i="5" s="1"/>
  <c r="C662" i="5"/>
  <c r="C707" i="5"/>
  <c r="C770" i="5"/>
  <c r="C780" i="5"/>
  <c r="C793" i="5"/>
  <c r="C845" i="5"/>
  <c r="C921" i="5"/>
  <c r="C166" i="8" s="1"/>
  <c r="C930" i="5"/>
  <c r="C175" i="8" s="1"/>
  <c r="C961" i="5"/>
  <c r="C975" i="5"/>
  <c r="C220" i="8" s="1"/>
  <c r="C238" i="5"/>
  <c r="C255" i="5"/>
  <c r="C411" i="5"/>
  <c r="C838" i="5"/>
  <c r="C120" i="5"/>
  <c r="C126" i="5"/>
  <c r="C143" i="5"/>
  <c r="C164" i="5"/>
  <c r="D165" i="5" s="1"/>
  <c r="C172" i="5"/>
  <c r="C180" i="5"/>
  <c r="C188" i="5"/>
  <c r="C235" i="5"/>
  <c r="C298" i="5"/>
  <c r="C363" i="5"/>
  <c r="C392" i="5"/>
  <c r="C426" i="5"/>
  <c r="C435" i="5"/>
  <c r="C443" i="5"/>
  <c r="C450" i="5"/>
  <c r="C492" i="5"/>
  <c r="C500" i="5"/>
  <c r="C508" i="5"/>
  <c r="C548" i="5"/>
  <c r="D549" i="5" s="1"/>
  <c r="C581" i="5"/>
  <c r="C605" i="5"/>
  <c r="C635" i="5"/>
  <c r="D636" i="5" s="1"/>
  <c r="C641" i="5"/>
  <c r="C656" i="5"/>
  <c r="C719" i="5"/>
  <c r="C736" i="5"/>
  <c r="C750" i="5"/>
  <c r="C779" i="5"/>
  <c r="C788" i="5"/>
  <c r="C905" i="5"/>
  <c r="C911" i="5"/>
  <c r="C916" i="5"/>
  <c r="C161" i="8" s="1"/>
  <c r="C920" i="5"/>
  <c r="C956" i="5"/>
  <c r="C965" i="5"/>
  <c r="C210" i="8" s="1"/>
  <c r="C969" i="5"/>
  <c r="C974" i="5"/>
  <c r="C990" i="5"/>
  <c r="C235" i="8" s="1"/>
  <c r="C999" i="5"/>
  <c r="C1006" i="5"/>
  <c r="C251" i="8" s="1"/>
  <c r="D720" i="5"/>
  <c r="C310" i="5"/>
  <c r="C40" i="5"/>
  <c r="C478" i="5"/>
  <c r="C184" i="5"/>
  <c r="C383" i="5"/>
  <c r="C504" i="5"/>
  <c r="C714" i="5"/>
  <c r="C22" i="5"/>
  <c r="C37" i="5"/>
  <c r="C45" i="5"/>
  <c r="C98" i="5"/>
  <c r="C179" i="5"/>
  <c r="C216" i="5"/>
  <c r="C224" i="5"/>
  <c r="C352" i="5"/>
  <c r="C382" i="5"/>
  <c r="C420" i="5"/>
  <c r="D422" i="5" s="1"/>
  <c r="C499" i="5"/>
  <c r="C536" i="5"/>
  <c r="C575" i="5"/>
  <c r="C748" i="5"/>
  <c r="C782" i="5"/>
  <c r="C27" i="8" s="1"/>
  <c r="C811" i="5"/>
  <c r="C816" i="5"/>
  <c r="C828" i="5"/>
  <c r="C936" i="5"/>
  <c r="C949" i="5"/>
  <c r="C954" i="5"/>
  <c r="C967" i="5"/>
  <c r="C212" i="8" s="1"/>
  <c r="C302" i="5"/>
  <c r="C430" i="5"/>
  <c r="C438" i="5"/>
  <c r="C640" i="5"/>
  <c r="D641" i="5" s="1"/>
  <c r="C928" i="5"/>
  <c r="C173" i="8" s="1"/>
  <c r="C24" i="5"/>
  <c r="C69" i="5"/>
  <c r="C115" i="5"/>
  <c r="C211" i="5"/>
  <c r="C219" i="5"/>
  <c r="C223" i="5"/>
  <c r="C292" i="5"/>
  <c r="D294" i="5" s="1"/>
  <c r="C334" i="5"/>
  <c r="D336" i="5" s="1"/>
  <c r="C347" i="5"/>
  <c r="C351" i="5"/>
  <c r="C409" i="5"/>
  <c r="C419" i="5"/>
  <c r="C494" i="5"/>
  <c r="C531" i="5"/>
  <c r="C599" i="5"/>
  <c r="C607" i="5"/>
  <c r="C638" i="5"/>
  <c r="D640" i="5" s="1"/>
  <c r="C686" i="5"/>
  <c r="C824" i="5"/>
  <c r="C945" i="5"/>
  <c r="C1007" i="5"/>
  <c r="C253" i="8" s="1"/>
  <c r="C569" i="5"/>
  <c r="C570" i="5"/>
  <c r="D700" i="5"/>
  <c r="C843" i="5"/>
  <c r="C88" i="8" s="1"/>
  <c r="C842" i="5"/>
  <c r="C860" i="5"/>
  <c r="C861" i="5"/>
  <c r="C106" i="8" s="1"/>
  <c r="C39" i="5"/>
  <c r="C90" i="5"/>
  <c r="D90" i="5" s="1"/>
  <c r="C101" i="5"/>
  <c r="C116" i="5"/>
  <c r="D117" i="5" s="1"/>
  <c r="C122" i="5"/>
  <c r="C291" i="5"/>
  <c r="C387" i="5"/>
  <c r="C388" i="5"/>
  <c r="C442" i="5"/>
  <c r="C447" i="5"/>
  <c r="D449" i="5" s="1"/>
  <c r="C468" i="5"/>
  <c r="C469" i="5"/>
  <c r="D517" i="5"/>
  <c r="C525" i="5"/>
  <c r="C534" i="5"/>
  <c r="C533" i="5"/>
  <c r="D535" i="5" s="1"/>
  <c r="C606" i="5"/>
  <c r="C653" i="5"/>
  <c r="C663" i="5"/>
  <c r="D664" i="5" s="1"/>
  <c r="C774" i="5"/>
  <c r="C19" i="8" s="1"/>
  <c r="C455" i="5"/>
  <c r="C456" i="5"/>
  <c r="C559" i="5"/>
  <c r="C560" i="5"/>
  <c r="D663" i="5"/>
  <c r="C792" i="5"/>
  <c r="C37" i="8" s="1"/>
  <c r="C791" i="5"/>
  <c r="C851" i="5"/>
  <c r="C96" i="8" s="1"/>
  <c r="C850" i="5"/>
  <c r="C170" i="5"/>
  <c r="C271" i="5"/>
  <c r="D351" i="5"/>
  <c r="C364" i="5"/>
  <c r="C372" i="5"/>
  <c r="C427" i="5"/>
  <c r="C513" i="5"/>
  <c r="C563" i="5"/>
  <c r="C562" i="5"/>
  <c r="C591" i="5"/>
  <c r="C755" i="5"/>
  <c r="C794" i="5"/>
  <c r="D795" i="5" s="1"/>
  <c r="C46" i="5"/>
  <c r="C153" i="5"/>
  <c r="C725" i="5"/>
  <c r="D727" i="5" s="1"/>
  <c r="C731" i="5"/>
  <c r="C730" i="5"/>
  <c r="D86" i="5"/>
  <c r="C16" i="5"/>
  <c r="C102" i="5"/>
  <c r="C130" i="5"/>
  <c r="C48" i="5"/>
  <c r="C60" i="5"/>
  <c r="D62" i="5" s="1"/>
  <c r="C103" i="5"/>
  <c r="C30" i="5"/>
  <c r="C36" i="5"/>
  <c r="D38" i="5" s="1"/>
  <c r="C80" i="5"/>
  <c r="C104" i="5"/>
  <c r="C121" i="5"/>
  <c r="C446" i="5"/>
  <c r="C490" i="5"/>
  <c r="C507" i="5"/>
  <c r="C506" i="5"/>
  <c r="D508" i="5" s="1"/>
  <c r="C806" i="5"/>
  <c r="C51" i="8" s="1"/>
  <c r="C810" i="5"/>
  <c r="C78" i="5"/>
  <c r="C109" i="5"/>
  <c r="C135" i="5"/>
  <c r="C35" i="5"/>
  <c r="D35" i="5" s="1"/>
  <c r="D22" i="5"/>
  <c r="C43" i="5"/>
  <c r="C67" i="5"/>
  <c r="C131" i="5"/>
  <c r="C142" i="5"/>
  <c r="C150" i="5"/>
  <c r="C155" i="5"/>
  <c r="C160" i="5"/>
  <c r="C171" i="5"/>
  <c r="D225" i="5"/>
  <c r="C254" i="5"/>
  <c r="D256" i="5" s="1"/>
  <c r="C264" i="5"/>
  <c r="C324" i="5"/>
  <c r="C350" i="5"/>
  <c r="C355" i="5"/>
  <c r="C416" i="5"/>
  <c r="C415" i="5"/>
  <c r="D417" i="5" s="1"/>
  <c r="C485" i="5"/>
  <c r="D486" i="5" s="1"/>
  <c r="C486" i="5"/>
  <c r="C584" i="5"/>
  <c r="C787" i="5"/>
  <c r="C32" i="8" s="1"/>
  <c r="C872" i="5"/>
  <c r="C873" i="5"/>
  <c r="D129" i="5"/>
  <c r="C71" i="5"/>
  <c r="C148" i="5"/>
  <c r="C72" i="5"/>
  <c r="C26" i="5"/>
  <c r="D26" i="5" s="1"/>
  <c r="C52" i="5"/>
  <c r="D54" i="5" s="1"/>
  <c r="C58" i="5"/>
  <c r="D60" i="5" s="1"/>
  <c r="C118" i="5"/>
  <c r="C124" i="5"/>
  <c r="C144" i="5"/>
  <c r="C149" i="5"/>
  <c r="C157" i="5"/>
  <c r="C159" i="5"/>
  <c r="D197" i="5"/>
  <c r="C208" i="5"/>
  <c r="D208" i="5" s="1"/>
  <c r="C213" i="5"/>
  <c r="C221" i="5"/>
  <c r="D223" i="5" s="1"/>
  <c r="C222" i="5"/>
  <c r="C314" i="5"/>
  <c r="D314" i="5" s="1"/>
  <c r="C320" i="5"/>
  <c r="C319" i="5"/>
  <c r="D320" i="5" s="1"/>
  <c r="C406" i="5"/>
  <c r="C405" i="5"/>
  <c r="D405" i="5" s="1"/>
  <c r="C483" i="5"/>
  <c r="C550" i="5"/>
  <c r="D550" i="5" s="1"/>
  <c r="C579" i="5"/>
  <c r="C580" i="5"/>
  <c r="C587" i="5"/>
  <c r="C623" i="5"/>
  <c r="C624" i="5"/>
  <c r="C742" i="5"/>
  <c r="C760" i="5"/>
  <c r="C759" i="5"/>
  <c r="C767" i="5"/>
  <c r="C827" i="5"/>
  <c r="C826" i="5"/>
  <c r="C252" i="8"/>
  <c r="C217" i="5"/>
  <c r="C229" i="5"/>
  <c r="D230" i="5" s="1"/>
  <c r="C234" i="5"/>
  <c r="C243" i="5"/>
  <c r="C251" i="5"/>
  <c r="C257" i="5"/>
  <c r="D257" i="5" s="1"/>
  <c r="C267" i="5"/>
  <c r="C325" i="5"/>
  <c r="C330" i="5"/>
  <c r="C339" i="5"/>
  <c r="C344" i="5"/>
  <c r="C353" i="5"/>
  <c r="D353" i="5" s="1"/>
  <c r="C360" i="5"/>
  <c r="C368" i="5"/>
  <c r="C423" i="5"/>
  <c r="D424" i="5" s="1"/>
  <c r="C431" i="5"/>
  <c r="C440" i="5"/>
  <c r="C444" i="5"/>
  <c r="C464" i="5"/>
  <c r="C477" i="5"/>
  <c r="C630" i="5"/>
  <c r="C683" i="5"/>
  <c r="C704" i="5"/>
  <c r="C710" i="5"/>
  <c r="C747" i="5"/>
  <c r="D748" i="5" s="1"/>
  <c r="C766" i="5"/>
  <c r="C11" i="8" s="1"/>
  <c r="C803" i="5"/>
  <c r="C812" i="5"/>
  <c r="C57" i="8" s="1"/>
  <c r="C817" i="5"/>
  <c r="C62" i="8" s="1"/>
  <c r="C835" i="5"/>
  <c r="C80" i="8" s="1"/>
  <c r="C840" i="5"/>
  <c r="C85" i="8" s="1"/>
  <c r="C844" i="5"/>
  <c r="C879" i="5"/>
  <c r="C886" i="5"/>
  <c r="C131" i="8" s="1"/>
  <c r="C897" i="5"/>
  <c r="C913" i="5"/>
  <c r="D913" i="5" s="1"/>
  <c r="C918" i="5"/>
  <c r="C163" i="8" s="1"/>
  <c r="C973" i="5"/>
  <c r="D977" i="5"/>
  <c r="C901" i="5"/>
  <c r="C929" i="5"/>
  <c r="C968" i="5"/>
  <c r="C992" i="5"/>
  <c r="C237" i="8" s="1"/>
  <c r="C883" i="5"/>
  <c r="C910" i="5"/>
  <c r="C934" i="5"/>
  <c r="C944" i="5"/>
  <c r="C964" i="5"/>
  <c r="C998" i="5"/>
  <c r="C187" i="5"/>
  <c r="C193" i="5"/>
  <c r="D195" i="5" s="1"/>
  <c r="C203" i="5"/>
  <c r="C249" i="5"/>
  <c r="C261" i="5"/>
  <c r="C266" i="5"/>
  <c r="C289" i="5"/>
  <c r="C296" i="5"/>
  <c r="D296" i="5" s="1"/>
  <c r="C304" i="5"/>
  <c r="D304" i="5" s="1"/>
  <c r="C359" i="5"/>
  <c r="D360" i="5" s="1"/>
  <c r="C367" i="5"/>
  <c r="C380" i="5"/>
  <c r="C400" i="5"/>
  <c r="D400" i="5" s="1"/>
  <c r="C413" i="5"/>
  <c r="D415" i="5" s="1"/>
  <c r="C463" i="5"/>
  <c r="C476" i="5"/>
  <c r="C502" i="5"/>
  <c r="C512" i="5"/>
  <c r="C528" i="5"/>
  <c r="D528" i="5" s="1"/>
  <c r="C544" i="5"/>
  <c r="C545" i="5"/>
  <c r="C552" i="5"/>
  <c r="C571" i="5"/>
  <c r="C590" i="5"/>
  <c r="D592" i="5" s="1"/>
  <c r="C595" i="5"/>
  <c r="C600" i="5"/>
  <c r="C604" i="5"/>
  <c r="C613" i="5"/>
  <c r="D614" i="5" s="1"/>
  <c r="C618" i="5"/>
  <c r="C628" i="5"/>
  <c r="C642" i="5"/>
  <c r="C647" i="5"/>
  <c r="C670" i="5"/>
  <c r="C675" i="5"/>
  <c r="C708" i="5"/>
  <c r="C752" i="5"/>
  <c r="C758" i="5"/>
  <c r="C764" i="5"/>
  <c r="C9" i="8" s="1"/>
  <c r="C784" i="5"/>
  <c r="C790" i="5"/>
  <c r="C35" i="8" s="1"/>
  <c r="C833" i="5"/>
  <c r="C78" i="8" s="1"/>
  <c r="C859" i="5"/>
  <c r="D859" i="5" s="1"/>
  <c r="C870" i="5"/>
  <c r="C877" i="5"/>
  <c r="C894" i="5"/>
  <c r="D896" i="5" s="1"/>
  <c r="C926" i="5"/>
  <c r="C955" i="5"/>
  <c r="C960" i="5"/>
  <c r="C205" i="8" s="1"/>
  <c r="C997" i="5"/>
  <c r="C1003" i="5"/>
  <c r="C174" i="5"/>
  <c r="C182" i="5"/>
  <c r="C186" i="5"/>
  <c r="C192" i="5"/>
  <c r="D194" i="5" s="1"/>
  <c r="C236" i="5"/>
  <c r="C244" i="5"/>
  <c r="C259" i="5"/>
  <c r="C270" i="5"/>
  <c r="D272" i="5" s="1"/>
  <c r="C278" i="5"/>
  <c r="C283" i="5"/>
  <c r="C288" i="5"/>
  <c r="C299" i="5"/>
  <c r="C322" i="5"/>
  <c r="C327" i="5"/>
  <c r="D327" i="5" s="1"/>
  <c r="C340" i="5"/>
  <c r="D342" i="5" s="1"/>
  <c r="C345" i="5"/>
  <c r="C357" i="5"/>
  <c r="C362" i="5"/>
  <c r="C371" i="5"/>
  <c r="C379" i="5"/>
  <c r="D379" i="5" s="1"/>
  <c r="C385" i="5"/>
  <c r="C395" i="5"/>
  <c r="C441" i="5"/>
  <c r="C453" i="5"/>
  <c r="C458" i="5"/>
  <c r="C467" i="5"/>
  <c r="C472" i="5"/>
  <c r="C481" i="5"/>
  <c r="D482" i="5" s="1"/>
  <c r="C488" i="5"/>
  <c r="C496" i="5"/>
  <c r="C511" i="5"/>
  <c r="C541" i="5"/>
  <c r="D542" i="5" s="1"/>
  <c r="C543" i="5"/>
  <c r="D545" i="5" s="1"/>
  <c r="C555" i="5"/>
  <c r="C566" i="5"/>
  <c r="C577" i="5"/>
  <c r="C598" i="5"/>
  <c r="C622" i="5"/>
  <c r="D624" i="5" s="1"/>
  <c r="C627" i="5"/>
  <c r="C632" i="5"/>
  <c r="C633" i="5"/>
  <c r="C667" i="5"/>
  <c r="C678" i="5"/>
  <c r="C702" i="5"/>
  <c r="D704" i="5" s="1"/>
  <c r="C712" i="5"/>
  <c r="C716" i="5"/>
  <c r="D716" i="5" s="1"/>
  <c r="C740" i="5"/>
  <c r="C757" i="5"/>
  <c r="D759" i="5" s="1"/>
  <c r="C763" i="5"/>
  <c r="C772" i="5"/>
  <c r="C789" i="5"/>
  <c r="C796" i="5"/>
  <c r="C41" i="8" s="1"/>
  <c r="C804" i="5"/>
  <c r="C49" i="8" s="1"/>
  <c r="C830" i="5"/>
  <c r="C75" i="8" s="1"/>
  <c r="C832" i="5"/>
  <c r="C841" i="5"/>
  <c r="C86" i="8" s="1"/>
  <c r="C854" i="5"/>
  <c r="C99" i="8" s="1"/>
  <c r="C858" i="5"/>
  <c r="C865" i="5"/>
  <c r="D865" i="5" s="1"/>
  <c r="C876" i="5"/>
  <c r="C121" i="8" s="1"/>
  <c r="C880" i="5"/>
  <c r="C904" i="5"/>
  <c r="D904" i="5" s="1"/>
  <c r="C909" i="5"/>
  <c r="C963" i="5"/>
  <c r="D967" i="5"/>
  <c r="C980" i="5"/>
  <c r="C225" i="8" s="1"/>
  <c r="C985" i="5"/>
  <c r="C230" i="8" s="1"/>
  <c r="C989" i="5"/>
  <c r="D991" i="5" s="1"/>
  <c r="C996" i="5"/>
  <c r="C133" i="5"/>
  <c r="C138" i="5"/>
  <c r="C147" i="5"/>
  <c r="C152" i="5"/>
  <c r="C161" i="5"/>
  <c r="C168" i="5"/>
  <c r="C176" i="5"/>
  <c r="D176" i="5" s="1"/>
  <c r="C191" i="5"/>
  <c r="C231" i="5"/>
  <c r="C239" i="5"/>
  <c r="D240" i="5" s="1"/>
  <c r="C248" i="5"/>
  <c r="D250" i="5" s="1"/>
  <c r="C252" i="5"/>
  <c r="D252" i="5" s="1"/>
  <c r="C272" i="5"/>
  <c r="C277" i="5"/>
  <c r="D277" i="5" s="1"/>
  <c r="C285" i="5"/>
  <c r="D287" i="5" s="1"/>
  <c r="C287" i="5"/>
  <c r="C335" i="5"/>
  <c r="C348" i="5"/>
  <c r="D350" i="5" s="1"/>
  <c r="C366" i="5"/>
  <c r="C374" i="5"/>
  <c r="C378" i="5"/>
  <c r="C384" i="5"/>
  <c r="C428" i="5"/>
  <c r="D428" i="5" s="1"/>
  <c r="C436" i="5"/>
  <c r="C451" i="5"/>
  <c r="D452" i="5" s="1"/>
  <c r="C462" i="5"/>
  <c r="D464" i="5" s="1"/>
  <c r="C470" i="5"/>
  <c r="D471" i="5" s="1"/>
  <c r="C475" i="5"/>
  <c r="C480" i="5"/>
  <c r="C491" i="5"/>
  <c r="C514" i="5"/>
  <c r="D516" i="5" s="1"/>
  <c r="C519" i="5"/>
  <c r="C576" i="5"/>
  <c r="D577" i="5" s="1"/>
  <c r="C592" i="5"/>
  <c r="C597" i="5"/>
  <c r="D599" i="5" s="1"/>
  <c r="C603" i="5"/>
  <c r="C608" i="5"/>
  <c r="C609" i="5"/>
  <c r="C616" i="5"/>
  <c r="C626" i="5"/>
  <c r="C631" i="5"/>
  <c r="C645" i="5"/>
  <c r="D645" i="5" s="1"/>
  <c r="C650" i="5"/>
  <c r="D652" i="5" s="1"/>
  <c r="C660" i="5"/>
  <c r="D661" i="5" s="1"/>
  <c r="C672" i="5"/>
  <c r="C677" i="5"/>
  <c r="D679" i="5" s="1"/>
  <c r="C684" i="5"/>
  <c r="C715" i="5"/>
  <c r="C724" i="5"/>
  <c r="D726" i="5" s="1"/>
  <c r="C734" i="5"/>
  <c r="D736" i="5" s="1"/>
  <c r="C738" i="5"/>
  <c r="D740" i="5" s="1"/>
  <c r="C743" i="5"/>
  <c r="C762" i="5"/>
  <c r="C775" i="5"/>
  <c r="D776" i="5" s="1"/>
  <c r="C799" i="5"/>
  <c r="C829" i="5"/>
  <c r="C831" i="5"/>
  <c r="C836" i="5"/>
  <c r="C869" i="5"/>
  <c r="C114" i="8" s="1"/>
  <c r="C875" i="5"/>
  <c r="C120" i="8" s="1"/>
  <c r="C892" i="5"/>
  <c r="C903" i="5"/>
  <c r="C907" i="5"/>
  <c r="C152" i="8" s="1"/>
  <c r="C924" i="5"/>
  <c r="C941" i="5"/>
  <c r="D943" i="5" s="1"/>
  <c r="C984" i="5"/>
  <c r="C229" i="8" s="1"/>
  <c r="C994" i="5"/>
  <c r="D496" i="5"/>
  <c r="C20" i="8"/>
  <c r="C25" i="8"/>
  <c r="D696" i="5"/>
  <c r="C56" i="8"/>
  <c r="D813" i="5"/>
  <c r="C45" i="8"/>
  <c r="D432" i="5"/>
  <c r="D741" i="5"/>
  <c r="C53" i="8"/>
  <c r="D118" i="5"/>
  <c r="D580" i="5"/>
  <c r="D644" i="5"/>
  <c r="C798" i="5"/>
  <c r="C797" i="5"/>
  <c r="D797" i="5" s="1"/>
  <c r="C67" i="8"/>
  <c r="C19" i="5"/>
  <c r="D21" i="5" s="1"/>
  <c r="C83" i="5"/>
  <c r="D85" i="5" s="1"/>
  <c r="C107" i="5"/>
  <c r="C108" i="5"/>
  <c r="C141" i="5"/>
  <c r="D143" i="5" s="1"/>
  <c r="C215" i="5"/>
  <c r="C306" i="5"/>
  <c r="D308" i="5" s="1"/>
  <c r="C343" i="5"/>
  <c r="C370" i="5"/>
  <c r="C461" i="5"/>
  <c r="C471" i="5"/>
  <c r="D473" i="5" s="1"/>
  <c r="D527" i="5"/>
  <c r="D537" i="5"/>
  <c r="C122" i="8"/>
  <c r="C75" i="5"/>
  <c r="C76" i="5"/>
  <c r="D78" i="5" s="1"/>
  <c r="C113" i="5"/>
  <c r="C114" i="5"/>
  <c r="D116" i="5" s="1"/>
  <c r="D168" i="5"/>
  <c r="D455" i="5"/>
  <c r="D533" i="5"/>
  <c r="D552" i="5"/>
  <c r="D560" i="5"/>
  <c r="D570" i="5"/>
  <c r="D166" i="5"/>
  <c r="C13" i="5"/>
  <c r="D61" i="5"/>
  <c r="C81" i="5"/>
  <c r="C82" i="5"/>
  <c r="D84" i="5" s="1"/>
  <c r="C100" i="5"/>
  <c r="D102" i="5" s="1"/>
  <c r="C41" i="5"/>
  <c r="D43" i="5" s="1"/>
  <c r="C49" i="5"/>
  <c r="C50" i="5"/>
  <c r="C73" i="5"/>
  <c r="D99" i="5"/>
  <c r="C134" i="5"/>
  <c r="D136" i="5" s="1"/>
  <c r="D167" i="5"/>
  <c r="C198" i="5"/>
  <c r="D200" i="5" s="1"/>
  <c r="D231" i="5"/>
  <c r="C262" i="5"/>
  <c r="D264" i="5" s="1"/>
  <c r="D295" i="5"/>
  <c r="C326" i="5"/>
  <c r="C390" i="5"/>
  <c r="D392" i="5" s="1"/>
  <c r="C454" i="5"/>
  <c r="D456" i="5" s="1"/>
  <c r="C518" i="5"/>
  <c r="D520" i="5" s="1"/>
  <c r="D551" i="5"/>
  <c r="C582" i="5"/>
  <c r="D584" i="5" s="1"/>
  <c r="D615" i="5"/>
  <c r="C646" i="5"/>
  <c r="C721" i="5"/>
  <c r="D721" i="5" s="1"/>
  <c r="C744" i="5"/>
  <c r="C44" i="8"/>
  <c r="D827" i="5"/>
  <c r="C91" i="8"/>
  <c r="D848" i="5"/>
  <c r="C93" i="8"/>
  <c r="D850" i="5"/>
  <c r="C112" i="8"/>
  <c r="C128" i="8"/>
  <c r="D885" i="5"/>
  <c r="C130" i="8"/>
  <c r="D887" i="5"/>
  <c r="C148" i="8"/>
  <c r="C90" i="8"/>
  <c r="D847" i="5"/>
  <c r="C92" i="8"/>
  <c r="D849" i="5"/>
  <c r="C115" i="8"/>
  <c r="C146" i="8"/>
  <c r="C147" i="8"/>
  <c r="D196" i="5"/>
  <c r="C709" i="5"/>
  <c r="C711" i="5"/>
  <c r="C15" i="8"/>
  <c r="C17" i="8"/>
  <c r="C23" i="8"/>
  <c r="D780" i="5"/>
  <c r="C38" i="8"/>
  <c r="C821" i="5"/>
  <c r="C823" i="5"/>
  <c r="D845" i="5"/>
  <c r="C108" i="8"/>
  <c r="C110" i="8"/>
  <c r="C900" i="5"/>
  <c r="C150" i="8"/>
  <c r="C156" i="8"/>
  <c r="C157" i="8"/>
  <c r="C143" i="8"/>
  <c r="D898" i="5"/>
  <c r="C155" i="8"/>
  <c r="D912" i="5"/>
  <c r="D104" i="5"/>
  <c r="D388" i="5"/>
  <c r="D616" i="5"/>
  <c r="C674" i="5"/>
  <c r="D676" i="5" s="1"/>
  <c r="D684" i="5"/>
  <c r="D728" i="5"/>
  <c r="C741" i="5"/>
  <c r="C8" i="8"/>
  <c r="C13" i="8"/>
  <c r="C785" i="5"/>
  <c r="D785" i="5" s="1"/>
  <c r="C802" i="5"/>
  <c r="C61" i="8"/>
  <c r="D818" i="5"/>
  <c r="C837" i="5"/>
  <c r="C839" i="5"/>
  <c r="C125" i="8"/>
  <c r="C153" i="8"/>
  <c r="D910" i="5"/>
  <c r="C180" i="8"/>
  <c r="D937" i="5"/>
  <c r="C184" i="8"/>
  <c r="C190" i="8"/>
  <c r="C194" i="8"/>
  <c r="C29" i="8"/>
  <c r="C57" i="5"/>
  <c r="D36" i="5"/>
  <c r="D124" i="5"/>
  <c r="C151" i="5"/>
  <c r="D153" i="5" s="1"/>
  <c r="C178" i="5"/>
  <c r="D180" i="5" s="1"/>
  <c r="C205" i="5"/>
  <c r="D207" i="5" s="1"/>
  <c r="C279" i="5"/>
  <c r="D281" i="5" s="1"/>
  <c r="D316" i="5"/>
  <c r="D364" i="5"/>
  <c r="D380" i="5"/>
  <c r="C434" i="5"/>
  <c r="D436" i="5" s="1"/>
  <c r="D665" i="5"/>
  <c r="C36" i="8"/>
  <c r="D793" i="5"/>
  <c r="C31" i="5"/>
  <c r="D31" i="5" s="1"/>
  <c r="C32" i="5"/>
  <c r="D34" i="5" s="1"/>
  <c r="D122" i="5"/>
  <c r="D213" i="5"/>
  <c r="D341" i="5"/>
  <c r="D378" i="5"/>
  <c r="D488" i="5"/>
  <c r="D130" i="5"/>
  <c r="C226" i="5"/>
  <c r="D228" i="5" s="1"/>
  <c r="D258" i="5"/>
  <c r="D259" i="5"/>
  <c r="C290" i="5"/>
  <c r="D292" i="5" s="1"/>
  <c r="D322" i="5"/>
  <c r="D323" i="5"/>
  <c r="C354" i="5"/>
  <c r="D387" i="5"/>
  <c r="C418" i="5"/>
  <c r="D420" i="5" s="1"/>
  <c r="D450" i="5"/>
  <c r="D451" i="5"/>
  <c r="C482" i="5"/>
  <c r="D484" i="5" s="1"/>
  <c r="D514" i="5"/>
  <c r="C546" i="5"/>
  <c r="D548" i="5" s="1"/>
  <c r="D579" i="5"/>
  <c r="C610" i="5"/>
  <c r="D612" i="5" s="1"/>
  <c r="D642" i="5"/>
  <c r="D643" i="5"/>
  <c r="D680" i="5"/>
  <c r="C691" i="5"/>
  <c r="D692" i="5" s="1"/>
  <c r="C693" i="5"/>
  <c r="D695" i="5" s="1"/>
  <c r="C737" i="5"/>
  <c r="D739" i="5" s="1"/>
  <c r="C754" i="5"/>
  <c r="D756" i="5" s="1"/>
  <c r="D758" i="5"/>
  <c r="C7" i="8"/>
  <c r="D764" i="5"/>
  <c r="C58" i="8"/>
  <c r="D814" i="5"/>
  <c r="C815" i="5"/>
  <c r="D835" i="5"/>
  <c r="C101" i="8"/>
  <c r="D858" i="5"/>
  <c r="C118" i="8"/>
  <c r="D875" i="5"/>
  <c r="C139" i="8"/>
  <c r="C165" i="8"/>
  <c r="D921" i="5"/>
  <c r="D920" i="5"/>
  <c r="C217" i="8"/>
  <c r="D974" i="5"/>
  <c r="D324" i="5"/>
  <c r="D546" i="5"/>
  <c r="C24" i="8"/>
  <c r="C69" i="8"/>
  <c r="D826" i="5"/>
  <c r="D188" i="5"/>
  <c r="D236" i="5"/>
  <c r="C242" i="5"/>
  <c r="C269" i="5"/>
  <c r="C498" i="5"/>
  <c r="D500" i="5" s="1"/>
  <c r="D556" i="5"/>
  <c r="D564" i="5"/>
  <c r="D601" i="5"/>
  <c r="D628" i="5"/>
  <c r="D655" i="5"/>
  <c r="C34" i="8"/>
  <c r="C83" i="8"/>
  <c r="D37" i="5"/>
  <c r="C51" i="5"/>
  <c r="D53" i="5" s="1"/>
  <c r="C95" i="5"/>
  <c r="D95" i="5" s="1"/>
  <c r="C96" i="5"/>
  <c r="D98" i="5" s="1"/>
  <c r="D232" i="5"/>
  <c r="D506" i="5"/>
  <c r="D131" i="5"/>
  <c r="D69" i="5"/>
  <c r="C105" i="5"/>
  <c r="C125" i="5"/>
  <c r="D127" i="5" s="1"/>
  <c r="D157" i="5"/>
  <c r="D160" i="5"/>
  <c r="C189" i="5"/>
  <c r="D191" i="5" s="1"/>
  <c r="D221" i="5"/>
  <c r="D224" i="5"/>
  <c r="C253" i="5"/>
  <c r="D255" i="5" s="1"/>
  <c r="D288" i="5"/>
  <c r="C317" i="5"/>
  <c r="D319" i="5" s="1"/>
  <c r="D349" i="5"/>
  <c r="D352" i="5"/>
  <c r="C381" i="5"/>
  <c r="D383" i="5" s="1"/>
  <c r="D416" i="5"/>
  <c r="C445" i="5"/>
  <c r="D447" i="5" s="1"/>
  <c r="D477" i="5"/>
  <c r="D480" i="5"/>
  <c r="C509" i="5"/>
  <c r="D511" i="5" s="1"/>
  <c r="C573" i="5"/>
  <c r="D575" i="5" s="1"/>
  <c r="D605" i="5"/>
  <c r="D608" i="5"/>
  <c r="C637" i="5"/>
  <c r="D639" i="5" s="1"/>
  <c r="D674" i="5"/>
  <c r="C689" i="5"/>
  <c r="C706" i="5"/>
  <c r="C771" i="5"/>
  <c r="C773" i="5"/>
  <c r="D832" i="5"/>
  <c r="C77" i="8"/>
  <c r="D834" i="5"/>
  <c r="C853" i="5"/>
  <c r="C855" i="5"/>
  <c r="D873" i="5"/>
  <c r="C182" i="8"/>
  <c r="C202" i="8"/>
  <c r="D132" i="5"/>
  <c r="D260" i="5"/>
  <c r="D547" i="5"/>
  <c r="D610" i="5"/>
  <c r="D694" i="5"/>
  <c r="C55" i="8"/>
  <c r="D812" i="5"/>
  <c r="C70" i="5"/>
  <c r="D72" i="5" s="1"/>
  <c r="D172" i="5"/>
  <c r="D300" i="5"/>
  <c r="C333" i="5"/>
  <c r="D335" i="5" s="1"/>
  <c r="C397" i="5"/>
  <c r="D399" i="5" s="1"/>
  <c r="C407" i="5"/>
  <c r="D409" i="5" s="1"/>
  <c r="D444" i="5"/>
  <c r="D591" i="5"/>
  <c r="D620" i="5"/>
  <c r="D690" i="5"/>
  <c r="C48" i="8"/>
  <c r="D819" i="5"/>
  <c r="D263" i="5"/>
  <c r="C17" i="5"/>
  <c r="C162" i="5"/>
  <c r="D164" i="5" s="1"/>
  <c r="C63" i="5"/>
  <c r="D65" i="5" s="1"/>
  <c r="C64" i="5"/>
  <c r="D66" i="5" s="1"/>
  <c r="C18" i="5"/>
  <c r="C28" i="5"/>
  <c r="D30" i="5" s="1"/>
  <c r="C44" i="5"/>
  <c r="D44" i="5" s="1"/>
  <c r="D58" i="5"/>
  <c r="C92" i="5"/>
  <c r="D94" i="5" s="1"/>
  <c r="C110" i="5"/>
  <c r="D123" i="5"/>
  <c r="C140" i="5"/>
  <c r="D142" i="5" s="1"/>
  <c r="C146" i="5"/>
  <c r="D150" i="5"/>
  <c r="C154" i="5"/>
  <c r="D156" i="5" s="1"/>
  <c r="C173" i="5"/>
  <c r="C181" i="5"/>
  <c r="C183" i="5"/>
  <c r="D187" i="5"/>
  <c r="C204" i="5"/>
  <c r="D206" i="5" s="1"/>
  <c r="C210" i="5"/>
  <c r="D212" i="5" s="1"/>
  <c r="D214" i="5"/>
  <c r="C218" i="5"/>
  <c r="D220" i="5" s="1"/>
  <c r="C237" i="5"/>
  <c r="D239" i="5" s="1"/>
  <c r="C245" i="5"/>
  <c r="C247" i="5"/>
  <c r="D251" i="5"/>
  <c r="D268" i="5"/>
  <c r="C268" i="5"/>
  <c r="C274" i="5"/>
  <c r="D276" i="5" s="1"/>
  <c r="D278" i="5"/>
  <c r="C282" i="5"/>
  <c r="D284" i="5" s="1"/>
  <c r="C301" i="5"/>
  <c r="D303" i="5" s="1"/>
  <c r="C309" i="5"/>
  <c r="D309" i="5" s="1"/>
  <c r="C311" i="5"/>
  <c r="D315" i="5"/>
  <c r="C332" i="5"/>
  <c r="C338" i="5"/>
  <c r="C346" i="5"/>
  <c r="D348" i="5" s="1"/>
  <c r="C365" i="5"/>
  <c r="D369" i="5"/>
  <c r="C373" i="5"/>
  <c r="C375" i="5"/>
  <c r="C396" i="5"/>
  <c r="C402" i="5"/>
  <c r="D404" i="5" s="1"/>
  <c r="D406" i="5"/>
  <c r="C410" i="5"/>
  <c r="D412" i="5" s="1"/>
  <c r="C429" i="5"/>
  <c r="D431" i="5" s="1"/>
  <c r="C437" i="5"/>
  <c r="C439" i="5"/>
  <c r="D443" i="5"/>
  <c r="C460" i="5"/>
  <c r="C466" i="5"/>
  <c r="D468" i="5" s="1"/>
  <c r="D470" i="5"/>
  <c r="C474" i="5"/>
  <c r="D476" i="5" s="1"/>
  <c r="C493" i="5"/>
  <c r="D495" i="5" s="1"/>
  <c r="C501" i="5"/>
  <c r="D501" i="5" s="1"/>
  <c r="C503" i="5"/>
  <c r="D507" i="5"/>
  <c r="C524" i="5"/>
  <c r="D526" i="5" s="1"/>
  <c r="C530" i="5"/>
  <c r="D532" i="5" s="1"/>
  <c r="D534" i="5"/>
  <c r="C538" i="5"/>
  <c r="D540" i="5" s="1"/>
  <c r="C557" i="5"/>
  <c r="D559" i="5" s="1"/>
  <c r="C565" i="5"/>
  <c r="C567" i="5"/>
  <c r="D571" i="5"/>
  <c r="C588" i="5"/>
  <c r="C594" i="5"/>
  <c r="D596" i="5" s="1"/>
  <c r="D598" i="5"/>
  <c r="C602" i="5"/>
  <c r="D604" i="5" s="1"/>
  <c r="C621" i="5"/>
  <c r="D623" i="5" s="1"/>
  <c r="C629" i="5"/>
  <c r="D631" i="5" s="1"/>
  <c r="D635" i="5"/>
  <c r="C652" i="5"/>
  <c r="D654" i="5" s="1"/>
  <c r="C658" i="5"/>
  <c r="D662" i="5"/>
  <c r="C666" i="5"/>
  <c r="D668" i="5" s="1"/>
  <c r="D688" i="5"/>
  <c r="C723" i="5"/>
  <c r="D725" i="5" s="1"/>
  <c r="C769" i="5"/>
  <c r="D770" i="5" s="1"/>
  <c r="C786" i="5"/>
  <c r="D786" i="5" s="1"/>
  <c r="C33" i="8"/>
  <c r="D794" i="5"/>
  <c r="C74" i="8"/>
  <c r="D831" i="5"/>
  <c r="C76" i="8"/>
  <c r="D833" i="5"/>
  <c r="D851" i="5"/>
  <c r="C214" i="8"/>
  <c r="D969" i="5"/>
  <c r="C137" i="5"/>
  <c r="D138" i="5" s="1"/>
  <c r="C169" i="5"/>
  <c r="D171" i="5" s="1"/>
  <c r="C201" i="5"/>
  <c r="D203" i="5" s="1"/>
  <c r="C233" i="5"/>
  <c r="D235" i="5" s="1"/>
  <c r="C265" i="5"/>
  <c r="C297" i="5"/>
  <c r="C329" i="5"/>
  <c r="D331" i="5" s="1"/>
  <c r="C361" i="5"/>
  <c r="D363" i="5" s="1"/>
  <c r="C393" i="5"/>
  <c r="D395" i="5" s="1"/>
  <c r="C425" i="5"/>
  <c r="D427" i="5" s="1"/>
  <c r="C457" i="5"/>
  <c r="D459" i="5" s="1"/>
  <c r="C489" i="5"/>
  <c r="D491" i="5" s="1"/>
  <c r="C521" i="5"/>
  <c r="D523" i="5" s="1"/>
  <c r="C553" i="5"/>
  <c r="D555" i="5" s="1"/>
  <c r="C585" i="5"/>
  <c r="D587" i="5" s="1"/>
  <c r="C617" i="5"/>
  <c r="D619" i="5" s="1"/>
  <c r="C649" i="5"/>
  <c r="D651" i="5" s="1"/>
  <c r="D673" i="5"/>
  <c r="D689" i="5"/>
  <c r="D705" i="5"/>
  <c r="D753" i="5"/>
  <c r="C12" i="8"/>
  <c r="C28" i="8"/>
  <c r="C39" i="8"/>
  <c r="D796" i="5"/>
  <c r="C52" i="8"/>
  <c r="C809" i="5"/>
  <c r="D810" i="5" s="1"/>
  <c r="C893" i="5"/>
  <c r="C142" i="8"/>
  <c r="C950" i="5"/>
  <c r="C199" i="8"/>
  <c r="D956" i="5"/>
  <c r="C201" i="8"/>
  <c r="C234" i="8"/>
  <c r="C242" i="8"/>
  <c r="D999" i="5"/>
  <c r="C248" i="8"/>
  <c r="C177" i="8"/>
  <c r="D934" i="5"/>
  <c r="C179" i="8"/>
  <c r="D936" i="5"/>
  <c r="C181" i="8"/>
  <c r="C940" i="5"/>
  <c r="C187" i="8"/>
  <c r="D944" i="5"/>
  <c r="C189" i="8"/>
  <c r="D946" i="5"/>
  <c r="D954" i="5"/>
  <c r="C241" i="8"/>
  <c r="D998" i="5"/>
  <c r="C922" i="5"/>
  <c r="C923" i="5"/>
  <c r="C169" i="8"/>
  <c r="D930" i="5"/>
  <c r="C208" i="8"/>
  <c r="D965" i="5"/>
  <c r="C971" i="5"/>
  <c r="C218" i="8"/>
  <c r="D975" i="5"/>
  <c r="C979" i="5"/>
  <c r="C981" i="5"/>
  <c r="D982" i="5" s="1"/>
  <c r="C239" i="8"/>
  <c r="C204" i="8"/>
  <c r="D961" i="5"/>
  <c r="C206" i="8"/>
  <c r="C244" i="8"/>
  <c r="D1001" i="5"/>
  <c r="C249" i="8"/>
  <c r="C200" i="8"/>
  <c r="D957" i="5"/>
  <c r="D992" i="5"/>
  <c r="Q18" i="1"/>
  <c r="R18" i="1" s="1"/>
  <c r="C23" i="5"/>
  <c r="D25" i="5" s="1"/>
  <c r="C55" i="5"/>
  <c r="D55" i="5" s="1"/>
  <c r="C87" i="5"/>
  <c r="D89" i="5" s="1"/>
  <c r="C119" i="5"/>
  <c r="D121" i="5" s="1"/>
  <c r="C681" i="5"/>
  <c r="D683" i="5" s="1"/>
  <c r="C697" i="5"/>
  <c r="D699" i="5" s="1"/>
  <c r="C713" i="5"/>
  <c r="D715" i="5" s="1"/>
  <c r="C729" i="5"/>
  <c r="D731" i="5" s="1"/>
  <c r="C745" i="5"/>
  <c r="D747" i="5" s="1"/>
  <c r="C761" i="5"/>
  <c r="D762" i="5" s="1"/>
  <c r="C777" i="5"/>
  <c r="D777" i="5" s="1"/>
  <c r="D808" i="5"/>
  <c r="C104" i="8"/>
  <c r="D861" i="5"/>
  <c r="C862" i="5"/>
  <c r="D863" i="5" s="1"/>
  <c r="C866" i="5"/>
  <c r="C868" i="5"/>
  <c r="D869" i="5" s="1"/>
  <c r="C117" i="8"/>
  <c r="C878" i="5"/>
  <c r="D879" i="5" s="1"/>
  <c r="D886" i="5"/>
  <c r="C888" i="5"/>
  <c r="D888" i="5" s="1"/>
  <c r="C172" i="8"/>
  <c r="D929" i="5"/>
  <c r="C931" i="5"/>
  <c r="D931" i="5" s="1"/>
  <c r="C186" i="8"/>
  <c r="C947" i="5"/>
  <c r="D955" i="5"/>
  <c r="C986" i="5"/>
  <c r="C987" i="5"/>
  <c r="C233" i="8"/>
  <c r="D990" i="5"/>
  <c r="C995" i="5"/>
  <c r="D996" i="5" s="1"/>
  <c r="C890" i="5"/>
  <c r="C891" i="5"/>
  <c r="C209" i="5"/>
  <c r="C241" i="5"/>
  <c r="D243" i="5" s="1"/>
  <c r="C305" i="5"/>
  <c r="D307" i="5" s="1"/>
  <c r="C401" i="5"/>
  <c r="D403" i="5" s="1"/>
  <c r="C433" i="5"/>
  <c r="D433" i="5" s="1"/>
  <c r="C465" i="5"/>
  <c r="D466" i="5" s="1"/>
  <c r="C497" i="5"/>
  <c r="D499" i="5" s="1"/>
  <c r="C529" i="5"/>
  <c r="D531" i="5" s="1"/>
  <c r="C561" i="5"/>
  <c r="D563" i="5" s="1"/>
  <c r="C593" i="5"/>
  <c r="D595" i="5" s="1"/>
  <c r="C625" i="5"/>
  <c r="D627" i="5" s="1"/>
  <c r="C657" i="5"/>
  <c r="D659" i="5" s="1"/>
  <c r="D768" i="5"/>
  <c r="D784" i="5"/>
  <c r="C801" i="5"/>
  <c r="D802" i="5" s="1"/>
  <c r="C63" i="8"/>
  <c r="D820" i="5"/>
  <c r="C65" i="8"/>
  <c r="D822" i="5"/>
  <c r="C71" i="8"/>
  <c r="D828" i="5"/>
  <c r="C73" i="8"/>
  <c r="D830" i="5"/>
  <c r="C79" i="8"/>
  <c r="D836" i="5"/>
  <c r="C81" i="8"/>
  <c r="D838" i="5"/>
  <c r="C87" i="8"/>
  <c r="D844" i="5"/>
  <c r="C89" i="8"/>
  <c r="D846" i="5"/>
  <c r="C95" i="8"/>
  <c r="D852" i="5"/>
  <c r="C97" i="8"/>
  <c r="D854" i="5"/>
  <c r="C103" i="8"/>
  <c r="D860" i="5"/>
  <c r="C105" i="8"/>
  <c r="C925" i="5"/>
  <c r="C174" i="8"/>
  <c r="D935" i="5"/>
  <c r="D945" i="5"/>
  <c r="C962" i="5"/>
  <c r="D963" i="5" s="1"/>
  <c r="C209" i="8"/>
  <c r="D966" i="5"/>
  <c r="C211" i="8"/>
  <c r="D968" i="5"/>
  <c r="C213" i="8"/>
  <c r="C219" i="8"/>
  <c r="D976" i="5"/>
  <c r="C221" i="8"/>
  <c r="D978" i="5"/>
  <c r="C245" i="8"/>
  <c r="C137" i="8"/>
  <c r="D894" i="5"/>
  <c r="C145" i="5"/>
  <c r="D147" i="5" s="1"/>
  <c r="C177" i="5"/>
  <c r="D179" i="5" s="1"/>
  <c r="C273" i="5"/>
  <c r="D275" i="5" s="1"/>
  <c r="C337" i="5"/>
  <c r="C369" i="5"/>
  <c r="C15" i="5"/>
  <c r="C47" i="5"/>
  <c r="D49" i="5" s="1"/>
  <c r="C79" i="5"/>
  <c r="D81" i="5" s="1"/>
  <c r="C111" i="5"/>
  <c r="D113" i="5" s="1"/>
  <c r="C669" i="5"/>
  <c r="D671" i="5" s="1"/>
  <c r="C685" i="5"/>
  <c r="D687" i="5" s="1"/>
  <c r="C701" i="5"/>
  <c r="D703" i="5" s="1"/>
  <c r="C717" i="5"/>
  <c r="D719" i="5" s="1"/>
  <c r="C733" i="5"/>
  <c r="D735" i="5" s="1"/>
  <c r="C749" i="5"/>
  <c r="D751" i="5" s="1"/>
  <c r="C765" i="5"/>
  <c r="D766" i="5" s="1"/>
  <c r="C781" i="5"/>
  <c r="D782" i="5" s="1"/>
  <c r="C805" i="5"/>
  <c r="D805" i="5" s="1"/>
  <c r="D816" i="5"/>
  <c r="C140" i="8"/>
  <c r="D897" i="5"/>
  <c r="C899" i="5"/>
  <c r="D899" i="5" s="1"/>
  <c r="C154" i="8"/>
  <c r="D911" i="5"/>
  <c r="C915" i="5"/>
  <c r="C917" i="5"/>
  <c r="D923" i="5"/>
  <c r="C958" i="5"/>
  <c r="C236" i="8"/>
  <c r="D993" i="5"/>
  <c r="C238" i="8"/>
  <c r="D995" i="5"/>
  <c r="D994" i="5"/>
  <c r="C243" i="8"/>
  <c r="D1000" i="5"/>
  <c r="D953" i="5"/>
  <c r="D980" i="5"/>
  <c r="D985" i="5"/>
  <c r="C10" i="6"/>
  <c r="E14" i="6"/>
  <c r="C17" i="6"/>
  <c r="E21" i="6"/>
  <c r="C26" i="6"/>
  <c r="E30" i="6"/>
  <c r="C33" i="6"/>
  <c r="E37" i="6"/>
  <c r="C42" i="6"/>
  <c r="C49" i="6"/>
  <c r="E53" i="6"/>
  <c r="C58" i="6"/>
  <c r="C65" i="6"/>
  <c r="E69" i="6"/>
  <c r="C74" i="6"/>
  <c r="C81" i="6"/>
  <c r="E85" i="6"/>
  <c r="C90" i="6"/>
  <c r="C97" i="6"/>
  <c r="E101" i="6"/>
  <c r="C106" i="6"/>
  <c r="C113" i="6"/>
  <c r="E117" i="6"/>
  <c r="C129" i="6"/>
  <c r="E133" i="6"/>
  <c r="C145" i="6"/>
  <c r="E149" i="6"/>
  <c r="C161" i="6"/>
  <c r="E165" i="6"/>
  <c r="C177" i="6"/>
  <c r="E181" i="6"/>
  <c r="C193" i="6"/>
  <c r="C209" i="6"/>
  <c r="C225" i="6"/>
  <c r="C241" i="6"/>
  <c r="C257" i="6"/>
  <c r="C273" i="6"/>
  <c r="C289" i="6"/>
  <c r="C305" i="6"/>
  <c r="C321" i="6"/>
  <c r="C337" i="6"/>
  <c r="C353" i="6"/>
  <c r="C369" i="6"/>
  <c r="C385" i="6"/>
  <c r="C401" i="6"/>
  <c r="C417" i="6"/>
  <c r="C433" i="6"/>
  <c r="C449" i="6"/>
  <c r="C465" i="6"/>
  <c r="C481" i="6"/>
  <c r="C497" i="6"/>
  <c r="C513" i="6"/>
  <c r="C529" i="6"/>
  <c r="C545" i="6"/>
  <c r="C561" i="6"/>
  <c r="C577" i="6"/>
  <c r="C593" i="6"/>
  <c r="C609" i="6"/>
  <c r="C625" i="6"/>
  <c r="C641" i="6"/>
  <c r="C657" i="6"/>
  <c r="C673" i="6"/>
  <c r="C689" i="6"/>
  <c r="C705" i="6"/>
  <c r="C721" i="6"/>
  <c r="C737" i="6"/>
  <c r="C753" i="6"/>
  <c r="C769" i="6"/>
  <c r="C785" i="6"/>
  <c r="C801" i="6"/>
  <c r="C817" i="6"/>
  <c r="C833" i="6"/>
  <c r="C849" i="6"/>
  <c r="C865" i="6"/>
  <c r="C881" i="6"/>
  <c r="C897" i="6"/>
  <c r="C907" i="6"/>
  <c r="C915" i="6"/>
  <c r="C923" i="6"/>
  <c r="C931" i="6"/>
  <c r="E42" i="6"/>
  <c r="E58" i="6"/>
  <c r="E74" i="6"/>
  <c r="E90" i="6"/>
  <c r="E106" i="6"/>
  <c r="E122" i="6"/>
  <c r="E138" i="6"/>
  <c r="E154" i="6"/>
  <c r="E170" i="6"/>
  <c r="E186" i="6"/>
  <c r="E38" i="6"/>
  <c r="E54" i="6"/>
  <c r="E70" i="6"/>
  <c r="E86" i="6"/>
  <c r="E102" i="6"/>
  <c r="E118" i="6"/>
  <c r="E134" i="6"/>
  <c r="E150" i="6"/>
  <c r="E166" i="6"/>
  <c r="E182" i="6"/>
  <c r="C903" i="6"/>
  <c r="C911" i="6"/>
  <c r="C919" i="6"/>
  <c r="C927" i="6"/>
  <c r="C935" i="6"/>
  <c r="C943" i="6"/>
  <c r="C882" i="5"/>
  <c r="C914" i="5"/>
  <c r="C946" i="5"/>
  <c r="C7" i="6"/>
  <c r="C23" i="6"/>
  <c r="C39" i="6"/>
  <c r="C55" i="6"/>
  <c r="C71" i="6"/>
  <c r="C87" i="6"/>
  <c r="C103" i="6"/>
  <c r="C119" i="6"/>
  <c r="C135" i="6"/>
  <c r="C151" i="6"/>
  <c r="C167" i="6"/>
  <c r="C183" i="6"/>
  <c r="C199" i="6"/>
  <c r="C215" i="6"/>
  <c r="C231" i="6"/>
  <c r="C247" i="6"/>
  <c r="C263" i="6"/>
  <c r="C279" i="6"/>
  <c r="C295" i="6"/>
  <c r="C311" i="6"/>
  <c r="C327" i="6"/>
  <c r="C343" i="6"/>
  <c r="C359" i="6"/>
  <c r="C375" i="6"/>
  <c r="C391" i="6"/>
  <c r="C407" i="6"/>
  <c r="C423" i="6"/>
  <c r="C439" i="6"/>
  <c r="C455" i="6"/>
  <c r="C471" i="6"/>
  <c r="C487" i="6"/>
  <c r="C503" i="6"/>
  <c r="C519" i="6"/>
  <c r="C535" i="6"/>
  <c r="C551" i="6"/>
  <c r="C567" i="6"/>
  <c r="C583" i="6"/>
  <c r="C599" i="6"/>
  <c r="C615" i="6"/>
  <c r="C631" i="6"/>
  <c r="C647" i="6"/>
  <c r="C663" i="6"/>
  <c r="C679" i="6"/>
  <c r="C695" i="6"/>
  <c r="C711" i="6"/>
  <c r="C727" i="6"/>
  <c r="C743" i="6"/>
  <c r="C759" i="6"/>
  <c r="C775" i="6"/>
  <c r="C791" i="6"/>
  <c r="C807" i="6"/>
  <c r="C823" i="6"/>
  <c r="C839" i="6"/>
  <c r="C855" i="6"/>
  <c r="C871" i="6"/>
  <c r="C887" i="6"/>
  <c r="C1005" i="5"/>
  <c r="D1005" i="5" s="1"/>
  <c r="C21" i="6"/>
  <c r="C37" i="6"/>
  <c r="C53" i="6"/>
  <c r="C69" i="6"/>
  <c r="C85" i="6"/>
  <c r="C101" i="6"/>
  <c r="C117" i="6"/>
  <c r="C133" i="6"/>
  <c r="C149" i="6"/>
  <c r="C165" i="6"/>
  <c r="C181" i="6"/>
  <c r="C197" i="6"/>
  <c r="C213" i="6"/>
  <c r="C229" i="6"/>
  <c r="C245" i="6"/>
  <c r="C261" i="6"/>
  <c r="C277" i="6"/>
  <c r="C293" i="6"/>
  <c r="C309" i="6"/>
  <c r="C325" i="6"/>
  <c r="C341" i="6"/>
  <c r="C357" i="6"/>
  <c r="C373" i="6"/>
  <c r="C389" i="6"/>
  <c r="C405" i="6"/>
  <c r="C421" i="6"/>
  <c r="C437" i="6"/>
  <c r="C453" i="6"/>
  <c r="C469" i="6"/>
  <c r="C485" i="6"/>
  <c r="C501" i="6"/>
  <c r="C517" i="6"/>
  <c r="C533" i="6"/>
  <c r="C549" i="6"/>
  <c r="C565" i="6"/>
  <c r="C581" i="6"/>
  <c r="C597" i="6"/>
  <c r="C613" i="6"/>
  <c r="C629" i="6"/>
  <c r="C645" i="6"/>
  <c r="C661" i="6"/>
  <c r="C677" i="6"/>
  <c r="C693" i="6"/>
  <c r="C709" i="6"/>
  <c r="C725" i="6"/>
  <c r="C741" i="6"/>
  <c r="C757" i="6"/>
  <c r="C773" i="6"/>
  <c r="C789" i="6"/>
  <c r="C805" i="6"/>
  <c r="C821" i="6"/>
  <c r="C837" i="6"/>
  <c r="C853" i="6"/>
  <c r="C869" i="6"/>
  <c r="C885" i="6"/>
  <c r="C901" i="6"/>
  <c r="C909" i="6"/>
  <c r="C917" i="6"/>
  <c r="C925" i="6"/>
  <c r="C933" i="6"/>
  <c r="C941" i="6"/>
  <c r="C874" i="5"/>
  <c r="D874" i="5" s="1"/>
  <c r="C906" i="5"/>
  <c r="D907" i="5" s="1"/>
  <c r="C938" i="5"/>
  <c r="D938" i="5" s="1"/>
  <c r="C970" i="5"/>
  <c r="D971" i="5" s="1"/>
  <c r="C1002" i="5"/>
  <c r="C19" i="6"/>
  <c r="C35" i="6"/>
  <c r="C51" i="6"/>
  <c r="C67" i="6"/>
  <c r="C83" i="6"/>
  <c r="C99" i="6"/>
  <c r="C115" i="6"/>
  <c r="C131" i="6"/>
  <c r="C147" i="6"/>
  <c r="C163" i="6"/>
  <c r="C179" i="6"/>
  <c r="C195" i="6"/>
  <c r="C211" i="6"/>
  <c r="C227" i="6"/>
  <c r="C243" i="6"/>
  <c r="C259" i="6"/>
  <c r="C275" i="6"/>
  <c r="C291" i="6"/>
  <c r="C307" i="6"/>
  <c r="C323" i="6"/>
  <c r="C339" i="6"/>
  <c r="C355" i="6"/>
  <c r="C371" i="6"/>
  <c r="C387" i="6"/>
  <c r="C403" i="6"/>
  <c r="C419" i="6"/>
  <c r="C435" i="6"/>
  <c r="C451" i="6"/>
  <c r="C467" i="6"/>
  <c r="C483" i="6"/>
  <c r="C499" i="6"/>
  <c r="C515" i="6"/>
  <c r="C531" i="6"/>
  <c r="C547" i="6"/>
  <c r="C563" i="6"/>
  <c r="C579" i="6"/>
  <c r="C595" i="6"/>
  <c r="C611" i="6"/>
  <c r="C627" i="6"/>
  <c r="C643" i="6"/>
  <c r="C659" i="6"/>
  <c r="C675" i="6"/>
  <c r="C691" i="6"/>
  <c r="C707" i="6"/>
  <c r="C723" i="6"/>
  <c r="C739" i="6"/>
  <c r="C755" i="6"/>
  <c r="C771" i="6"/>
  <c r="C787" i="6"/>
  <c r="C803" i="6"/>
  <c r="C819" i="6"/>
  <c r="C835" i="6"/>
  <c r="C851" i="6"/>
  <c r="C867" i="6"/>
  <c r="C883" i="6"/>
  <c r="C899" i="6"/>
  <c r="E1058" i="6"/>
  <c r="C1063" i="6"/>
  <c r="E1067" i="6"/>
  <c r="E1074" i="6"/>
  <c r="C1079" i="6"/>
  <c r="E1083" i="6"/>
  <c r="E1090" i="6"/>
  <c r="C1095" i="6"/>
  <c r="E1099" i="6"/>
  <c r="E1106" i="6"/>
  <c r="C1111" i="6"/>
  <c r="E1115" i="6"/>
  <c r="E1122" i="6"/>
  <c r="C1127" i="6"/>
  <c r="E1131" i="6"/>
  <c r="E1138" i="6"/>
  <c r="C1143" i="6"/>
  <c r="E1147" i="6"/>
  <c r="E1154" i="6"/>
  <c r="C1159" i="6"/>
  <c r="E1163" i="6"/>
  <c r="E1170" i="6"/>
  <c r="C1175" i="6"/>
  <c r="E1179" i="6"/>
  <c r="E1186" i="6"/>
  <c r="C1191" i="6"/>
  <c r="E1195" i="6"/>
  <c r="E1202" i="6"/>
  <c r="C1207" i="6"/>
  <c r="E1211" i="6"/>
  <c r="E1218" i="6"/>
  <c r="C1223" i="6"/>
  <c r="E1227" i="6"/>
  <c r="C1230" i="6"/>
  <c r="C1235" i="6"/>
  <c r="E1244" i="6"/>
  <c r="C1247" i="6"/>
  <c r="C1259" i="6"/>
  <c r="E1278" i="6"/>
  <c r="E1285" i="6"/>
  <c r="E1290" i="6"/>
  <c r="C1305" i="6"/>
  <c r="C1320" i="6"/>
  <c r="C1330" i="6"/>
  <c r="C1348" i="6"/>
  <c r="C1366" i="6"/>
  <c r="C1371" i="6"/>
  <c r="C1376" i="6"/>
  <c r="C1384" i="6"/>
  <c r="E1429" i="6"/>
  <c r="C1446" i="6"/>
  <c r="C1473" i="6"/>
  <c r="E1675" i="6"/>
  <c r="E1674" i="6"/>
  <c r="E1713" i="6"/>
  <c r="E1714" i="6"/>
  <c r="C1862" i="6"/>
  <c r="C1861" i="6"/>
  <c r="C1054" i="6"/>
  <c r="C1070" i="6"/>
  <c r="C1086" i="6"/>
  <c r="C1102" i="6"/>
  <c r="C1118" i="6"/>
  <c r="C1134" i="6"/>
  <c r="C1150" i="6"/>
  <c r="C1166" i="6"/>
  <c r="C1182" i="6"/>
  <c r="C1198" i="6"/>
  <c r="C1214" i="6"/>
  <c r="C1240" i="6"/>
  <c r="C1252" i="6"/>
  <c r="C1264" i="6"/>
  <c r="C1338" i="6"/>
  <c r="C1498" i="6"/>
  <c r="E1605" i="6"/>
  <c r="E1604" i="6"/>
  <c r="E1707" i="6"/>
  <c r="E1706" i="6"/>
  <c r="C1743" i="6"/>
  <c r="C1744" i="6"/>
  <c r="C1057" i="6"/>
  <c r="C1073" i="6"/>
  <c r="C1089" i="6"/>
  <c r="C1105" i="6"/>
  <c r="C1121" i="6"/>
  <c r="C1137" i="6"/>
  <c r="C1153" i="6"/>
  <c r="C1169" i="6"/>
  <c r="C1185" i="6"/>
  <c r="C1201" i="6"/>
  <c r="C1217" i="6"/>
  <c r="C1226" i="6"/>
  <c r="C1231" i="6"/>
  <c r="E1233" i="6"/>
  <c r="E1238" i="6"/>
  <c r="E1250" i="6"/>
  <c r="C1277" i="6"/>
  <c r="C1289" i="6"/>
  <c r="E1318" i="6"/>
  <c r="C1321" i="6"/>
  <c r="C1331" i="6"/>
  <c r="C1354" i="6"/>
  <c r="E1364" i="6"/>
  <c r="E1382" i="6"/>
  <c r="C1385" i="6"/>
  <c r="E1395" i="6"/>
  <c r="C1401" i="6"/>
  <c r="C1428" i="6"/>
  <c r="C1439" i="6"/>
  <c r="E1441" i="6"/>
  <c r="E1444" i="6"/>
  <c r="E1452" i="6"/>
  <c r="E1463" i="6"/>
  <c r="C1469" i="6"/>
  <c r="C1480" i="6"/>
  <c r="C1504" i="6"/>
  <c r="C1507" i="6"/>
  <c r="E1523" i="6"/>
  <c r="C1529" i="6"/>
  <c r="C1556" i="6"/>
  <c r="C1567" i="6"/>
  <c r="E1582" i="6"/>
  <c r="E1581" i="6"/>
  <c r="E1602" i="6"/>
  <c r="E1620" i="6"/>
  <c r="C1644" i="6"/>
  <c r="C1423" i="6"/>
  <c r="E1425" i="6"/>
  <c r="E1436" i="6"/>
  <c r="E1447" i="6"/>
  <c r="C1453" i="6"/>
  <c r="C1464" i="6"/>
  <c r="E1485" i="6"/>
  <c r="C1491" i="6"/>
  <c r="E1507" i="6"/>
  <c r="C1513" i="6"/>
  <c r="C1540" i="6"/>
  <c r="C1551" i="6"/>
  <c r="E1553" i="6"/>
  <c r="E1556" i="6"/>
  <c r="E1564" i="6"/>
  <c r="C1576" i="6"/>
  <c r="C1582" i="6"/>
  <c r="E1635" i="6"/>
  <c r="E1641" i="6"/>
  <c r="C1648" i="6"/>
  <c r="C1660" i="6"/>
  <c r="C1663" i="6"/>
  <c r="C1664" i="6"/>
  <c r="E1733" i="6"/>
  <c r="E1734" i="6"/>
  <c r="C1751" i="6"/>
  <c r="C1839" i="6"/>
  <c r="C1840" i="6"/>
  <c r="E1064" i="6"/>
  <c r="E1080" i="6"/>
  <c r="E1096" i="6"/>
  <c r="E1112" i="6"/>
  <c r="E1128" i="6"/>
  <c r="E1144" i="6"/>
  <c r="E1160" i="6"/>
  <c r="E1176" i="6"/>
  <c r="E1192" i="6"/>
  <c r="E1208" i="6"/>
  <c r="E1224" i="6"/>
  <c r="E1231" i="6"/>
  <c r="E1236" i="6"/>
  <c r="E1260" i="6"/>
  <c r="E1265" i="6"/>
  <c r="E1270" i="6"/>
  <c r="E1282" i="6"/>
  <c r="E1294" i="6"/>
  <c r="E1306" i="6"/>
  <c r="C1309" i="6"/>
  <c r="E1316" i="6"/>
  <c r="E1326" i="6"/>
  <c r="E1334" i="6"/>
  <c r="E1372" i="6"/>
  <c r="E1380" i="6"/>
  <c r="C1396" i="6"/>
  <c r="C1407" i="6"/>
  <c r="E1409" i="6"/>
  <c r="E1412" i="6"/>
  <c r="E1420" i="6"/>
  <c r="E1431" i="6"/>
  <c r="C1437" i="6"/>
  <c r="C1448" i="6"/>
  <c r="C1475" i="6"/>
  <c r="E1477" i="6"/>
  <c r="E1491" i="6"/>
  <c r="C1494" i="6"/>
  <c r="C1524" i="6"/>
  <c r="C1535" i="6"/>
  <c r="E1537" i="6"/>
  <c r="E1540" i="6"/>
  <c r="E1548" i="6"/>
  <c r="C1565" i="6"/>
  <c r="E1570" i="6"/>
  <c r="C1594" i="6"/>
  <c r="C1600" i="6"/>
  <c r="C1612" i="6"/>
  <c r="C1618" i="6"/>
  <c r="C1630" i="6"/>
  <c r="E1651" i="6"/>
  <c r="E1683" i="6"/>
  <c r="C1692" i="6"/>
  <c r="C1695" i="6"/>
  <c r="C1696" i="6"/>
  <c r="C1712" i="6"/>
  <c r="C1713" i="6"/>
  <c r="C1728" i="6"/>
  <c r="E1062" i="6"/>
  <c r="E1078" i="6"/>
  <c r="E1094" i="6"/>
  <c r="E1110" i="6"/>
  <c r="E1126" i="6"/>
  <c r="E1142" i="6"/>
  <c r="E1158" i="6"/>
  <c r="E1174" i="6"/>
  <c r="E1190" i="6"/>
  <c r="E1206" i="6"/>
  <c r="E1222" i="6"/>
  <c r="E1234" i="6"/>
  <c r="E1246" i="6"/>
  <c r="E1258" i="6"/>
  <c r="C1261" i="6"/>
  <c r="C1302" i="6"/>
  <c r="E1311" i="6"/>
  <c r="C1327" i="6"/>
  <c r="E1329" i="6"/>
  <c r="E1347" i="6"/>
  <c r="C1350" i="6"/>
  <c r="C1368" i="6"/>
  <c r="C1373" i="6"/>
  <c r="E1375" i="6"/>
  <c r="C1391" i="6"/>
  <c r="E1393" i="6"/>
  <c r="E1396" i="6"/>
  <c r="E1404" i="6"/>
  <c r="E1415" i="6"/>
  <c r="C1421" i="6"/>
  <c r="C1432" i="6"/>
  <c r="C1459" i="6"/>
  <c r="E1461" i="6"/>
  <c r="E1475" i="6"/>
  <c r="C1478" i="6"/>
  <c r="C1508" i="6"/>
  <c r="C1519" i="6"/>
  <c r="E1521" i="6"/>
  <c r="E1524" i="6"/>
  <c r="E1532" i="6"/>
  <c r="E1543" i="6"/>
  <c r="C1549" i="6"/>
  <c r="C1560" i="6"/>
  <c r="E1579" i="6"/>
  <c r="C1583" i="6"/>
  <c r="E1591" i="6"/>
  <c r="E1603" i="6"/>
  <c r="E1609" i="6"/>
  <c r="E1621" i="6"/>
  <c r="E1645" i="6"/>
  <c r="E1646" i="6"/>
  <c r="C1655" i="6"/>
  <c r="E1053" i="6"/>
  <c r="E1060" i="6"/>
  <c r="E1069" i="6"/>
  <c r="E1076" i="6"/>
  <c r="E1085" i="6"/>
  <c r="E1092" i="6"/>
  <c r="E1101" i="6"/>
  <c r="E1108" i="6"/>
  <c r="E1117" i="6"/>
  <c r="E1124" i="6"/>
  <c r="E1133" i="6"/>
  <c r="E1140" i="6"/>
  <c r="E1149" i="6"/>
  <c r="E1156" i="6"/>
  <c r="E1165" i="6"/>
  <c r="E1172" i="6"/>
  <c r="E1181" i="6"/>
  <c r="E1188" i="6"/>
  <c r="E1197" i="6"/>
  <c r="E1204" i="6"/>
  <c r="E1213" i="6"/>
  <c r="E1220" i="6"/>
  <c r="E1239" i="6"/>
  <c r="E1251" i="6"/>
  <c r="C1254" i="6"/>
  <c r="E1263" i="6"/>
  <c r="E1268" i="6"/>
  <c r="C1271" i="6"/>
  <c r="E1275" i="6"/>
  <c r="C1278" i="6"/>
  <c r="E1292" i="6"/>
  <c r="E1297" i="6"/>
  <c r="E1302" i="6"/>
  <c r="E1309" i="6"/>
  <c r="E1319" i="6"/>
  <c r="E1324" i="6"/>
  <c r="E1332" i="6"/>
  <c r="E1342" i="6"/>
  <c r="E1350" i="6"/>
  <c r="C1353" i="6"/>
  <c r="E1365" i="6"/>
  <c r="E1383" i="6"/>
  <c r="E1388" i="6"/>
  <c r="E1399" i="6"/>
  <c r="C1405" i="6"/>
  <c r="C1416" i="6"/>
  <c r="E1437" i="6"/>
  <c r="C1440" i="6"/>
  <c r="C1443" i="6"/>
  <c r="E1445" i="6"/>
  <c r="E1459" i="6"/>
  <c r="C1462" i="6"/>
  <c r="C1465" i="6"/>
  <c r="C1492" i="6"/>
  <c r="C1503" i="6"/>
  <c r="E1505" i="6"/>
  <c r="E1508" i="6"/>
  <c r="E1516" i="6"/>
  <c r="E1527" i="6"/>
  <c r="C1533" i="6"/>
  <c r="C1544" i="6"/>
  <c r="C1568" i="6"/>
  <c r="E1571" i="6"/>
  <c r="E1594" i="6"/>
  <c r="E1597" i="6"/>
  <c r="C1601" i="6"/>
  <c r="E1627" i="6"/>
  <c r="C1646" i="6"/>
  <c r="E1677" i="6"/>
  <c r="E1678" i="6"/>
  <c r="C1709" i="6"/>
  <c r="C1710" i="6"/>
  <c r="C1807" i="6"/>
  <c r="C1808" i="6"/>
  <c r="C2014" i="6"/>
  <c r="C2015" i="6"/>
  <c r="C1716" i="6"/>
  <c r="C1717" i="6"/>
  <c r="C1819" i="6"/>
  <c r="C1818" i="6"/>
  <c r="C1958" i="6"/>
  <c r="C1957" i="6"/>
  <c r="E1390" i="6"/>
  <c r="E1406" i="6"/>
  <c r="E1422" i="6"/>
  <c r="E1438" i="6"/>
  <c r="E1454" i="6"/>
  <c r="E1470" i="6"/>
  <c r="E1486" i="6"/>
  <c r="E1502" i="6"/>
  <c r="E1518" i="6"/>
  <c r="E1534" i="6"/>
  <c r="E1550" i="6"/>
  <c r="E1566" i="6"/>
  <c r="C1569" i="6"/>
  <c r="C1607" i="6"/>
  <c r="C1615" i="6"/>
  <c r="C1625" i="6"/>
  <c r="E1657" i="6"/>
  <c r="E1666" i="6"/>
  <c r="C1678" i="6"/>
  <c r="E1689" i="6"/>
  <c r="E1698" i="6"/>
  <c r="E1722" i="6"/>
  <c r="E1765" i="6"/>
  <c r="E1766" i="6"/>
  <c r="C1769" i="6"/>
  <c r="C1793" i="6"/>
  <c r="C1799" i="6"/>
  <c r="C1802" i="6"/>
  <c r="E1811" i="6"/>
  <c r="E1812" i="6"/>
  <c r="C1850" i="6"/>
  <c r="C1856" i="6"/>
  <c r="C1912" i="6"/>
  <c r="C1911" i="6"/>
  <c r="C2053" i="6"/>
  <c r="C2054" i="6"/>
  <c r="C2087" i="6"/>
  <c r="C2086" i="6"/>
  <c r="E1772" i="6"/>
  <c r="E1790" i="6"/>
  <c r="E1850" i="6"/>
  <c r="C1948" i="6"/>
  <c r="C1949" i="6"/>
  <c r="C2046" i="6"/>
  <c r="C2047" i="6"/>
  <c r="E1322" i="6"/>
  <c r="E1338" i="6"/>
  <c r="E1354" i="6"/>
  <c r="E1370" i="6"/>
  <c r="E1386" i="6"/>
  <c r="E1402" i="6"/>
  <c r="E1418" i="6"/>
  <c r="E1434" i="6"/>
  <c r="E1450" i="6"/>
  <c r="E1466" i="6"/>
  <c r="E1482" i="6"/>
  <c r="E1498" i="6"/>
  <c r="E1514" i="6"/>
  <c r="E1530" i="6"/>
  <c r="E1546" i="6"/>
  <c r="E1562" i="6"/>
  <c r="C1577" i="6"/>
  <c r="C1585" i="6"/>
  <c r="C1623" i="6"/>
  <c r="C1631" i="6"/>
  <c r="C1639" i="6"/>
  <c r="C1650" i="6"/>
  <c r="E1655" i="6"/>
  <c r="E1687" i="6"/>
  <c r="C1720" i="6"/>
  <c r="E1726" i="6"/>
  <c r="E1738" i="6"/>
  <c r="C1770" i="6"/>
  <c r="C1776" i="6"/>
  <c r="E1781" i="6"/>
  <c r="E1782" i="6"/>
  <c r="C1809" i="6"/>
  <c r="C1816" i="6"/>
  <c r="E1828" i="6"/>
  <c r="E1240" i="6"/>
  <c r="E1256" i="6"/>
  <c r="E1272" i="6"/>
  <c r="E1288" i="6"/>
  <c r="E1304" i="6"/>
  <c r="E1320" i="6"/>
  <c r="E1336" i="6"/>
  <c r="E1352" i="6"/>
  <c r="E1368" i="6"/>
  <c r="E1384" i="6"/>
  <c r="E1400" i="6"/>
  <c r="E1416" i="6"/>
  <c r="E1432" i="6"/>
  <c r="E1448" i="6"/>
  <c r="E1464" i="6"/>
  <c r="E1480" i="6"/>
  <c r="E1496" i="6"/>
  <c r="E1512" i="6"/>
  <c r="E1528" i="6"/>
  <c r="E1544" i="6"/>
  <c r="E1560" i="6"/>
  <c r="E1577" i="6"/>
  <c r="C1580" i="6"/>
  <c r="C1598" i="6"/>
  <c r="E1600" i="6"/>
  <c r="E1618" i="6"/>
  <c r="E1623" i="6"/>
  <c r="C1626" i="6"/>
  <c r="C1634" i="6"/>
  <c r="E1639" i="6"/>
  <c r="E1650" i="6"/>
  <c r="E1661" i="6"/>
  <c r="E1664" i="6"/>
  <c r="E1667" i="6"/>
  <c r="C1676" i="6"/>
  <c r="C1679" i="6"/>
  <c r="C1680" i="6"/>
  <c r="C1682" i="6"/>
  <c r="E1693" i="6"/>
  <c r="E1696" i="6"/>
  <c r="E1699" i="6"/>
  <c r="C1708" i="6"/>
  <c r="C1727" i="6"/>
  <c r="C1745" i="6"/>
  <c r="E1748" i="6"/>
  <c r="C1752" i="6"/>
  <c r="C1767" i="6"/>
  <c r="E1773" i="6"/>
  <c r="E1774" i="6"/>
  <c r="C1785" i="6"/>
  <c r="C1849" i="6"/>
  <c r="C1848" i="6"/>
  <c r="C1893" i="6"/>
  <c r="E1673" i="6"/>
  <c r="E1682" i="6"/>
  <c r="E1705" i="6"/>
  <c r="C1736" i="6"/>
  <c r="E1755" i="6"/>
  <c r="E1756" i="6"/>
  <c r="C1823" i="6"/>
  <c r="C1824" i="6"/>
  <c r="C1888" i="6"/>
  <c r="E1976" i="6"/>
  <c r="E1977" i="6"/>
  <c r="C2021" i="6"/>
  <c r="C2022" i="6"/>
  <c r="E1898" i="6"/>
  <c r="E1899" i="6"/>
  <c r="C1917" i="6"/>
  <c r="C1932" i="6"/>
  <c r="C1933" i="6"/>
  <c r="C2111" i="6"/>
  <c r="C2112" i="6"/>
  <c r="C2135" i="6"/>
  <c r="C2134" i="6"/>
  <c r="E2154" i="6"/>
  <c r="E2155" i="6"/>
  <c r="E1970" i="6"/>
  <c r="E1971" i="6"/>
  <c r="E1986" i="6"/>
  <c r="E1987" i="6"/>
  <c r="E1993" i="6"/>
  <c r="E2002" i="6"/>
  <c r="E2003" i="6"/>
  <c r="E2009" i="6"/>
  <c r="E2034" i="6"/>
  <c r="E2035" i="6"/>
  <c r="E2041" i="6"/>
  <c r="C2077" i="6"/>
  <c r="C2078" i="6"/>
  <c r="C2102" i="6"/>
  <c r="C2101" i="6"/>
  <c r="C2292" i="6"/>
  <c r="C2293" i="6"/>
  <c r="C1641" i="6"/>
  <c r="C1657" i="6"/>
  <c r="C1673" i="6"/>
  <c r="C1689" i="6"/>
  <c r="C1705" i="6"/>
  <c r="C1741" i="6"/>
  <c r="C1759" i="6"/>
  <c r="C1764" i="6"/>
  <c r="C1782" i="6"/>
  <c r="E1784" i="6"/>
  <c r="E1802" i="6"/>
  <c r="C1805" i="6"/>
  <c r="C1821" i="6"/>
  <c r="E1834" i="6"/>
  <c r="E1861" i="6"/>
  <c r="E1862" i="6"/>
  <c r="E1864" i="6"/>
  <c r="E1877" i="6"/>
  <c r="E1878" i="6"/>
  <c r="E1880" i="6"/>
  <c r="E1893" i="6"/>
  <c r="E1894" i="6"/>
  <c r="C1909" i="6"/>
  <c r="C1943" i="6"/>
  <c r="C1987" i="6"/>
  <c r="C2148" i="6"/>
  <c r="C2149" i="6"/>
  <c r="C1671" i="6"/>
  <c r="C1687" i="6"/>
  <c r="C1703" i="6"/>
  <c r="E1731" i="6"/>
  <c r="E1736" i="6"/>
  <c r="E1741" i="6"/>
  <c r="E1779" i="6"/>
  <c r="E1787" i="6"/>
  <c r="E1797" i="6"/>
  <c r="E1805" i="6"/>
  <c r="E1818" i="6"/>
  <c r="E1845" i="6"/>
  <c r="E1846" i="6"/>
  <c r="E1848" i="6"/>
  <c r="E1851" i="6"/>
  <c r="E1867" i="6"/>
  <c r="E1883" i="6"/>
  <c r="C1900" i="6"/>
  <c r="E1943" i="6"/>
  <c r="E2122" i="6"/>
  <c r="E2123" i="6"/>
  <c r="C2283" i="6"/>
  <c r="C2284" i="6"/>
  <c r="C1573" i="6"/>
  <c r="C1589" i="6"/>
  <c r="C1605" i="6"/>
  <c r="C1621" i="6"/>
  <c r="C1637" i="6"/>
  <c r="C1653" i="6"/>
  <c r="C1669" i="6"/>
  <c r="C1685" i="6"/>
  <c r="C1701" i="6"/>
  <c r="E1717" i="6"/>
  <c r="E1729" i="6"/>
  <c r="C1732" i="6"/>
  <c r="E1754" i="6"/>
  <c r="C1757" i="6"/>
  <c r="C1775" i="6"/>
  <c r="C1780" i="6"/>
  <c r="C1798" i="6"/>
  <c r="E1800" i="6"/>
  <c r="E1829" i="6"/>
  <c r="E1830" i="6"/>
  <c r="E1832" i="6"/>
  <c r="E1835" i="6"/>
  <c r="C1846" i="6"/>
  <c r="E1859" i="6"/>
  <c r="E1875" i="6"/>
  <c r="E1891" i="6"/>
  <c r="C1918" i="6"/>
  <c r="C1988" i="6"/>
  <c r="E2000" i="6"/>
  <c r="E2001" i="6"/>
  <c r="C1571" i="6"/>
  <c r="C1587" i="6"/>
  <c r="C1603" i="6"/>
  <c r="C1619" i="6"/>
  <c r="C1635" i="6"/>
  <c r="C1651" i="6"/>
  <c r="C1667" i="6"/>
  <c r="C1683" i="6"/>
  <c r="C1699" i="6"/>
  <c r="C1725" i="6"/>
  <c r="E1739" i="6"/>
  <c r="E1749" i="6"/>
  <c r="E1757" i="6"/>
  <c r="E1795" i="6"/>
  <c r="E1803" i="6"/>
  <c r="E1813" i="6"/>
  <c r="E1814" i="6"/>
  <c r="E1816" i="6"/>
  <c r="E1819" i="6"/>
  <c r="C1830" i="6"/>
  <c r="E1843" i="6"/>
  <c r="C1857" i="6"/>
  <c r="C1873" i="6"/>
  <c r="C1889" i="6"/>
  <c r="E1921" i="6"/>
  <c r="C1925" i="6"/>
  <c r="C1941" i="6"/>
  <c r="C1942" i="6"/>
  <c r="C1959" i="6"/>
  <c r="C1999" i="6"/>
  <c r="C1998" i="6"/>
  <c r="C2089" i="6"/>
  <c r="C2090" i="6"/>
  <c r="E2266" i="6"/>
  <c r="E2267" i="6"/>
  <c r="E1821" i="6"/>
  <c r="E1837" i="6"/>
  <c r="E1853" i="6"/>
  <c r="E1869" i="6"/>
  <c r="E1885" i="6"/>
  <c r="E1904" i="6"/>
  <c r="E1912" i="6"/>
  <c r="C1923" i="6"/>
  <c r="E1936" i="6"/>
  <c r="C1953" i="6"/>
  <c r="C1964" i="6"/>
  <c r="C1994" i="6"/>
  <c r="C2005" i="6"/>
  <c r="E2025" i="6"/>
  <c r="C2037" i="6"/>
  <c r="C2060" i="6"/>
  <c r="C2061" i="6"/>
  <c r="C2094" i="6"/>
  <c r="C2095" i="6"/>
  <c r="C2118" i="6"/>
  <c r="C2119" i="6"/>
  <c r="C2197" i="6"/>
  <c r="C2235" i="6"/>
  <c r="E2257" i="6"/>
  <c r="C2276" i="6"/>
  <c r="C2277" i="6"/>
  <c r="E2297" i="6"/>
  <c r="C2336" i="6"/>
  <c r="C2335" i="6"/>
  <c r="C2439" i="6"/>
  <c r="C2440" i="6"/>
  <c r="C2455" i="6"/>
  <c r="C2456" i="6"/>
  <c r="C2526" i="6"/>
  <c r="C2525" i="6"/>
  <c r="C2542" i="6"/>
  <c r="C2541" i="6"/>
  <c r="E2248" i="6"/>
  <c r="E2249" i="6"/>
  <c r="C2395" i="6"/>
  <c r="C2394" i="6"/>
  <c r="C2448" i="6"/>
  <c r="C2447" i="6"/>
  <c r="C2503" i="6"/>
  <c r="C2504" i="6"/>
  <c r="C2519" i="6"/>
  <c r="C2520" i="6"/>
  <c r="E2633" i="6"/>
  <c r="E2632" i="6"/>
  <c r="C2131" i="6"/>
  <c r="E2161" i="6"/>
  <c r="E2170" i="6"/>
  <c r="E2171" i="6"/>
  <c r="C2189" i="6"/>
  <c r="C2190" i="6"/>
  <c r="C2207" i="6"/>
  <c r="C2247" i="6"/>
  <c r="C2246" i="6"/>
  <c r="C2288" i="6"/>
  <c r="C2287" i="6"/>
  <c r="C2379" i="6"/>
  <c r="C2378" i="6"/>
  <c r="E2394" i="6"/>
  <c r="E2395" i="6"/>
  <c r="C2590" i="6"/>
  <c r="C2589" i="6"/>
  <c r="C2144" i="6"/>
  <c r="C2143" i="6"/>
  <c r="C2171" i="6"/>
  <c r="C2172" i="6"/>
  <c r="E2264" i="6"/>
  <c r="E2265" i="6"/>
  <c r="C2268" i="6"/>
  <c r="C2269" i="6"/>
  <c r="E2280" i="6"/>
  <c r="E2281" i="6"/>
  <c r="C2334" i="6"/>
  <c r="C2333" i="6"/>
  <c r="C2366" i="6"/>
  <c r="C2365" i="6"/>
  <c r="E2378" i="6"/>
  <c r="E2379" i="6"/>
  <c r="C2496" i="6"/>
  <c r="C2495" i="6"/>
  <c r="C2512" i="6"/>
  <c r="C2511" i="6"/>
  <c r="C2567" i="6"/>
  <c r="C2568" i="6"/>
  <c r="E1911" i="6"/>
  <c r="C1914" i="6"/>
  <c r="E1927" i="6"/>
  <c r="E1954" i="6"/>
  <c r="E1955" i="6"/>
  <c r="E1957" i="6"/>
  <c r="E1960" i="6"/>
  <c r="C1971" i="6"/>
  <c r="E1984" i="6"/>
  <c r="C2001" i="6"/>
  <c r="C2010" i="6"/>
  <c r="E2021" i="6"/>
  <c r="C2030" i="6"/>
  <c r="C2031" i="6"/>
  <c r="C2033" i="6"/>
  <c r="C2042" i="6"/>
  <c r="E2065" i="6"/>
  <c r="E2089" i="6"/>
  <c r="C2099" i="6"/>
  <c r="E2111" i="6"/>
  <c r="C2123" i="6"/>
  <c r="C2126" i="6"/>
  <c r="E2143" i="6"/>
  <c r="E2152" i="6"/>
  <c r="E2153" i="6"/>
  <c r="C2156" i="6"/>
  <c r="C2221" i="6"/>
  <c r="E2224" i="6"/>
  <c r="E2225" i="6"/>
  <c r="C2237" i="6"/>
  <c r="E2240" i="6"/>
  <c r="C2262" i="6"/>
  <c r="C2265" i="6"/>
  <c r="C2304" i="6"/>
  <c r="C2303" i="6"/>
  <c r="C2426" i="6"/>
  <c r="C2425" i="6"/>
  <c r="C2583" i="6"/>
  <c r="C2584" i="6"/>
  <c r="E1745" i="6"/>
  <c r="E1761" i="6"/>
  <c r="E1777" i="6"/>
  <c r="E1793" i="6"/>
  <c r="E1809" i="6"/>
  <c r="E1825" i="6"/>
  <c r="E1841" i="6"/>
  <c r="E1857" i="6"/>
  <c r="E1873" i="6"/>
  <c r="E1889" i="6"/>
  <c r="E1896" i="6"/>
  <c r="E1906" i="6"/>
  <c r="E1914" i="6"/>
  <c r="E1938" i="6"/>
  <c r="E1939" i="6"/>
  <c r="E1941" i="6"/>
  <c r="E1944" i="6"/>
  <c r="C1955" i="6"/>
  <c r="E1968" i="6"/>
  <c r="C1982" i="6"/>
  <c r="C1985" i="6"/>
  <c r="C1996" i="6"/>
  <c r="C2007" i="6"/>
  <c r="E2018" i="6"/>
  <c r="E2019" i="6"/>
  <c r="C2039" i="6"/>
  <c r="E2050" i="6"/>
  <c r="E2051" i="6"/>
  <c r="E2062" i="6"/>
  <c r="E2063" i="6"/>
  <c r="E2074" i="6"/>
  <c r="E2075" i="6"/>
  <c r="E2086" i="6"/>
  <c r="E2087" i="6"/>
  <c r="E2099" i="6"/>
  <c r="E2137" i="6"/>
  <c r="C2153" i="6"/>
  <c r="C2154" i="6"/>
  <c r="C2187" i="6"/>
  <c r="C2205" i="6"/>
  <c r="E2221" i="6"/>
  <c r="C2278" i="6"/>
  <c r="C2285" i="6"/>
  <c r="C2317" i="6"/>
  <c r="C2393" i="6"/>
  <c r="C2392" i="6"/>
  <c r="E2411" i="6"/>
  <c r="E2412" i="6"/>
  <c r="C2462" i="6"/>
  <c r="C2461" i="6"/>
  <c r="C2478" i="6"/>
  <c r="C2477" i="6"/>
  <c r="C2560" i="6"/>
  <c r="C2559" i="6"/>
  <c r="E2667" i="6"/>
  <c r="E2668" i="6"/>
  <c r="E1711" i="6"/>
  <c r="E1727" i="6"/>
  <c r="E1743" i="6"/>
  <c r="E1759" i="6"/>
  <c r="E1775" i="6"/>
  <c r="E1791" i="6"/>
  <c r="E1807" i="6"/>
  <c r="E1823" i="6"/>
  <c r="E1839" i="6"/>
  <c r="E1855" i="6"/>
  <c r="E1871" i="6"/>
  <c r="E1887" i="6"/>
  <c r="C1907" i="6"/>
  <c r="E1909" i="6"/>
  <c r="E1922" i="6"/>
  <c r="E1923" i="6"/>
  <c r="E1925" i="6"/>
  <c r="E1928" i="6"/>
  <c r="C1939" i="6"/>
  <c r="E1952" i="6"/>
  <c r="C1966" i="6"/>
  <c r="C1969" i="6"/>
  <c r="C1980" i="6"/>
  <c r="E2007" i="6"/>
  <c r="C2019" i="6"/>
  <c r="C2028" i="6"/>
  <c r="E2039" i="6"/>
  <c r="C2051" i="6"/>
  <c r="C2063" i="6"/>
  <c r="C2075" i="6"/>
  <c r="E2090" i="6"/>
  <c r="E2091" i="6"/>
  <c r="C2106" i="6"/>
  <c r="C2107" i="6"/>
  <c r="C2109" i="6"/>
  <c r="C2132" i="6"/>
  <c r="C2138" i="6"/>
  <c r="C2141" i="6"/>
  <c r="C2150" i="6"/>
  <c r="E2218" i="6"/>
  <c r="E2219" i="6"/>
  <c r="E2234" i="6"/>
  <c r="E2235" i="6"/>
  <c r="E2241" i="6"/>
  <c r="E2250" i="6"/>
  <c r="E2251" i="6"/>
  <c r="C2294" i="6"/>
  <c r="C2324" i="6"/>
  <c r="C2325" i="6"/>
  <c r="E2362" i="6"/>
  <c r="E2363" i="6"/>
  <c r="C2377" i="6"/>
  <c r="C2376" i="6"/>
  <c r="E1930" i="6"/>
  <c r="E1946" i="6"/>
  <c r="E1962" i="6"/>
  <c r="E1978" i="6"/>
  <c r="E1994" i="6"/>
  <c r="E2010" i="6"/>
  <c r="E2026" i="6"/>
  <c r="E2042" i="6"/>
  <c r="C2066" i="6"/>
  <c r="E2080" i="6"/>
  <c r="E2104" i="6"/>
  <c r="E2109" i="6"/>
  <c r="E2114" i="6"/>
  <c r="E2126" i="6"/>
  <c r="E2141" i="6"/>
  <c r="C2162" i="6"/>
  <c r="C2185" i="6"/>
  <c r="C2201" i="6"/>
  <c r="C2212" i="6"/>
  <c r="C2242" i="6"/>
  <c r="E2255" i="6"/>
  <c r="E2282" i="6"/>
  <c r="E2283" i="6"/>
  <c r="E2285" i="6"/>
  <c r="C2299" i="6"/>
  <c r="E2312" i="6"/>
  <c r="C2318" i="6"/>
  <c r="C2329" i="6"/>
  <c r="C2340" i="6"/>
  <c r="E2353" i="6"/>
  <c r="C2419" i="6"/>
  <c r="C2418" i="6"/>
  <c r="C2620" i="6"/>
  <c r="C2619" i="6"/>
  <c r="C2650" i="6"/>
  <c r="C2649" i="6"/>
  <c r="E2683" i="6"/>
  <c r="E2684" i="6"/>
  <c r="E2647" i="6"/>
  <c r="E2646" i="6"/>
  <c r="E2719" i="6"/>
  <c r="E2720" i="6"/>
  <c r="E2735" i="6"/>
  <c r="E2736" i="6"/>
  <c r="E2319" i="6"/>
  <c r="E2346" i="6"/>
  <c r="E2347" i="6"/>
  <c r="E2349" i="6"/>
  <c r="C2363" i="6"/>
  <c r="E2368" i="6"/>
  <c r="E2384" i="6"/>
  <c r="E2400" i="6"/>
  <c r="E2699" i="6"/>
  <c r="E2700" i="6"/>
  <c r="E2016" i="6"/>
  <c r="E2032" i="6"/>
  <c r="E2048" i="6"/>
  <c r="C2082" i="6"/>
  <c r="E2096" i="6"/>
  <c r="E2120" i="6"/>
  <c r="E2125" i="6"/>
  <c r="E2130" i="6"/>
  <c r="E2150" i="6"/>
  <c r="E2158" i="6"/>
  <c r="E2168" i="6"/>
  <c r="E2176" i="6"/>
  <c r="E2186" i="6"/>
  <c r="E2187" i="6"/>
  <c r="E2202" i="6"/>
  <c r="E2203" i="6"/>
  <c r="E2205" i="6"/>
  <c r="E2208" i="6"/>
  <c r="C2219" i="6"/>
  <c r="E2232" i="6"/>
  <c r="C2249" i="6"/>
  <c r="C2260" i="6"/>
  <c r="C2290" i="6"/>
  <c r="E2303" i="6"/>
  <c r="C2309" i="6"/>
  <c r="E2330" i="6"/>
  <c r="E2331" i="6"/>
  <c r="E2333" i="6"/>
  <c r="E2336" i="6"/>
  <c r="C2347" i="6"/>
  <c r="E2360" i="6"/>
  <c r="E2376" i="6"/>
  <c r="E2392" i="6"/>
  <c r="C2407" i="6"/>
  <c r="C2408" i="6"/>
  <c r="E2428" i="6"/>
  <c r="C2432" i="6"/>
  <c r="E2450" i="6"/>
  <c r="C2471" i="6"/>
  <c r="C2472" i="6"/>
  <c r="C2494" i="6"/>
  <c r="C2493" i="6"/>
  <c r="E2514" i="6"/>
  <c r="C2535" i="6"/>
  <c r="C2536" i="6"/>
  <c r="C2558" i="6"/>
  <c r="C2557" i="6"/>
  <c r="E1902" i="6"/>
  <c r="E1918" i="6"/>
  <c r="E1934" i="6"/>
  <c r="E1950" i="6"/>
  <c r="E1966" i="6"/>
  <c r="E1982" i="6"/>
  <c r="E1998" i="6"/>
  <c r="E2014" i="6"/>
  <c r="E2030" i="6"/>
  <c r="E2046" i="6"/>
  <c r="E2072" i="6"/>
  <c r="E2077" i="6"/>
  <c r="E2082" i="6"/>
  <c r="E2094" i="6"/>
  <c r="E2106" i="6"/>
  <c r="E2118" i="6"/>
  <c r="C2121" i="6"/>
  <c r="C2146" i="6"/>
  <c r="C2166" i="6"/>
  <c r="C2169" i="6"/>
  <c r="E2189" i="6"/>
  <c r="E2192" i="6"/>
  <c r="C2203" i="6"/>
  <c r="E2216" i="6"/>
  <c r="C2230" i="6"/>
  <c r="C2233" i="6"/>
  <c r="C2244" i="6"/>
  <c r="C2271" i="6"/>
  <c r="C2274" i="6"/>
  <c r="E2287" i="6"/>
  <c r="E2314" i="6"/>
  <c r="E2315" i="6"/>
  <c r="E2317" i="6"/>
  <c r="E2320" i="6"/>
  <c r="C2331" i="6"/>
  <c r="E2344" i="6"/>
  <c r="C2358" i="6"/>
  <c r="C2361" i="6"/>
  <c r="C2374" i="6"/>
  <c r="C2390" i="6"/>
  <c r="E2404" i="6"/>
  <c r="C2423" i="6"/>
  <c r="C2424" i="6"/>
  <c r="C2463" i="6"/>
  <c r="C2527" i="6"/>
  <c r="C2621" i="6"/>
  <c r="E2627" i="6"/>
  <c r="C2651" i="6"/>
  <c r="C2753" i="6"/>
  <c r="C2752" i="6"/>
  <c r="E1900" i="6"/>
  <c r="E1916" i="6"/>
  <c r="E1932" i="6"/>
  <c r="E1948" i="6"/>
  <c r="E1964" i="6"/>
  <c r="E1980" i="6"/>
  <c r="E1996" i="6"/>
  <c r="E2012" i="6"/>
  <c r="E2028" i="6"/>
  <c r="E2044" i="6"/>
  <c r="E2058" i="6"/>
  <c r="E2070" i="6"/>
  <c r="C2073" i="6"/>
  <c r="C2114" i="6"/>
  <c r="E2128" i="6"/>
  <c r="E2138" i="6"/>
  <c r="E2139" i="6"/>
  <c r="C2159" i="6"/>
  <c r="E2166" i="6"/>
  <c r="E2174" i="6"/>
  <c r="E2184" i="6"/>
  <c r="E2200" i="6"/>
  <c r="C2214" i="6"/>
  <c r="C2217" i="6"/>
  <c r="C2228" i="6"/>
  <c r="C2255" i="6"/>
  <c r="C2258" i="6"/>
  <c r="E2271" i="6"/>
  <c r="E2298" i="6"/>
  <c r="E2299" i="6"/>
  <c r="E2301" i="6"/>
  <c r="E2304" i="6"/>
  <c r="C2315" i="6"/>
  <c r="E2328" i="6"/>
  <c r="C2342" i="6"/>
  <c r="C2345" i="6"/>
  <c r="C2356" i="6"/>
  <c r="C2446" i="6"/>
  <c r="C2445" i="6"/>
  <c r="E2466" i="6"/>
  <c r="C2487" i="6"/>
  <c r="C2488" i="6"/>
  <c r="C2510" i="6"/>
  <c r="C2509" i="6"/>
  <c r="E2530" i="6"/>
  <c r="C2551" i="6"/>
  <c r="C2552" i="6"/>
  <c r="C2574" i="6"/>
  <c r="C2573" i="6"/>
  <c r="E2648" i="6"/>
  <c r="C2683" i="6"/>
  <c r="E2643" i="6"/>
  <c r="E2642" i="6"/>
  <c r="E2783" i="6"/>
  <c r="E2784" i="6"/>
  <c r="E2751" i="6"/>
  <c r="E2752" i="6"/>
  <c r="C2796" i="6"/>
  <c r="C2795" i="6"/>
  <c r="C2737" i="6"/>
  <c r="C2736" i="6"/>
  <c r="C2778" i="6"/>
  <c r="C2421" i="6"/>
  <c r="E2434" i="6"/>
  <c r="E2611" i="6"/>
  <c r="C2688" i="6"/>
  <c r="C2704" i="6"/>
  <c r="E2198" i="6"/>
  <c r="E2214" i="6"/>
  <c r="E2230" i="6"/>
  <c r="E2246" i="6"/>
  <c r="E2262" i="6"/>
  <c r="E2278" i="6"/>
  <c r="E2294" i="6"/>
  <c r="E2310" i="6"/>
  <c r="E2326" i="6"/>
  <c r="E2342" i="6"/>
  <c r="E2358" i="6"/>
  <c r="E2374" i="6"/>
  <c r="E2390" i="6"/>
  <c r="C2402" i="6"/>
  <c r="C2405" i="6"/>
  <c r="E2418" i="6"/>
  <c r="E2445" i="6"/>
  <c r="E2446" i="6"/>
  <c r="E2448" i="6"/>
  <c r="E2461" i="6"/>
  <c r="E2462" i="6"/>
  <c r="E2464" i="6"/>
  <c r="E2477" i="6"/>
  <c r="E2478" i="6"/>
  <c r="E2480" i="6"/>
  <c r="E2493" i="6"/>
  <c r="E2494" i="6"/>
  <c r="E2496" i="6"/>
  <c r="E2509" i="6"/>
  <c r="E2510" i="6"/>
  <c r="E2512" i="6"/>
  <c r="E2525" i="6"/>
  <c r="E2526" i="6"/>
  <c r="E2528" i="6"/>
  <c r="E2541" i="6"/>
  <c r="E2542" i="6"/>
  <c r="E2544" i="6"/>
  <c r="E2557" i="6"/>
  <c r="E2558" i="6"/>
  <c r="E2560" i="6"/>
  <c r="E2573" i="6"/>
  <c r="E2574" i="6"/>
  <c r="E2576" i="6"/>
  <c r="E2592" i="6"/>
  <c r="E2595" i="6"/>
  <c r="C2603" i="6"/>
  <c r="E2619" i="6"/>
  <c r="C2633" i="6"/>
  <c r="E2660" i="6"/>
  <c r="C2714" i="6"/>
  <c r="E2068" i="6"/>
  <c r="E2084" i="6"/>
  <c r="E2100" i="6"/>
  <c r="E2116" i="6"/>
  <c r="E2132" i="6"/>
  <c r="E2148" i="6"/>
  <c r="E2164" i="6"/>
  <c r="E2180" i="6"/>
  <c r="E2196" i="6"/>
  <c r="E2212" i="6"/>
  <c r="E2228" i="6"/>
  <c r="E2244" i="6"/>
  <c r="E2260" i="6"/>
  <c r="E2276" i="6"/>
  <c r="E2292" i="6"/>
  <c r="E2308" i="6"/>
  <c r="E2324" i="6"/>
  <c r="E2340" i="6"/>
  <c r="E2356" i="6"/>
  <c r="E2372" i="6"/>
  <c r="E2388" i="6"/>
  <c r="E2402" i="6"/>
  <c r="E2429" i="6"/>
  <c r="E2430" i="6"/>
  <c r="E2432" i="6"/>
  <c r="E2435" i="6"/>
  <c r="C2443" i="6"/>
  <c r="E2451" i="6"/>
  <c r="C2459" i="6"/>
  <c r="E2467" i="6"/>
  <c r="C2475" i="6"/>
  <c r="E2483" i="6"/>
  <c r="C2491" i="6"/>
  <c r="E2499" i="6"/>
  <c r="C2507" i="6"/>
  <c r="E2515" i="6"/>
  <c r="C2523" i="6"/>
  <c r="E2531" i="6"/>
  <c r="C2539" i="6"/>
  <c r="E2547" i="6"/>
  <c r="C2555" i="6"/>
  <c r="E2563" i="6"/>
  <c r="C2571" i="6"/>
  <c r="E2579" i="6"/>
  <c r="C2587" i="6"/>
  <c r="E2603" i="6"/>
  <c r="C2617" i="6"/>
  <c r="E2644" i="6"/>
  <c r="C2692" i="6"/>
  <c r="C2695" i="6"/>
  <c r="C2696" i="6"/>
  <c r="C2708" i="6"/>
  <c r="C2711" i="6"/>
  <c r="C2712" i="6"/>
  <c r="C2727" i="6"/>
  <c r="C2728" i="6"/>
  <c r="C2744" i="6"/>
  <c r="E2772" i="6"/>
  <c r="C2791" i="6"/>
  <c r="C2790" i="6"/>
  <c r="E2146" i="6"/>
  <c r="E2162" i="6"/>
  <c r="E2178" i="6"/>
  <c r="E2194" i="6"/>
  <c r="E2210" i="6"/>
  <c r="E2226" i="6"/>
  <c r="E2242" i="6"/>
  <c r="E2258" i="6"/>
  <c r="E2274" i="6"/>
  <c r="E2290" i="6"/>
  <c r="E2306" i="6"/>
  <c r="E2322" i="6"/>
  <c r="E2338" i="6"/>
  <c r="E2354" i="6"/>
  <c r="E2370" i="6"/>
  <c r="E2386" i="6"/>
  <c r="E2413" i="6"/>
  <c r="E2414" i="6"/>
  <c r="E2416" i="6"/>
  <c r="E2419" i="6"/>
  <c r="C2430" i="6"/>
  <c r="E2443" i="6"/>
  <c r="E2459" i="6"/>
  <c r="E2475" i="6"/>
  <c r="E2491" i="6"/>
  <c r="E2507" i="6"/>
  <c r="E2523" i="6"/>
  <c r="E2539" i="6"/>
  <c r="E2555" i="6"/>
  <c r="E2571" i="6"/>
  <c r="E2587" i="6"/>
  <c r="E2590" i="6"/>
  <c r="C2601" i="6"/>
  <c r="E2659" i="6"/>
  <c r="E2658" i="6"/>
  <c r="C2664" i="6"/>
  <c r="C2676" i="6"/>
  <c r="E2692" i="6"/>
  <c r="C2763" i="6"/>
  <c r="E2769" i="6"/>
  <c r="E2770" i="6"/>
  <c r="C2784" i="6"/>
  <c r="C2787" i="6"/>
  <c r="E2798" i="6"/>
  <c r="C2679" i="6"/>
  <c r="C2698" i="6"/>
  <c r="E2703" i="6"/>
  <c r="E2704" i="6"/>
  <c r="E2722" i="6"/>
  <c r="C2739" i="6"/>
  <c r="C2781" i="6"/>
  <c r="E2409" i="6"/>
  <c r="E2425" i="6"/>
  <c r="E2441" i="6"/>
  <c r="E2457" i="6"/>
  <c r="E2473" i="6"/>
  <c r="E2489" i="6"/>
  <c r="E2505" i="6"/>
  <c r="E2521" i="6"/>
  <c r="E2537" i="6"/>
  <c r="E2553" i="6"/>
  <c r="E2569" i="6"/>
  <c r="E2585" i="6"/>
  <c r="E2601" i="6"/>
  <c r="E2617" i="6"/>
  <c r="C2682" i="6"/>
  <c r="E2687" i="6"/>
  <c r="E2688" i="6"/>
  <c r="E2706" i="6"/>
  <c r="C2723" i="6"/>
  <c r="E2739" i="6"/>
  <c r="C2747" i="6"/>
  <c r="C2750" i="6"/>
  <c r="E2407" i="6"/>
  <c r="E2423" i="6"/>
  <c r="E2439" i="6"/>
  <c r="E2455" i="6"/>
  <c r="E2471" i="6"/>
  <c r="E2487" i="6"/>
  <c r="E2503" i="6"/>
  <c r="E2519" i="6"/>
  <c r="E2535" i="6"/>
  <c r="E2551" i="6"/>
  <c r="E2567" i="6"/>
  <c r="E2583" i="6"/>
  <c r="E2599" i="6"/>
  <c r="E2615" i="6"/>
  <c r="E2631" i="6"/>
  <c r="E2640" i="6"/>
  <c r="E2656" i="6"/>
  <c r="C2666" i="6"/>
  <c r="E2671" i="6"/>
  <c r="E2672" i="6"/>
  <c r="E2690" i="6"/>
  <c r="C2707" i="6"/>
  <c r="E2723" i="6"/>
  <c r="C2731" i="6"/>
  <c r="C2734" i="6"/>
  <c r="E2747" i="6"/>
  <c r="E2750" i="6"/>
  <c r="C2756" i="6"/>
  <c r="C2762" i="6"/>
  <c r="E2767" i="6"/>
  <c r="E2768" i="6"/>
  <c r="C2779" i="6"/>
  <c r="C2785" i="6"/>
  <c r="C2788" i="6"/>
  <c r="C2794" i="6"/>
  <c r="E2405" i="6"/>
  <c r="E2421" i="6"/>
  <c r="E2437" i="6"/>
  <c r="E2453" i="6"/>
  <c r="E2469" i="6"/>
  <c r="E2485" i="6"/>
  <c r="E2501" i="6"/>
  <c r="E2517" i="6"/>
  <c r="E2533" i="6"/>
  <c r="E2549" i="6"/>
  <c r="E2565" i="6"/>
  <c r="E2581" i="6"/>
  <c r="E2597" i="6"/>
  <c r="E2613" i="6"/>
  <c r="E2629" i="6"/>
  <c r="E2638" i="6"/>
  <c r="E2654" i="6"/>
  <c r="E2674" i="6"/>
  <c r="C2680" i="6"/>
  <c r="C2691" i="6"/>
  <c r="E2707" i="6"/>
  <c r="C2715" i="6"/>
  <c r="C2718" i="6"/>
  <c r="E2731" i="6"/>
  <c r="E2734" i="6"/>
  <c r="C2740" i="6"/>
  <c r="E2756" i="6"/>
  <c r="C2768" i="6"/>
  <c r="C2771" i="6"/>
  <c r="C2774" i="6"/>
  <c r="E2782" i="6"/>
  <c r="E2785" i="6"/>
  <c r="E2786" i="6"/>
  <c r="E2788" i="6"/>
  <c r="C2800" i="6"/>
  <c r="C2801" i="6"/>
  <c r="E2815" i="6"/>
  <c r="E2818" i="6"/>
  <c r="C2832" i="6"/>
  <c r="C2833" i="6"/>
  <c r="C2816" i="6"/>
  <c r="C2819" i="6"/>
  <c r="E2824" i="6"/>
  <c r="E2808" i="6"/>
  <c r="E2827" i="6"/>
  <c r="C2836" i="6"/>
  <c r="C2837" i="6"/>
  <c r="C2839" i="6"/>
  <c r="E2811" i="6"/>
  <c r="C2848" i="6"/>
  <c r="C2849" i="6"/>
  <c r="E2851" i="6"/>
  <c r="E2763" i="6"/>
  <c r="E2779" i="6"/>
  <c r="E2795" i="6"/>
  <c r="E2814" i="6"/>
  <c r="C2817" i="6"/>
  <c r="C2820" i="6"/>
  <c r="C2821" i="6"/>
  <c r="E2836" i="6"/>
  <c r="C2855" i="6"/>
  <c r="E2665" i="6"/>
  <c r="E2681" i="6"/>
  <c r="E2697" i="6"/>
  <c r="E2713" i="6"/>
  <c r="E2729" i="6"/>
  <c r="E2745" i="6"/>
  <c r="E2761" i="6"/>
  <c r="E2777" i="6"/>
  <c r="E2793" i="6"/>
  <c r="E2802" i="6"/>
  <c r="E2679" i="6"/>
  <c r="E2695" i="6"/>
  <c r="E2711" i="6"/>
  <c r="E2727" i="6"/>
  <c r="E2743" i="6"/>
  <c r="E2759" i="6"/>
  <c r="E2775" i="6"/>
  <c r="E2791" i="6"/>
  <c r="E2800" i="6"/>
  <c r="E2834" i="6"/>
  <c r="E2840" i="6"/>
  <c r="E2846" i="6"/>
  <c r="E2852" i="6"/>
  <c r="E2677" i="6"/>
  <c r="E2693" i="6"/>
  <c r="E2709" i="6"/>
  <c r="E2725" i="6"/>
  <c r="E2741" i="6"/>
  <c r="E2757" i="6"/>
  <c r="E2773" i="6"/>
  <c r="E2789" i="6"/>
  <c r="E2805" i="6"/>
  <c r="C2824" i="6"/>
  <c r="C2835" i="6"/>
  <c r="E2843" i="6"/>
  <c r="E2844" i="6"/>
  <c r="C2840" i="6"/>
  <c r="C2814" i="6"/>
  <c r="C2830" i="6"/>
  <c r="C2846" i="6"/>
  <c r="C2812" i="6"/>
  <c r="C2828" i="6"/>
  <c r="C2844" i="6"/>
  <c r="C2853" i="6"/>
  <c r="C2810" i="6"/>
  <c r="C2826" i="6"/>
  <c r="C2842" i="6"/>
  <c r="D76" i="5" l="1"/>
  <c r="D367" i="5"/>
  <c r="D245" i="5"/>
  <c r="D183" i="5"/>
  <c r="D285" i="5"/>
  <c r="D423" i="5"/>
  <c r="D217" i="5"/>
  <c r="D192" i="5"/>
  <c r="D325" i="5"/>
  <c r="D229" i="5"/>
  <c r="D607" i="5"/>
  <c r="D40" i="5"/>
  <c r="D91" i="5"/>
  <c r="D128" i="5"/>
  <c r="D862" i="5"/>
  <c r="D792" i="5"/>
  <c r="D413" i="5"/>
  <c r="D611" i="5"/>
  <c r="D722" i="5"/>
  <c r="D578" i="5"/>
  <c r="D59" i="5"/>
  <c r="D509" i="5"/>
  <c r="D648" i="5"/>
  <c r="D328" i="5"/>
  <c r="D905" i="5"/>
  <c r="D492" i="5"/>
  <c r="D385" i="5"/>
  <c r="D789" i="5"/>
  <c r="D186" i="5"/>
  <c r="D760" i="5"/>
  <c r="D159" i="5"/>
  <c r="D536" i="5"/>
  <c r="D421" i="5"/>
  <c r="D984" i="5"/>
  <c r="D371" i="5"/>
  <c r="D986" i="5"/>
  <c r="D941" i="5"/>
  <c r="D299" i="5"/>
  <c r="C149" i="8"/>
  <c r="D790" i="5"/>
  <c r="D590" i="5"/>
  <c r="D397" i="5"/>
  <c r="D340" i="5"/>
  <c r="D791" i="5"/>
  <c r="D271" i="5"/>
  <c r="D356" i="5"/>
  <c r="D108" i="5"/>
  <c r="D609" i="5"/>
  <c r="D481" i="5"/>
  <c r="D752" i="5"/>
  <c r="D632" i="5"/>
  <c r="D133" i="5"/>
  <c r="D293" i="5"/>
  <c r="D334" i="5"/>
  <c r="D148" i="5"/>
  <c r="D20" i="5"/>
  <c r="D199" i="5"/>
  <c r="D541" i="5"/>
  <c r="D244" i="5"/>
  <c r="D877" i="5"/>
  <c r="D515" i="5"/>
  <c r="D840" i="5"/>
  <c r="D463" i="5"/>
  <c r="D27" i="5"/>
  <c r="D634" i="5"/>
  <c r="D359" i="5"/>
  <c r="D872" i="5"/>
  <c r="D710" i="5"/>
  <c r="D606" i="5"/>
  <c r="D368" i="5"/>
  <c r="D479" i="5"/>
  <c r="D68" i="5"/>
  <c r="D1006" i="5"/>
  <c r="D932" i="5"/>
  <c r="D729" i="5"/>
  <c r="D390" i="5"/>
  <c r="C171" i="8"/>
  <c r="D928" i="5"/>
  <c r="D414" i="5"/>
  <c r="D384" i="5"/>
  <c r="D809" i="5"/>
  <c r="D18" i="5"/>
  <c r="D47" i="5"/>
  <c r="D485" i="5"/>
  <c r="D757" i="5"/>
  <c r="D678" i="5"/>
  <c r="D358" i="5"/>
  <c r="D103" i="5"/>
  <c r="D737" i="5"/>
  <c r="D906" i="5"/>
  <c r="D567" i="5"/>
  <c r="D439" i="5"/>
  <c r="D332" i="5"/>
  <c r="D270" i="5"/>
  <c r="D391" i="5"/>
  <c r="D871" i="5"/>
  <c r="D107" i="5"/>
  <c r="D151" i="5"/>
  <c r="D761" i="5"/>
  <c r="D386" i="5"/>
  <c r="D743" i="5"/>
  <c r="D597" i="5"/>
  <c r="D900" i="5"/>
  <c r="C158" i="8"/>
  <c r="D115" i="5"/>
  <c r="D282" i="5"/>
  <c r="D144" i="5"/>
  <c r="D448" i="5"/>
  <c r="D158" i="5"/>
  <c r="D732" i="5"/>
  <c r="D442" i="5"/>
  <c r="C72" i="8"/>
  <c r="D829" i="5"/>
  <c r="D39" i="5"/>
  <c r="C250" i="8"/>
  <c r="D1007" i="5"/>
  <c r="D87" i="5"/>
  <c r="D23" i="5"/>
  <c r="D472" i="5"/>
  <c r="D543" i="5"/>
  <c r="D677" i="5"/>
  <c r="D286" i="5"/>
  <c r="D389" i="5"/>
  <c r="D67" i="5"/>
  <c r="D660" i="5"/>
  <c r="D539" i="5"/>
  <c r="D100" i="5"/>
  <c r="D544" i="5"/>
  <c r="D317" i="5"/>
  <c r="D246" i="5"/>
  <c r="D354" i="5"/>
  <c r="D843" i="5"/>
  <c r="D903" i="5"/>
  <c r="D909" i="5"/>
  <c r="D746" i="5"/>
  <c r="D52" i="5"/>
  <c r="D372" i="5"/>
  <c r="D538" i="5"/>
  <c r="D513" i="5"/>
  <c r="D261" i="5"/>
  <c r="D672" i="5"/>
  <c r="D581" i="5"/>
  <c r="D321" i="5"/>
  <c r="D161" i="5"/>
  <c r="D512" i="5"/>
  <c r="D576" i="5"/>
  <c r="D962" i="5"/>
  <c r="D135" i="5"/>
  <c r="D465" i="5"/>
  <c r="D708" i="5"/>
  <c r="D583" i="5"/>
  <c r="D742" i="5"/>
  <c r="D487" i="5"/>
  <c r="D842" i="5"/>
  <c r="D345" i="5"/>
  <c r="D734" i="5"/>
  <c r="D633" i="5"/>
  <c r="D453" i="5"/>
  <c r="D478" i="5"/>
  <c r="C124" i="8"/>
  <c r="D881" i="5"/>
  <c r="D222" i="5"/>
  <c r="D357" i="5"/>
  <c r="D572" i="5"/>
  <c r="D339" i="5"/>
  <c r="D211" i="5"/>
  <c r="D769" i="5"/>
  <c r="D749" i="5"/>
  <c r="D588" i="5"/>
  <c r="D462" i="5"/>
  <c r="D175" i="5"/>
  <c r="D92" i="5"/>
  <c r="D101" i="5"/>
  <c r="D189" i="5"/>
  <c r="D355" i="5"/>
  <c r="D647" i="5"/>
  <c r="D510" i="5"/>
  <c r="D289" i="5"/>
  <c r="D193" i="5"/>
  <c r="D600" i="5"/>
  <c r="D149" i="5"/>
  <c r="D613" i="5"/>
  <c r="D469" i="5"/>
  <c r="C159" i="8"/>
  <c r="D916" i="5"/>
  <c r="C111" i="8"/>
  <c r="D868" i="5"/>
  <c r="D6" i="5"/>
  <c r="D219" i="5"/>
  <c r="D291" i="5"/>
  <c r="D475" i="5"/>
  <c r="D290" i="5"/>
  <c r="C47" i="8"/>
  <c r="D804" i="5"/>
  <c r="D685" i="5"/>
  <c r="D711" i="5"/>
  <c r="D709" i="5"/>
  <c r="D701" i="5"/>
  <c r="D522" i="5"/>
  <c r="D638" i="5"/>
  <c r="D565" i="5"/>
  <c r="D210" i="5"/>
  <c r="D238" i="5"/>
  <c r="D622" i="5"/>
  <c r="D426" i="5"/>
  <c r="D141" i="5"/>
  <c r="D494" i="5"/>
  <c r="D234" i="5"/>
  <c r="D437" i="5"/>
  <c r="D626" i="5"/>
  <c r="D370" i="5"/>
  <c r="D594" i="5"/>
  <c r="D730" i="5"/>
  <c r="D525" i="5"/>
  <c r="C127" i="8"/>
  <c r="D884" i="5"/>
  <c r="D883" i="5"/>
  <c r="C203" i="8"/>
  <c r="D960" i="5"/>
  <c r="C232" i="8"/>
  <c r="D989" i="5"/>
  <c r="C107" i="8"/>
  <c r="D864" i="5"/>
  <c r="C168" i="8"/>
  <c r="D925" i="5"/>
  <c r="D377" i="5"/>
  <c r="D376" i="5"/>
  <c r="D177" i="5"/>
  <c r="D112" i="5"/>
  <c r="C18" i="8"/>
  <c r="D775" i="5"/>
  <c r="D529" i="5"/>
  <c r="D273" i="5"/>
  <c r="D105" i="5"/>
  <c r="D226" i="5"/>
  <c r="D878" i="5"/>
  <c r="D774" i="5"/>
  <c r="D637" i="5"/>
  <c r="D801" i="5"/>
  <c r="D681" i="5"/>
  <c r="D330" i="5"/>
  <c r="D5" i="5"/>
  <c r="D3" i="5"/>
  <c r="D4" i="5"/>
  <c r="D15" i="5"/>
  <c r="D630" i="5"/>
  <c r="D438" i="5"/>
  <c r="D182" i="5"/>
  <c r="D190" i="5"/>
  <c r="D29" i="5"/>
  <c r="D410" i="5"/>
  <c r="D393" i="5"/>
  <c r="D32" i="5"/>
  <c r="D343" i="5"/>
  <c r="D218" i="5"/>
  <c r="D233" i="5"/>
  <c r="D621" i="5"/>
  <c r="D589" i="5"/>
  <c r="D718" i="5"/>
  <c r="D490" i="5"/>
  <c r="D402" i="5"/>
  <c r="D205" i="5"/>
  <c r="D146" i="5"/>
  <c r="C170" i="8"/>
  <c r="D927" i="5"/>
  <c r="C231" i="8"/>
  <c r="D988" i="5"/>
  <c r="D987" i="5"/>
  <c r="C133" i="8"/>
  <c r="D889" i="5"/>
  <c r="D890" i="5"/>
  <c r="C216" i="8"/>
  <c r="D973" i="5"/>
  <c r="C167" i="8"/>
  <c r="D924" i="5"/>
  <c r="D922" i="5"/>
  <c r="C185" i="8"/>
  <c r="D942" i="5"/>
  <c r="D265" i="5"/>
  <c r="D267" i="5"/>
  <c r="D375" i="5"/>
  <c r="D155" i="5"/>
  <c r="C16" i="8"/>
  <c r="D773" i="5"/>
  <c r="D125" i="5"/>
  <c r="C60" i="8"/>
  <c r="D817" i="5"/>
  <c r="D669" i="5"/>
  <c r="D163" i="5"/>
  <c r="C30" i="8"/>
  <c r="D787" i="5"/>
  <c r="D310" i="5"/>
  <c r="C145" i="8"/>
  <c r="D902" i="5"/>
  <c r="C68" i="8"/>
  <c r="D825" i="5"/>
  <c r="D573" i="5"/>
  <c r="D650" i="5"/>
  <c r="D51" i="5"/>
  <c r="D407" i="5"/>
  <c r="D77" i="5"/>
  <c r="D593" i="5"/>
  <c r="D419" i="5"/>
  <c r="D457" i="5"/>
  <c r="D169" i="5"/>
  <c r="D333" i="5"/>
  <c r="D344" i="5"/>
  <c r="D338" i="5"/>
  <c r="D365" i="5"/>
  <c r="D50" i="5"/>
  <c r="D582" i="5"/>
  <c r="D521" i="5"/>
  <c r="D714" i="5"/>
  <c r="D474" i="5"/>
  <c r="D698" i="5"/>
  <c r="D382" i="5"/>
  <c r="D181" i="5"/>
  <c r="D362" i="5"/>
  <c r="C247" i="8"/>
  <c r="D1004" i="5"/>
  <c r="C162" i="8"/>
  <c r="D919" i="5"/>
  <c r="D918" i="5"/>
  <c r="C50" i="8"/>
  <c r="D807" i="5"/>
  <c r="C195" i="8"/>
  <c r="D952" i="5"/>
  <c r="D625" i="5"/>
  <c r="D569" i="5"/>
  <c r="D568" i="5"/>
  <c r="D524" i="5"/>
  <c r="D313" i="5"/>
  <c r="D312" i="5"/>
  <c r="C100" i="8"/>
  <c r="D857" i="5"/>
  <c r="D119" i="5"/>
  <c r="D401" i="5"/>
  <c r="D96" i="5"/>
  <c r="D411" i="5"/>
  <c r="D866" i="5"/>
  <c r="C66" i="8"/>
  <c r="D823" i="5"/>
  <c r="D821" i="5"/>
  <c r="D772" i="5"/>
  <c r="D458" i="5"/>
  <c r="D566" i="5"/>
  <c r="D445" i="5"/>
  <c r="D824" i="5"/>
  <c r="D227" i="5"/>
  <c r="D429" i="5"/>
  <c r="D134" i="5"/>
  <c r="D120" i="5"/>
  <c r="D126" i="5"/>
  <c r="D318" i="5"/>
  <c r="D302" i="5"/>
  <c r="D697" i="5"/>
  <c r="D493" i="5"/>
  <c r="D629" i="5"/>
  <c r="D649" i="5"/>
  <c r="D361" i="5"/>
  <c r="D111" i="5"/>
  <c r="D201" i="5"/>
  <c r="C215" i="8"/>
  <c r="D972" i="5"/>
  <c r="C160" i="8"/>
  <c r="D917" i="5"/>
  <c r="C26" i="8"/>
  <c r="D783" i="5"/>
  <c r="C46" i="8"/>
  <c r="D803" i="5"/>
  <c r="C136" i="8"/>
  <c r="D893" i="5"/>
  <c r="C192" i="8"/>
  <c r="D949" i="5"/>
  <c r="C123" i="8"/>
  <c r="D880" i="5"/>
  <c r="D311" i="5"/>
  <c r="C98" i="8"/>
  <c r="D855" i="5"/>
  <c r="D853" i="5"/>
  <c r="D815" i="5"/>
  <c r="D717" i="5"/>
  <c r="D657" i="5"/>
  <c r="D950" i="5"/>
  <c r="C84" i="8"/>
  <c r="D841" i="5"/>
  <c r="D914" i="5"/>
  <c r="D867" i="5"/>
  <c r="D806" i="5"/>
  <c r="D266" i="5"/>
  <c r="D337" i="5"/>
  <c r="D381" i="5"/>
  <c r="D408" i="5"/>
  <c r="D79" i="5"/>
  <c r="D269" i="5"/>
  <c r="D707" i="5"/>
  <c r="D489" i="5"/>
  <c r="D237" i="5"/>
  <c r="D346" i="5"/>
  <c r="D682" i="5"/>
  <c r="D297" i="5"/>
  <c r="D173" i="5"/>
  <c r="D666" i="5"/>
  <c r="D446" i="5"/>
  <c r="D744" i="5"/>
  <c r="D562" i="5"/>
  <c r="D373" i="5"/>
  <c r="D602" i="5"/>
  <c r="D326" i="5"/>
  <c r="D80" i="5"/>
  <c r="D198" i="5"/>
  <c r="C183" i="8"/>
  <c r="D940" i="5"/>
  <c r="C10" i="8"/>
  <c r="D767" i="5"/>
  <c r="C207" i="8"/>
  <c r="D964" i="5"/>
  <c r="C135" i="8"/>
  <c r="D892" i="5"/>
  <c r="D891" i="5"/>
  <c r="C22" i="8"/>
  <c r="D779" i="5"/>
  <c r="D778" i="5"/>
  <c r="C31" i="8"/>
  <c r="D788" i="5"/>
  <c r="D561" i="5"/>
  <c r="D505" i="5"/>
  <c r="D504" i="5"/>
  <c r="D460" i="5"/>
  <c r="D305" i="5"/>
  <c r="D249" i="5"/>
  <c r="D248" i="5"/>
  <c r="D204" i="5"/>
  <c r="D46" i="5"/>
  <c r="D45" i="5"/>
  <c r="D667" i="5"/>
  <c r="D374" i="5"/>
  <c r="D959" i="5"/>
  <c r="D97" i="5"/>
  <c r="D64" i="5"/>
  <c r="D603" i="5"/>
  <c r="D951" i="5"/>
  <c r="C82" i="8"/>
  <c r="D839" i="5"/>
  <c r="D837" i="5"/>
  <c r="D765" i="5"/>
  <c r="D738" i="5"/>
  <c r="D162" i="5"/>
  <c r="D586" i="5"/>
  <c r="D279" i="5"/>
  <c r="D253" i="5"/>
  <c r="C42" i="8"/>
  <c r="D799" i="5"/>
  <c r="D798" i="5"/>
  <c r="D48" i="5"/>
  <c r="D114" i="5"/>
  <c r="D702" i="5"/>
  <c r="D454" i="5"/>
  <c r="D216" i="5"/>
  <c r="D675" i="5"/>
  <c r="D262" i="5"/>
  <c r="D254" i="5"/>
  <c r="D585" i="5"/>
  <c r="D755" i="5"/>
  <c r="D425" i="5"/>
  <c r="D745" i="5"/>
  <c r="D557" i="5"/>
  <c r="D329" i="5"/>
  <c r="D306" i="5"/>
  <c r="D63" i="5"/>
  <c r="D178" i="5"/>
  <c r="C151" i="8"/>
  <c r="D908" i="5"/>
  <c r="D1003" i="5"/>
  <c r="D467" i="5"/>
  <c r="C240" i="8"/>
  <c r="D997" i="5"/>
  <c r="C6" i="8"/>
  <c r="D763" i="5"/>
  <c r="D57" i="5"/>
  <c r="C226" i="8"/>
  <c r="D983" i="5"/>
  <c r="C138" i="8"/>
  <c r="D895" i="5"/>
  <c r="D139" i="5"/>
  <c r="D137" i="5"/>
  <c r="C14" i="8"/>
  <c r="D771" i="5"/>
  <c r="D503" i="5"/>
  <c r="D398" i="5"/>
  <c r="D247" i="5"/>
  <c r="D19" i="5"/>
  <c r="D93" i="5"/>
  <c r="D693" i="5"/>
  <c r="D574" i="5"/>
  <c r="D347" i="5"/>
  <c r="D145" i="5"/>
  <c r="D483" i="5"/>
  <c r="D733" i="5"/>
  <c r="D915" i="5"/>
  <c r="D723" i="5"/>
  <c r="D394" i="5"/>
  <c r="D75" i="5"/>
  <c r="D83" i="5"/>
  <c r="D283" i="5"/>
  <c r="D110" i="5"/>
  <c r="C43" i="8"/>
  <c r="D800" i="5"/>
  <c r="D646" i="5"/>
  <c r="D366" i="5"/>
  <c r="D42" i="5"/>
  <c r="D170" i="5"/>
  <c r="D658" i="5"/>
  <c r="D174" i="5"/>
  <c r="D152" i="5"/>
  <c r="D670" i="5"/>
  <c r="D242" i="5"/>
  <c r="D106" i="5"/>
  <c r="D558" i="5"/>
  <c r="D750" i="5"/>
  <c r="D686" i="5"/>
  <c r="D430" i="5"/>
  <c r="D518" i="5"/>
  <c r="D301" i="5"/>
  <c r="D554" i="5"/>
  <c r="D56" i="5"/>
  <c r="C119" i="8"/>
  <c r="D876" i="5"/>
  <c r="C191" i="8"/>
  <c r="D948" i="5"/>
  <c r="C144" i="8"/>
  <c r="D901" i="5"/>
  <c r="D17" i="5"/>
  <c r="D16" i="5"/>
  <c r="D1002" i="5"/>
  <c r="D970" i="5"/>
  <c r="D435" i="5"/>
  <c r="C176" i="8"/>
  <c r="D933" i="5"/>
  <c r="C113" i="8"/>
  <c r="D870" i="5"/>
  <c r="C224" i="8"/>
  <c r="D981" i="5"/>
  <c r="D979" i="5"/>
  <c r="D926" i="5"/>
  <c r="D958" i="5"/>
  <c r="C54" i="8"/>
  <c r="D811" i="5"/>
  <c r="D754" i="5"/>
  <c r="D497" i="5"/>
  <c r="D441" i="5"/>
  <c r="D440" i="5"/>
  <c r="D396" i="5"/>
  <c r="D241" i="5"/>
  <c r="D185" i="5"/>
  <c r="D184" i="5"/>
  <c r="D140" i="5"/>
  <c r="D28" i="5"/>
  <c r="D519" i="5"/>
  <c r="D73" i="5"/>
  <c r="D939" i="5"/>
  <c r="D691" i="5"/>
  <c r="D209" i="5"/>
  <c r="D781" i="5"/>
  <c r="D856" i="5"/>
  <c r="D33" i="5"/>
  <c r="D502" i="5"/>
  <c r="D418" i="5"/>
  <c r="D947" i="5"/>
  <c r="D882" i="5"/>
  <c r="D713" i="5"/>
  <c r="D706" i="5"/>
  <c r="D202" i="5"/>
  <c r="D70" i="5"/>
  <c r="D724" i="5"/>
  <c r="D109" i="5"/>
  <c r="D617" i="5"/>
  <c r="D215" i="5"/>
  <c r="D41" i="5"/>
  <c r="D88" i="5"/>
  <c r="D653" i="5"/>
  <c r="D434" i="5"/>
  <c r="D71" i="5"/>
  <c r="D154" i="5"/>
  <c r="D553" i="5"/>
  <c r="D74" i="5"/>
  <c r="D461" i="5"/>
  <c r="D712" i="5"/>
  <c r="D618" i="5"/>
  <c r="D274" i="5"/>
  <c r="D498" i="5"/>
  <c r="D280" i="5"/>
  <c r="D530" i="5"/>
  <c r="D298" i="5"/>
  <c r="D24" i="5"/>
  <c r="D82" i="5"/>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<sst xmlns="http://schemas.openxmlformats.org/spreadsheetml/2006/main" count="149" uniqueCount="108">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</sst>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NFP!$A$120:$A$1010</c:f>
              <c:numCache>
                <c:formatCode>yyyy\-mm\-dd</c:formatCode>
                <c:ptCount val="89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NFP!$E$120:$E$1010</c:f>
              <c:numCache>
                <c:formatCode>General</c:formatCode>
                <c:ptCount val="891"/>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numCache>
            </c:numRef>
          </c:val>
          <c:smooth val="0"/>
          <c:extLst>
            <c:ext xmlns:c16="http://schemas.microsoft.com/office/drawing/2014/chart" uri="{C3380CC4-5D6E-409C-BE32-E72D297353CC}">
              <c16:uniqueId val="{00000000-92EB-5C44-AB9F-78C6DF203FE2}"/>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NFP!$A$120:$A$1016</c:f>
              <c:numCache>
                <c:formatCode>yyyy\-mm\-dd</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NFP!$E$120:$E$1016</c:f>
              <c:numCache>
                <c:formatCode>General</c:formatCode>
                <c:ptCount val="89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numCache>
            </c:numRef>
          </c:val>
          <c:smooth val="0"/>
          <c:extLst>
            <c:ext xmlns:c16="http://schemas.microsoft.com/office/drawing/2014/chart" uri="{C3380CC4-5D6E-409C-BE32-E72D297353CC}">
              <c16:uniqueId val="{00000000-5FD6-3343-97F7-7108E1A77F7C}"/>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NFP!$A$120:$A$1016</c:f>
              <c:numCache>
                <c:formatCode>yyyy\-mm\-dd</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NFP!$F$120:$F$1016</c:f>
              <c:numCache>
                <c:formatCode>General</c:formatCode>
                <c:ptCount val="897"/>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numCache>
            </c:numRef>
          </c:val>
          <c:smooth val="0"/>
          <c:extLst>
            <c:ext xmlns:c16="http://schemas.microsoft.com/office/drawing/2014/chart" uri="{C3380CC4-5D6E-409C-BE32-E72D297353CC}">
              <c16:uniqueId val="{00000000-7FC6-6E4D-A84C-ED24B80D6B0B}"/>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Claims!$A$6:$A$2917</c:f>
              <c:numCache>
                <c:formatCode>m/d/yy</c:formatCode>
                <c:ptCount val="2912"/>
                <c:pt idx="0">
                  <c:v>24486</c:v>
                </c:pt>
                <c:pt idx="1">
                  <c:v>24493</c:v>
                </c:pt>
                <c:pt idx="2">
                  <c:v>24500</c:v>
                </c:pt>
                <c:pt idx="3">
                  <c:v>24507</c:v>
                </c:pt>
                <c:pt idx="4">
                  <c:v>24514</c:v>
                </c:pt>
                <c:pt idx="5">
                  <c:v>24521</c:v>
                </c:pt>
                <c:pt idx="6">
                  <c:v>24528</c:v>
                </c:pt>
                <c:pt idx="7">
                  <c:v>24535</c:v>
                </c:pt>
                <c:pt idx="8">
                  <c:v>24542</c:v>
                </c:pt>
                <c:pt idx="9">
                  <c:v>24549</c:v>
                </c:pt>
                <c:pt idx="10">
                  <c:v>24556</c:v>
                </c:pt>
                <c:pt idx="11">
                  <c:v>24563</c:v>
                </c:pt>
                <c:pt idx="12">
                  <c:v>24570</c:v>
                </c:pt>
                <c:pt idx="13">
                  <c:v>24577</c:v>
                </c:pt>
                <c:pt idx="14">
                  <c:v>24584</c:v>
                </c:pt>
                <c:pt idx="15">
                  <c:v>24591</c:v>
                </c:pt>
                <c:pt idx="16">
                  <c:v>24598</c:v>
                </c:pt>
                <c:pt idx="17">
                  <c:v>24605</c:v>
                </c:pt>
                <c:pt idx="18">
                  <c:v>24612</c:v>
                </c:pt>
                <c:pt idx="19">
                  <c:v>24619</c:v>
                </c:pt>
                <c:pt idx="20">
                  <c:v>24626</c:v>
                </c:pt>
                <c:pt idx="21">
                  <c:v>24633</c:v>
                </c:pt>
                <c:pt idx="22">
                  <c:v>24640</c:v>
                </c:pt>
                <c:pt idx="23">
                  <c:v>24647</c:v>
                </c:pt>
                <c:pt idx="24">
                  <c:v>24654</c:v>
                </c:pt>
                <c:pt idx="25">
                  <c:v>24661</c:v>
                </c:pt>
                <c:pt idx="26">
                  <c:v>24668</c:v>
                </c:pt>
                <c:pt idx="27">
                  <c:v>24675</c:v>
                </c:pt>
                <c:pt idx="28">
                  <c:v>24682</c:v>
                </c:pt>
                <c:pt idx="29">
                  <c:v>24689</c:v>
                </c:pt>
                <c:pt idx="30">
                  <c:v>24696</c:v>
                </c:pt>
                <c:pt idx="31">
                  <c:v>24703</c:v>
                </c:pt>
                <c:pt idx="32">
                  <c:v>24710</c:v>
                </c:pt>
                <c:pt idx="33">
                  <c:v>24717</c:v>
                </c:pt>
                <c:pt idx="34">
                  <c:v>24724</c:v>
                </c:pt>
                <c:pt idx="35">
                  <c:v>24731</c:v>
                </c:pt>
                <c:pt idx="36">
                  <c:v>24738</c:v>
                </c:pt>
                <c:pt idx="37">
                  <c:v>24745</c:v>
                </c:pt>
                <c:pt idx="38">
                  <c:v>24752</c:v>
                </c:pt>
                <c:pt idx="39">
                  <c:v>24759</c:v>
                </c:pt>
                <c:pt idx="40">
                  <c:v>24766</c:v>
                </c:pt>
                <c:pt idx="41">
                  <c:v>24773</c:v>
                </c:pt>
                <c:pt idx="42">
                  <c:v>24780</c:v>
                </c:pt>
                <c:pt idx="43">
                  <c:v>24787</c:v>
                </c:pt>
                <c:pt idx="44">
                  <c:v>24794</c:v>
                </c:pt>
                <c:pt idx="45">
                  <c:v>24801</c:v>
                </c:pt>
                <c:pt idx="46">
                  <c:v>24808</c:v>
                </c:pt>
                <c:pt idx="47">
                  <c:v>24815</c:v>
                </c:pt>
                <c:pt idx="48">
                  <c:v>24822</c:v>
                </c:pt>
                <c:pt idx="49">
                  <c:v>24829</c:v>
                </c:pt>
                <c:pt idx="50">
                  <c:v>24836</c:v>
                </c:pt>
                <c:pt idx="51">
                  <c:v>24843</c:v>
                </c:pt>
                <c:pt idx="52">
                  <c:v>24850</c:v>
                </c:pt>
                <c:pt idx="53">
                  <c:v>24857</c:v>
                </c:pt>
                <c:pt idx="54">
                  <c:v>24864</c:v>
                </c:pt>
                <c:pt idx="55">
                  <c:v>24871</c:v>
                </c:pt>
                <c:pt idx="56">
                  <c:v>24878</c:v>
                </c:pt>
                <c:pt idx="57">
                  <c:v>24885</c:v>
                </c:pt>
                <c:pt idx="58">
                  <c:v>24892</c:v>
                </c:pt>
                <c:pt idx="59">
                  <c:v>24899</c:v>
                </c:pt>
                <c:pt idx="60">
                  <c:v>24906</c:v>
                </c:pt>
                <c:pt idx="61">
                  <c:v>24913</c:v>
                </c:pt>
                <c:pt idx="62">
                  <c:v>24920</c:v>
                </c:pt>
                <c:pt idx="63">
                  <c:v>24927</c:v>
                </c:pt>
                <c:pt idx="64">
                  <c:v>24934</c:v>
                </c:pt>
                <c:pt idx="65">
                  <c:v>24941</c:v>
                </c:pt>
                <c:pt idx="66">
                  <c:v>24948</c:v>
                </c:pt>
                <c:pt idx="67">
                  <c:v>24955</c:v>
                </c:pt>
                <c:pt idx="68">
                  <c:v>24962</c:v>
                </c:pt>
                <c:pt idx="69">
                  <c:v>24969</c:v>
                </c:pt>
                <c:pt idx="70">
                  <c:v>24976</c:v>
                </c:pt>
                <c:pt idx="71">
                  <c:v>24983</c:v>
                </c:pt>
                <c:pt idx="72">
                  <c:v>24990</c:v>
                </c:pt>
                <c:pt idx="73">
                  <c:v>24997</c:v>
                </c:pt>
                <c:pt idx="74">
                  <c:v>25004</c:v>
                </c:pt>
                <c:pt idx="75">
                  <c:v>25011</c:v>
                </c:pt>
                <c:pt idx="76">
                  <c:v>25018</c:v>
                </c:pt>
                <c:pt idx="77">
                  <c:v>25025</c:v>
                </c:pt>
                <c:pt idx="78">
                  <c:v>25032</c:v>
                </c:pt>
                <c:pt idx="79">
                  <c:v>25039</c:v>
                </c:pt>
                <c:pt idx="80">
                  <c:v>25046</c:v>
                </c:pt>
                <c:pt idx="81">
                  <c:v>25053</c:v>
                </c:pt>
                <c:pt idx="82">
                  <c:v>25060</c:v>
                </c:pt>
                <c:pt idx="83">
                  <c:v>25067</c:v>
                </c:pt>
                <c:pt idx="84">
                  <c:v>25074</c:v>
                </c:pt>
                <c:pt idx="85">
                  <c:v>25081</c:v>
                </c:pt>
                <c:pt idx="86">
                  <c:v>25088</c:v>
                </c:pt>
                <c:pt idx="87">
                  <c:v>25095</c:v>
                </c:pt>
                <c:pt idx="88">
                  <c:v>25102</c:v>
                </c:pt>
                <c:pt idx="89">
                  <c:v>25109</c:v>
                </c:pt>
                <c:pt idx="90">
                  <c:v>25116</c:v>
                </c:pt>
                <c:pt idx="91">
                  <c:v>25123</c:v>
                </c:pt>
                <c:pt idx="92">
                  <c:v>25130</c:v>
                </c:pt>
                <c:pt idx="93">
                  <c:v>25137</c:v>
                </c:pt>
                <c:pt idx="94">
                  <c:v>25144</c:v>
                </c:pt>
                <c:pt idx="95">
                  <c:v>25151</c:v>
                </c:pt>
                <c:pt idx="96">
                  <c:v>25158</c:v>
                </c:pt>
                <c:pt idx="97">
                  <c:v>25165</c:v>
                </c:pt>
                <c:pt idx="98">
                  <c:v>25172</c:v>
                </c:pt>
                <c:pt idx="99">
                  <c:v>25179</c:v>
                </c:pt>
                <c:pt idx="100">
                  <c:v>25186</c:v>
                </c:pt>
                <c:pt idx="101">
                  <c:v>25193</c:v>
                </c:pt>
                <c:pt idx="102">
                  <c:v>25200</c:v>
                </c:pt>
                <c:pt idx="103">
                  <c:v>25207</c:v>
                </c:pt>
                <c:pt idx="104">
                  <c:v>25214</c:v>
                </c:pt>
                <c:pt idx="105">
                  <c:v>25221</c:v>
                </c:pt>
                <c:pt idx="106">
                  <c:v>25228</c:v>
                </c:pt>
                <c:pt idx="107">
                  <c:v>25235</c:v>
                </c:pt>
                <c:pt idx="108">
                  <c:v>25242</c:v>
                </c:pt>
                <c:pt idx="109">
                  <c:v>25249</c:v>
                </c:pt>
                <c:pt idx="110">
                  <c:v>25256</c:v>
                </c:pt>
                <c:pt idx="111">
                  <c:v>25263</c:v>
                </c:pt>
                <c:pt idx="112">
                  <c:v>25270</c:v>
                </c:pt>
                <c:pt idx="113">
                  <c:v>25277</c:v>
                </c:pt>
                <c:pt idx="114">
                  <c:v>25284</c:v>
                </c:pt>
                <c:pt idx="115">
                  <c:v>25291</c:v>
                </c:pt>
                <c:pt idx="116">
                  <c:v>25298</c:v>
                </c:pt>
                <c:pt idx="117">
                  <c:v>25305</c:v>
                </c:pt>
                <c:pt idx="118">
                  <c:v>25312</c:v>
                </c:pt>
                <c:pt idx="119">
                  <c:v>25319</c:v>
                </c:pt>
                <c:pt idx="120">
                  <c:v>25326</c:v>
                </c:pt>
                <c:pt idx="121">
                  <c:v>25333</c:v>
                </c:pt>
                <c:pt idx="122">
                  <c:v>25340</c:v>
                </c:pt>
                <c:pt idx="123">
                  <c:v>25347</c:v>
                </c:pt>
                <c:pt idx="124">
                  <c:v>25354</c:v>
                </c:pt>
                <c:pt idx="125">
                  <c:v>25361</c:v>
                </c:pt>
                <c:pt idx="126">
                  <c:v>25368</c:v>
                </c:pt>
                <c:pt idx="127">
                  <c:v>25375</c:v>
                </c:pt>
                <c:pt idx="128">
                  <c:v>25382</c:v>
                </c:pt>
                <c:pt idx="129">
                  <c:v>25389</c:v>
                </c:pt>
                <c:pt idx="130">
                  <c:v>25396</c:v>
                </c:pt>
                <c:pt idx="131">
                  <c:v>25403</c:v>
                </c:pt>
                <c:pt idx="132">
                  <c:v>25410</c:v>
                </c:pt>
                <c:pt idx="133">
                  <c:v>25417</c:v>
                </c:pt>
                <c:pt idx="134">
                  <c:v>25424</c:v>
                </c:pt>
                <c:pt idx="135">
                  <c:v>25431</c:v>
                </c:pt>
                <c:pt idx="136">
                  <c:v>25438</c:v>
                </c:pt>
                <c:pt idx="137">
                  <c:v>25445</c:v>
                </c:pt>
                <c:pt idx="138">
                  <c:v>25452</c:v>
                </c:pt>
                <c:pt idx="139">
                  <c:v>25459</c:v>
                </c:pt>
                <c:pt idx="140">
                  <c:v>25466</c:v>
                </c:pt>
                <c:pt idx="141">
                  <c:v>25473</c:v>
                </c:pt>
                <c:pt idx="142">
                  <c:v>25480</c:v>
                </c:pt>
                <c:pt idx="143">
                  <c:v>25487</c:v>
                </c:pt>
                <c:pt idx="144">
                  <c:v>25494</c:v>
                </c:pt>
                <c:pt idx="145">
                  <c:v>25501</c:v>
                </c:pt>
                <c:pt idx="146">
                  <c:v>25508</c:v>
                </c:pt>
                <c:pt idx="147">
                  <c:v>25515</c:v>
                </c:pt>
                <c:pt idx="148">
                  <c:v>25522</c:v>
                </c:pt>
                <c:pt idx="149">
                  <c:v>25529</c:v>
                </c:pt>
                <c:pt idx="150">
                  <c:v>25536</c:v>
                </c:pt>
                <c:pt idx="151">
                  <c:v>25543</c:v>
                </c:pt>
                <c:pt idx="152">
                  <c:v>25550</c:v>
                </c:pt>
                <c:pt idx="153">
                  <c:v>25557</c:v>
                </c:pt>
                <c:pt idx="154">
                  <c:v>25564</c:v>
                </c:pt>
                <c:pt idx="155">
                  <c:v>25571</c:v>
                </c:pt>
                <c:pt idx="156">
                  <c:v>25578</c:v>
                </c:pt>
                <c:pt idx="157">
                  <c:v>25585</c:v>
                </c:pt>
                <c:pt idx="158">
                  <c:v>25592</c:v>
                </c:pt>
                <c:pt idx="159">
                  <c:v>25599</c:v>
                </c:pt>
                <c:pt idx="160">
                  <c:v>25606</c:v>
                </c:pt>
                <c:pt idx="161">
                  <c:v>25613</c:v>
                </c:pt>
                <c:pt idx="162">
                  <c:v>25620</c:v>
                </c:pt>
                <c:pt idx="163">
                  <c:v>25627</c:v>
                </c:pt>
                <c:pt idx="164">
                  <c:v>25634</c:v>
                </c:pt>
                <c:pt idx="165">
                  <c:v>25641</c:v>
                </c:pt>
                <c:pt idx="166">
                  <c:v>25648</c:v>
                </c:pt>
                <c:pt idx="167">
                  <c:v>25655</c:v>
                </c:pt>
                <c:pt idx="168">
                  <c:v>25662</c:v>
                </c:pt>
                <c:pt idx="169">
                  <c:v>25669</c:v>
                </c:pt>
                <c:pt idx="170">
                  <c:v>25676</c:v>
                </c:pt>
                <c:pt idx="171">
                  <c:v>25683</c:v>
                </c:pt>
                <c:pt idx="172">
                  <c:v>25690</c:v>
                </c:pt>
                <c:pt idx="173">
                  <c:v>25697</c:v>
                </c:pt>
                <c:pt idx="174">
                  <c:v>25704</c:v>
                </c:pt>
                <c:pt idx="175">
                  <c:v>25711</c:v>
                </c:pt>
                <c:pt idx="176">
                  <c:v>25718</c:v>
                </c:pt>
                <c:pt idx="177">
                  <c:v>25725</c:v>
                </c:pt>
                <c:pt idx="178">
                  <c:v>25732</c:v>
                </c:pt>
                <c:pt idx="179">
                  <c:v>25739</c:v>
                </c:pt>
                <c:pt idx="180">
                  <c:v>25746</c:v>
                </c:pt>
                <c:pt idx="181">
                  <c:v>25753</c:v>
                </c:pt>
                <c:pt idx="182">
                  <c:v>25760</c:v>
                </c:pt>
                <c:pt idx="183">
                  <c:v>25767</c:v>
                </c:pt>
                <c:pt idx="184">
                  <c:v>25774</c:v>
                </c:pt>
                <c:pt idx="185">
                  <c:v>25781</c:v>
                </c:pt>
                <c:pt idx="186">
                  <c:v>25788</c:v>
                </c:pt>
                <c:pt idx="187">
                  <c:v>25795</c:v>
                </c:pt>
                <c:pt idx="188">
                  <c:v>25802</c:v>
                </c:pt>
                <c:pt idx="189">
                  <c:v>25809</c:v>
                </c:pt>
                <c:pt idx="190">
                  <c:v>25816</c:v>
                </c:pt>
                <c:pt idx="191">
                  <c:v>25823</c:v>
                </c:pt>
                <c:pt idx="192">
                  <c:v>25830</c:v>
                </c:pt>
                <c:pt idx="193">
                  <c:v>25837</c:v>
                </c:pt>
                <c:pt idx="194">
                  <c:v>25844</c:v>
                </c:pt>
                <c:pt idx="195">
                  <c:v>25851</c:v>
                </c:pt>
                <c:pt idx="196">
                  <c:v>25858</c:v>
                </c:pt>
                <c:pt idx="197">
                  <c:v>25865</c:v>
                </c:pt>
                <c:pt idx="198">
                  <c:v>25872</c:v>
                </c:pt>
                <c:pt idx="199">
                  <c:v>25879</c:v>
                </c:pt>
                <c:pt idx="200">
                  <c:v>25886</c:v>
                </c:pt>
                <c:pt idx="201">
                  <c:v>25893</c:v>
                </c:pt>
                <c:pt idx="202">
                  <c:v>25900</c:v>
                </c:pt>
                <c:pt idx="203">
                  <c:v>25907</c:v>
                </c:pt>
                <c:pt idx="204">
                  <c:v>25914</c:v>
                </c:pt>
                <c:pt idx="205">
                  <c:v>25921</c:v>
                </c:pt>
                <c:pt idx="206">
                  <c:v>25928</c:v>
                </c:pt>
                <c:pt idx="207">
                  <c:v>25935</c:v>
                </c:pt>
                <c:pt idx="208">
                  <c:v>25942</c:v>
                </c:pt>
                <c:pt idx="209">
                  <c:v>25949</c:v>
                </c:pt>
                <c:pt idx="210">
                  <c:v>25956</c:v>
                </c:pt>
                <c:pt idx="211">
                  <c:v>25963</c:v>
                </c:pt>
                <c:pt idx="212">
                  <c:v>25970</c:v>
                </c:pt>
                <c:pt idx="213">
                  <c:v>25977</c:v>
                </c:pt>
                <c:pt idx="214">
                  <c:v>25984</c:v>
                </c:pt>
                <c:pt idx="215">
                  <c:v>25991</c:v>
                </c:pt>
                <c:pt idx="216">
                  <c:v>25998</c:v>
                </c:pt>
                <c:pt idx="217">
                  <c:v>26005</c:v>
                </c:pt>
                <c:pt idx="218">
                  <c:v>26012</c:v>
                </c:pt>
                <c:pt idx="219">
                  <c:v>26019</c:v>
                </c:pt>
                <c:pt idx="220">
                  <c:v>26026</c:v>
                </c:pt>
                <c:pt idx="221">
                  <c:v>26033</c:v>
                </c:pt>
                <c:pt idx="222">
                  <c:v>26040</c:v>
                </c:pt>
                <c:pt idx="223">
                  <c:v>26047</c:v>
                </c:pt>
                <c:pt idx="224">
                  <c:v>26054</c:v>
                </c:pt>
                <c:pt idx="225">
                  <c:v>26061</c:v>
                </c:pt>
                <c:pt idx="226">
                  <c:v>26068</c:v>
                </c:pt>
                <c:pt idx="227">
                  <c:v>26075</c:v>
                </c:pt>
                <c:pt idx="228">
                  <c:v>26082</c:v>
                </c:pt>
                <c:pt idx="229">
                  <c:v>26089</c:v>
                </c:pt>
                <c:pt idx="230">
                  <c:v>26096</c:v>
                </c:pt>
                <c:pt idx="231">
                  <c:v>26103</c:v>
                </c:pt>
                <c:pt idx="232">
                  <c:v>26110</c:v>
                </c:pt>
                <c:pt idx="233">
                  <c:v>26117</c:v>
                </c:pt>
                <c:pt idx="234">
                  <c:v>26124</c:v>
                </c:pt>
                <c:pt idx="235">
                  <c:v>26131</c:v>
                </c:pt>
                <c:pt idx="236">
                  <c:v>26138</c:v>
                </c:pt>
                <c:pt idx="237">
                  <c:v>26145</c:v>
                </c:pt>
                <c:pt idx="238">
                  <c:v>26152</c:v>
                </c:pt>
                <c:pt idx="239">
                  <c:v>26159</c:v>
                </c:pt>
                <c:pt idx="240">
                  <c:v>26166</c:v>
                </c:pt>
                <c:pt idx="241">
                  <c:v>26173</c:v>
                </c:pt>
                <c:pt idx="242">
                  <c:v>26180</c:v>
                </c:pt>
                <c:pt idx="243">
                  <c:v>26187</c:v>
                </c:pt>
                <c:pt idx="244">
                  <c:v>26194</c:v>
                </c:pt>
                <c:pt idx="245">
                  <c:v>26201</c:v>
                </c:pt>
                <c:pt idx="246">
                  <c:v>26208</c:v>
                </c:pt>
                <c:pt idx="247">
                  <c:v>26215</c:v>
                </c:pt>
                <c:pt idx="248">
                  <c:v>26222</c:v>
                </c:pt>
                <c:pt idx="249">
                  <c:v>26229</c:v>
                </c:pt>
                <c:pt idx="250">
                  <c:v>26236</c:v>
                </c:pt>
                <c:pt idx="251">
                  <c:v>26243</c:v>
                </c:pt>
                <c:pt idx="252">
                  <c:v>26250</c:v>
                </c:pt>
                <c:pt idx="253">
                  <c:v>26257</c:v>
                </c:pt>
                <c:pt idx="254">
                  <c:v>26264</c:v>
                </c:pt>
                <c:pt idx="255">
                  <c:v>26271</c:v>
                </c:pt>
                <c:pt idx="256">
                  <c:v>26278</c:v>
                </c:pt>
                <c:pt idx="257">
                  <c:v>26285</c:v>
                </c:pt>
                <c:pt idx="258">
                  <c:v>26292</c:v>
                </c:pt>
                <c:pt idx="259">
                  <c:v>26299</c:v>
                </c:pt>
                <c:pt idx="260">
                  <c:v>26306</c:v>
                </c:pt>
                <c:pt idx="261">
                  <c:v>26313</c:v>
                </c:pt>
                <c:pt idx="262">
                  <c:v>26320</c:v>
                </c:pt>
                <c:pt idx="263">
                  <c:v>26327</c:v>
                </c:pt>
                <c:pt idx="264">
                  <c:v>26334</c:v>
                </c:pt>
                <c:pt idx="265">
                  <c:v>26341</c:v>
                </c:pt>
                <c:pt idx="266">
                  <c:v>26348</c:v>
                </c:pt>
                <c:pt idx="267">
                  <c:v>26355</c:v>
                </c:pt>
                <c:pt idx="268">
                  <c:v>26362</c:v>
                </c:pt>
                <c:pt idx="269">
                  <c:v>26369</c:v>
                </c:pt>
                <c:pt idx="270">
                  <c:v>26376</c:v>
                </c:pt>
                <c:pt idx="271">
                  <c:v>26383</c:v>
                </c:pt>
                <c:pt idx="272">
                  <c:v>26390</c:v>
                </c:pt>
                <c:pt idx="273">
                  <c:v>26397</c:v>
                </c:pt>
                <c:pt idx="274">
                  <c:v>26404</c:v>
                </c:pt>
                <c:pt idx="275">
                  <c:v>26411</c:v>
                </c:pt>
                <c:pt idx="276">
                  <c:v>26418</c:v>
                </c:pt>
                <c:pt idx="277">
                  <c:v>26425</c:v>
                </c:pt>
                <c:pt idx="278">
                  <c:v>26432</c:v>
                </c:pt>
                <c:pt idx="279">
                  <c:v>26439</c:v>
                </c:pt>
                <c:pt idx="280">
                  <c:v>26446</c:v>
                </c:pt>
                <c:pt idx="281">
                  <c:v>26453</c:v>
                </c:pt>
                <c:pt idx="282">
                  <c:v>26460</c:v>
                </c:pt>
                <c:pt idx="283">
                  <c:v>26467</c:v>
                </c:pt>
                <c:pt idx="284">
                  <c:v>26474</c:v>
                </c:pt>
                <c:pt idx="285">
                  <c:v>26481</c:v>
                </c:pt>
                <c:pt idx="286">
                  <c:v>26488</c:v>
                </c:pt>
                <c:pt idx="287">
                  <c:v>26495</c:v>
                </c:pt>
                <c:pt idx="288">
                  <c:v>26502</c:v>
                </c:pt>
                <c:pt idx="289">
                  <c:v>26509</c:v>
                </c:pt>
                <c:pt idx="290">
                  <c:v>26516</c:v>
                </c:pt>
                <c:pt idx="291">
                  <c:v>26523</c:v>
                </c:pt>
                <c:pt idx="292">
                  <c:v>26530</c:v>
                </c:pt>
                <c:pt idx="293">
                  <c:v>26537</c:v>
                </c:pt>
                <c:pt idx="294">
                  <c:v>26544</c:v>
                </c:pt>
                <c:pt idx="295">
                  <c:v>26551</c:v>
                </c:pt>
                <c:pt idx="296">
                  <c:v>26558</c:v>
                </c:pt>
                <c:pt idx="297">
                  <c:v>26565</c:v>
                </c:pt>
                <c:pt idx="298">
                  <c:v>26572</c:v>
                </c:pt>
                <c:pt idx="299">
                  <c:v>26579</c:v>
                </c:pt>
                <c:pt idx="300">
                  <c:v>26586</c:v>
                </c:pt>
                <c:pt idx="301">
                  <c:v>26593</c:v>
                </c:pt>
                <c:pt idx="302">
                  <c:v>26600</c:v>
                </c:pt>
                <c:pt idx="303">
                  <c:v>26607</c:v>
                </c:pt>
                <c:pt idx="304">
                  <c:v>26614</c:v>
                </c:pt>
                <c:pt idx="305">
                  <c:v>26621</c:v>
                </c:pt>
                <c:pt idx="306">
                  <c:v>26628</c:v>
                </c:pt>
                <c:pt idx="307">
                  <c:v>26635</c:v>
                </c:pt>
                <c:pt idx="308">
                  <c:v>26642</c:v>
                </c:pt>
                <c:pt idx="309">
                  <c:v>26649</c:v>
                </c:pt>
                <c:pt idx="310">
                  <c:v>26656</c:v>
                </c:pt>
                <c:pt idx="311">
                  <c:v>26663</c:v>
                </c:pt>
                <c:pt idx="312">
                  <c:v>26670</c:v>
                </c:pt>
                <c:pt idx="313">
                  <c:v>26677</c:v>
                </c:pt>
                <c:pt idx="314">
                  <c:v>26684</c:v>
                </c:pt>
                <c:pt idx="315">
                  <c:v>26691</c:v>
                </c:pt>
                <c:pt idx="316">
                  <c:v>26698</c:v>
                </c:pt>
                <c:pt idx="317">
                  <c:v>26705</c:v>
                </c:pt>
                <c:pt idx="318">
                  <c:v>26712</c:v>
                </c:pt>
                <c:pt idx="319">
                  <c:v>26719</c:v>
                </c:pt>
                <c:pt idx="320">
                  <c:v>26726</c:v>
                </c:pt>
                <c:pt idx="321">
                  <c:v>26733</c:v>
                </c:pt>
                <c:pt idx="322">
                  <c:v>26740</c:v>
                </c:pt>
                <c:pt idx="323">
                  <c:v>26747</c:v>
                </c:pt>
                <c:pt idx="324">
                  <c:v>26754</c:v>
                </c:pt>
                <c:pt idx="325">
                  <c:v>26761</c:v>
                </c:pt>
                <c:pt idx="326">
                  <c:v>26768</c:v>
                </c:pt>
                <c:pt idx="327">
                  <c:v>26775</c:v>
                </c:pt>
                <c:pt idx="328">
                  <c:v>26782</c:v>
                </c:pt>
                <c:pt idx="329">
                  <c:v>26789</c:v>
                </c:pt>
                <c:pt idx="330">
                  <c:v>26796</c:v>
                </c:pt>
                <c:pt idx="331">
                  <c:v>26803</c:v>
                </c:pt>
                <c:pt idx="332">
                  <c:v>26810</c:v>
                </c:pt>
                <c:pt idx="333">
                  <c:v>26817</c:v>
                </c:pt>
                <c:pt idx="334">
                  <c:v>26824</c:v>
                </c:pt>
                <c:pt idx="335">
                  <c:v>26831</c:v>
                </c:pt>
                <c:pt idx="336">
                  <c:v>26838</c:v>
                </c:pt>
                <c:pt idx="337">
                  <c:v>26845</c:v>
                </c:pt>
                <c:pt idx="338">
                  <c:v>26852</c:v>
                </c:pt>
                <c:pt idx="339">
                  <c:v>26859</c:v>
                </c:pt>
                <c:pt idx="340">
                  <c:v>26866</c:v>
                </c:pt>
                <c:pt idx="341">
                  <c:v>26873</c:v>
                </c:pt>
                <c:pt idx="342">
                  <c:v>26880</c:v>
                </c:pt>
                <c:pt idx="343">
                  <c:v>26887</c:v>
                </c:pt>
                <c:pt idx="344">
                  <c:v>26894</c:v>
                </c:pt>
                <c:pt idx="345">
                  <c:v>26901</c:v>
                </c:pt>
                <c:pt idx="346">
                  <c:v>26908</c:v>
                </c:pt>
                <c:pt idx="347">
                  <c:v>26915</c:v>
                </c:pt>
                <c:pt idx="348">
                  <c:v>26922</c:v>
                </c:pt>
                <c:pt idx="349">
                  <c:v>26929</c:v>
                </c:pt>
                <c:pt idx="350">
                  <c:v>26936</c:v>
                </c:pt>
                <c:pt idx="351">
                  <c:v>26943</c:v>
                </c:pt>
                <c:pt idx="352">
                  <c:v>26950</c:v>
                </c:pt>
                <c:pt idx="353">
                  <c:v>26957</c:v>
                </c:pt>
                <c:pt idx="354">
                  <c:v>26964</c:v>
                </c:pt>
                <c:pt idx="355">
                  <c:v>26971</c:v>
                </c:pt>
                <c:pt idx="356">
                  <c:v>26978</c:v>
                </c:pt>
                <c:pt idx="357">
                  <c:v>26985</c:v>
                </c:pt>
                <c:pt idx="358">
                  <c:v>26992</c:v>
                </c:pt>
                <c:pt idx="359">
                  <c:v>26999</c:v>
                </c:pt>
                <c:pt idx="360">
                  <c:v>27006</c:v>
                </c:pt>
                <c:pt idx="361">
                  <c:v>27013</c:v>
                </c:pt>
                <c:pt idx="362">
                  <c:v>27020</c:v>
                </c:pt>
                <c:pt idx="363">
                  <c:v>27027</c:v>
                </c:pt>
                <c:pt idx="364">
                  <c:v>27034</c:v>
                </c:pt>
                <c:pt idx="365">
                  <c:v>27041</c:v>
                </c:pt>
                <c:pt idx="366">
                  <c:v>27048</c:v>
                </c:pt>
                <c:pt idx="367">
                  <c:v>27055</c:v>
                </c:pt>
                <c:pt idx="368">
                  <c:v>27062</c:v>
                </c:pt>
                <c:pt idx="369">
                  <c:v>27069</c:v>
                </c:pt>
                <c:pt idx="370">
                  <c:v>27076</c:v>
                </c:pt>
                <c:pt idx="371">
                  <c:v>27083</c:v>
                </c:pt>
                <c:pt idx="372">
                  <c:v>27090</c:v>
                </c:pt>
                <c:pt idx="373">
                  <c:v>27097</c:v>
                </c:pt>
                <c:pt idx="374">
                  <c:v>27104</c:v>
                </c:pt>
                <c:pt idx="375">
                  <c:v>27111</c:v>
                </c:pt>
                <c:pt idx="376">
                  <c:v>27118</c:v>
                </c:pt>
                <c:pt idx="377">
                  <c:v>27125</c:v>
                </c:pt>
                <c:pt idx="378">
                  <c:v>27132</c:v>
                </c:pt>
                <c:pt idx="379">
                  <c:v>27139</c:v>
                </c:pt>
                <c:pt idx="380">
                  <c:v>27146</c:v>
                </c:pt>
                <c:pt idx="381">
                  <c:v>27153</c:v>
                </c:pt>
                <c:pt idx="382">
                  <c:v>27160</c:v>
                </c:pt>
                <c:pt idx="383">
                  <c:v>27167</c:v>
                </c:pt>
                <c:pt idx="384">
                  <c:v>27174</c:v>
                </c:pt>
                <c:pt idx="385">
                  <c:v>27181</c:v>
                </c:pt>
                <c:pt idx="386">
                  <c:v>27188</c:v>
                </c:pt>
                <c:pt idx="387">
                  <c:v>27195</c:v>
                </c:pt>
                <c:pt idx="388">
                  <c:v>27202</c:v>
                </c:pt>
                <c:pt idx="389">
                  <c:v>27209</c:v>
                </c:pt>
                <c:pt idx="390">
                  <c:v>27216</c:v>
                </c:pt>
                <c:pt idx="391">
                  <c:v>27223</c:v>
                </c:pt>
                <c:pt idx="392">
                  <c:v>27230</c:v>
                </c:pt>
                <c:pt idx="393">
                  <c:v>27237</c:v>
                </c:pt>
                <c:pt idx="394">
                  <c:v>27244</c:v>
                </c:pt>
                <c:pt idx="395">
                  <c:v>27251</c:v>
                </c:pt>
                <c:pt idx="396">
                  <c:v>27258</c:v>
                </c:pt>
                <c:pt idx="397">
                  <c:v>27265</c:v>
                </c:pt>
                <c:pt idx="398">
                  <c:v>27272</c:v>
                </c:pt>
                <c:pt idx="399">
                  <c:v>27279</c:v>
                </c:pt>
                <c:pt idx="400">
                  <c:v>27286</c:v>
                </c:pt>
                <c:pt idx="401">
                  <c:v>27293</c:v>
                </c:pt>
                <c:pt idx="402">
                  <c:v>27300</c:v>
                </c:pt>
                <c:pt idx="403">
                  <c:v>27307</c:v>
                </c:pt>
                <c:pt idx="404">
                  <c:v>27314</c:v>
                </c:pt>
                <c:pt idx="405">
                  <c:v>27321</c:v>
                </c:pt>
                <c:pt idx="406">
                  <c:v>27328</c:v>
                </c:pt>
                <c:pt idx="407">
                  <c:v>27335</c:v>
                </c:pt>
                <c:pt idx="408">
                  <c:v>27342</c:v>
                </c:pt>
                <c:pt idx="409">
                  <c:v>27349</c:v>
                </c:pt>
                <c:pt idx="410">
                  <c:v>27356</c:v>
                </c:pt>
                <c:pt idx="411">
                  <c:v>27363</c:v>
                </c:pt>
                <c:pt idx="412">
                  <c:v>27370</c:v>
                </c:pt>
                <c:pt idx="413">
                  <c:v>27377</c:v>
                </c:pt>
                <c:pt idx="414">
                  <c:v>27384</c:v>
                </c:pt>
                <c:pt idx="415">
                  <c:v>27391</c:v>
                </c:pt>
                <c:pt idx="416">
                  <c:v>27398</c:v>
                </c:pt>
                <c:pt idx="417">
                  <c:v>27405</c:v>
                </c:pt>
                <c:pt idx="418">
                  <c:v>27412</c:v>
                </c:pt>
                <c:pt idx="419">
                  <c:v>27419</c:v>
                </c:pt>
                <c:pt idx="420">
                  <c:v>27426</c:v>
                </c:pt>
                <c:pt idx="421">
                  <c:v>27433</c:v>
                </c:pt>
                <c:pt idx="422">
                  <c:v>27440</c:v>
                </c:pt>
                <c:pt idx="423">
                  <c:v>27447</c:v>
                </c:pt>
                <c:pt idx="424">
                  <c:v>27454</c:v>
                </c:pt>
                <c:pt idx="425">
                  <c:v>27461</c:v>
                </c:pt>
                <c:pt idx="426">
                  <c:v>27468</c:v>
                </c:pt>
                <c:pt idx="427">
                  <c:v>27475</c:v>
                </c:pt>
                <c:pt idx="428">
                  <c:v>27482</c:v>
                </c:pt>
                <c:pt idx="429">
                  <c:v>27489</c:v>
                </c:pt>
                <c:pt idx="430">
                  <c:v>27496</c:v>
                </c:pt>
                <c:pt idx="431">
                  <c:v>27503</c:v>
                </c:pt>
                <c:pt idx="432">
                  <c:v>27510</c:v>
                </c:pt>
                <c:pt idx="433">
                  <c:v>27517</c:v>
                </c:pt>
                <c:pt idx="434">
                  <c:v>27524</c:v>
                </c:pt>
                <c:pt idx="435">
                  <c:v>27531</c:v>
                </c:pt>
                <c:pt idx="436">
                  <c:v>27538</c:v>
                </c:pt>
                <c:pt idx="437">
                  <c:v>27545</c:v>
                </c:pt>
                <c:pt idx="438">
                  <c:v>27552</c:v>
                </c:pt>
                <c:pt idx="439">
                  <c:v>27559</c:v>
                </c:pt>
                <c:pt idx="440">
                  <c:v>27566</c:v>
                </c:pt>
                <c:pt idx="441">
                  <c:v>27573</c:v>
                </c:pt>
                <c:pt idx="442">
                  <c:v>27580</c:v>
                </c:pt>
                <c:pt idx="443">
                  <c:v>27587</c:v>
                </c:pt>
                <c:pt idx="444">
                  <c:v>27594</c:v>
                </c:pt>
                <c:pt idx="445">
                  <c:v>27601</c:v>
                </c:pt>
                <c:pt idx="446">
                  <c:v>27608</c:v>
                </c:pt>
                <c:pt idx="447">
                  <c:v>27615</c:v>
                </c:pt>
                <c:pt idx="448">
                  <c:v>27622</c:v>
                </c:pt>
                <c:pt idx="449">
                  <c:v>27629</c:v>
                </c:pt>
                <c:pt idx="450">
                  <c:v>27636</c:v>
                </c:pt>
                <c:pt idx="451">
                  <c:v>27643</c:v>
                </c:pt>
                <c:pt idx="452">
                  <c:v>27650</c:v>
                </c:pt>
                <c:pt idx="453">
                  <c:v>27657</c:v>
                </c:pt>
                <c:pt idx="454">
                  <c:v>27664</c:v>
                </c:pt>
                <c:pt idx="455">
                  <c:v>27671</c:v>
                </c:pt>
                <c:pt idx="456">
                  <c:v>27678</c:v>
                </c:pt>
                <c:pt idx="457">
                  <c:v>27685</c:v>
                </c:pt>
                <c:pt idx="458">
                  <c:v>27692</c:v>
                </c:pt>
                <c:pt idx="459">
                  <c:v>27699</c:v>
                </c:pt>
                <c:pt idx="460">
                  <c:v>27706</c:v>
                </c:pt>
                <c:pt idx="461">
                  <c:v>27713</c:v>
                </c:pt>
                <c:pt idx="462">
                  <c:v>27720</c:v>
                </c:pt>
                <c:pt idx="463">
                  <c:v>27727</c:v>
                </c:pt>
                <c:pt idx="464">
                  <c:v>27734</c:v>
                </c:pt>
                <c:pt idx="465">
                  <c:v>27741</c:v>
                </c:pt>
                <c:pt idx="466">
                  <c:v>27748</c:v>
                </c:pt>
                <c:pt idx="467">
                  <c:v>27755</c:v>
                </c:pt>
                <c:pt idx="468">
                  <c:v>27762</c:v>
                </c:pt>
                <c:pt idx="469">
                  <c:v>27769</c:v>
                </c:pt>
                <c:pt idx="470">
                  <c:v>27776</c:v>
                </c:pt>
                <c:pt idx="471">
                  <c:v>27783</c:v>
                </c:pt>
                <c:pt idx="472">
                  <c:v>27790</c:v>
                </c:pt>
                <c:pt idx="473">
                  <c:v>27797</c:v>
                </c:pt>
                <c:pt idx="474">
                  <c:v>27804</c:v>
                </c:pt>
                <c:pt idx="475">
                  <c:v>27811</c:v>
                </c:pt>
                <c:pt idx="476">
                  <c:v>27818</c:v>
                </c:pt>
                <c:pt idx="477">
                  <c:v>27825</c:v>
                </c:pt>
                <c:pt idx="478">
                  <c:v>27832</c:v>
                </c:pt>
                <c:pt idx="479">
                  <c:v>27839</c:v>
                </c:pt>
                <c:pt idx="480">
                  <c:v>27846</c:v>
                </c:pt>
                <c:pt idx="481">
                  <c:v>27853</c:v>
                </c:pt>
                <c:pt idx="482">
                  <c:v>27860</c:v>
                </c:pt>
                <c:pt idx="483">
                  <c:v>27867</c:v>
                </c:pt>
                <c:pt idx="484">
                  <c:v>27874</c:v>
                </c:pt>
                <c:pt idx="485">
                  <c:v>27881</c:v>
                </c:pt>
                <c:pt idx="486">
                  <c:v>27888</c:v>
                </c:pt>
                <c:pt idx="487">
                  <c:v>27895</c:v>
                </c:pt>
                <c:pt idx="488">
                  <c:v>27902</c:v>
                </c:pt>
                <c:pt idx="489">
                  <c:v>27909</c:v>
                </c:pt>
                <c:pt idx="490">
                  <c:v>27916</c:v>
                </c:pt>
                <c:pt idx="491">
                  <c:v>27923</c:v>
                </c:pt>
                <c:pt idx="492">
                  <c:v>27930</c:v>
                </c:pt>
                <c:pt idx="493">
                  <c:v>27937</c:v>
                </c:pt>
                <c:pt idx="494">
                  <c:v>27944</c:v>
                </c:pt>
                <c:pt idx="495">
                  <c:v>27951</c:v>
                </c:pt>
                <c:pt idx="496">
                  <c:v>27958</c:v>
                </c:pt>
                <c:pt idx="497">
                  <c:v>27965</c:v>
                </c:pt>
                <c:pt idx="498">
                  <c:v>27972</c:v>
                </c:pt>
                <c:pt idx="499">
                  <c:v>27979</c:v>
                </c:pt>
                <c:pt idx="500">
                  <c:v>27986</c:v>
                </c:pt>
                <c:pt idx="501">
                  <c:v>27993</c:v>
                </c:pt>
                <c:pt idx="502">
                  <c:v>28000</c:v>
                </c:pt>
                <c:pt idx="503">
                  <c:v>28007</c:v>
                </c:pt>
                <c:pt idx="504">
                  <c:v>28014</c:v>
                </c:pt>
                <c:pt idx="505">
                  <c:v>28021</c:v>
                </c:pt>
                <c:pt idx="506">
                  <c:v>28028</c:v>
                </c:pt>
                <c:pt idx="507">
                  <c:v>28035</c:v>
                </c:pt>
                <c:pt idx="508">
                  <c:v>28042</c:v>
                </c:pt>
                <c:pt idx="509">
                  <c:v>28049</c:v>
                </c:pt>
                <c:pt idx="510">
                  <c:v>28056</c:v>
                </c:pt>
                <c:pt idx="511">
                  <c:v>28063</c:v>
                </c:pt>
                <c:pt idx="512">
                  <c:v>28070</c:v>
                </c:pt>
                <c:pt idx="513">
                  <c:v>28077</c:v>
                </c:pt>
                <c:pt idx="514">
                  <c:v>28084</c:v>
                </c:pt>
                <c:pt idx="515">
                  <c:v>28091</c:v>
                </c:pt>
                <c:pt idx="516">
                  <c:v>28098</c:v>
                </c:pt>
                <c:pt idx="517">
                  <c:v>28105</c:v>
                </c:pt>
                <c:pt idx="518">
                  <c:v>28112</c:v>
                </c:pt>
                <c:pt idx="519">
                  <c:v>28119</c:v>
                </c:pt>
                <c:pt idx="520">
                  <c:v>28126</c:v>
                </c:pt>
                <c:pt idx="521">
                  <c:v>28133</c:v>
                </c:pt>
                <c:pt idx="522">
                  <c:v>28140</c:v>
                </c:pt>
                <c:pt idx="523">
                  <c:v>28147</c:v>
                </c:pt>
                <c:pt idx="524">
                  <c:v>28154</c:v>
                </c:pt>
                <c:pt idx="525">
                  <c:v>28161</c:v>
                </c:pt>
                <c:pt idx="526">
                  <c:v>28168</c:v>
                </c:pt>
                <c:pt idx="527">
                  <c:v>28175</c:v>
                </c:pt>
                <c:pt idx="528">
                  <c:v>28182</c:v>
                </c:pt>
                <c:pt idx="529">
                  <c:v>28189</c:v>
                </c:pt>
                <c:pt idx="530">
                  <c:v>28196</c:v>
                </c:pt>
                <c:pt idx="531">
                  <c:v>28203</c:v>
                </c:pt>
                <c:pt idx="532">
                  <c:v>28210</c:v>
                </c:pt>
                <c:pt idx="533">
                  <c:v>28217</c:v>
                </c:pt>
                <c:pt idx="534">
                  <c:v>28224</c:v>
                </c:pt>
                <c:pt idx="535">
                  <c:v>28231</c:v>
                </c:pt>
                <c:pt idx="536">
                  <c:v>28238</c:v>
                </c:pt>
                <c:pt idx="537">
                  <c:v>28245</c:v>
                </c:pt>
                <c:pt idx="538">
                  <c:v>28252</c:v>
                </c:pt>
                <c:pt idx="539">
                  <c:v>28259</c:v>
                </c:pt>
                <c:pt idx="540">
                  <c:v>28266</c:v>
                </c:pt>
                <c:pt idx="541">
                  <c:v>28273</c:v>
                </c:pt>
                <c:pt idx="542">
                  <c:v>28280</c:v>
                </c:pt>
                <c:pt idx="543">
                  <c:v>28287</c:v>
                </c:pt>
                <c:pt idx="544">
                  <c:v>28294</c:v>
                </c:pt>
                <c:pt idx="545">
                  <c:v>28301</c:v>
                </c:pt>
                <c:pt idx="546">
                  <c:v>28308</c:v>
                </c:pt>
                <c:pt idx="547">
                  <c:v>28315</c:v>
                </c:pt>
                <c:pt idx="548">
                  <c:v>28322</c:v>
                </c:pt>
                <c:pt idx="549">
                  <c:v>28329</c:v>
                </c:pt>
                <c:pt idx="550">
                  <c:v>28336</c:v>
                </c:pt>
                <c:pt idx="551">
                  <c:v>28343</c:v>
                </c:pt>
                <c:pt idx="552">
                  <c:v>28350</c:v>
                </c:pt>
                <c:pt idx="553">
                  <c:v>28357</c:v>
                </c:pt>
                <c:pt idx="554">
                  <c:v>28364</c:v>
                </c:pt>
                <c:pt idx="555">
                  <c:v>28371</c:v>
                </c:pt>
                <c:pt idx="556">
                  <c:v>28378</c:v>
                </c:pt>
                <c:pt idx="557">
                  <c:v>28385</c:v>
                </c:pt>
                <c:pt idx="558">
                  <c:v>28392</c:v>
                </c:pt>
                <c:pt idx="559">
                  <c:v>28399</c:v>
                </c:pt>
                <c:pt idx="560">
                  <c:v>28406</c:v>
                </c:pt>
                <c:pt idx="561">
                  <c:v>28413</c:v>
                </c:pt>
                <c:pt idx="562">
                  <c:v>28420</c:v>
                </c:pt>
                <c:pt idx="563">
                  <c:v>28427</c:v>
                </c:pt>
                <c:pt idx="564">
                  <c:v>28434</c:v>
                </c:pt>
                <c:pt idx="565">
                  <c:v>28441</c:v>
                </c:pt>
                <c:pt idx="566">
                  <c:v>28448</c:v>
                </c:pt>
                <c:pt idx="567">
                  <c:v>28455</c:v>
                </c:pt>
                <c:pt idx="568">
                  <c:v>28462</c:v>
                </c:pt>
                <c:pt idx="569">
                  <c:v>28469</c:v>
                </c:pt>
                <c:pt idx="570">
                  <c:v>28476</c:v>
                </c:pt>
                <c:pt idx="571">
                  <c:v>28483</c:v>
                </c:pt>
                <c:pt idx="572">
                  <c:v>28490</c:v>
                </c:pt>
                <c:pt idx="573">
                  <c:v>28497</c:v>
                </c:pt>
                <c:pt idx="574">
                  <c:v>28504</c:v>
                </c:pt>
                <c:pt idx="575">
                  <c:v>28511</c:v>
                </c:pt>
                <c:pt idx="576">
                  <c:v>28518</c:v>
                </c:pt>
                <c:pt idx="577">
                  <c:v>28525</c:v>
                </c:pt>
                <c:pt idx="578">
                  <c:v>28532</c:v>
                </c:pt>
                <c:pt idx="579">
                  <c:v>28539</c:v>
                </c:pt>
                <c:pt idx="580">
                  <c:v>28546</c:v>
                </c:pt>
                <c:pt idx="581">
                  <c:v>28553</c:v>
                </c:pt>
                <c:pt idx="582">
                  <c:v>28560</c:v>
                </c:pt>
                <c:pt idx="583">
                  <c:v>28567</c:v>
                </c:pt>
                <c:pt idx="584">
                  <c:v>28574</c:v>
                </c:pt>
                <c:pt idx="585">
                  <c:v>28581</c:v>
                </c:pt>
                <c:pt idx="586">
                  <c:v>28588</c:v>
                </c:pt>
                <c:pt idx="587">
                  <c:v>28595</c:v>
                </c:pt>
                <c:pt idx="588">
                  <c:v>28602</c:v>
                </c:pt>
                <c:pt idx="589">
                  <c:v>28609</c:v>
                </c:pt>
                <c:pt idx="590">
                  <c:v>28616</c:v>
                </c:pt>
                <c:pt idx="591">
                  <c:v>28623</c:v>
                </c:pt>
                <c:pt idx="592">
                  <c:v>28630</c:v>
                </c:pt>
                <c:pt idx="593">
                  <c:v>28637</c:v>
                </c:pt>
                <c:pt idx="594">
                  <c:v>28644</c:v>
                </c:pt>
                <c:pt idx="595">
                  <c:v>28651</c:v>
                </c:pt>
                <c:pt idx="596">
                  <c:v>28658</c:v>
                </c:pt>
                <c:pt idx="597">
                  <c:v>28665</c:v>
                </c:pt>
                <c:pt idx="598">
                  <c:v>28672</c:v>
                </c:pt>
                <c:pt idx="599">
                  <c:v>28679</c:v>
                </c:pt>
                <c:pt idx="600">
                  <c:v>28686</c:v>
                </c:pt>
                <c:pt idx="601">
                  <c:v>28693</c:v>
                </c:pt>
                <c:pt idx="602">
                  <c:v>28700</c:v>
                </c:pt>
                <c:pt idx="603">
                  <c:v>28707</c:v>
                </c:pt>
                <c:pt idx="604">
                  <c:v>28714</c:v>
                </c:pt>
                <c:pt idx="605">
                  <c:v>28721</c:v>
                </c:pt>
                <c:pt idx="606">
                  <c:v>28728</c:v>
                </c:pt>
                <c:pt idx="607">
                  <c:v>28735</c:v>
                </c:pt>
                <c:pt idx="608">
                  <c:v>28742</c:v>
                </c:pt>
                <c:pt idx="609">
                  <c:v>28749</c:v>
                </c:pt>
                <c:pt idx="610">
                  <c:v>28756</c:v>
                </c:pt>
                <c:pt idx="611">
                  <c:v>28763</c:v>
                </c:pt>
                <c:pt idx="612">
                  <c:v>28770</c:v>
                </c:pt>
                <c:pt idx="613">
                  <c:v>28777</c:v>
                </c:pt>
                <c:pt idx="614">
                  <c:v>28784</c:v>
                </c:pt>
                <c:pt idx="615">
                  <c:v>28791</c:v>
                </c:pt>
                <c:pt idx="616">
                  <c:v>28798</c:v>
                </c:pt>
                <c:pt idx="617">
                  <c:v>28805</c:v>
                </c:pt>
                <c:pt idx="618">
                  <c:v>28812</c:v>
                </c:pt>
                <c:pt idx="619">
                  <c:v>28819</c:v>
                </c:pt>
                <c:pt idx="620">
                  <c:v>28826</c:v>
                </c:pt>
                <c:pt idx="621">
                  <c:v>28833</c:v>
                </c:pt>
                <c:pt idx="622">
                  <c:v>28840</c:v>
                </c:pt>
                <c:pt idx="623">
                  <c:v>28847</c:v>
                </c:pt>
                <c:pt idx="624">
                  <c:v>28854</c:v>
                </c:pt>
                <c:pt idx="625">
                  <c:v>28861</c:v>
                </c:pt>
                <c:pt idx="626">
                  <c:v>28868</c:v>
                </c:pt>
                <c:pt idx="627">
                  <c:v>28875</c:v>
                </c:pt>
                <c:pt idx="628">
                  <c:v>28882</c:v>
                </c:pt>
                <c:pt idx="629">
                  <c:v>28889</c:v>
                </c:pt>
                <c:pt idx="630">
                  <c:v>28896</c:v>
                </c:pt>
                <c:pt idx="631">
                  <c:v>28903</c:v>
                </c:pt>
                <c:pt idx="632">
                  <c:v>28910</c:v>
                </c:pt>
                <c:pt idx="633">
                  <c:v>28917</c:v>
                </c:pt>
                <c:pt idx="634">
                  <c:v>28924</c:v>
                </c:pt>
                <c:pt idx="635">
                  <c:v>28931</c:v>
                </c:pt>
                <c:pt idx="636">
                  <c:v>28938</c:v>
                </c:pt>
                <c:pt idx="637">
                  <c:v>28945</c:v>
                </c:pt>
                <c:pt idx="638">
                  <c:v>28952</c:v>
                </c:pt>
                <c:pt idx="639">
                  <c:v>28959</c:v>
                </c:pt>
                <c:pt idx="640">
                  <c:v>28966</c:v>
                </c:pt>
                <c:pt idx="641">
                  <c:v>28973</c:v>
                </c:pt>
                <c:pt idx="642">
                  <c:v>28980</c:v>
                </c:pt>
                <c:pt idx="643">
                  <c:v>28987</c:v>
                </c:pt>
                <c:pt idx="644">
                  <c:v>28994</c:v>
                </c:pt>
                <c:pt idx="645">
                  <c:v>29001</c:v>
                </c:pt>
                <c:pt idx="646">
                  <c:v>29008</c:v>
                </c:pt>
                <c:pt idx="647">
                  <c:v>29015</c:v>
                </c:pt>
                <c:pt idx="648">
                  <c:v>29022</c:v>
                </c:pt>
                <c:pt idx="649">
                  <c:v>29029</c:v>
                </c:pt>
                <c:pt idx="650">
                  <c:v>29036</c:v>
                </c:pt>
                <c:pt idx="651">
                  <c:v>29043</c:v>
                </c:pt>
                <c:pt idx="652">
                  <c:v>29050</c:v>
                </c:pt>
                <c:pt idx="653">
                  <c:v>29057</c:v>
                </c:pt>
                <c:pt idx="654">
                  <c:v>29064</c:v>
                </c:pt>
                <c:pt idx="655">
                  <c:v>29071</c:v>
                </c:pt>
                <c:pt idx="656">
                  <c:v>29078</c:v>
                </c:pt>
                <c:pt idx="657">
                  <c:v>29085</c:v>
                </c:pt>
                <c:pt idx="658">
                  <c:v>29092</c:v>
                </c:pt>
                <c:pt idx="659">
                  <c:v>29099</c:v>
                </c:pt>
                <c:pt idx="660">
                  <c:v>29106</c:v>
                </c:pt>
                <c:pt idx="661">
                  <c:v>29113</c:v>
                </c:pt>
                <c:pt idx="662">
                  <c:v>29120</c:v>
                </c:pt>
                <c:pt idx="663">
                  <c:v>29127</c:v>
                </c:pt>
                <c:pt idx="664">
                  <c:v>29134</c:v>
                </c:pt>
                <c:pt idx="665">
                  <c:v>29141</c:v>
                </c:pt>
                <c:pt idx="666">
                  <c:v>29148</c:v>
                </c:pt>
                <c:pt idx="667">
                  <c:v>29155</c:v>
                </c:pt>
                <c:pt idx="668">
                  <c:v>29162</c:v>
                </c:pt>
                <c:pt idx="669">
                  <c:v>29169</c:v>
                </c:pt>
                <c:pt idx="670">
                  <c:v>29176</c:v>
                </c:pt>
                <c:pt idx="671">
                  <c:v>29183</c:v>
                </c:pt>
                <c:pt idx="672">
                  <c:v>29190</c:v>
                </c:pt>
                <c:pt idx="673">
                  <c:v>29197</c:v>
                </c:pt>
                <c:pt idx="674">
                  <c:v>29204</c:v>
                </c:pt>
                <c:pt idx="675">
                  <c:v>29211</c:v>
                </c:pt>
                <c:pt idx="676">
                  <c:v>29218</c:v>
                </c:pt>
                <c:pt idx="677">
                  <c:v>29225</c:v>
                </c:pt>
                <c:pt idx="678">
                  <c:v>29232</c:v>
                </c:pt>
                <c:pt idx="679">
                  <c:v>29239</c:v>
                </c:pt>
                <c:pt idx="680">
                  <c:v>29246</c:v>
                </c:pt>
                <c:pt idx="681">
                  <c:v>29253</c:v>
                </c:pt>
                <c:pt idx="682">
                  <c:v>29260</c:v>
                </c:pt>
                <c:pt idx="683">
                  <c:v>29267</c:v>
                </c:pt>
                <c:pt idx="684">
                  <c:v>29274</c:v>
                </c:pt>
                <c:pt idx="685">
                  <c:v>29281</c:v>
                </c:pt>
                <c:pt idx="686">
                  <c:v>29288</c:v>
                </c:pt>
                <c:pt idx="687">
                  <c:v>29295</c:v>
                </c:pt>
                <c:pt idx="688">
                  <c:v>29302</c:v>
                </c:pt>
                <c:pt idx="689">
                  <c:v>29309</c:v>
                </c:pt>
                <c:pt idx="690">
                  <c:v>29316</c:v>
                </c:pt>
                <c:pt idx="691">
                  <c:v>29323</c:v>
                </c:pt>
                <c:pt idx="692">
                  <c:v>29330</c:v>
                </c:pt>
                <c:pt idx="693">
                  <c:v>29337</c:v>
                </c:pt>
                <c:pt idx="694">
                  <c:v>29344</c:v>
                </c:pt>
                <c:pt idx="695">
                  <c:v>29351</c:v>
                </c:pt>
                <c:pt idx="696">
                  <c:v>29358</c:v>
                </c:pt>
                <c:pt idx="697">
                  <c:v>29365</c:v>
                </c:pt>
                <c:pt idx="698">
                  <c:v>29372</c:v>
                </c:pt>
                <c:pt idx="699">
                  <c:v>29379</c:v>
                </c:pt>
                <c:pt idx="700">
                  <c:v>29386</c:v>
                </c:pt>
                <c:pt idx="701">
                  <c:v>29393</c:v>
                </c:pt>
                <c:pt idx="702">
                  <c:v>29400</c:v>
                </c:pt>
                <c:pt idx="703">
                  <c:v>29407</c:v>
                </c:pt>
                <c:pt idx="704">
                  <c:v>29414</c:v>
                </c:pt>
                <c:pt idx="705">
                  <c:v>29421</c:v>
                </c:pt>
                <c:pt idx="706">
                  <c:v>29428</c:v>
                </c:pt>
                <c:pt idx="707">
                  <c:v>29435</c:v>
                </c:pt>
                <c:pt idx="708">
                  <c:v>29442</c:v>
                </c:pt>
                <c:pt idx="709">
                  <c:v>29449</c:v>
                </c:pt>
                <c:pt idx="710">
                  <c:v>29456</c:v>
                </c:pt>
                <c:pt idx="711">
                  <c:v>29463</c:v>
                </c:pt>
                <c:pt idx="712">
                  <c:v>29470</c:v>
                </c:pt>
                <c:pt idx="713">
                  <c:v>29477</c:v>
                </c:pt>
                <c:pt idx="714">
                  <c:v>29484</c:v>
                </c:pt>
                <c:pt idx="715">
                  <c:v>29491</c:v>
                </c:pt>
                <c:pt idx="716">
                  <c:v>29498</c:v>
                </c:pt>
                <c:pt idx="717">
                  <c:v>29505</c:v>
                </c:pt>
                <c:pt idx="718">
                  <c:v>29512</c:v>
                </c:pt>
                <c:pt idx="719">
                  <c:v>29519</c:v>
                </c:pt>
                <c:pt idx="720">
                  <c:v>29526</c:v>
                </c:pt>
                <c:pt idx="721">
                  <c:v>29533</c:v>
                </c:pt>
                <c:pt idx="722">
                  <c:v>29540</c:v>
                </c:pt>
                <c:pt idx="723">
                  <c:v>29547</c:v>
                </c:pt>
                <c:pt idx="724">
                  <c:v>29554</c:v>
                </c:pt>
                <c:pt idx="725">
                  <c:v>29561</c:v>
                </c:pt>
                <c:pt idx="726">
                  <c:v>29568</c:v>
                </c:pt>
                <c:pt idx="727">
                  <c:v>29575</c:v>
                </c:pt>
                <c:pt idx="728">
                  <c:v>29582</c:v>
                </c:pt>
                <c:pt idx="729">
                  <c:v>29589</c:v>
                </c:pt>
                <c:pt idx="730">
                  <c:v>29596</c:v>
                </c:pt>
                <c:pt idx="731">
                  <c:v>29603</c:v>
                </c:pt>
                <c:pt idx="732">
                  <c:v>29610</c:v>
                </c:pt>
                <c:pt idx="733">
                  <c:v>29617</c:v>
                </c:pt>
                <c:pt idx="734">
                  <c:v>29624</c:v>
                </c:pt>
                <c:pt idx="735">
                  <c:v>29631</c:v>
                </c:pt>
                <c:pt idx="736">
                  <c:v>29638</c:v>
                </c:pt>
                <c:pt idx="737">
                  <c:v>29645</c:v>
                </c:pt>
                <c:pt idx="738">
                  <c:v>29652</c:v>
                </c:pt>
                <c:pt idx="739">
                  <c:v>29659</c:v>
                </c:pt>
                <c:pt idx="740">
                  <c:v>29666</c:v>
                </c:pt>
                <c:pt idx="741">
                  <c:v>29673</c:v>
                </c:pt>
                <c:pt idx="742">
                  <c:v>29680</c:v>
                </c:pt>
                <c:pt idx="743">
                  <c:v>29687</c:v>
                </c:pt>
                <c:pt idx="744">
                  <c:v>29694</c:v>
                </c:pt>
                <c:pt idx="745">
                  <c:v>29701</c:v>
                </c:pt>
                <c:pt idx="746">
                  <c:v>29708</c:v>
                </c:pt>
                <c:pt idx="747">
                  <c:v>29715</c:v>
                </c:pt>
                <c:pt idx="748">
                  <c:v>29722</c:v>
                </c:pt>
                <c:pt idx="749">
                  <c:v>29729</c:v>
                </c:pt>
                <c:pt idx="750">
                  <c:v>29736</c:v>
                </c:pt>
                <c:pt idx="751">
                  <c:v>29743</c:v>
                </c:pt>
                <c:pt idx="752">
                  <c:v>29750</c:v>
                </c:pt>
                <c:pt idx="753">
                  <c:v>29757</c:v>
                </c:pt>
                <c:pt idx="754">
                  <c:v>29764</c:v>
                </c:pt>
                <c:pt idx="755">
                  <c:v>29771</c:v>
                </c:pt>
                <c:pt idx="756">
                  <c:v>29778</c:v>
                </c:pt>
                <c:pt idx="757">
                  <c:v>29785</c:v>
                </c:pt>
                <c:pt idx="758">
                  <c:v>29792</c:v>
                </c:pt>
                <c:pt idx="759">
                  <c:v>29799</c:v>
                </c:pt>
                <c:pt idx="760">
                  <c:v>29806</c:v>
                </c:pt>
                <c:pt idx="761">
                  <c:v>29813</c:v>
                </c:pt>
                <c:pt idx="762">
                  <c:v>29820</c:v>
                </c:pt>
                <c:pt idx="763">
                  <c:v>29827</c:v>
                </c:pt>
                <c:pt idx="764">
                  <c:v>29834</c:v>
                </c:pt>
                <c:pt idx="765">
                  <c:v>29841</c:v>
                </c:pt>
                <c:pt idx="766">
                  <c:v>29848</c:v>
                </c:pt>
                <c:pt idx="767">
                  <c:v>29855</c:v>
                </c:pt>
                <c:pt idx="768">
                  <c:v>29862</c:v>
                </c:pt>
                <c:pt idx="769">
                  <c:v>29869</c:v>
                </c:pt>
                <c:pt idx="770">
                  <c:v>29876</c:v>
                </c:pt>
                <c:pt idx="771">
                  <c:v>29883</c:v>
                </c:pt>
                <c:pt idx="772">
                  <c:v>29890</c:v>
                </c:pt>
                <c:pt idx="773">
                  <c:v>29897</c:v>
                </c:pt>
                <c:pt idx="774">
                  <c:v>29904</c:v>
                </c:pt>
                <c:pt idx="775">
                  <c:v>29911</c:v>
                </c:pt>
                <c:pt idx="776">
                  <c:v>29918</c:v>
                </c:pt>
                <c:pt idx="777">
                  <c:v>29925</c:v>
                </c:pt>
                <c:pt idx="778">
                  <c:v>29932</c:v>
                </c:pt>
                <c:pt idx="779">
                  <c:v>29939</c:v>
                </c:pt>
                <c:pt idx="780">
                  <c:v>29946</c:v>
                </c:pt>
                <c:pt idx="781">
                  <c:v>29953</c:v>
                </c:pt>
                <c:pt idx="782">
                  <c:v>29960</c:v>
                </c:pt>
                <c:pt idx="783">
                  <c:v>29967</c:v>
                </c:pt>
                <c:pt idx="784">
                  <c:v>29974</c:v>
                </c:pt>
                <c:pt idx="785">
                  <c:v>29981</c:v>
                </c:pt>
                <c:pt idx="786">
                  <c:v>29988</c:v>
                </c:pt>
                <c:pt idx="787">
                  <c:v>29995</c:v>
                </c:pt>
                <c:pt idx="788">
                  <c:v>30002</c:v>
                </c:pt>
                <c:pt idx="789">
                  <c:v>30009</c:v>
                </c:pt>
                <c:pt idx="790">
                  <c:v>30016</c:v>
                </c:pt>
                <c:pt idx="791">
                  <c:v>30023</c:v>
                </c:pt>
                <c:pt idx="792">
                  <c:v>30030</c:v>
                </c:pt>
                <c:pt idx="793">
                  <c:v>30037</c:v>
                </c:pt>
                <c:pt idx="794">
                  <c:v>30044</c:v>
                </c:pt>
                <c:pt idx="795">
                  <c:v>30051</c:v>
                </c:pt>
                <c:pt idx="796">
                  <c:v>30058</c:v>
                </c:pt>
                <c:pt idx="797">
                  <c:v>30065</c:v>
                </c:pt>
                <c:pt idx="798">
                  <c:v>30072</c:v>
                </c:pt>
                <c:pt idx="799">
                  <c:v>30079</c:v>
                </c:pt>
                <c:pt idx="800">
                  <c:v>30086</c:v>
                </c:pt>
                <c:pt idx="801">
                  <c:v>30093</c:v>
                </c:pt>
                <c:pt idx="802">
                  <c:v>30100</c:v>
                </c:pt>
                <c:pt idx="803">
                  <c:v>30107</c:v>
                </c:pt>
                <c:pt idx="804">
                  <c:v>30114</c:v>
                </c:pt>
                <c:pt idx="805">
                  <c:v>30121</c:v>
                </c:pt>
                <c:pt idx="806">
                  <c:v>30128</c:v>
                </c:pt>
                <c:pt idx="807">
                  <c:v>30135</c:v>
                </c:pt>
                <c:pt idx="808">
                  <c:v>30142</c:v>
                </c:pt>
                <c:pt idx="809">
                  <c:v>30149</c:v>
                </c:pt>
                <c:pt idx="810">
                  <c:v>30156</c:v>
                </c:pt>
                <c:pt idx="811">
                  <c:v>30163</c:v>
                </c:pt>
                <c:pt idx="812">
                  <c:v>30170</c:v>
                </c:pt>
                <c:pt idx="813">
                  <c:v>30177</c:v>
                </c:pt>
                <c:pt idx="814">
                  <c:v>30184</c:v>
                </c:pt>
                <c:pt idx="815">
                  <c:v>30191</c:v>
                </c:pt>
                <c:pt idx="816">
                  <c:v>30198</c:v>
                </c:pt>
                <c:pt idx="817">
                  <c:v>30205</c:v>
                </c:pt>
                <c:pt idx="818">
                  <c:v>30212</c:v>
                </c:pt>
                <c:pt idx="819">
                  <c:v>30219</c:v>
                </c:pt>
                <c:pt idx="820">
                  <c:v>30226</c:v>
                </c:pt>
                <c:pt idx="821">
                  <c:v>30233</c:v>
                </c:pt>
                <c:pt idx="822">
                  <c:v>30240</c:v>
                </c:pt>
                <c:pt idx="823">
                  <c:v>30247</c:v>
                </c:pt>
                <c:pt idx="824">
                  <c:v>30254</c:v>
                </c:pt>
                <c:pt idx="825">
                  <c:v>30261</c:v>
                </c:pt>
                <c:pt idx="826">
                  <c:v>30268</c:v>
                </c:pt>
                <c:pt idx="827">
                  <c:v>30275</c:v>
                </c:pt>
                <c:pt idx="828">
                  <c:v>30282</c:v>
                </c:pt>
                <c:pt idx="829">
                  <c:v>30289</c:v>
                </c:pt>
                <c:pt idx="830">
                  <c:v>30296</c:v>
                </c:pt>
                <c:pt idx="831">
                  <c:v>30303</c:v>
                </c:pt>
                <c:pt idx="832">
                  <c:v>30310</c:v>
                </c:pt>
                <c:pt idx="833">
                  <c:v>30317</c:v>
                </c:pt>
                <c:pt idx="834">
                  <c:v>30324</c:v>
                </c:pt>
                <c:pt idx="835">
                  <c:v>30331</c:v>
                </c:pt>
                <c:pt idx="836">
                  <c:v>30338</c:v>
                </c:pt>
                <c:pt idx="837">
                  <c:v>30345</c:v>
                </c:pt>
                <c:pt idx="838">
                  <c:v>30352</c:v>
                </c:pt>
                <c:pt idx="839">
                  <c:v>30359</c:v>
                </c:pt>
                <c:pt idx="840">
                  <c:v>30366</c:v>
                </c:pt>
                <c:pt idx="841">
                  <c:v>30373</c:v>
                </c:pt>
                <c:pt idx="842">
                  <c:v>30380</c:v>
                </c:pt>
                <c:pt idx="843">
                  <c:v>30387</c:v>
                </c:pt>
                <c:pt idx="844">
                  <c:v>30394</c:v>
                </c:pt>
                <c:pt idx="845">
                  <c:v>30401</c:v>
                </c:pt>
                <c:pt idx="846">
                  <c:v>30408</c:v>
                </c:pt>
                <c:pt idx="847">
                  <c:v>30415</c:v>
                </c:pt>
                <c:pt idx="848">
                  <c:v>30422</c:v>
                </c:pt>
                <c:pt idx="849">
                  <c:v>30429</c:v>
                </c:pt>
                <c:pt idx="850">
                  <c:v>30436</c:v>
                </c:pt>
                <c:pt idx="851">
                  <c:v>30443</c:v>
                </c:pt>
                <c:pt idx="852">
                  <c:v>30450</c:v>
                </c:pt>
                <c:pt idx="853">
                  <c:v>30457</c:v>
                </c:pt>
                <c:pt idx="854">
                  <c:v>30464</c:v>
                </c:pt>
                <c:pt idx="855">
                  <c:v>30471</c:v>
                </c:pt>
                <c:pt idx="856">
                  <c:v>30478</c:v>
                </c:pt>
                <c:pt idx="857">
                  <c:v>30485</c:v>
                </c:pt>
                <c:pt idx="858">
                  <c:v>30492</c:v>
                </c:pt>
                <c:pt idx="859">
                  <c:v>30499</c:v>
                </c:pt>
                <c:pt idx="860">
                  <c:v>30506</c:v>
                </c:pt>
                <c:pt idx="861">
                  <c:v>30513</c:v>
                </c:pt>
                <c:pt idx="862">
                  <c:v>30520</c:v>
                </c:pt>
                <c:pt idx="863">
                  <c:v>30527</c:v>
                </c:pt>
                <c:pt idx="864">
                  <c:v>30534</c:v>
                </c:pt>
                <c:pt idx="865">
                  <c:v>30541</c:v>
                </c:pt>
                <c:pt idx="866">
                  <c:v>30548</c:v>
                </c:pt>
                <c:pt idx="867">
                  <c:v>30555</c:v>
                </c:pt>
                <c:pt idx="868">
                  <c:v>30562</c:v>
                </c:pt>
                <c:pt idx="869">
                  <c:v>30569</c:v>
                </c:pt>
                <c:pt idx="870">
                  <c:v>30576</c:v>
                </c:pt>
                <c:pt idx="871">
                  <c:v>30583</c:v>
                </c:pt>
                <c:pt idx="872">
                  <c:v>30590</c:v>
                </c:pt>
                <c:pt idx="873">
                  <c:v>30597</c:v>
                </c:pt>
                <c:pt idx="874">
                  <c:v>30604</c:v>
                </c:pt>
                <c:pt idx="875">
                  <c:v>30611</c:v>
                </c:pt>
                <c:pt idx="876">
                  <c:v>30618</c:v>
                </c:pt>
                <c:pt idx="877">
                  <c:v>30625</c:v>
                </c:pt>
                <c:pt idx="878">
                  <c:v>30632</c:v>
                </c:pt>
                <c:pt idx="879">
                  <c:v>30639</c:v>
                </c:pt>
                <c:pt idx="880">
                  <c:v>30646</c:v>
                </c:pt>
                <c:pt idx="881">
                  <c:v>30653</c:v>
                </c:pt>
                <c:pt idx="882">
                  <c:v>30660</c:v>
                </c:pt>
                <c:pt idx="883">
                  <c:v>30667</c:v>
                </c:pt>
                <c:pt idx="884">
                  <c:v>30674</c:v>
                </c:pt>
                <c:pt idx="885">
                  <c:v>30681</c:v>
                </c:pt>
                <c:pt idx="886">
                  <c:v>30688</c:v>
                </c:pt>
                <c:pt idx="887">
                  <c:v>30695</c:v>
                </c:pt>
                <c:pt idx="888">
                  <c:v>30702</c:v>
                </c:pt>
                <c:pt idx="889">
                  <c:v>30709</c:v>
                </c:pt>
                <c:pt idx="890">
                  <c:v>30716</c:v>
                </c:pt>
                <c:pt idx="891">
                  <c:v>30723</c:v>
                </c:pt>
                <c:pt idx="892">
                  <c:v>30730</c:v>
                </c:pt>
                <c:pt idx="893">
                  <c:v>30737</c:v>
                </c:pt>
                <c:pt idx="894">
                  <c:v>30744</c:v>
                </c:pt>
                <c:pt idx="895">
                  <c:v>30751</c:v>
                </c:pt>
                <c:pt idx="896">
                  <c:v>30758</c:v>
                </c:pt>
                <c:pt idx="897">
                  <c:v>30765</c:v>
                </c:pt>
                <c:pt idx="898">
                  <c:v>30772</c:v>
                </c:pt>
                <c:pt idx="899">
                  <c:v>30779</c:v>
                </c:pt>
                <c:pt idx="900">
                  <c:v>30786</c:v>
                </c:pt>
                <c:pt idx="901">
                  <c:v>30793</c:v>
                </c:pt>
                <c:pt idx="902">
                  <c:v>30800</c:v>
                </c:pt>
                <c:pt idx="903">
                  <c:v>30807</c:v>
                </c:pt>
                <c:pt idx="904">
                  <c:v>30814</c:v>
                </c:pt>
                <c:pt idx="905">
                  <c:v>30821</c:v>
                </c:pt>
                <c:pt idx="906">
                  <c:v>30828</c:v>
                </c:pt>
                <c:pt idx="907">
                  <c:v>30835</c:v>
                </c:pt>
                <c:pt idx="908">
                  <c:v>30842</c:v>
                </c:pt>
                <c:pt idx="909">
                  <c:v>30849</c:v>
                </c:pt>
                <c:pt idx="910">
                  <c:v>30856</c:v>
                </c:pt>
                <c:pt idx="911">
                  <c:v>30863</c:v>
                </c:pt>
                <c:pt idx="912">
                  <c:v>30870</c:v>
                </c:pt>
                <c:pt idx="913">
                  <c:v>30877</c:v>
                </c:pt>
                <c:pt idx="914">
                  <c:v>30884</c:v>
                </c:pt>
                <c:pt idx="915">
                  <c:v>30891</c:v>
                </c:pt>
                <c:pt idx="916">
                  <c:v>30898</c:v>
                </c:pt>
                <c:pt idx="917">
                  <c:v>30905</c:v>
                </c:pt>
                <c:pt idx="918">
                  <c:v>30912</c:v>
                </c:pt>
                <c:pt idx="919">
                  <c:v>30919</c:v>
                </c:pt>
                <c:pt idx="920">
                  <c:v>30926</c:v>
                </c:pt>
                <c:pt idx="921">
                  <c:v>30933</c:v>
                </c:pt>
                <c:pt idx="922">
                  <c:v>30940</c:v>
                </c:pt>
                <c:pt idx="923">
                  <c:v>30947</c:v>
                </c:pt>
                <c:pt idx="924">
                  <c:v>30954</c:v>
                </c:pt>
                <c:pt idx="925">
                  <c:v>30961</c:v>
                </c:pt>
                <c:pt idx="926">
                  <c:v>30968</c:v>
                </c:pt>
                <c:pt idx="927">
                  <c:v>30975</c:v>
                </c:pt>
                <c:pt idx="928">
                  <c:v>30982</c:v>
                </c:pt>
                <c:pt idx="929">
                  <c:v>30989</c:v>
                </c:pt>
                <c:pt idx="930">
                  <c:v>30996</c:v>
                </c:pt>
                <c:pt idx="931">
                  <c:v>31003</c:v>
                </c:pt>
                <c:pt idx="932">
                  <c:v>31010</c:v>
                </c:pt>
                <c:pt idx="933">
                  <c:v>31017</c:v>
                </c:pt>
                <c:pt idx="934">
                  <c:v>31024</c:v>
                </c:pt>
                <c:pt idx="935">
                  <c:v>31031</c:v>
                </c:pt>
                <c:pt idx="936">
                  <c:v>31038</c:v>
                </c:pt>
                <c:pt idx="937">
                  <c:v>31045</c:v>
                </c:pt>
                <c:pt idx="938">
                  <c:v>31052</c:v>
                </c:pt>
                <c:pt idx="939">
                  <c:v>31059</c:v>
                </c:pt>
                <c:pt idx="940">
                  <c:v>31066</c:v>
                </c:pt>
                <c:pt idx="941">
                  <c:v>31073</c:v>
                </c:pt>
                <c:pt idx="942">
                  <c:v>31080</c:v>
                </c:pt>
                <c:pt idx="943">
                  <c:v>31087</c:v>
                </c:pt>
                <c:pt idx="944">
                  <c:v>31094</c:v>
                </c:pt>
                <c:pt idx="945">
                  <c:v>31101</c:v>
                </c:pt>
                <c:pt idx="946">
                  <c:v>31108</c:v>
                </c:pt>
                <c:pt idx="947">
                  <c:v>31115</c:v>
                </c:pt>
                <c:pt idx="948">
                  <c:v>31122</c:v>
                </c:pt>
                <c:pt idx="949">
                  <c:v>31129</c:v>
                </c:pt>
                <c:pt idx="950">
                  <c:v>31136</c:v>
                </c:pt>
                <c:pt idx="951">
                  <c:v>31143</c:v>
                </c:pt>
                <c:pt idx="952">
                  <c:v>31150</c:v>
                </c:pt>
                <c:pt idx="953">
                  <c:v>31157</c:v>
                </c:pt>
                <c:pt idx="954">
                  <c:v>31164</c:v>
                </c:pt>
                <c:pt idx="955">
                  <c:v>31171</c:v>
                </c:pt>
                <c:pt idx="956">
                  <c:v>31178</c:v>
                </c:pt>
                <c:pt idx="957">
                  <c:v>31185</c:v>
                </c:pt>
                <c:pt idx="958">
                  <c:v>31192</c:v>
                </c:pt>
                <c:pt idx="959">
                  <c:v>31199</c:v>
                </c:pt>
                <c:pt idx="960">
                  <c:v>31206</c:v>
                </c:pt>
                <c:pt idx="961">
                  <c:v>31213</c:v>
                </c:pt>
                <c:pt idx="962">
                  <c:v>31220</c:v>
                </c:pt>
                <c:pt idx="963">
                  <c:v>31227</c:v>
                </c:pt>
                <c:pt idx="964">
                  <c:v>31234</c:v>
                </c:pt>
                <c:pt idx="965">
                  <c:v>31241</c:v>
                </c:pt>
                <c:pt idx="966">
                  <c:v>31248</c:v>
                </c:pt>
                <c:pt idx="967">
                  <c:v>31255</c:v>
                </c:pt>
                <c:pt idx="968">
                  <c:v>31262</c:v>
                </c:pt>
                <c:pt idx="969">
                  <c:v>31269</c:v>
                </c:pt>
                <c:pt idx="970">
                  <c:v>31276</c:v>
                </c:pt>
                <c:pt idx="971">
                  <c:v>31283</c:v>
                </c:pt>
                <c:pt idx="972">
                  <c:v>31290</c:v>
                </c:pt>
                <c:pt idx="973">
                  <c:v>31297</c:v>
                </c:pt>
                <c:pt idx="974">
                  <c:v>31304</c:v>
                </c:pt>
                <c:pt idx="975">
                  <c:v>31311</c:v>
                </c:pt>
                <c:pt idx="976">
                  <c:v>31318</c:v>
                </c:pt>
                <c:pt idx="977">
                  <c:v>31325</c:v>
                </c:pt>
                <c:pt idx="978">
                  <c:v>31332</c:v>
                </c:pt>
                <c:pt idx="979">
                  <c:v>31339</c:v>
                </c:pt>
                <c:pt idx="980">
                  <c:v>31346</c:v>
                </c:pt>
                <c:pt idx="981">
                  <c:v>31353</c:v>
                </c:pt>
                <c:pt idx="982">
                  <c:v>31360</c:v>
                </c:pt>
                <c:pt idx="983">
                  <c:v>31367</c:v>
                </c:pt>
                <c:pt idx="984">
                  <c:v>31374</c:v>
                </c:pt>
                <c:pt idx="985">
                  <c:v>31381</c:v>
                </c:pt>
                <c:pt idx="986">
                  <c:v>31388</c:v>
                </c:pt>
                <c:pt idx="987">
                  <c:v>31395</c:v>
                </c:pt>
                <c:pt idx="988">
                  <c:v>31402</c:v>
                </c:pt>
                <c:pt idx="989">
                  <c:v>31409</c:v>
                </c:pt>
                <c:pt idx="990">
                  <c:v>31416</c:v>
                </c:pt>
                <c:pt idx="991">
                  <c:v>31423</c:v>
                </c:pt>
                <c:pt idx="992">
                  <c:v>31430</c:v>
                </c:pt>
                <c:pt idx="993">
                  <c:v>31437</c:v>
                </c:pt>
                <c:pt idx="994">
                  <c:v>31444</c:v>
                </c:pt>
                <c:pt idx="995">
                  <c:v>31451</c:v>
                </c:pt>
                <c:pt idx="996">
                  <c:v>31458</c:v>
                </c:pt>
                <c:pt idx="997">
                  <c:v>31465</c:v>
                </c:pt>
                <c:pt idx="998">
                  <c:v>31472</c:v>
                </c:pt>
                <c:pt idx="999">
                  <c:v>31479</c:v>
                </c:pt>
                <c:pt idx="1000">
                  <c:v>31486</c:v>
                </c:pt>
                <c:pt idx="1001">
                  <c:v>31493</c:v>
                </c:pt>
                <c:pt idx="1002">
                  <c:v>31500</c:v>
                </c:pt>
                <c:pt idx="1003">
                  <c:v>31507</c:v>
                </c:pt>
                <c:pt idx="1004">
                  <c:v>31514</c:v>
                </c:pt>
                <c:pt idx="1005">
                  <c:v>31521</c:v>
                </c:pt>
                <c:pt idx="1006">
                  <c:v>31528</c:v>
                </c:pt>
                <c:pt idx="1007">
                  <c:v>31535</c:v>
                </c:pt>
                <c:pt idx="1008">
                  <c:v>31542</c:v>
                </c:pt>
                <c:pt idx="1009">
                  <c:v>31549</c:v>
                </c:pt>
                <c:pt idx="1010">
                  <c:v>31556</c:v>
                </c:pt>
                <c:pt idx="1011">
                  <c:v>31563</c:v>
                </c:pt>
                <c:pt idx="1012">
                  <c:v>31570</c:v>
                </c:pt>
                <c:pt idx="1013">
                  <c:v>31577</c:v>
                </c:pt>
                <c:pt idx="1014">
                  <c:v>31584</c:v>
                </c:pt>
                <c:pt idx="1015">
                  <c:v>31591</c:v>
                </c:pt>
                <c:pt idx="1016">
                  <c:v>31598</c:v>
                </c:pt>
                <c:pt idx="1017">
                  <c:v>31605</c:v>
                </c:pt>
                <c:pt idx="1018">
                  <c:v>31612</c:v>
                </c:pt>
                <c:pt idx="1019">
                  <c:v>31619</c:v>
                </c:pt>
                <c:pt idx="1020">
                  <c:v>31626</c:v>
                </c:pt>
                <c:pt idx="1021">
                  <c:v>31633</c:v>
                </c:pt>
                <c:pt idx="1022">
                  <c:v>31640</c:v>
                </c:pt>
                <c:pt idx="1023">
                  <c:v>31647</c:v>
                </c:pt>
                <c:pt idx="1024">
                  <c:v>31654</c:v>
                </c:pt>
                <c:pt idx="1025">
                  <c:v>31661</c:v>
                </c:pt>
                <c:pt idx="1026">
                  <c:v>31668</c:v>
                </c:pt>
                <c:pt idx="1027">
                  <c:v>31675</c:v>
                </c:pt>
                <c:pt idx="1028">
                  <c:v>31682</c:v>
                </c:pt>
                <c:pt idx="1029">
                  <c:v>31689</c:v>
                </c:pt>
                <c:pt idx="1030">
                  <c:v>31696</c:v>
                </c:pt>
                <c:pt idx="1031">
                  <c:v>31703</c:v>
                </c:pt>
                <c:pt idx="1032">
                  <c:v>31710</c:v>
                </c:pt>
                <c:pt idx="1033">
                  <c:v>31717</c:v>
                </c:pt>
                <c:pt idx="1034">
                  <c:v>31724</c:v>
                </c:pt>
                <c:pt idx="1035">
                  <c:v>31731</c:v>
                </c:pt>
                <c:pt idx="1036">
                  <c:v>31738</c:v>
                </c:pt>
                <c:pt idx="1037">
                  <c:v>31745</c:v>
                </c:pt>
                <c:pt idx="1038">
                  <c:v>31752</c:v>
                </c:pt>
                <c:pt idx="1039">
                  <c:v>31759</c:v>
                </c:pt>
                <c:pt idx="1040">
                  <c:v>31766</c:v>
                </c:pt>
                <c:pt idx="1041">
                  <c:v>31773</c:v>
                </c:pt>
                <c:pt idx="1042">
                  <c:v>31780</c:v>
                </c:pt>
                <c:pt idx="1043">
                  <c:v>31787</c:v>
                </c:pt>
                <c:pt idx="1044">
                  <c:v>31794</c:v>
                </c:pt>
                <c:pt idx="1045">
                  <c:v>31801</c:v>
                </c:pt>
                <c:pt idx="1046">
                  <c:v>31808</c:v>
                </c:pt>
                <c:pt idx="1047">
                  <c:v>31815</c:v>
                </c:pt>
                <c:pt idx="1048">
                  <c:v>31822</c:v>
                </c:pt>
                <c:pt idx="1049">
                  <c:v>31829</c:v>
                </c:pt>
                <c:pt idx="1050">
                  <c:v>31836</c:v>
                </c:pt>
                <c:pt idx="1051">
                  <c:v>31843</c:v>
                </c:pt>
                <c:pt idx="1052">
                  <c:v>31850</c:v>
                </c:pt>
                <c:pt idx="1053">
                  <c:v>31857</c:v>
                </c:pt>
                <c:pt idx="1054">
                  <c:v>31864</c:v>
                </c:pt>
                <c:pt idx="1055">
                  <c:v>31871</c:v>
                </c:pt>
                <c:pt idx="1056">
                  <c:v>31878</c:v>
                </c:pt>
                <c:pt idx="1057">
                  <c:v>31885</c:v>
                </c:pt>
                <c:pt idx="1058">
                  <c:v>31892</c:v>
                </c:pt>
                <c:pt idx="1059">
                  <c:v>31899</c:v>
                </c:pt>
                <c:pt idx="1060">
                  <c:v>31906</c:v>
                </c:pt>
                <c:pt idx="1061">
                  <c:v>31913</c:v>
                </c:pt>
                <c:pt idx="1062">
                  <c:v>31920</c:v>
                </c:pt>
                <c:pt idx="1063">
                  <c:v>31927</c:v>
                </c:pt>
                <c:pt idx="1064">
                  <c:v>31934</c:v>
                </c:pt>
                <c:pt idx="1065">
                  <c:v>31941</c:v>
                </c:pt>
                <c:pt idx="1066">
                  <c:v>31948</c:v>
                </c:pt>
                <c:pt idx="1067">
                  <c:v>31955</c:v>
                </c:pt>
                <c:pt idx="1068">
                  <c:v>31962</c:v>
                </c:pt>
                <c:pt idx="1069">
                  <c:v>31969</c:v>
                </c:pt>
                <c:pt idx="1070">
                  <c:v>31976</c:v>
                </c:pt>
                <c:pt idx="1071">
                  <c:v>31983</c:v>
                </c:pt>
                <c:pt idx="1072">
                  <c:v>31990</c:v>
                </c:pt>
                <c:pt idx="1073">
                  <c:v>31997</c:v>
                </c:pt>
                <c:pt idx="1074">
                  <c:v>32004</c:v>
                </c:pt>
                <c:pt idx="1075">
                  <c:v>32011</c:v>
                </c:pt>
                <c:pt idx="1076">
                  <c:v>32018</c:v>
                </c:pt>
                <c:pt idx="1077">
                  <c:v>32025</c:v>
                </c:pt>
                <c:pt idx="1078">
                  <c:v>32032</c:v>
                </c:pt>
                <c:pt idx="1079">
                  <c:v>32039</c:v>
                </c:pt>
                <c:pt idx="1080">
                  <c:v>32046</c:v>
                </c:pt>
                <c:pt idx="1081">
                  <c:v>32053</c:v>
                </c:pt>
                <c:pt idx="1082">
                  <c:v>32060</c:v>
                </c:pt>
                <c:pt idx="1083">
                  <c:v>32067</c:v>
                </c:pt>
                <c:pt idx="1084">
                  <c:v>32074</c:v>
                </c:pt>
                <c:pt idx="1085">
                  <c:v>32081</c:v>
                </c:pt>
                <c:pt idx="1086">
                  <c:v>32088</c:v>
                </c:pt>
                <c:pt idx="1087">
                  <c:v>32095</c:v>
                </c:pt>
                <c:pt idx="1088">
                  <c:v>32102</c:v>
                </c:pt>
                <c:pt idx="1089">
                  <c:v>32109</c:v>
                </c:pt>
                <c:pt idx="1090">
                  <c:v>32116</c:v>
                </c:pt>
                <c:pt idx="1091">
                  <c:v>32123</c:v>
                </c:pt>
                <c:pt idx="1092">
                  <c:v>32130</c:v>
                </c:pt>
                <c:pt idx="1093">
                  <c:v>32137</c:v>
                </c:pt>
                <c:pt idx="1094">
                  <c:v>32144</c:v>
                </c:pt>
                <c:pt idx="1095">
                  <c:v>32151</c:v>
                </c:pt>
                <c:pt idx="1096">
                  <c:v>32158</c:v>
                </c:pt>
                <c:pt idx="1097">
                  <c:v>32165</c:v>
                </c:pt>
                <c:pt idx="1098">
                  <c:v>32172</c:v>
                </c:pt>
                <c:pt idx="1099">
                  <c:v>32179</c:v>
                </c:pt>
                <c:pt idx="1100">
                  <c:v>32186</c:v>
                </c:pt>
                <c:pt idx="1101">
                  <c:v>32193</c:v>
                </c:pt>
                <c:pt idx="1102">
                  <c:v>32200</c:v>
                </c:pt>
                <c:pt idx="1103">
                  <c:v>32207</c:v>
                </c:pt>
                <c:pt idx="1104">
                  <c:v>32214</c:v>
                </c:pt>
                <c:pt idx="1105">
                  <c:v>32221</c:v>
                </c:pt>
                <c:pt idx="1106">
                  <c:v>32228</c:v>
                </c:pt>
                <c:pt idx="1107">
                  <c:v>32235</c:v>
                </c:pt>
                <c:pt idx="1108">
                  <c:v>32242</c:v>
                </c:pt>
                <c:pt idx="1109">
                  <c:v>32249</c:v>
                </c:pt>
                <c:pt idx="1110">
                  <c:v>32256</c:v>
                </c:pt>
                <c:pt idx="1111">
                  <c:v>32263</c:v>
                </c:pt>
                <c:pt idx="1112">
                  <c:v>32270</c:v>
                </c:pt>
                <c:pt idx="1113">
                  <c:v>32277</c:v>
                </c:pt>
                <c:pt idx="1114">
                  <c:v>32284</c:v>
                </c:pt>
                <c:pt idx="1115">
                  <c:v>32291</c:v>
                </c:pt>
                <c:pt idx="1116">
                  <c:v>32298</c:v>
                </c:pt>
                <c:pt idx="1117">
                  <c:v>32305</c:v>
                </c:pt>
                <c:pt idx="1118">
                  <c:v>32312</c:v>
                </c:pt>
                <c:pt idx="1119">
                  <c:v>32319</c:v>
                </c:pt>
                <c:pt idx="1120">
                  <c:v>32326</c:v>
                </c:pt>
                <c:pt idx="1121">
                  <c:v>32333</c:v>
                </c:pt>
                <c:pt idx="1122">
                  <c:v>32340</c:v>
                </c:pt>
                <c:pt idx="1123">
                  <c:v>32347</c:v>
                </c:pt>
                <c:pt idx="1124">
                  <c:v>32354</c:v>
                </c:pt>
                <c:pt idx="1125">
                  <c:v>32361</c:v>
                </c:pt>
                <c:pt idx="1126">
                  <c:v>32368</c:v>
                </c:pt>
                <c:pt idx="1127">
                  <c:v>32375</c:v>
                </c:pt>
                <c:pt idx="1128">
                  <c:v>32382</c:v>
                </c:pt>
                <c:pt idx="1129">
                  <c:v>32389</c:v>
                </c:pt>
                <c:pt idx="1130">
                  <c:v>32396</c:v>
                </c:pt>
                <c:pt idx="1131">
                  <c:v>32403</c:v>
                </c:pt>
                <c:pt idx="1132">
                  <c:v>32410</c:v>
                </c:pt>
                <c:pt idx="1133">
                  <c:v>32417</c:v>
                </c:pt>
                <c:pt idx="1134">
                  <c:v>32424</c:v>
                </c:pt>
                <c:pt idx="1135">
                  <c:v>32431</c:v>
                </c:pt>
                <c:pt idx="1136">
                  <c:v>32438</c:v>
                </c:pt>
                <c:pt idx="1137">
                  <c:v>32445</c:v>
                </c:pt>
                <c:pt idx="1138">
                  <c:v>32452</c:v>
                </c:pt>
                <c:pt idx="1139">
                  <c:v>32459</c:v>
                </c:pt>
                <c:pt idx="1140">
                  <c:v>32466</c:v>
                </c:pt>
                <c:pt idx="1141">
                  <c:v>32473</c:v>
                </c:pt>
                <c:pt idx="1142">
                  <c:v>32480</c:v>
                </c:pt>
                <c:pt idx="1143">
                  <c:v>32487</c:v>
                </c:pt>
                <c:pt idx="1144">
                  <c:v>32494</c:v>
                </c:pt>
                <c:pt idx="1145">
                  <c:v>32501</c:v>
                </c:pt>
                <c:pt idx="1146">
                  <c:v>32508</c:v>
                </c:pt>
                <c:pt idx="1147">
                  <c:v>32515</c:v>
                </c:pt>
                <c:pt idx="1148">
                  <c:v>32522</c:v>
                </c:pt>
                <c:pt idx="1149">
                  <c:v>32529</c:v>
                </c:pt>
                <c:pt idx="1150">
                  <c:v>32536</c:v>
                </c:pt>
                <c:pt idx="1151">
                  <c:v>32543</c:v>
                </c:pt>
                <c:pt idx="1152">
                  <c:v>32550</c:v>
                </c:pt>
                <c:pt idx="1153">
                  <c:v>32557</c:v>
                </c:pt>
                <c:pt idx="1154">
                  <c:v>32564</c:v>
                </c:pt>
                <c:pt idx="1155">
                  <c:v>32571</c:v>
                </c:pt>
                <c:pt idx="1156">
                  <c:v>32578</c:v>
                </c:pt>
                <c:pt idx="1157">
                  <c:v>32585</c:v>
                </c:pt>
                <c:pt idx="1158">
                  <c:v>32592</c:v>
                </c:pt>
                <c:pt idx="1159">
                  <c:v>32599</c:v>
                </c:pt>
                <c:pt idx="1160">
                  <c:v>32606</c:v>
                </c:pt>
                <c:pt idx="1161">
                  <c:v>32613</c:v>
                </c:pt>
                <c:pt idx="1162">
                  <c:v>32620</c:v>
                </c:pt>
                <c:pt idx="1163">
                  <c:v>32627</c:v>
                </c:pt>
                <c:pt idx="1164">
                  <c:v>32634</c:v>
                </c:pt>
                <c:pt idx="1165">
                  <c:v>32641</c:v>
                </c:pt>
                <c:pt idx="1166">
                  <c:v>32648</c:v>
                </c:pt>
                <c:pt idx="1167">
                  <c:v>32655</c:v>
                </c:pt>
                <c:pt idx="1168">
                  <c:v>32662</c:v>
                </c:pt>
                <c:pt idx="1169">
                  <c:v>32669</c:v>
                </c:pt>
                <c:pt idx="1170">
                  <c:v>32676</c:v>
                </c:pt>
                <c:pt idx="1171">
                  <c:v>32683</c:v>
                </c:pt>
                <c:pt idx="1172">
                  <c:v>32690</c:v>
                </c:pt>
                <c:pt idx="1173">
                  <c:v>32697</c:v>
                </c:pt>
                <c:pt idx="1174">
                  <c:v>32704</c:v>
                </c:pt>
                <c:pt idx="1175">
                  <c:v>32711</c:v>
                </c:pt>
                <c:pt idx="1176">
                  <c:v>32718</c:v>
                </c:pt>
                <c:pt idx="1177">
                  <c:v>32725</c:v>
                </c:pt>
                <c:pt idx="1178">
                  <c:v>32732</c:v>
                </c:pt>
                <c:pt idx="1179">
                  <c:v>32739</c:v>
                </c:pt>
                <c:pt idx="1180">
                  <c:v>32746</c:v>
                </c:pt>
                <c:pt idx="1181">
                  <c:v>32753</c:v>
                </c:pt>
                <c:pt idx="1182">
                  <c:v>32760</c:v>
                </c:pt>
                <c:pt idx="1183">
                  <c:v>32767</c:v>
                </c:pt>
                <c:pt idx="1184">
                  <c:v>32774</c:v>
                </c:pt>
                <c:pt idx="1185">
                  <c:v>32781</c:v>
                </c:pt>
                <c:pt idx="1186">
                  <c:v>32788</c:v>
                </c:pt>
                <c:pt idx="1187">
                  <c:v>32795</c:v>
                </c:pt>
                <c:pt idx="1188">
                  <c:v>32802</c:v>
                </c:pt>
                <c:pt idx="1189">
                  <c:v>32809</c:v>
                </c:pt>
                <c:pt idx="1190">
                  <c:v>32816</c:v>
                </c:pt>
                <c:pt idx="1191">
                  <c:v>32823</c:v>
                </c:pt>
                <c:pt idx="1192">
                  <c:v>32830</c:v>
                </c:pt>
                <c:pt idx="1193">
                  <c:v>32837</c:v>
                </c:pt>
                <c:pt idx="1194">
                  <c:v>32844</c:v>
                </c:pt>
                <c:pt idx="1195">
                  <c:v>32851</c:v>
                </c:pt>
                <c:pt idx="1196">
                  <c:v>32858</c:v>
                </c:pt>
                <c:pt idx="1197">
                  <c:v>32865</c:v>
                </c:pt>
                <c:pt idx="1198">
                  <c:v>32872</c:v>
                </c:pt>
                <c:pt idx="1199">
                  <c:v>32879</c:v>
                </c:pt>
                <c:pt idx="1200">
                  <c:v>32886</c:v>
                </c:pt>
                <c:pt idx="1201">
                  <c:v>32893</c:v>
                </c:pt>
                <c:pt idx="1202">
                  <c:v>32900</c:v>
                </c:pt>
                <c:pt idx="1203">
                  <c:v>32907</c:v>
                </c:pt>
                <c:pt idx="1204">
                  <c:v>32914</c:v>
                </c:pt>
                <c:pt idx="1205">
                  <c:v>32921</c:v>
                </c:pt>
                <c:pt idx="1206">
                  <c:v>32928</c:v>
                </c:pt>
                <c:pt idx="1207">
                  <c:v>32935</c:v>
                </c:pt>
                <c:pt idx="1208">
                  <c:v>32942</c:v>
                </c:pt>
                <c:pt idx="1209">
                  <c:v>32949</c:v>
                </c:pt>
                <c:pt idx="1210">
                  <c:v>32956</c:v>
                </c:pt>
                <c:pt idx="1211">
                  <c:v>32963</c:v>
                </c:pt>
                <c:pt idx="1212">
                  <c:v>32970</c:v>
                </c:pt>
                <c:pt idx="1213">
                  <c:v>32977</c:v>
                </c:pt>
                <c:pt idx="1214">
                  <c:v>32984</c:v>
                </c:pt>
                <c:pt idx="1215">
                  <c:v>32991</c:v>
                </c:pt>
                <c:pt idx="1216">
                  <c:v>32998</c:v>
                </c:pt>
                <c:pt idx="1217">
                  <c:v>33005</c:v>
                </c:pt>
                <c:pt idx="1218">
                  <c:v>33012</c:v>
                </c:pt>
                <c:pt idx="1219">
                  <c:v>33019</c:v>
                </c:pt>
                <c:pt idx="1220">
                  <c:v>33026</c:v>
                </c:pt>
                <c:pt idx="1221">
                  <c:v>33033</c:v>
                </c:pt>
                <c:pt idx="1222">
                  <c:v>33040</c:v>
                </c:pt>
                <c:pt idx="1223">
                  <c:v>33047</c:v>
                </c:pt>
                <c:pt idx="1224">
                  <c:v>33054</c:v>
                </c:pt>
                <c:pt idx="1225">
                  <c:v>33061</c:v>
                </c:pt>
                <c:pt idx="1226">
                  <c:v>33068</c:v>
                </c:pt>
                <c:pt idx="1227">
                  <c:v>33075</c:v>
                </c:pt>
                <c:pt idx="1228">
                  <c:v>33082</c:v>
                </c:pt>
                <c:pt idx="1229">
                  <c:v>33089</c:v>
                </c:pt>
                <c:pt idx="1230">
                  <c:v>33096</c:v>
                </c:pt>
                <c:pt idx="1231">
                  <c:v>33103</c:v>
                </c:pt>
                <c:pt idx="1232">
                  <c:v>33110</c:v>
                </c:pt>
                <c:pt idx="1233">
                  <c:v>33117</c:v>
                </c:pt>
                <c:pt idx="1234">
                  <c:v>33124</c:v>
                </c:pt>
                <c:pt idx="1235">
                  <c:v>33131</c:v>
                </c:pt>
                <c:pt idx="1236">
                  <c:v>33138</c:v>
                </c:pt>
                <c:pt idx="1237">
                  <c:v>33145</c:v>
                </c:pt>
                <c:pt idx="1238">
                  <c:v>33152</c:v>
                </c:pt>
                <c:pt idx="1239">
                  <c:v>33159</c:v>
                </c:pt>
                <c:pt idx="1240">
                  <c:v>33166</c:v>
                </c:pt>
                <c:pt idx="1241">
                  <c:v>33173</c:v>
                </c:pt>
                <c:pt idx="1242">
                  <c:v>33180</c:v>
                </c:pt>
                <c:pt idx="1243">
                  <c:v>33187</c:v>
                </c:pt>
                <c:pt idx="1244">
                  <c:v>33194</c:v>
                </c:pt>
                <c:pt idx="1245">
                  <c:v>33201</c:v>
                </c:pt>
                <c:pt idx="1246">
                  <c:v>33208</c:v>
                </c:pt>
                <c:pt idx="1247">
                  <c:v>33215</c:v>
                </c:pt>
                <c:pt idx="1248">
                  <c:v>33222</c:v>
                </c:pt>
                <c:pt idx="1249">
                  <c:v>33229</c:v>
                </c:pt>
                <c:pt idx="1250">
                  <c:v>33236</c:v>
                </c:pt>
                <c:pt idx="1251">
                  <c:v>33243</c:v>
                </c:pt>
                <c:pt idx="1252">
                  <c:v>33250</c:v>
                </c:pt>
                <c:pt idx="1253">
                  <c:v>33257</c:v>
                </c:pt>
                <c:pt idx="1254">
                  <c:v>33264</c:v>
                </c:pt>
                <c:pt idx="1255">
                  <c:v>33271</c:v>
                </c:pt>
                <c:pt idx="1256">
                  <c:v>33278</c:v>
                </c:pt>
                <c:pt idx="1257">
                  <c:v>33285</c:v>
                </c:pt>
                <c:pt idx="1258">
                  <c:v>33292</c:v>
                </c:pt>
                <c:pt idx="1259">
                  <c:v>33299</c:v>
                </c:pt>
                <c:pt idx="1260">
                  <c:v>33306</c:v>
                </c:pt>
                <c:pt idx="1261">
                  <c:v>33313</c:v>
                </c:pt>
                <c:pt idx="1262">
                  <c:v>33320</c:v>
                </c:pt>
                <c:pt idx="1263">
                  <c:v>33327</c:v>
                </c:pt>
                <c:pt idx="1264">
                  <c:v>33334</c:v>
                </c:pt>
                <c:pt idx="1265">
                  <c:v>33341</c:v>
                </c:pt>
                <c:pt idx="1266">
                  <c:v>33348</c:v>
                </c:pt>
                <c:pt idx="1267">
                  <c:v>33355</c:v>
                </c:pt>
                <c:pt idx="1268">
                  <c:v>33362</c:v>
                </c:pt>
                <c:pt idx="1269">
                  <c:v>33369</c:v>
                </c:pt>
                <c:pt idx="1270">
                  <c:v>33376</c:v>
                </c:pt>
                <c:pt idx="1271">
                  <c:v>33383</c:v>
                </c:pt>
                <c:pt idx="1272">
                  <c:v>33390</c:v>
                </c:pt>
                <c:pt idx="1273">
                  <c:v>33397</c:v>
                </c:pt>
                <c:pt idx="1274">
                  <c:v>33404</c:v>
                </c:pt>
                <c:pt idx="1275">
                  <c:v>33411</c:v>
                </c:pt>
                <c:pt idx="1276">
                  <c:v>33418</c:v>
                </c:pt>
                <c:pt idx="1277">
                  <c:v>33425</c:v>
                </c:pt>
                <c:pt idx="1278">
                  <c:v>33432</c:v>
                </c:pt>
                <c:pt idx="1279">
                  <c:v>33439</c:v>
                </c:pt>
                <c:pt idx="1280">
                  <c:v>33446</c:v>
                </c:pt>
                <c:pt idx="1281">
                  <c:v>33453</c:v>
                </c:pt>
                <c:pt idx="1282">
                  <c:v>33460</c:v>
                </c:pt>
                <c:pt idx="1283">
                  <c:v>33467</c:v>
                </c:pt>
                <c:pt idx="1284">
                  <c:v>33474</c:v>
                </c:pt>
                <c:pt idx="1285">
                  <c:v>33481</c:v>
                </c:pt>
                <c:pt idx="1286">
                  <c:v>33488</c:v>
                </c:pt>
                <c:pt idx="1287">
                  <c:v>33495</c:v>
                </c:pt>
                <c:pt idx="1288">
                  <c:v>33502</c:v>
                </c:pt>
                <c:pt idx="1289">
                  <c:v>33509</c:v>
                </c:pt>
                <c:pt idx="1290">
                  <c:v>33516</c:v>
                </c:pt>
                <c:pt idx="1291">
                  <c:v>33523</c:v>
                </c:pt>
                <c:pt idx="1292">
                  <c:v>33530</c:v>
                </c:pt>
                <c:pt idx="1293">
                  <c:v>33537</c:v>
                </c:pt>
                <c:pt idx="1294">
                  <c:v>33544</c:v>
                </c:pt>
                <c:pt idx="1295">
                  <c:v>33551</c:v>
                </c:pt>
                <c:pt idx="1296">
                  <c:v>33558</c:v>
                </c:pt>
                <c:pt idx="1297">
                  <c:v>33565</c:v>
                </c:pt>
                <c:pt idx="1298">
                  <c:v>33572</c:v>
                </c:pt>
                <c:pt idx="1299">
                  <c:v>33579</c:v>
                </c:pt>
                <c:pt idx="1300">
                  <c:v>33586</c:v>
                </c:pt>
                <c:pt idx="1301">
                  <c:v>33593</c:v>
                </c:pt>
                <c:pt idx="1302">
                  <c:v>33600</c:v>
                </c:pt>
                <c:pt idx="1303">
                  <c:v>33607</c:v>
                </c:pt>
                <c:pt idx="1304">
                  <c:v>33614</c:v>
                </c:pt>
                <c:pt idx="1305">
                  <c:v>33621</c:v>
                </c:pt>
                <c:pt idx="1306">
                  <c:v>33628</c:v>
                </c:pt>
                <c:pt idx="1307">
                  <c:v>33635</c:v>
                </c:pt>
                <c:pt idx="1308">
                  <c:v>33642</c:v>
                </c:pt>
                <c:pt idx="1309">
                  <c:v>33649</c:v>
                </c:pt>
                <c:pt idx="1310">
                  <c:v>33656</c:v>
                </c:pt>
                <c:pt idx="1311">
                  <c:v>33663</c:v>
                </c:pt>
                <c:pt idx="1312">
                  <c:v>33670</c:v>
                </c:pt>
                <c:pt idx="1313">
                  <c:v>33677</c:v>
                </c:pt>
                <c:pt idx="1314">
                  <c:v>33684</c:v>
                </c:pt>
                <c:pt idx="1315">
                  <c:v>33691</c:v>
                </c:pt>
                <c:pt idx="1316">
                  <c:v>33698</c:v>
                </c:pt>
                <c:pt idx="1317">
                  <c:v>33705</c:v>
                </c:pt>
                <c:pt idx="1318">
                  <c:v>33712</c:v>
                </c:pt>
                <c:pt idx="1319">
                  <c:v>33719</c:v>
                </c:pt>
                <c:pt idx="1320">
                  <c:v>33726</c:v>
                </c:pt>
                <c:pt idx="1321">
                  <c:v>33733</c:v>
                </c:pt>
                <c:pt idx="1322">
                  <c:v>33740</c:v>
                </c:pt>
                <c:pt idx="1323">
                  <c:v>33747</c:v>
                </c:pt>
                <c:pt idx="1324">
                  <c:v>33754</c:v>
                </c:pt>
                <c:pt idx="1325">
                  <c:v>33761</c:v>
                </c:pt>
                <c:pt idx="1326">
                  <c:v>33768</c:v>
                </c:pt>
                <c:pt idx="1327">
                  <c:v>33775</c:v>
                </c:pt>
                <c:pt idx="1328">
                  <c:v>33782</c:v>
                </c:pt>
                <c:pt idx="1329">
                  <c:v>33789</c:v>
                </c:pt>
                <c:pt idx="1330">
                  <c:v>33796</c:v>
                </c:pt>
                <c:pt idx="1331">
                  <c:v>33803</c:v>
                </c:pt>
                <c:pt idx="1332">
                  <c:v>33810</c:v>
                </c:pt>
                <c:pt idx="1333">
                  <c:v>33817</c:v>
                </c:pt>
                <c:pt idx="1334">
                  <c:v>33824</c:v>
                </c:pt>
                <c:pt idx="1335">
                  <c:v>33831</c:v>
                </c:pt>
                <c:pt idx="1336">
                  <c:v>33838</c:v>
                </c:pt>
                <c:pt idx="1337">
                  <c:v>33845</c:v>
                </c:pt>
                <c:pt idx="1338">
                  <c:v>33852</c:v>
                </c:pt>
                <c:pt idx="1339">
                  <c:v>33859</c:v>
                </c:pt>
                <c:pt idx="1340">
                  <c:v>33866</c:v>
                </c:pt>
                <c:pt idx="1341">
                  <c:v>33873</c:v>
                </c:pt>
                <c:pt idx="1342">
                  <c:v>33880</c:v>
                </c:pt>
                <c:pt idx="1343">
                  <c:v>33887</c:v>
                </c:pt>
                <c:pt idx="1344">
                  <c:v>33894</c:v>
                </c:pt>
                <c:pt idx="1345">
                  <c:v>33901</c:v>
                </c:pt>
                <c:pt idx="1346">
                  <c:v>33908</c:v>
                </c:pt>
                <c:pt idx="1347">
                  <c:v>33915</c:v>
                </c:pt>
                <c:pt idx="1348">
                  <c:v>33922</c:v>
                </c:pt>
                <c:pt idx="1349">
                  <c:v>33929</c:v>
                </c:pt>
                <c:pt idx="1350">
                  <c:v>33936</c:v>
                </c:pt>
                <c:pt idx="1351">
                  <c:v>33943</c:v>
                </c:pt>
                <c:pt idx="1352">
                  <c:v>33950</c:v>
                </c:pt>
                <c:pt idx="1353">
                  <c:v>33957</c:v>
                </c:pt>
                <c:pt idx="1354">
                  <c:v>33964</c:v>
                </c:pt>
                <c:pt idx="1355">
                  <c:v>33971</c:v>
                </c:pt>
                <c:pt idx="1356">
                  <c:v>33978</c:v>
                </c:pt>
                <c:pt idx="1357">
                  <c:v>33985</c:v>
                </c:pt>
                <c:pt idx="1358">
                  <c:v>33992</c:v>
                </c:pt>
                <c:pt idx="1359">
                  <c:v>33999</c:v>
                </c:pt>
                <c:pt idx="1360">
                  <c:v>34006</c:v>
                </c:pt>
                <c:pt idx="1361">
                  <c:v>34013</c:v>
                </c:pt>
                <c:pt idx="1362">
                  <c:v>34020</c:v>
                </c:pt>
                <c:pt idx="1363">
                  <c:v>34027</c:v>
                </c:pt>
                <c:pt idx="1364">
                  <c:v>34034</c:v>
                </c:pt>
                <c:pt idx="1365">
                  <c:v>34041</c:v>
                </c:pt>
                <c:pt idx="1366">
                  <c:v>34048</c:v>
                </c:pt>
                <c:pt idx="1367">
                  <c:v>34055</c:v>
                </c:pt>
                <c:pt idx="1368">
                  <c:v>34062</c:v>
                </c:pt>
                <c:pt idx="1369">
                  <c:v>34069</c:v>
                </c:pt>
                <c:pt idx="1370">
                  <c:v>34076</c:v>
                </c:pt>
                <c:pt idx="1371">
                  <c:v>34083</c:v>
                </c:pt>
                <c:pt idx="1372">
                  <c:v>34090</c:v>
                </c:pt>
                <c:pt idx="1373">
                  <c:v>34097</c:v>
                </c:pt>
                <c:pt idx="1374">
                  <c:v>34104</c:v>
                </c:pt>
                <c:pt idx="1375">
                  <c:v>34111</c:v>
                </c:pt>
                <c:pt idx="1376">
                  <c:v>34118</c:v>
                </c:pt>
                <c:pt idx="1377">
                  <c:v>34125</c:v>
                </c:pt>
                <c:pt idx="1378">
                  <c:v>34132</c:v>
                </c:pt>
                <c:pt idx="1379">
                  <c:v>34139</c:v>
                </c:pt>
                <c:pt idx="1380">
                  <c:v>34146</c:v>
                </c:pt>
                <c:pt idx="1381">
                  <c:v>34153</c:v>
                </c:pt>
                <c:pt idx="1382">
                  <c:v>34160</c:v>
                </c:pt>
                <c:pt idx="1383">
                  <c:v>34167</c:v>
                </c:pt>
                <c:pt idx="1384">
                  <c:v>34174</c:v>
                </c:pt>
                <c:pt idx="1385">
                  <c:v>34181</c:v>
                </c:pt>
                <c:pt idx="1386">
                  <c:v>34188</c:v>
                </c:pt>
                <c:pt idx="1387">
                  <c:v>34195</c:v>
                </c:pt>
                <c:pt idx="1388">
                  <c:v>34202</c:v>
                </c:pt>
                <c:pt idx="1389">
                  <c:v>34209</c:v>
                </c:pt>
                <c:pt idx="1390">
                  <c:v>34216</c:v>
                </c:pt>
                <c:pt idx="1391">
                  <c:v>34223</c:v>
                </c:pt>
                <c:pt idx="1392">
                  <c:v>34230</c:v>
                </c:pt>
                <c:pt idx="1393">
                  <c:v>34237</c:v>
                </c:pt>
                <c:pt idx="1394">
                  <c:v>34244</c:v>
                </c:pt>
                <c:pt idx="1395">
                  <c:v>34251</c:v>
                </c:pt>
                <c:pt idx="1396">
                  <c:v>34258</c:v>
                </c:pt>
                <c:pt idx="1397">
                  <c:v>34265</c:v>
                </c:pt>
                <c:pt idx="1398">
                  <c:v>34272</c:v>
                </c:pt>
                <c:pt idx="1399">
                  <c:v>34279</c:v>
                </c:pt>
                <c:pt idx="1400">
                  <c:v>34286</c:v>
                </c:pt>
                <c:pt idx="1401">
                  <c:v>34293</c:v>
                </c:pt>
                <c:pt idx="1402">
                  <c:v>34300</c:v>
                </c:pt>
                <c:pt idx="1403">
                  <c:v>34307</c:v>
                </c:pt>
                <c:pt idx="1404">
                  <c:v>34314</c:v>
                </c:pt>
                <c:pt idx="1405">
                  <c:v>34321</c:v>
                </c:pt>
                <c:pt idx="1406">
                  <c:v>34328</c:v>
                </c:pt>
                <c:pt idx="1407">
                  <c:v>34335</c:v>
                </c:pt>
                <c:pt idx="1408">
                  <c:v>34342</c:v>
                </c:pt>
                <c:pt idx="1409">
                  <c:v>34349</c:v>
                </c:pt>
                <c:pt idx="1410">
                  <c:v>34356</c:v>
                </c:pt>
                <c:pt idx="1411">
                  <c:v>34363</c:v>
                </c:pt>
                <c:pt idx="1412">
                  <c:v>34370</c:v>
                </c:pt>
                <c:pt idx="1413">
                  <c:v>34377</c:v>
                </c:pt>
                <c:pt idx="1414">
                  <c:v>34384</c:v>
                </c:pt>
                <c:pt idx="1415">
                  <c:v>34391</c:v>
                </c:pt>
                <c:pt idx="1416">
                  <c:v>34398</c:v>
                </c:pt>
                <c:pt idx="1417">
                  <c:v>34405</c:v>
                </c:pt>
                <c:pt idx="1418">
                  <c:v>34412</c:v>
                </c:pt>
                <c:pt idx="1419">
                  <c:v>34419</c:v>
                </c:pt>
                <c:pt idx="1420">
                  <c:v>34426</c:v>
                </c:pt>
                <c:pt idx="1421">
                  <c:v>34433</c:v>
                </c:pt>
                <c:pt idx="1422">
                  <c:v>34440</c:v>
                </c:pt>
                <c:pt idx="1423">
                  <c:v>34447</c:v>
                </c:pt>
                <c:pt idx="1424">
                  <c:v>34454</c:v>
                </c:pt>
                <c:pt idx="1425">
                  <c:v>34461</c:v>
                </c:pt>
                <c:pt idx="1426">
                  <c:v>34468</c:v>
                </c:pt>
                <c:pt idx="1427">
                  <c:v>34475</c:v>
                </c:pt>
                <c:pt idx="1428">
                  <c:v>34482</c:v>
                </c:pt>
                <c:pt idx="1429">
                  <c:v>34489</c:v>
                </c:pt>
                <c:pt idx="1430">
                  <c:v>34496</c:v>
                </c:pt>
                <c:pt idx="1431">
                  <c:v>34503</c:v>
                </c:pt>
                <c:pt idx="1432">
                  <c:v>34510</c:v>
                </c:pt>
                <c:pt idx="1433">
                  <c:v>34517</c:v>
                </c:pt>
                <c:pt idx="1434">
                  <c:v>34524</c:v>
                </c:pt>
                <c:pt idx="1435">
                  <c:v>34531</c:v>
                </c:pt>
                <c:pt idx="1436">
                  <c:v>34538</c:v>
                </c:pt>
                <c:pt idx="1437">
                  <c:v>34545</c:v>
                </c:pt>
                <c:pt idx="1438">
                  <c:v>34552</c:v>
                </c:pt>
                <c:pt idx="1439">
                  <c:v>34559</c:v>
                </c:pt>
                <c:pt idx="1440">
                  <c:v>34566</c:v>
                </c:pt>
                <c:pt idx="1441">
                  <c:v>34573</c:v>
                </c:pt>
                <c:pt idx="1442">
                  <c:v>34580</c:v>
                </c:pt>
                <c:pt idx="1443">
                  <c:v>34587</c:v>
                </c:pt>
                <c:pt idx="1444">
                  <c:v>34594</c:v>
                </c:pt>
                <c:pt idx="1445">
                  <c:v>34601</c:v>
                </c:pt>
                <c:pt idx="1446">
                  <c:v>34608</c:v>
                </c:pt>
                <c:pt idx="1447">
                  <c:v>34615</c:v>
                </c:pt>
                <c:pt idx="1448">
                  <c:v>34622</c:v>
                </c:pt>
                <c:pt idx="1449">
                  <c:v>34629</c:v>
                </c:pt>
                <c:pt idx="1450">
                  <c:v>34636</c:v>
                </c:pt>
                <c:pt idx="1451">
                  <c:v>34643</c:v>
                </c:pt>
                <c:pt idx="1452">
                  <c:v>34650</c:v>
                </c:pt>
                <c:pt idx="1453">
                  <c:v>34657</c:v>
                </c:pt>
                <c:pt idx="1454">
                  <c:v>34664</c:v>
                </c:pt>
                <c:pt idx="1455">
                  <c:v>34671</c:v>
                </c:pt>
                <c:pt idx="1456">
                  <c:v>34678</c:v>
                </c:pt>
                <c:pt idx="1457">
                  <c:v>34685</c:v>
                </c:pt>
                <c:pt idx="1458">
                  <c:v>34692</c:v>
                </c:pt>
                <c:pt idx="1459">
                  <c:v>34699</c:v>
                </c:pt>
                <c:pt idx="1460">
                  <c:v>34706</c:v>
                </c:pt>
                <c:pt idx="1461">
                  <c:v>34713</c:v>
                </c:pt>
                <c:pt idx="1462">
                  <c:v>34720</c:v>
                </c:pt>
                <c:pt idx="1463">
                  <c:v>34727</c:v>
                </c:pt>
                <c:pt idx="1464">
                  <c:v>34734</c:v>
                </c:pt>
                <c:pt idx="1465">
                  <c:v>34741</c:v>
                </c:pt>
                <c:pt idx="1466">
                  <c:v>34748</c:v>
                </c:pt>
                <c:pt idx="1467">
                  <c:v>34755</c:v>
                </c:pt>
                <c:pt idx="1468">
                  <c:v>34762</c:v>
                </c:pt>
                <c:pt idx="1469">
                  <c:v>34769</c:v>
                </c:pt>
                <c:pt idx="1470">
                  <c:v>34776</c:v>
                </c:pt>
                <c:pt idx="1471">
                  <c:v>34783</c:v>
                </c:pt>
                <c:pt idx="1472">
                  <c:v>34790</c:v>
                </c:pt>
                <c:pt idx="1473">
                  <c:v>34797</c:v>
                </c:pt>
                <c:pt idx="1474">
                  <c:v>34804</c:v>
                </c:pt>
                <c:pt idx="1475">
                  <c:v>34811</c:v>
                </c:pt>
                <c:pt idx="1476">
                  <c:v>34818</c:v>
                </c:pt>
                <c:pt idx="1477">
                  <c:v>34825</c:v>
                </c:pt>
                <c:pt idx="1478">
                  <c:v>34832</c:v>
                </c:pt>
                <c:pt idx="1479">
                  <c:v>34839</c:v>
                </c:pt>
                <c:pt idx="1480">
                  <c:v>34846</c:v>
                </c:pt>
                <c:pt idx="1481">
                  <c:v>34853</c:v>
                </c:pt>
                <c:pt idx="1482">
                  <c:v>34860</c:v>
                </c:pt>
                <c:pt idx="1483">
                  <c:v>34867</c:v>
                </c:pt>
                <c:pt idx="1484">
                  <c:v>34874</c:v>
                </c:pt>
                <c:pt idx="1485">
                  <c:v>34881</c:v>
                </c:pt>
                <c:pt idx="1486">
                  <c:v>34888</c:v>
                </c:pt>
                <c:pt idx="1487">
                  <c:v>34895</c:v>
                </c:pt>
                <c:pt idx="1488">
                  <c:v>34902</c:v>
                </c:pt>
                <c:pt idx="1489">
                  <c:v>34909</c:v>
                </c:pt>
                <c:pt idx="1490">
                  <c:v>34916</c:v>
                </c:pt>
                <c:pt idx="1491">
                  <c:v>34923</c:v>
                </c:pt>
                <c:pt idx="1492">
                  <c:v>34930</c:v>
                </c:pt>
                <c:pt idx="1493">
                  <c:v>34937</c:v>
                </c:pt>
                <c:pt idx="1494">
                  <c:v>34944</c:v>
                </c:pt>
                <c:pt idx="1495">
                  <c:v>34951</c:v>
                </c:pt>
                <c:pt idx="1496">
                  <c:v>34958</c:v>
                </c:pt>
                <c:pt idx="1497">
                  <c:v>34965</c:v>
                </c:pt>
                <c:pt idx="1498">
                  <c:v>34972</c:v>
                </c:pt>
                <c:pt idx="1499">
                  <c:v>34979</c:v>
                </c:pt>
                <c:pt idx="1500">
                  <c:v>34986</c:v>
                </c:pt>
                <c:pt idx="1501">
                  <c:v>34993</c:v>
                </c:pt>
                <c:pt idx="1502">
                  <c:v>35000</c:v>
                </c:pt>
                <c:pt idx="1503">
                  <c:v>35007</c:v>
                </c:pt>
                <c:pt idx="1504">
                  <c:v>35014</c:v>
                </c:pt>
                <c:pt idx="1505">
                  <c:v>35021</c:v>
                </c:pt>
                <c:pt idx="1506">
                  <c:v>35028</c:v>
                </c:pt>
                <c:pt idx="1507">
                  <c:v>35035</c:v>
                </c:pt>
                <c:pt idx="1508">
                  <c:v>35042</c:v>
                </c:pt>
                <c:pt idx="1509">
                  <c:v>35049</c:v>
                </c:pt>
                <c:pt idx="1510">
                  <c:v>35056</c:v>
                </c:pt>
                <c:pt idx="1511">
                  <c:v>35063</c:v>
                </c:pt>
                <c:pt idx="1512">
                  <c:v>35070</c:v>
                </c:pt>
                <c:pt idx="1513">
                  <c:v>35077</c:v>
                </c:pt>
                <c:pt idx="1514">
                  <c:v>35084</c:v>
                </c:pt>
                <c:pt idx="1515">
                  <c:v>35091</c:v>
                </c:pt>
                <c:pt idx="1516">
                  <c:v>35098</c:v>
                </c:pt>
                <c:pt idx="1517">
                  <c:v>35105</c:v>
                </c:pt>
                <c:pt idx="1518">
                  <c:v>35112</c:v>
                </c:pt>
                <c:pt idx="1519">
                  <c:v>35119</c:v>
                </c:pt>
                <c:pt idx="1520">
                  <c:v>35126</c:v>
                </c:pt>
                <c:pt idx="1521">
                  <c:v>35133</c:v>
                </c:pt>
                <c:pt idx="1522">
                  <c:v>35140</c:v>
                </c:pt>
                <c:pt idx="1523">
                  <c:v>35147</c:v>
                </c:pt>
                <c:pt idx="1524">
                  <c:v>35154</c:v>
                </c:pt>
                <c:pt idx="1525">
                  <c:v>35161</c:v>
                </c:pt>
                <c:pt idx="1526">
                  <c:v>35168</c:v>
                </c:pt>
                <c:pt idx="1527">
                  <c:v>35175</c:v>
                </c:pt>
                <c:pt idx="1528">
                  <c:v>35182</c:v>
                </c:pt>
                <c:pt idx="1529">
                  <c:v>35189</c:v>
                </c:pt>
                <c:pt idx="1530">
                  <c:v>35196</c:v>
                </c:pt>
                <c:pt idx="1531">
                  <c:v>35203</c:v>
                </c:pt>
                <c:pt idx="1532">
                  <c:v>35210</c:v>
                </c:pt>
                <c:pt idx="1533">
                  <c:v>35217</c:v>
                </c:pt>
                <c:pt idx="1534">
                  <c:v>35224</c:v>
                </c:pt>
                <c:pt idx="1535">
                  <c:v>35231</c:v>
                </c:pt>
                <c:pt idx="1536">
                  <c:v>35238</c:v>
                </c:pt>
                <c:pt idx="1537">
                  <c:v>35245</c:v>
                </c:pt>
                <c:pt idx="1538">
                  <c:v>35252</c:v>
                </c:pt>
                <c:pt idx="1539">
                  <c:v>35259</c:v>
                </c:pt>
                <c:pt idx="1540">
                  <c:v>35266</c:v>
                </c:pt>
                <c:pt idx="1541">
                  <c:v>35273</c:v>
                </c:pt>
                <c:pt idx="1542">
                  <c:v>35280</c:v>
                </c:pt>
                <c:pt idx="1543">
                  <c:v>35287</c:v>
                </c:pt>
                <c:pt idx="1544">
                  <c:v>35294</c:v>
                </c:pt>
                <c:pt idx="1545">
                  <c:v>35301</c:v>
                </c:pt>
                <c:pt idx="1546">
                  <c:v>35308</c:v>
                </c:pt>
                <c:pt idx="1547">
                  <c:v>35315</c:v>
                </c:pt>
                <c:pt idx="1548">
                  <c:v>35322</c:v>
                </c:pt>
                <c:pt idx="1549">
                  <c:v>35329</c:v>
                </c:pt>
                <c:pt idx="1550">
                  <c:v>35336</c:v>
                </c:pt>
                <c:pt idx="1551">
                  <c:v>35343</c:v>
                </c:pt>
                <c:pt idx="1552">
                  <c:v>35350</c:v>
                </c:pt>
                <c:pt idx="1553">
                  <c:v>35357</c:v>
                </c:pt>
                <c:pt idx="1554">
                  <c:v>35364</c:v>
                </c:pt>
                <c:pt idx="1555">
                  <c:v>35371</c:v>
                </c:pt>
                <c:pt idx="1556">
                  <c:v>35378</c:v>
                </c:pt>
                <c:pt idx="1557">
                  <c:v>35385</c:v>
                </c:pt>
                <c:pt idx="1558">
                  <c:v>35392</c:v>
                </c:pt>
                <c:pt idx="1559">
                  <c:v>35399</c:v>
                </c:pt>
                <c:pt idx="1560">
                  <c:v>35406</c:v>
                </c:pt>
                <c:pt idx="1561">
                  <c:v>35413</c:v>
                </c:pt>
                <c:pt idx="1562">
                  <c:v>35420</c:v>
                </c:pt>
                <c:pt idx="1563">
                  <c:v>35427</c:v>
                </c:pt>
                <c:pt idx="1564">
                  <c:v>35434</c:v>
                </c:pt>
                <c:pt idx="1565">
                  <c:v>35441</c:v>
                </c:pt>
                <c:pt idx="1566">
                  <c:v>35448</c:v>
                </c:pt>
                <c:pt idx="1567">
                  <c:v>35455</c:v>
                </c:pt>
                <c:pt idx="1568">
                  <c:v>35462</c:v>
                </c:pt>
                <c:pt idx="1569">
                  <c:v>35469</c:v>
                </c:pt>
                <c:pt idx="1570">
                  <c:v>35476</c:v>
                </c:pt>
                <c:pt idx="1571">
                  <c:v>35483</c:v>
                </c:pt>
                <c:pt idx="1572">
                  <c:v>35490</c:v>
                </c:pt>
                <c:pt idx="1573">
                  <c:v>35497</c:v>
                </c:pt>
                <c:pt idx="1574">
                  <c:v>35504</c:v>
                </c:pt>
                <c:pt idx="1575">
                  <c:v>35511</c:v>
                </c:pt>
                <c:pt idx="1576">
                  <c:v>35518</c:v>
                </c:pt>
                <c:pt idx="1577">
                  <c:v>35525</c:v>
                </c:pt>
                <c:pt idx="1578">
                  <c:v>35532</c:v>
                </c:pt>
                <c:pt idx="1579">
                  <c:v>35539</c:v>
                </c:pt>
                <c:pt idx="1580">
                  <c:v>35546</c:v>
                </c:pt>
                <c:pt idx="1581">
                  <c:v>35553</c:v>
                </c:pt>
                <c:pt idx="1582">
                  <c:v>35560</c:v>
                </c:pt>
                <c:pt idx="1583">
                  <c:v>35567</c:v>
                </c:pt>
                <c:pt idx="1584">
                  <c:v>35574</c:v>
                </c:pt>
                <c:pt idx="1585">
                  <c:v>35581</c:v>
                </c:pt>
                <c:pt idx="1586">
                  <c:v>35588</c:v>
                </c:pt>
                <c:pt idx="1587">
                  <c:v>35595</c:v>
                </c:pt>
                <c:pt idx="1588">
                  <c:v>35602</c:v>
                </c:pt>
                <c:pt idx="1589">
                  <c:v>35609</c:v>
                </c:pt>
                <c:pt idx="1590">
                  <c:v>35616</c:v>
                </c:pt>
                <c:pt idx="1591">
                  <c:v>35623</c:v>
                </c:pt>
                <c:pt idx="1592">
                  <c:v>35630</c:v>
                </c:pt>
                <c:pt idx="1593">
                  <c:v>35637</c:v>
                </c:pt>
                <c:pt idx="1594">
                  <c:v>35644</c:v>
                </c:pt>
                <c:pt idx="1595">
                  <c:v>35651</c:v>
                </c:pt>
                <c:pt idx="1596">
                  <c:v>35658</c:v>
                </c:pt>
                <c:pt idx="1597">
                  <c:v>35665</c:v>
                </c:pt>
                <c:pt idx="1598">
                  <c:v>35672</c:v>
                </c:pt>
                <c:pt idx="1599">
                  <c:v>35679</c:v>
                </c:pt>
                <c:pt idx="1600">
                  <c:v>35686</c:v>
                </c:pt>
                <c:pt idx="1601">
                  <c:v>35693</c:v>
                </c:pt>
                <c:pt idx="1602">
                  <c:v>35700</c:v>
                </c:pt>
                <c:pt idx="1603">
                  <c:v>35707</c:v>
                </c:pt>
                <c:pt idx="1604">
                  <c:v>35714</c:v>
                </c:pt>
                <c:pt idx="1605">
                  <c:v>35721</c:v>
                </c:pt>
                <c:pt idx="1606">
                  <c:v>35728</c:v>
                </c:pt>
                <c:pt idx="1607">
                  <c:v>35735</c:v>
                </c:pt>
                <c:pt idx="1608">
                  <c:v>35742</c:v>
                </c:pt>
                <c:pt idx="1609">
                  <c:v>35749</c:v>
                </c:pt>
                <c:pt idx="1610">
                  <c:v>35756</c:v>
                </c:pt>
                <c:pt idx="1611">
                  <c:v>35763</c:v>
                </c:pt>
                <c:pt idx="1612">
                  <c:v>35770</c:v>
                </c:pt>
                <c:pt idx="1613">
                  <c:v>35777</c:v>
                </c:pt>
                <c:pt idx="1614">
                  <c:v>35784</c:v>
                </c:pt>
                <c:pt idx="1615">
                  <c:v>35791</c:v>
                </c:pt>
                <c:pt idx="1616">
                  <c:v>35798</c:v>
                </c:pt>
                <c:pt idx="1617">
                  <c:v>35805</c:v>
                </c:pt>
                <c:pt idx="1618">
                  <c:v>35812</c:v>
                </c:pt>
                <c:pt idx="1619">
                  <c:v>35819</c:v>
                </c:pt>
                <c:pt idx="1620">
                  <c:v>35826</c:v>
                </c:pt>
                <c:pt idx="1621">
                  <c:v>35833</c:v>
                </c:pt>
                <c:pt idx="1622">
                  <c:v>35840</c:v>
                </c:pt>
                <c:pt idx="1623">
                  <c:v>35847</c:v>
                </c:pt>
                <c:pt idx="1624">
                  <c:v>35854</c:v>
                </c:pt>
                <c:pt idx="1625">
                  <c:v>35861</c:v>
                </c:pt>
                <c:pt idx="1626">
                  <c:v>35868</c:v>
                </c:pt>
                <c:pt idx="1627">
                  <c:v>35875</c:v>
                </c:pt>
                <c:pt idx="1628">
                  <c:v>35882</c:v>
                </c:pt>
                <c:pt idx="1629">
                  <c:v>35889</c:v>
                </c:pt>
                <c:pt idx="1630">
                  <c:v>35896</c:v>
                </c:pt>
                <c:pt idx="1631">
                  <c:v>35903</c:v>
                </c:pt>
                <c:pt idx="1632">
                  <c:v>35910</c:v>
                </c:pt>
                <c:pt idx="1633">
                  <c:v>35917</c:v>
                </c:pt>
                <c:pt idx="1634">
                  <c:v>35924</c:v>
                </c:pt>
                <c:pt idx="1635">
                  <c:v>35931</c:v>
                </c:pt>
                <c:pt idx="1636">
                  <c:v>35938</c:v>
                </c:pt>
                <c:pt idx="1637">
                  <c:v>35945</c:v>
                </c:pt>
                <c:pt idx="1638">
                  <c:v>35952</c:v>
                </c:pt>
                <c:pt idx="1639">
                  <c:v>35959</c:v>
                </c:pt>
                <c:pt idx="1640">
                  <c:v>35966</c:v>
                </c:pt>
                <c:pt idx="1641">
                  <c:v>35973</c:v>
                </c:pt>
                <c:pt idx="1642">
                  <c:v>35980</c:v>
                </c:pt>
                <c:pt idx="1643">
                  <c:v>35987</c:v>
                </c:pt>
                <c:pt idx="1644">
                  <c:v>35994</c:v>
                </c:pt>
                <c:pt idx="1645">
                  <c:v>36001</c:v>
                </c:pt>
                <c:pt idx="1646">
                  <c:v>36008</c:v>
                </c:pt>
                <c:pt idx="1647">
                  <c:v>36015</c:v>
                </c:pt>
                <c:pt idx="1648">
                  <c:v>36022</c:v>
                </c:pt>
                <c:pt idx="1649">
                  <c:v>36029</c:v>
                </c:pt>
                <c:pt idx="1650">
                  <c:v>36036</c:v>
                </c:pt>
                <c:pt idx="1651">
                  <c:v>36043</c:v>
                </c:pt>
                <c:pt idx="1652">
                  <c:v>36050</c:v>
                </c:pt>
                <c:pt idx="1653">
                  <c:v>36057</c:v>
                </c:pt>
                <c:pt idx="1654">
                  <c:v>36064</c:v>
                </c:pt>
                <c:pt idx="1655">
                  <c:v>36071</c:v>
                </c:pt>
                <c:pt idx="1656">
                  <c:v>36078</c:v>
                </c:pt>
                <c:pt idx="1657">
                  <c:v>36085</c:v>
                </c:pt>
                <c:pt idx="1658">
                  <c:v>36092</c:v>
                </c:pt>
                <c:pt idx="1659">
                  <c:v>36099</c:v>
                </c:pt>
                <c:pt idx="1660">
                  <c:v>36106</c:v>
                </c:pt>
                <c:pt idx="1661">
                  <c:v>36113</c:v>
                </c:pt>
                <c:pt idx="1662">
                  <c:v>36120</c:v>
                </c:pt>
                <c:pt idx="1663">
                  <c:v>36127</c:v>
                </c:pt>
                <c:pt idx="1664">
                  <c:v>36134</c:v>
                </c:pt>
                <c:pt idx="1665">
                  <c:v>36141</c:v>
                </c:pt>
                <c:pt idx="1666">
                  <c:v>36148</c:v>
                </c:pt>
                <c:pt idx="1667">
                  <c:v>36155</c:v>
                </c:pt>
                <c:pt idx="1668">
                  <c:v>36162</c:v>
                </c:pt>
                <c:pt idx="1669">
                  <c:v>36169</c:v>
                </c:pt>
                <c:pt idx="1670">
                  <c:v>36176</c:v>
                </c:pt>
                <c:pt idx="1671">
                  <c:v>36183</c:v>
                </c:pt>
                <c:pt idx="1672">
                  <c:v>36190</c:v>
                </c:pt>
                <c:pt idx="1673">
                  <c:v>36197</c:v>
                </c:pt>
                <c:pt idx="1674">
                  <c:v>36204</c:v>
                </c:pt>
                <c:pt idx="1675">
                  <c:v>36211</c:v>
                </c:pt>
                <c:pt idx="1676">
                  <c:v>36218</c:v>
                </c:pt>
                <c:pt idx="1677">
                  <c:v>36225</c:v>
                </c:pt>
                <c:pt idx="1678">
                  <c:v>36232</c:v>
                </c:pt>
                <c:pt idx="1679">
                  <c:v>36239</c:v>
                </c:pt>
                <c:pt idx="1680">
                  <c:v>36246</c:v>
                </c:pt>
                <c:pt idx="1681">
                  <c:v>36253</c:v>
                </c:pt>
                <c:pt idx="1682">
                  <c:v>36260</c:v>
                </c:pt>
                <c:pt idx="1683">
                  <c:v>36267</c:v>
                </c:pt>
                <c:pt idx="1684">
                  <c:v>36274</c:v>
                </c:pt>
                <c:pt idx="1685">
                  <c:v>36281</c:v>
                </c:pt>
                <c:pt idx="1686">
                  <c:v>36288</c:v>
                </c:pt>
                <c:pt idx="1687">
                  <c:v>36295</c:v>
                </c:pt>
                <c:pt idx="1688">
                  <c:v>36302</c:v>
                </c:pt>
                <c:pt idx="1689">
                  <c:v>36309</c:v>
                </c:pt>
                <c:pt idx="1690">
                  <c:v>36316</c:v>
                </c:pt>
                <c:pt idx="1691">
                  <c:v>36323</c:v>
                </c:pt>
                <c:pt idx="1692">
                  <c:v>36330</c:v>
                </c:pt>
                <c:pt idx="1693">
                  <c:v>36337</c:v>
                </c:pt>
                <c:pt idx="1694">
                  <c:v>36344</c:v>
                </c:pt>
                <c:pt idx="1695">
                  <c:v>36351</c:v>
                </c:pt>
                <c:pt idx="1696">
                  <c:v>36358</c:v>
                </c:pt>
                <c:pt idx="1697">
                  <c:v>36365</c:v>
                </c:pt>
                <c:pt idx="1698">
                  <c:v>36372</c:v>
                </c:pt>
                <c:pt idx="1699">
                  <c:v>36379</c:v>
                </c:pt>
                <c:pt idx="1700">
                  <c:v>36386</c:v>
                </c:pt>
                <c:pt idx="1701">
                  <c:v>36393</c:v>
                </c:pt>
                <c:pt idx="1702">
                  <c:v>36400</c:v>
                </c:pt>
                <c:pt idx="1703">
                  <c:v>36407</c:v>
                </c:pt>
                <c:pt idx="1704">
                  <c:v>36414</c:v>
                </c:pt>
                <c:pt idx="1705">
                  <c:v>36421</c:v>
                </c:pt>
                <c:pt idx="1706">
                  <c:v>36428</c:v>
                </c:pt>
                <c:pt idx="1707">
                  <c:v>36435</c:v>
                </c:pt>
                <c:pt idx="1708">
                  <c:v>36442</c:v>
                </c:pt>
                <c:pt idx="1709">
                  <c:v>36449</c:v>
                </c:pt>
                <c:pt idx="1710">
                  <c:v>36456</c:v>
                </c:pt>
                <c:pt idx="1711">
                  <c:v>36463</c:v>
                </c:pt>
                <c:pt idx="1712">
                  <c:v>36470</c:v>
                </c:pt>
                <c:pt idx="1713">
                  <c:v>36477</c:v>
                </c:pt>
                <c:pt idx="1714">
                  <c:v>36484</c:v>
                </c:pt>
                <c:pt idx="1715">
                  <c:v>36491</c:v>
                </c:pt>
                <c:pt idx="1716">
                  <c:v>36498</c:v>
                </c:pt>
                <c:pt idx="1717">
                  <c:v>36505</c:v>
                </c:pt>
                <c:pt idx="1718">
                  <c:v>36512</c:v>
                </c:pt>
                <c:pt idx="1719">
                  <c:v>36519</c:v>
                </c:pt>
                <c:pt idx="1720">
                  <c:v>36526</c:v>
                </c:pt>
                <c:pt idx="1721">
                  <c:v>36533</c:v>
                </c:pt>
                <c:pt idx="1722">
                  <c:v>36540</c:v>
                </c:pt>
                <c:pt idx="1723">
                  <c:v>36547</c:v>
                </c:pt>
                <c:pt idx="1724">
                  <c:v>36554</c:v>
                </c:pt>
                <c:pt idx="1725">
                  <c:v>36561</c:v>
                </c:pt>
                <c:pt idx="1726">
                  <c:v>36568</c:v>
                </c:pt>
                <c:pt idx="1727">
                  <c:v>36575</c:v>
                </c:pt>
                <c:pt idx="1728">
                  <c:v>36582</c:v>
                </c:pt>
                <c:pt idx="1729">
                  <c:v>36589</c:v>
                </c:pt>
                <c:pt idx="1730">
                  <c:v>36596</c:v>
                </c:pt>
                <c:pt idx="1731">
                  <c:v>36603</c:v>
                </c:pt>
                <c:pt idx="1732">
                  <c:v>36610</c:v>
                </c:pt>
                <c:pt idx="1733">
                  <c:v>36617</c:v>
                </c:pt>
                <c:pt idx="1734">
                  <c:v>36624</c:v>
                </c:pt>
                <c:pt idx="1735">
                  <c:v>36631</c:v>
                </c:pt>
                <c:pt idx="1736">
                  <c:v>36638</c:v>
                </c:pt>
                <c:pt idx="1737">
                  <c:v>36645</c:v>
                </c:pt>
                <c:pt idx="1738">
                  <c:v>36652</c:v>
                </c:pt>
                <c:pt idx="1739">
                  <c:v>36659</c:v>
                </c:pt>
                <c:pt idx="1740">
                  <c:v>36666</c:v>
                </c:pt>
                <c:pt idx="1741">
                  <c:v>36673</c:v>
                </c:pt>
                <c:pt idx="1742">
                  <c:v>36680</c:v>
                </c:pt>
                <c:pt idx="1743">
                  <c:v>36687</c:v>
                </c:pt>
                <c:pt idx="1744">
                  <c:v>36694</c:v>
                </c:pt>
                <c:pt idx="1745">
                  <c:v>36701</c:v>
                </c:pt>
                <c:pt idx="1746">
                  <c:v>36708</c:v>
                </c:pt>
                <c:pt idx="1747">
                  <c:v>36715</c:v>
                </c:pt>
                <c:pt idx="1748">
                  <c:v>36722</c:v>
                </c:pt>
                <c:pt idx="1749">
                  <c:v>36729</c:v>
                </c:pt>
                <c:pt idx="1750">
                  <c:v>36736</c:v>
                </c:pt>
                <c:pt idx="1751">
                  <c:v>36743</c:v>
                </c:pt>
                <c:pt idx="1752">
                  <c:v>36750</c:v>
                </c:pt>
                <c:pt idx="1753">
                  <c:v>36757</c:v>
                </c:pt>
                <c:pt idx="1754">
                  <c:v>36764</c:v>
                </c:pt>
                <c:pt idx="1755">
                  <c:v>36771</c:v>
                </c:pt>
                <c:pt idx="1756">
                  <c:v>36778</c:v>
                </c:pt>
                <c:pt idx="1757">
                  <c:v>36785</c:v>
                </c:pt>
                <c:pt idx="1758">
                  <c:v>36792</c:v>
                </c:pt>
                <c:pt idx="1759">
                  <c:v>36799</c:v>
                </c:pt>
                <c:pt idx="1760">
                  <c:v>36806</c:v>
                </c:pt>
                <c:pt idx="1761">
                  <c:v>36813</c:v>
                </c:pt>
                <c:pt idx="1762">
                  <c:v>36820</c:v>
                </c:pt>
                <c:pt idx="1763">
                  <c:v>36827</c:v>
                </c:pt>
                <c:pt idx="1764">
                  <c:v>36834</c:v>
                </c:pt>
                <c:pt idx="1765">
                  <c:v>36841</c:v>
                </c:pt>
                <c:pt idx="1766">
                  <c:v>36848</c:v>
                </c:pt>
                <c:pt idx="1767">
                  <c:v>36855</c:v>
                </c:pt>
                <c:pt idx="1768">
                  <c:v>36862</c:v>
                </c:pt>
                <c:pt idx="1769">
                  <c:v>36869</c:v>
                </c:pt>
                <c:pt idx="1770">
                  <c:v>36876</c:v>
                </c:pt>
                <c:pt idx="1771">
                  <c:v>36883</c:v>
                </c:pt>
                <c:pt idx="1772">
                  <c:v>36890</c:v>
                </c:pt>
                <c:pt idx="1773">
                  <c:v>36897</c:v>
                </c:pt>
                <c:pt idx="1774">
                  <c:v>36904</c:v>
                </c:pt>
                <c:pt idx="1775">
                  <c:v>36911</c:v>
                </c:pt>
                <c:pt idx="1776">
                  <c:v>36918</c:v>
                </c:pt>
                <c:pt idx="1777">
                  <c:v>36925</c:v>
                </c:pt>
                <c:pt idx="1778">
                  <c:v>36932</c:v>
                </c:pt>
                <c:pt idx="1779">
                  <c:v>36939</c:v>
                </c:pt>
                <c:pt idx="1780">
                  <c:v>36946</c:v>
                </c:pt>
                <c:pt idx="1781">
                  <c:v>36953</c:v>
                </c:pt>
                <c:pt idx="1782">
                  <c:v>36960</c:v>
                </c:pt>
                <c:pt idx="1783">
                  <c:v>36967</c:v>
                </c:pt>
                <c:pt idx="1784">
                  <c:v>36974</c:v>
                </c:pt>
                <c:pt idx="1785">
                  <c:v>36981</c:v>
                </c:pt>
                <c:pt idx="1786">
                  <c:v>36988</c:v>
                </c:pt>
                <c:pt idx="1787">
                  <c:v>36995</c:v>
                </c:pt>
                <c:pt idx="1788">
                  <c:v>37002</c:v>
                </c:pt>
                <c:pt idx="1789">
                  <c:v>37009</c:v>
                </c:pt>
                <c:pt idx="1790">
                  <c:v>37016</c:v>
                </c:pt>
                <c:pt idx="1791">
                  <c:v>37023</c:v>
                </c:pt>
                <c:pt idx="1792">
                  <c:v>37030</c:v>
                </c:pt>
                <c:pt idx="1793">
                  <c:v>37037</c:v>
                </c:pt>
                <c:pt idx="1794">
                  <c:v>37044</c:v>
                </c:pt>
                <c:pt idx="1795">
                  <c:v>37051</c:v>
                </c:pt>
                <c:pt idx="1796">
                  <c:v>37058</c:v>
                </c:pt>
                <c:pt idx="1797">
                  <c:v>37065</c:v>
                </c:pt>
                <c:pt idx="1798">
                  <c:v>37072</c:v>
                </c:pt>
                <c:pt idx="1799">
                  <c:v>37079</c:v>
                </c:pt>
                <c:pt idx="1800">
                  <c:v>37086</c:v>
                </c:pt>
                <c:pt idx="1801">
                  <c:v>37093</c:v>
                </c:pt>
                <c:pt idx="1802">
                  <c:v>37100</c:v>
                </c:pt>
                <c:pt idx="1803">
                  <c:v>37107</c:v>
                </c:pt>
                <c:pt idx="1804">
                  <c:v>37114</c:v>
                </c:pt>
                <c:pt idx="1805">
                  <c:v>37121</c:v>
                </c:pt>
                <c:pt idx="1806">
                  <c:v>37128</c:v>
                </c:pt>
                <c:pt idx="1807">
                  <c:v>37135</c:v>
                </c:pt>
                <c:pt idx="1808">
                  <c:v>37142</c:v>
                </c:pt>
                <c:pt idx="1809">
                  <c:v>37149</c:v>
                </c:pt>
                <c:pt idx="1810">
                  <c:v>37156</c:v>
                </c:pt>
                <c:pt idx="1811">
                  <c:v>37163</c:v>
                </c:pt>
                <c:pt idx="1812">
                  <c:v>37170</c:v>
                </c:pt>
                <c:pt idx="1813">
                  <c:v>37177</c:v>
                </c:pt>
                <c:pt idx="1814">
                  <c:v>37184</c:v>
                </c:pt>
                <c:pt idx="1815">
                  <c:v>37191</c:v>
                </c:pt>
                <c:pt idx="1816">
                  <c:v>37198</c:v>
                </c:pt>
                <c:pt idx="1817">
                  <c:v>37205</c:v>
                </c:pt>
                <c:pt idx="1818">
                  <c:v>37212</c:v>
                </c:pt>
                <c:pt idx="1819">
                  <c:v>37219</c:v>
                </c:pt>
                <c:pt idx="1820">
                  <c:v>37226</c:v>
                </c:pt>
                <c:pt idx="1821">
                  <c:v>37233</c:v>
                </c:pt>
                <c:pt idx="1822">
                  <c:v>37240</c:v>
                </c:pt>
                <c:pt idx="1823">
                  <c:v>37247</c:v>
                </c:pt>
                <c:pt idx="1824">
                  <c:v>37254</c:v>
                </c:pt>
                <c:pt idx="1825">
                  <c:v>37261</c:v>
                </c:pt>
                <c:pt idx="1826">
                  <c:v>37268</c:v>
                </c:pt>
                <c:pt idx="1827">
                  <c:v>37275</c:v>
                </c:pt>
                <c:pt idx="1828">
                  <c:v>37282</c:v>
                </c:pt>
                <c:pt idx="1829">
                  <c:v>37289</c:v>
                </c:pt>
                <c:pt idx="1830">
                  <c:v>37296</c:v>
                </c:pt>
                <c:pt idx="1831">
                  <c:v>37303</c:v>
                </c:pt>
                <c:pt idx="1832">
                  <c:v>37310</c:v>
                </c:pt>
                <c:pt idx="1833">
                  <c:v>37317</c:v>
                </c:pt>
                <c:pt idx="1834">
                  <c:v>37324</c:v>
                </c:pt>
                <c:pt idx="1835">
                  <c:v>37331</c:v>
                </c:pt>
                <c:pt idx="1836">
                  <c:v>37338</c:v>
                </c:pt>
                <c:pt idx="1837">
                  <c:v>37345</c:v>
                </c:pt>
                <c:pt idx="1838">
                  <c:v>37352</c:v>
                </c:pt>
                <c:pt idx="1839">
                  <c:v>37359</c:v>
                </c:pt>
                <c:pt idx="1840">
                  <c:v>37366</c:v>
                </c:pt>
                <c:pt idx="1841">
                  <c:v>37373</c:v>
                </c:pt>
                <c:pt idx="1842">
                  <c:v>37380</c:v>
                </c:pt>
                <c:pt idx="1843">
                  <c:v>37387</c:v>
                </c:pt>
                <c:pt idx="1844">
                  <c:v>37394</c:v>
                </c:pt>
                <c:pt idx="1845">
                  <c:v>37401</c:v>
                </c:pt>
                <c:pt idx="1846">
                  <c:v>37408</c:v>
                </c:pt>
                <c:pt idx="1847">
                  <c:v>37415</c:v>
                </c:pt>
                <c:pt idx="1848">
                  <c:v>37422</c:v>
                </c:pt>
                <c:pt idx="1849">
                  <c:v>37429</c:v>
                </c:pt>
                <c:pt idx="1850">
                  <c:v>37436</c:v>
                </c:pt>
                <c:pt idx="1851">
                  <c:v>37443</c:v>
                </c:pt>
                <c:pt idx="1852">
                  <c:v>37450</c:v>
                </c:pt>
                <c:pt idx="1853">
                  <c:v>37457</c:v>
                </c:pt>
                <c:pt idx="1854">
                  <c:v>37464</c:v>
                </c:pt>
                <c:pt idx="1855">
                  <c:v>37471</c:v>
                </c:pt>
                <c:pt idx="1856">
                  <c:v>37478</c:v>
                </c:pt>
                <c:pt idx="1857">
                  <c:v>37485</c:v>
                </c:pt>
                <c:pt idx="1858">
                  <c:v>37492</c:v>
                </c:pt>
                <c:pt idx="1859">
                  <c:v>37499</c:v>
                </c:pt>
                <c:pt idx="1860">
                  <c:v>37506</c:v>
                </c:pt>
                <c:pt idx="1861">
                  <c:v>37513</c:v>
                </c:pt>
                <c:pt idx="1862">
                  <c:v>37520</c:v>
                </c:pt>
                <c:pt idx="1863">
                  <c:v>37527</c:v>
                </c:pt>
                <c:pt idx="1864">
                  <c:v>37534</c:v>
                </c:pt>
                <c:pt idx="1865">
                  <c:v>37541</c:v>
                </c:pt>
                <c:pt idx="1866">
                  <c:v>37548</c:v>
                </c:pt>
                <c:pt idx="1867">
                  <c:v>37555</c:v>
                </c:pt>
                <c:pt idx="1868">
                  <c:v>37562</c:v>
                </c:pt>
                <c:pt idx="1869">
                  <c:v>37569</c:v>
                </c:pt>
                <c:pt idx="1870">
                  <c:v>37576</c:v>
                </c:pt>
                <c:pt idx="1871">
                  <c:v>37583</c:v>
                </c:pt>
                <c:pt idx="1872">
                  <c:v>37590</c:v>
                </c:pt>
                <c:pt idx="1873">
                  <c:v>37597</c:v>
                </c:pt>
                <c:pt idx="1874">
                  <c:v>37604</c:v>
                </c:pt>
                <c:pt idx="1875">
                  <c:v>37611</c:v>
                </c:pt>
                <c:pt idx="1876">
                  <c:v>37618</c:v>
                </c:pt>
                <c:pt idx="1877">
                  <c:v>37625</c:v>
                </c:pt>
                <c:pt idx="1878">
                  <c:v>37632</c:v>
                </c:pt>
                <c:pt idx="1879">
                  <c:v>37639</c:v>
                </c:pt>
                <c:pt idx="1880">
                  <c:v>37646</c:v>
                </c:pt>
                <c:pt idx="1881">
                  <c:v>37653</c:v>
                </c:pt>
                <c:pt idx="1882">
                  <c:v>37660</c:v>
                </c:pt>
                <c:pt idx="1883">
                  <c:v>37667</c:v>
                </c:pt>
                <c:pt idx="1884">
                  <c:v>37674</c:v>
                </c:pt>
                <c:pt idx="1885">
                  <c:v>37681</c:v>
                </c:pt>
                <c:pt idx="1886">
                  <c:v>37688</c:v>
                </c:pt>
                <c:pt idx="1887">
                  <c:v>37695</c:v>
                </c:pt>
                <c:pt idx="1888">
                  <c:v>37702</c:v>
                </c:pt>
                <c:pt idx="1889">
                  <c:v>37709</c:v>
                </c:pt>
                <c:pt idx="1890">
                  <c:v>37716</c:v>
                </c:pt>
                <c:pt idx="1891">
                  <c:v>37723</c:v>
                </c:pt>
                <c:pt idx="1892">
                  <c:v>37730</c:v>
                </c:pt>
                <c:pt idx="1893">
                  <c:v>37737</c:v>
                </c:pt>
                <c:pt idx="1894">
                  <c:v>37744</c:v>
                </c:pt>
                <c:pt idx="1895">
                  <c:v>37751</c:v>
                </c:pt>
                <c:pt idx="1896">
                  <c:v>37758</c:v>
                </c:pt>
                <c:pt idx="1897">
                  <c:v>37765</c:v>
                </c:pt>
                <c:pt idx="1898">
                  <c:v>37772</c:v>
                </c:pt>
                <c:pt idx="1899">
                  <c:v>37779</c:v>
                </c:pt>
                <c:pt idx="1900">
                  <c:v>37786</c:v>
                </c:pt>
                <c:pt idx="1901">
                  <c:v>37793</c:v>
                </c:pt>
                <c:pt idx="1902">
                  <c:v>37800</c:v>
                </c:pt>
                <c:pt idx="1903">
                  <c:v>37807</c:v>
                </c:pt>
                <c:pt idx="1904">
                  <c:v>37814</c:v>
                </c:pt>
                <c:pt idx="1905">
                  <c:v>37821</c:v>
                </c:pt>
                <c:pt idx="1906">
                  <c:v>37828</c:v>
                </c:pt>
                <c:pt idx="1907">
                  <c:v>37835</c:v>
                </c:pt>
                <c:pt idx="1908">
                  <c:v>37842</c:v>
                </c:pt>
                <c:pt idx="1909">
                  <c:v>37849</c:v>
                </c:pt>
                <c:pt idx="1910">
                  <c:v>37856</c:v>
                </c:pt>
                <c:pt idx="1911">
                  <c:v>37863</c:v>
                </c:pt>
                <c:pt idx="1912">
                  <c:v>37870</c:v>
                </c:pt>
                <c:pt idx="1913">
                  <c:v>37877</c:v>
                </c:pt>
                <c:pt idx="1914">
                  <c:v>37884</c:v>
                </c:pt>
                <c:pt idx="1915">
                  <c:v>37891</c:v>
                </c:pt>
                <c:pt idx="1916">
                  <c:v>37898</c:v>
                </c:pt>
                <c:pt idx="1917">
                  <c:v>37905</c:v>
                </c:pt>
                <c:pt idx="1918">
                  <c:v>37912</c:v>
                </c:pt>
                <c:pt idx="1919">
                  <c:v>37919</c:v>
                </c:pt>
                <c:pt idx="1920">
                  <c:v>37926</c:v>
                </c:pt>
                <c:pt idx="1921">
                  <c:v>37933</c:v>
                </c:pt>
                <c:pt idx="1922">
                  <c:v>37940</c:v>
                </c:pt>
                <c:pt idx="1923">
                  <c:v>37947</c:v>
                </c:pt>
                <c:pt idx="1924">
                  <c:v>37954</c:v>
                </c:pt>
                <c:pt idx="1925">
                  <c:v>37961</c:v>
                </c:pt>
                <c:pt idx="1926">
                  <c:v>37968</c:v>
                </c:pt>
                <c:pt idx="1927">
                  <c:v>37975</c:v>
                </c:pt>
                <c:pt idx="1928">
                  <c:v>37982</c:v>
                </c:pt>
                <c:pt idx="1929">
                  <c:v>37989</c:v>
                </c:pt>
                <c:pt idx="1930">
                  <c:v>37996</c:v>
                </c:pt>
                <c:pt idx="1931">
                  <c:v>38003</c:v>
                </c:pt>
                <c:pt idx="1932">
                  <c:v>38010</c:v>
                </c:pt>
                <c:pt idx="1933">
                  <c:v>38017</c:v>
                </c:pt>
                <c:pt idx="1934">
                  <c:v>38024</c:v>
                </c:pt>
                <c:pt idx="1935">
                  <c:v>38031</c:v>
                </c:pt>
                <c:pt idx="1936">
                  <c:v>38038</c:v>
                </c:pt>
                <c:pt idx="1937">
                  <c:v>38045</c:v>
                </c:pt>
                <c:pt idx="1938">
                  <c:v>38052</c:v>
                </c:pt>
                <c:pt idx="1939">
                  <c:v>38059</c:v>
                </c:pt>
                <c:pt idx="1940">
                  <c:v>38066</c:v>
                </c:pt>
                <c:pt idx="1941">
                  <c:v>38073</c:v>
                </c:pt>
                <c:pt idx="1942">
                  <c:v>38080</c:v>
                </c:pt>
                <c:pt idx="1943">
                  <c:v>38087</c:v>
                </c:pt>
                <c:pt idx="1944">
                  <c:v>38094</c:v>
                </c:pt>
                <c:pt idx="1945">
                  <c:v>38101</c:v>
                </c:pt>
                <c:pt idx="1946">
                  <c:v>38108</c:v>
                </c:pt>
                <c:pt idx="1947">
                  <c:v>38115</c:v>
                </c:pt>
                <c:pt idx="1948">
                  <c:v>38122</c:v>
                </c:pt>
                <c:pt idx="1949">
                  <c:v>38129</c:v>
                </c:pt>
                <c:pt idx="1950">
                  <c:v>38136</c:v>
                </c:pt>
                <c:pt idx="1951">
                  <c:v>38143</c:v>
                </c:pt>
                <c:pt idx="1952">
                  <c:v>38150</c:v>
                </c:pt>
                <c:pt idx="1953">
                  <c:v>38157</c:v>
                </c:pt>
                <c:pt idx="1954">
                  <c:v>38164</c:v>
                </c:pt>
                <c:pt idx="1955">
                  <c:v>38171</c:v>
                </c:pt>
                <c:pt idx="1956">
                  <c:v>38178</c:v>
                </c:pt>
                <c:pt idx="1957">
                  <c:v>38185</c:v>
                </c:pt>
                <c:pt idx="1958">
                  <c:v>38192</c:v>
                </c:pt>
                <c:pt idx="1959">
                  <c:v>38199</c:v>
                </c:pt>
                <c:pt idx="1960">
                  <c:v>38206</c:v>
                </c:pt>
                <c:pt idx="1961">
                  <c:v>38213</c:v>
                </c:pt>
                <c:pt idx="1962">
                  <c:v>38220</c:v>
                </c:pt>
                <c:pt idx="1963">
                  <c:v>38227</c:v>
                </c:pt>
                <c:pt idx="1964">
                  <c:v>38234</c:v>
                </c:pt>
                <c:pt idx="1965">
                  <c:v>38241</c:v>
                </c:pt>
                <c:pt idx="1966">
                  <c:v>38248</c:v>
                </c:pt>
                <c:pt idx="1967">
                  <c:v>38255</c:v>
                </c:pt>
                <c:pt idx="1968">
                  <c:v>38262</c:v>
                </c:pt>
                <c:pt idx="1969">
                  <c:v>38269</c:v>
                </c:pt>
                <c:pt idx="1970">
                  <c:v>38276</c:v>
                </c:pt>
                <c:pt idx="1971">
                  <c:v>38283</c:v>
                </c:pt>
                <c:pt idx="1972">
                  <c:v>38290</c:v>
                </c:pt>
                <c:pt idx="1973">
                  <c:v>38297</c:v>
                </c:pt>
                <c:pt idx="1974">
                  <c:v>38304</c:v>
                </c:pt>
                <c:pt idx="1975">
                  <c:v>38311</c:v>
                </c:pt>
                <c:pt idx="1976">
                  <c:v>38318</c:v>
                </c:pt>
                <c:pt idx="1977">
                  <c:v>38325</c:v>
                </c:pt>
                <c:pt idx="1978">
                  <c:v>38332</c:v>
                </c:pt>
                <c:pt idx="1979">
                  <c:v>38339</c:v>
                </c:pt>
                <c:pt idx="1980">
                  <c:v>38346</c:v>
                </c:pt>
                <c:pt idx="1981">
                  <c:v>38353</c:v>
                </c:pt>
                <c:pt idx="1982">
                  <c:v>38360</c:v>
                </c:pt>
                <c:pt idx="1983">
                  <c:v>38367</c:v>
                </c:pt>
                <c:pt idx="1984">
                  <c:v>38374</c:v>
                </c:pt>
                <c:pt idx="1985">
                  <c:v>38381</c:v>
                </c:pt>
                <c:pt idx="1986">
                  <c:v>38388</c:v>
                </c:pt>
                <c:pt idx="1987">
                  <c:v>38395</c:v>
                </c:pt>
                <c:pt idx="1988">
                  <c:v>38402</c:v>
                </c:pt>
                <c:pt idx="1989">
                  <c:v>38409</c:v>
                </c:pt>
                <c:pt idx="1990">
                  <c:v>38416</c:v>
                </c:pt>
                <c:pt idx="1991">
                  <c:v>38423</c:v>
                </c:pt>
                <c:pt idx="1992">
                  <c:v>38430</c:v>
                </c:pt>
                <c:pt idx="1993">
                  <c:v>38437</c:v>
                </c:pt>
                <c:pt idx="1994">
                  <c:v>38444</c:v>
                </c:pt>
                <c:pt idx="1995">
                  <c:v>38451</c:v>
                </c:pt>
                <c:pt idx="1996">
                  <c:v>38458</c:v>
                </c:pt>
                <c:pt idx="1997">
                  <c:v>38465</c:v>
                </c:pt>
                <c:pt idx="1998">
                  <c:v>38472</c:v>
                </c:pt>
                <c:pt idx="1999">
                  <c:v>38479</c:v>
                </c:pt>
                <c:pt idx="2000">
                  <c:v>38486</c:v>
                </c:pt>
                <c:pt idx="2001">
                  <c:v>38493</c:v>
                </c:pt>
                <c:pt idx="2002">
                  <c:v>38500</c:v>
                </c:pt>
                <c:pt idx="2003">
                  <c:v>38507</c:v>
                </c:pt>
                <c:pt idx="2004">
                  <c:v>38514</c:v>
                </c:pt>
                <c:pt idx="2005">
                  <c:v>38521</c:v>
                </c:pt>
                <c:pt idx="2006">
                  <c:v>38528</c:v>
                </c:pt>
                <c:pt idx="2007">
                  <c:v>38535</c:v>
                </c:pt>
                <c:pt idx="2008">
                  <c:v>38542</c:v>
                </c:pt>
                <c:pt idx="2009">
                  <c:v>38549</c:v>
                </c:pt>
                <c:pt idx="2010">
                  <c:v>38556</c:v>
                </c:pt>
                <c:pt idx="2011">
                  <c:v>38563</c:v>
                </c:pt>
                <c:pt idx="2012">
                  <c:v>38570</c:v>
                </c:pt>
                <c:pt idx="2013">
                  <c:v>38577</c:v>
                </c:pt>
                <c:pt idx="2014">
                  <c:v>38584</c:v>
                </c:pt>
                <c:pt idx="2015">
                  <c:v>38591</c:v>
                </c:pt>
                <c:pt idx="2016">
                  <c:v>38598</c:v>
                </c:pt>
                <c:pt idx="2017">
                  <c:v>38605</c:v>
                </c:pt>
                <c:pt idx="2018">
                  <c:v>38612</c:v>
                </c:pt>
                <c:pt idx="2019">
                  <c:v>38619</c:v>
                </c:pt>
                <c:pt idx="2020">
                  <c:v>38626</c:v>
                </c:pt>
                <c:pt idx="2021">
                  <c:v>38633</c:v>
                </c:pt>
                <c:pt idx="2022">
                  <c:v>38640</c:v>
                </c:pt>
                <c:pt idx="2023">
                  <c:v>38647</c:v>
                </c:pt>
                <c:pt idx="2024">
                  <c:v>38654</c:v>
                </c:pt>
                <c:pt idx="2025">
                  <c:v>38661</c:v>
                </c:pt>
                <c:pt idx="2026">
                  <c:v>38668</c:v>
                </c:pt>
                <c:pt idx="2027">
                  <c:v>38675</c:v>
                </c:pt>
                <c:pt idx="2028">
                  <c:v>38682</c:v>
                </c:pt>
                <c:pt idx="2029">
                  <c:v>38689</c:v>
                </c:pt>
                <c:pt idx="2030">
                  <c:v>38696</c:v>
                </c:pt>
                <c:pt idx="2031">
                  <c:v>38703</c:v>
                </c:pt>
                <c:pt idx="2032">
                  <c:v>38710</c:v>
                </c:pt>
                <c:pt idx="2033">
                  <c:v>38717</c:v>
                </c:pt>
                <c:pt idx="2034">
                  <c:v>38724</c:v>
                </c:pt>
                <c:pt idx="2035">
                  <c:v>38731</c:v>
                </c:pt>
                <c:pt idx="2036">
                  <c:v>38738</c:v>
                </c:pt>
                <c:pt idx="2037">
                  <c:v>38745</c:v>
                </c:pt>
                <c:pt idx="2038">
                  <c:v>38752</c:v>
                </c:pt>
                <c:pt idx="2039">
                  <c:v>38759</c:v>
                </c:pt>
                <c:pt idx="2040">
                  <c:v>38766</c:v>
                </c:pt>
                <c:pt idx="2041">
                  <c:v>38773</c:v>
                </c:pt>
                <c:pt idx="2042">
                  <c:v>38780</c:v>
                </c:pt>
                <c:pt idx="2043">
                  <c:v>38787</c:v>
                </c:pt>
                <c:pt idx="2044">
                  <c:v>38794</c:v>
                </c:pt>
                <c:pt idx="2045">
                  <c:v>38801</c:v>
                </c:pt>
                <c:pt idx="2046">
                  <c:v>38808</c:v>
                </c:pt>
                <c:pt idx="2047">
                  <c:v>38815</c:v>
                </c:pt>
                <c:pt idx="2048">
                  <c:v>38822</c:v>
                </c:pt>
                <c:pt idx="2049">
                  <c:v>38829</c:v>
                </c:pt>
                <c:pt idx="2050">
                  <c:v>38836</c:v>
                </c:pt>
                <c:pt idx="2051">
                  <c:v>38843</c:v>
                </c:pt>
                <c:pt idx="2052">
                  <c:v>38850</c:v>
                </c:pt>
                <c:pt idx="2053">
                  <c:v>38857</c:v>
                </c:pt>
                <c:pt idx="2054">
                  <c:v>38864</c:v>
                </c:pt>
                <c:pt idx="2055">
                  <c:v>38871</c:v>
                </c:pt>
                <c:pt idx="2056">
                  <c:v>38878</c:v>
                </c:pt>
                <c:pt idx="2057">
                  <c:v>38885</c:v>
                </c:pt>
                <c:pt idx="2058">
                  <c:v>38892</c:v>
                </c:pt>
                <c:pt idx="2059">
                  <c:v>38899</c:v>
                </c:pt>
                <c:pt idx="2060">
                  <c:v>38906</c:v>
                </c:pt>
                <c:pt idx="2061">
                  <c:v>38913</c:v>
                </c:pt>
                <c:pt idx="2062">
                  <c:v>38920</c:v>
                </c:pt>
                <c:pt idx="2063">
                  <c:v>38927</c:v>
                </c:pt>
                <c:pt idx="2064">
                  <c:v>38934</c:v>
                </c:pt>
                <c:pt idx="2065">
                  <c:v>38941</c:v>
                </c:pt>
                <c:pt idx="2066">
                  <c:v>38948</c:v>
                </c:pt>
                <c:pt idx="2067">
                  <c:v>38955</c:v>
                </c:pt>
                <c:pt idx="2068">
                  <c:v>38962</c:v>
                </c:pt>
                <c:pt idx="2069">
                  <c:v>38969</c:v>
                </c:pt>
                <c:pt idx="2070">
                  <c:v>38976</c:v>
                </c:pt>
                <c:pt idx="2071">
                  <c:v>38983</c:v>
                </c:pt>
                <c:pt idx="2072">
                  <c:v>38990</c:v>
                </c:pt>
                <c:pt idx="2073">
                  <c:v>38997</c:v>
                </c:pt>
                <c:pt idx="2074">
                  <c:v>39004</c:v>
                </c:pt>
                <c:pt idx="2075">
                  <c:v>39011</c:v>
                </c:pt>
                <c:pt idx="2076">
                  <c:v>39018</c:v>
                </c:pt>
                <c:pt idx="2077">
                  <c:v>39025</c:v>
                </c:pt>
                <c:pt idx="2078">
                  <c:v>39032</c:v>
                </c:pt>
                <c:pt idx="2079">
                  <c:v>39039</c:v>
                </c:pt>
                <c:pt idx="2080">
                  <c:v>39046</c:v>
                </c:pt>
                <c:pt idx="2081">
                  <c:v>39053</c:v>
                </c:pt>
                <c:pt idx="2082">
                  <c:v>39060</c:v>
                </c:pt>
                <c:pt idx="2083">
                  <c:v>39067</c:v>
                </c:pt>
                <c:pt idx="2084">
                  <c:v>39074</c:v>
                </c:pt>
                <c:pt idx="2085">
                  <c:v>39081</c:v>
                </c:pt>
                <c:pt idx="2086">
                  <c:v>39088</c:v>
                </c:pt>
                <c:pt idx="2087">
                  <c:v>39095</c:v>
                </c:pt>
                <c:pt idx="2088">
                  <c:v>39102</c:v>
                </c:pt>
                <c:pt idx="2089">
                  <c:v>39109</c:v>
                </c:pt>
                <c:pt idx="2090">
                  <c:v>39116</c:v>
                </c:pt>
                <c:pt idx="2091">
                  <c:v>39123</c:v>
                </c:pt>
                <c:pt idx="2092">
                  <c:v>39130</c:v>
                </c:pt>
                <c:pt idx="2093">
                  <c:v>39137</c:v>
                </c:pt>
                <c:pt idx="2094">
                  <c:v>39144</c:v>
                </c:pt>
                <c:pt idx="2095">
                  <c:v>39151</c:v>
                </c:pt>
                <c:pt idx="2096">
                  <c:v>39158</c:v>
                </c:pt>
                <c:pt idx="2097">
                  <c:v>39165</c:v>
                </c:pt>
                <c:pt idx="2098">
                  <c:v>39172</c:v>
                </c:pt>
                <c:pt idx="2099">
                  <c:v>39179</c:v>
                </c:pt>
                <c:pt idx="2100">
                  <c:v>39186</c:v>
                </c:pt>
                <c:pt idx="2101">
                  <c:v>39193</c:v>
                </c:pt>
                <c:pt idx="2102">
                  <c:v>39200</c:v>
                </c:pt>
                <c:pt idx="2103">
                  <c:v>39207</c:v>
                </c:pt>
                <c:pt idx="2104">
                  <c:v>39214</c:v>
                </c:pt>
                <c:pt idx="2105">
                  <c:v>39221</c:v>
                </c:pt>
                <c:pt idx="2106">
                  <c:v>39228</c:v>
                </c:pt>
                <c:pt idx="2107">
                  <c:v>39235</c:v>
                </c:pt>
                <c:pt idx="2108">
                  <c:v>39242</c:v>
                </c:pt>
                <c:pt idx="2109">
                  <c:v>39249</c:v>
                </c:pt>
                <c:pt idx="2110">
                  <c:v>39256</c:v>
                </c:pt>
                <c:pt idx="2111">
                  <c:v>39263</c:v>
                </c:pt>
                <c:pt idx="2112">
                  <c:v>39270</c:v>
                </c:pt>
                <c:pt idx="2113">
                  <c:v>39277</c:v>
                </c:pt>
                <c:pt idx="2114">
                  <c:v>39284</c:v>
                </c:pt>
                <c:pt idx="2115">
                  <c:v>39291</c:v>
                </c:pt>
                <c:pt idx="2116">
                  <c:v>39298</c:v>
                </c:pt>
                <c:pt idx="2117">
                  <c:v>39305</c:v>
                </c:pt>
                <c:pt idx="2118">
                  <c:v>39312</c:v>
                </c:pt>
                <c:pt idx="2119">
                  <c:v>39319</c:v>
                </c:pt>
                <c:pt idx="2120">
                  <c:v>39326</c:v>
                </c:pt>
                <c:pt idx="2121">
                  <c:v>39333</c:v>
                </c:pt>
                <c:pt idx="2122">
                  <c:v>39340</c:v>
                </c:pt>
                <c:pt idx="2123">
                  <c:v>39347</c:v>
                </c:pt>
                <c:pt idx="2124">
                  <c:v>39354</c:v>
                </c:pt>
                <c:pt idx="2125">
                  <c:v>39361</c:v>
                </c:pt>
                <c:pt idx="2126">
                  <c:v>39368</c:v>
                </c:pt>
                <c:pt idx="2127">
                  <c:v>39375</c:v>
                </c:pt>
                <c:pt idx="2128">
                  <c:v>39382</c:v>
                </c:pt>
                <c:pt idx="2129">
                  <c:v>39389</c:v>
                </c:pt>
                <c:pt idx="2130">
                  <c:v>39396</c:v>
                </c:pt>
                <c:pt idx="2131">
                  <c:v>39403</c:v>
                </c:pt>
                <c:pt idx="2132">
                  <c:v>39410</c:v>
                </c:pt>
                <c:pt idx="2133">
                  <c:v>39417</c:v>
                </c:pt>
                <c:pt idx="2134">
                  <c:v>39424</c:v>
                </c:pt>
                <c:pt idx="2135">
                  <c:v>39431</c:v>
                </c:pt>
                <c:pt idx="2136">
                  <c:v>39438</c:v>
                </c:pt>
                <c:pt idx="2137">
                  <c:v>39445</c:v>
                </c:pt>
                <c:pt idx="2138">
                  <c:v>39452</c:v>
                </c:pt>
                <c:pt idx="2139">
                  <c:v>39459</c:v>
                </c:pt>
                <c:pt idx="2140">
                  <c:v>39466</c:v>
                </c:pt>
                <c:pt idx="2141">
                  <c:v>39473</c:v>
                </c:pt>
                <c:pt idx="2142">
                  <c:v>39480</c:v>
                </c:pt>
                <c:pt idx="2143">
                  <c:v>39487</c:v>
                </c:pt>
                <c:pt idx="2144">
                  <c:v>39494</c:v>
                </c:pt>
                <c:pt idx="2145">
                  <c:v>39501</c:v>
                </c:pt>
                <c:pt idx="2146">
                  <c:v>39508</c:v>
                </c:pt>
                <c:pt idx="2147">
                  <c:v>39515</c:v>
                </c:pt>
                <c:pt idx="2148">
                  <c:v>39522</c:v>
                </c:pt>
                <c:pt idx="2149">
                  <c:v>39529</c:v>
                </c:pt>
                <c:pt idx="2150">
                  <c:v>39536</c:v>
                </c:pt>
                <c:pt idx="2151">
                  <c:v>39543</c:v>
                </c:pt>
                <c:pt idx="2152">
                  <c:v>39550</c:v>
                </c:pt>
                <c:pt idx="2153">
                  <c:v>39557</c:v>
                </c:pt>
                <c:pt idx="2154">
                  <c:v>39564</c:v>
                </c:pt>
                <c:pt idx="2155">
                  <c:v>39571</c:v>
                </c:pt>
                <c:pt idx="2156">
                  <c:v>39578</c:v>
                </c:pt>
                <c:pt idx="2157">
                  <c:v>39585</c:v>
                </c:pt>
                <c:pt idx="2158">
                  <c:v>39592</c:v>
                </c:pt>
                <c:pt idx="2159">
                  <c:v>39599</c:v>
                </c:pt>
                <c:pt idx="2160">
                  <c:v>39606</c:v>
                </c:pt>
                <c:pt idx="2161">
                  <c:v>39613</c:v>
                </c:pt>
                <c:pt idx="2162">
                  <c:v>39620</c:v>
                </c:pt>
                <c:pt idx="2163">
                  <c:v>39627</c:v>
                </c:pt>
                <c:pt idx="2164">
                  <c:v>39634</c:v>
                </c:pt>
                <c:pt idx="2165">
                  <c:v>39641</c:v>
                </c:pt>
                <c:pt idx="2166">
                  <c:v>39648</c:v>
                </c:pt>
                <c:pt idx="2167">
                  <c:v>39655</c:v>
                </c:pt>
                <c:pt idx="2168">
                  <c:v>39662</c:v>
                </c:pt>
                <c:pt idx="2169">
                  <c:v>39669</c:v>
                </c:pt>
                <c:pt idx="2170">
                  <c:v>39676</c:v>
                </c:pt>
                <c:pt idx="2171">
                  <c:v>39683</c:v>
                </c:pt>
                <c:pt idx="2172">
                  <c:v>39690</c:v>
                </c:pt>
                <c:pt idx="2173">
                  <c:v>39697</c:v>
                </c:pt>
                <c:pt idx="2174">
                  <c:v>39704</c:v>
                </c:pt>
                <c:pt idx="2175">
                  <c:v>39711</c:v>
                </c:pt>
                <c:pt idx="2176">
                  <c:v>39718</c:v>
                </c:pt>
                <c:pt idx="2177">
                  <c:v>39725</c:v>
                </c:pt>
                <c:pt idx="2178">
                  <c:v>39732</c:v>
                </c:pt>
                <c:pt idx="2179">
                  <c:v>39739</c:v>
                </c:pt>
                <c:pt idx="2180">
                  <c:v>39746</c:v>
                </c:pt>
                <c:pt idx="2181">
                  <c:v>39753</c:v>
                </c:pt>
                <c:pt idx="2182">
                  <c:v>39760</c:v>
                </c:pt>
                <c:pt idx="2183">
                  <c:v>39767</c:v>
                </c:pt>
                <c:pt idx="2184">
                  <c:v>39774</c:v>
                </c:pt>
                <c:pt idx="2185">
                  <c:v>39781</c:v>
                </c:pt>
                <c:pt idx="2186">
                  <c:v>39788</c:v>
                </c:pt>
                <c:pt idx="2187">
                  <c:v>39795</c:v>
                </c:pt>
                <c:pt idx="2188">
                  <c:v>39802</c:v>
                </c:pt>
                <c:pt idx="2189">
                  <c:v>39809</c:v>
                </c:pt>
                <c:pt idx="2190">
                  <c:v>39816</c:v>
                </c:pt>
                <c:pt idx="2191">
                  <c:v>39823</c:v>
                </c:pt>
                <c:pt idx="2192">
                  <c:v>39830</c:v>
                </c:pt>
                <c:pt idx="2193">
                  <c:v>39837</c:v>
                </c:pt>
                <c:pt idx="2194">
                  <c:v>39844</c:v>
                </c:pt>
                <c:pt idx="2195">
                  <c:v>39851</c:v>
                </c:pt>
                <c:pt idx="2196">
                  <c:v>39858</c:v>
                </c:pt>
                <c:pt idx="2197">
                  <c:v>39865</c:v>
                </c:pt>
                <c:pt idx="2198">
                  <c:v>39872</c:v>
                </c:pt>
                <c:pt idx="2199">
                  <c:v>39879</c:v>
                </c:pt>
                <c:pt idx="2200">
                  <c:v>39886</c:v>
                </c:pt>
                <c:pt idx="2201">
                  <c:v>39893</c:v>
                </c:pt>
                <c:pt idx="2202">
                  <c:v>39900</c:v>
                </c:pt>
                <c:pt idx="2203">
                  <c:v>39907</c:v>
                </c:pt>
                <c:pt idx="2204">
                  <c:v>39914</c:v>
                </c:pt>
                <c:pt idx="2205">
                  <c:v>39921</c:v>
                </c:pt>
                <c:pt idx="2206">
                  <c:v>39928</c:v>
                </c:pt>
                <c:pt idx="2207">
                  <c:v>39935</c:v>
                </c:pt>
                <c:pt idx="2208">
                  <c:v>39942</c:v>
                </c:pt>
                <c:pt idx="2209">
                  <c:v>39949</c:v>
                </c:pt>
                <c:pt idx="2210">
                  <c:v>39956</c:v>
                </c:pt>
                <c:pt idx="2211">
                  <c:v>39963</c:v>
                </c:pt>
                <c:pt idx="2212">
                  <c:v>39970</c:v>
                </c:pt>
                <c:pt idx="2213">
                  <c:v>39977</c:v>
                </c:pt>
                <c:pt idx="2214">
                  <c:v>39984</c:v>
                </c:pt>
                <c:pt idx="2215">
                  <c:v>39991</c:v>
                </c:pt>
                <c:pt idx="2216">
                  <c:v>39998</c:v>
                </c:pt>
                <c:pt idx="2217">
                  <c:v>40005</c:v>
                </c:pt>
                <c:pt idx="2218">
                  <c:v>40012</c:v>
                </c:pt>
                <c:pt idx="2219">
                  <c:v>40019</c:v>
                </c:pt>
                <c:pt idx="2220">
                  <c:v>40026</c:v>
                </c:pt>
                <c:pt idx="2221">
                  <c:v>40033</c:v>
                </c:pt>
                <c:pt idx="2222">
                  <c:v>40040</c:v>
                </c:pt>
                <c:pt idx="2223">
                  <c:v>40047</c:v>
                </c:pt>
                <c:pt idx="2224">
                  <c:v>40054</c:v>
                </c:pt>
                <c:pt idx="2225">
                  <c:v>40061</c:v>
                </c:pt>
                <c:pt idx="2226">
                  <c:v>40068</c:v>
                </c:pt>
                <c:pt idx="2227">
                  <c:v>40075</c:v>
                </c:pt>
                <c:pt idx="2228">
                  <c:v>40082</c:v>
                </c:pt>
                <c:pt idx="2229">
                  <c:v>40089</c:v>
                </c:pt>
                <c:pt idx="2230">
                  <c:v>40096</c:v>
                </c:pt>
                <c:pt idx="2231">
                  <c:v>40103</c:v>
                </c:pt>
                <c:pt idx="2232">
                  <c:v>40110</c:v>
                </c:pt>
                <c:pt idx="2233">
                  <c:v>40117</c:v>
                </c:pt>
                <c:pt idx="2234">
                  <c:v>40124</c:v>
                </c:pt>
                <c:pt idx="2235">
                  <c:v>40131</c:v>
                </c:pt>
                <c:pt idx="2236">
                  <c:v>40138</c:v>
                </c:pt>
                <c:pt idx="2237">
                  <c:v>40145</c:v>
                </c:pt>
                <c:pt idx="2238">
                  <c:v>40152</c:v>
                </c:pt>
                <c:pt idx="2239">
                  <c:v>40159</c:v>
                </c:pt>
                <c:pt idx="2240">
                  <c:v>40166</c:v>
                </c:pt>
                <c:pt idx="2241">
                  <c:v>40173</c:v>
                </c:pt>
                <c:pt idx="2242">
                  <c:v>40180</c:v>
                </c:pt>
                <c:pt idx="2243">
                  <c:v>40187</c:v>
                </c:pt>
                <c:pt idx="2244">
                  <c:v>40194</c:v>
                </c:pt>
                <c:pt idx="2245">
                  <c:v>40201</c:v>
                </c:pt>
                <c:pt idx="2246">
                  <c:v>40208</c:v>
                </c:pt>
                <c:pt idx="2247">
                  <c:v>40215</c:v>
                </c:pt>
                <c:pt idx="2248">
                  <c:v>40222</c:v>
                </c:pt>
                <c:pt idx="2249">
                  <c:v>40229</c:v>
                </c:pt>
                <c:pt idx="2250">
                  <c:v>40236</c:v>
                </c:pt>
                <c:pt idx="2251">
                  <c:v>40243</c:v>
                </c:pt>
                <c:pt idx="2252">
                  <c:v>40250</c:v>
                </c:pt>
                <c:pt idx="2253">
                  <c:v>40257</c:v>
                </c:pt>
                <c:pt idx="2254">
                  <c:v>40264</c:v>
                </c:pt>
                <c:pt idx="2255">
                  <c:v>40271</c:v>
                </c:pt>
                <c:pt idx="2256">
                  <c:v>40278</c:v>
                </c:pt>
                <c:pt idx="2257">
                  <c:v>40285</c:v>
                </c:pt>
                <c:pt idx="2258">
                  <c:v>40292</c:v>
                </c:pt>
                <c:pt idx="2259">
                  <c:v>40299</c:v>
                </c:pt>
                <c:pt idx="2260">
                  <c:v>40306</c:v>
                </c:pt>
                <c:pt idx="2261">
                  <c:v>40313</c:v>
                </c:pt>
                <c:pt idx="2262">
                  <c:v>40320</c:v>
                </c:pt>
                <c:pt idx="2263">
                  <c:v>40327</c:v>
                </c:pt>
                <c:pt idx="2264">
                  <c:v>40334</c:v>
                </c:pt>
                <c:pt idx="2265">
                  <c:v>40341</c:v>
                </c:pt>
                <c:pt idx="2266">
                  <c:v>40348</c:v>
                </c:pt>
                <c:pt idx="2267">
                  <c:v>40355</c:v>
                </c:pt>
                <c:pt idx="2268">
                  <c:v>40362</c:v>
                </c:pt>
                <c:pt idx="2269">
                  <c:v>40369</c:v>
                </c:pt>
                <c:pt idx="2270">
                  <c:v>40376</c:v>
                </c:pt>
                <c:pt idx="2271">
                  <c:v>40383</c:v>
                </c:pt>
                <c:pt idx="2272">
                  <c:v>40390</c:v>
                </c:pt>
                <c:pt idx="2273">
                  <c:v>40397</c:v>
                </c:pt>
                <c:pt idx="2274">
                  <c:v>40404</c:v>
                </c:pt>
                <c:pt idx="2275">
                  <c:v>40411</c:v>
                </c:pt>
                <c:pt idx="2276">
                  <c:v>40418</c:v>
                </c:pt>
                <c:pt idx="2277">
                  <c:v>40425</c:v>
                </c:pt>
                <c:pt idx="2278">
                  <c:v>40432</c:v>
                </c:pt>
                <c:pt idx="2279">
                  <c:v>40439</c:v>
                </c:pt>
                <c:pt idx="2280">
                  <c:v>40446</c:v>
                </c:pt>
                <c:pt idx="2281">
                  <c:v>40453</c:v>
                </c:pt>
                <c:pt idx="2282">
                  <c:v>40460</c:v>
                </c:pt>
                <c:pt idx="2283">
                  <c:v>40467</c:v>
                </c:pt>
                <c:pt idx="2284">
                  <c:v>40474</c:v>
                </c:pt>
                <c:pt idx="2285">
                  <c:v>40481</c:v>
                </c:pt>
                <c:pt idx="2286">
                  <c:v>40488</c:v>
                </c:pt>
                <c:pt idx="2287">
                  <c:v>40495</c:v>
                </c:pt>
                <c:pt idx="2288">
                  <c:v>40502</c:v>
                </c:pt>
                <c:pt idx="2289">
                  <c:v>40509</c:v>
                </c:pt>
                <c:pt idx="2290">
                  <c:v>40516</c:v>
                </c:pt>
                <c:pt idx="2291">
                  <c:v>40523</c:v>
                </c:pt>
                <c:pt idx="2292">
                  <c:v>40530</c:v>
                </c:pt>
                <c:pt idx="2293">
                  <c:v>40537</c:v>
                </c:pt>
                <c:pt idx="2294">
                  <c:v>40544</c:v>
                </c:pt>
                <c:pt idx="2295">
                  <c:v>40551</c:v>
                </c:pt>
                <c:pt idx="2296">
                  <c:v>40558</c:v>
                </c:pt>
                <c:pt idx="2297">
                  <c:v>40565</c:v>
                </c:pt>
                <c:pt idx="2298">
                  <c:v>40572</c:v>
                </c:pt>
                <c:pt idx="2299">
                  <c:v>40579</c:v>
                </c:pt>
                <c:pt idx="2300">
                  <c:v>40586</c:v>
                </c:pt>
                <c:pt idx="2301">
                  <c:v>40593</c:v>
                </c:pt>
                <c:pt idx="2302">
                  <c:v>40600</c:v>
                </c:pt>
                <c:pt idx="2303">
                  <c:v>40607</c:v>
                </c:pt>
                <c:pt idx="2304">
                  <c:v>40614</c:v>
                </c:pt>
                <c:pt idx="2305">
                  <c:v>40621</c:v>
                </c:pt>
                <c:pt idx="2306">
                  <c:v>40628</c:v>
                </c:pt>
                <c:pt idx="2307">
                  <c:v>40635</c:v>
                </c:pt>
                <c:pt idx="2308">
                  <c:v>40642</c:v>
                </c:pt>
                <c:pt idx="2309">
                  <c:v>40649</c:v>
                </c:pt>
                <c:pt idx="2310">
                  <c:v>40656</c:v>
                </c:pt>
                <c:pt idx="2311">
                  <c:v>40663</c:v>
                </c:pt>
                <c:pt idx="2312">
                  <c:v>40670</c:v>
                </c:pt>
                <c:pt idx="2313">
                  <c:v>40677</c:v>
                </c:pt>
                <c:pt idx="2314">
                  <c:v>40684</c:v>
                </c:pt>
                <c:pt idx="2315">
                  <c:v>40691</c:v>
                </c:pt>
                <c:pt idx="2316">
                  <c:v>40698</c:v>
                </c:pt>
                <c:pt idx="2317">
                  <c:v>40705</c:v>
                </c:pt>
                <c:pt idx="2318">
                  <c:v>40712</c:v>
                </c:pt>
                <c:pt idx="2319">
                  <c:v>40719</c:v>
                </c:pt>
                <c:pt idx="2320">
                  <c:v>40726</c:v>
                </c:pt>
                <c:pt idx="2321">
                  <c:v>40733</c:v>
                </c:pt>
                <c:pt idx="2322">
                  <c:v>40740</c:v>
                </c:pt>
                <c:pt idx="2323">
                  <c:v>40747</c:v>
                </c:pt>
                <c:pt idx="2324">
                  <c:v>40754</c:v>
                </c:pt>
                <c:pt idx="2325">
                  <c:v>40761</c:v>
                </c:pt>
                <c:pt idx="2326">
                  <c:v>40768</c:v>
                </c:pt>
                <c:pt idx="2327">
                  <c:v>40775</c:v>
                </c:pt>
                <c:pt idx="2328">
                  <c:v>40782</c:v>
                </c:pt>
                <c:pt idx="2329">
                  <c:v>40789</c:v>
                </c:pt>
                <c:pt idx="2330">
                  <c:v>40796</c:v>
                </c:pt>
                <c:pt idx="2331">
                  <c:v>40803</c:v>
                </c:pt>
                <c:pt idx="2332">
                  <c:v>40810</c:v>
                </c:pt>
                <c:pt idx="2333">
                  <c:v>40817</c:v>
                </c:pt>
                <c:pt idx="2334">
                  <c:v>40824</c:v>
                </c:pt>
                <c:pt idx="2335">
                  <c:v>40831</c:v>
                </c:pt>
                <c:pt idx="2336">
                  <c:v>40838</c:v>
                </c:pt>
                <c:pt idx="2337">
                  <c:v>40845</c:v>
                </c:pt>
                <c:pt idx="2338">
                  <c:v>40852</c:v>
                </c:pt>
                <c:pt idx="2339">
                  <c:v>40859</c:v>
                </c:pt>
                <c:pt idx="2340">
                  <c:v>40866</c:v>
                </c:pt>
                <c:pt idx="2341">
                  <c:v>40873</c:v>
                </c:pt>
                <c:pt idx="2342">
                  <c:v>40880</c:v>
                </c:pt>
                <c:pt idx="2343">
                  <c:v>40887</c:v>
                </c:pt>
                <c:pt idx="2344">
                  <c:v>40894</c:v>
                </c:pt>
                <c:pt idx="2345">
                  <c:v>40901</c:v>
                </c:pt>
                <c:pt idx="2346">
                  <c:v>40908</c:v>
                </c:pt>
                <c:pt idx="2347">
                  <c:v>40915</c:v>
                </c:pt>
                <c:pt idx="2348">
                  <c:v>40922</c:v>
                </c:pt>
                <c:pt idx="2349">
                  <c:v>40929</c:v>
                </c:pt>
                <c:pt idx="2350">
                  <c:v>40936</c:v>
                </c:pt>
                <c:pt idx="2351">
                  <c:v>40943</c:v>
                </c:pt>
                <c:pt idx="2352">
                  <c:v>40950</c:v>
                </c:pt>
                <c:pt idx="2353">
                  <c:v>40957</c:v>
                </c:pt>
                <c:pt idx="2354">
                  <c:v>40964</c:v>
                </c:pt>
                <c:pt idx="2355">
                  <c:v>40971</c:v>
                </c:pt>
                <c:pt idx="2356">
                  <c:v>40978</c:v>
                </c:pt>
                <c:pt idx="2357">
                  <c:v>40985</c:v>
                </c:pt>
                <c:pt idx="2358">
                  <c:v>40992</c:v>
                </c:pt>
                <c:pt idx="2359">
                  <c:v>40999</c:v>
                </c:pt>
                <c:pt idx="2360">
                  <c:v>41006</c:v>
                </c:pt>
                <c:pt idx="2361">
                  <c:v>41013</c:v>
                </c:pt>
                <c:pt idx="2362">
                  <c:v>41020</c:v>
                </c:pt>
                <c:pt idx="2363">
                  <c:v>41027</c:v>
                </c:pt>
                <c:pt idx="2364">
                  <c:v>41034</c:v>
                </c:pt>
                <c:pt idx="2365">
                  <c:v>41041</c:v>
                </c:pt>
                <c:pt idx="2366">
                  <c:v>41048</c:v>
                </c:pt>
                <c:pt idx="2367">
                  <c:v>41055</c:v>
                </c:pt>
                <c:pt idx="2368">
                  <c:v>41062</c:v>
                </c:pt>
                <c:pt idx="2369">
                  <c:v>41069</c:v>
                </c:pt>
                <c:pt idx="2370">
                  <c:v>41076</c:v>
                </c:pt>
                <c:pt idx="2371">
                  <c:v>41083</c:v>
                </c:pt>
                <c:pt idx="2372">
                  <c:v>41090</c:v>
                </c:pt>
                <c:pt idx="2373">
                  <c:v>41097</c:v>
                </c:pt>
                <c:pt idx="2374">
                  <c:v>41104</c:v>
                </c:pt>
                <c:pt idx="2375">
                  <c:v>41111</c:v>
                </c:pt>
                <c:pt idx="2376">
                  <c:v>41118</c:v>
                </c:pt>
                <c:pt idx="2377">
                  <c:v>41125</c:v>
                </c:pt>
                <c:pt idx="2378">
                  <c:v>41132</c:v>
                </c:pt>
                <c:pt idx="2379">
                  <c:v>41139</c:v>
                </c:pt>
                <c:pt idx="2380">
                  <c:v>41146</c:v>
                </c:pt>
                <c:pt idx="2381">
                  <c:v>41153</c:v>
                </c:pt>
                <c:pt idx="2382">
                  <c:v>41160</c:v>
                </c:pt>
                <c:pt idx="2383">
                  <c:v>41167</c:v>
                </c:pt>
                <c:pt idx="2384">
                  <c:v>41174</c:v>
                </c:pt>
                <c:pt idx="2385">
                  <c:v>41181</c:v>
                </c:pt>
                <c:pt idx="2386">
                  <c:v>41188</c:v>
                </c:pt>
                <c:pt idx="2387">
                  <c:v>41195</c:v>
                </c:pt>
                <c:pt idx="2388">
                  <c:v>41202</c:v>
                </c:pt>
                <c:pt idx="2389">
                  <c:v>41209</c:v>
                </c:pt>
                <c:pt idx="2390">
                  <c:v>41216</c:v>
                </c:pt>
                <c:pt idx="2391">
                  <c:v>41223</c:v>
                </c:pt>
                <c:pt idx="2392">
                  <c:v>41230</c:v>
                </c:pt>
                <c:pt idx="2393">
                  <c:v>41237</c:v>
                </c:pt>
                <c:pt idx="2394">
                  <c:v>41244</c:v>
                </c:pt>
                <c:pt idx="2395">
                  <c:v>41251</c:v>
                </c:pt>
                <c:pt idx="2396">
                  <c:v>41258</c:v>
                </c:pt>
                <c:pt idx="2397">
                  <c:v>41265</c:v>
                </c:pt>
                <c:pt idx="2398">
                  <c:v>41272</c:v>
                </c:pt>
                <c:pt idx="2399">
                  <c:v>41279</c:v>
                </c:pt>
                <c:pt idx="2400">
                  <c:v>41286</c:v>
                </c:pt>
                <c:pt idx="2401">
                  <c:v>41293</c:v>
                </c:pt>
                <c:pt idx="2402">
                  <c:v>41300</c:v>
                </c:pt>
                <c:pt idx="2403">
                  <c:v>41307</c:v>
                </c:pt>
                <c:pt idx="2404">
                  <c:v>41314</c:v>
                </c:pt>
                <c:pt idx="2405">
                  <c:v>41321</c:v>
                </c:pt>
                <c:pt idx="2406">
                  <c:v>41328</c:v>
                </c:pt>
                <c:pt idx="2407">
                  <c:v>41335</c:v>
                </c:pt>
                <c:pt idx="2408">
                  <c:v>41342</c:v>
                </c:pt>
                <c:pt idx="2409">
                  <c:v>41349</c:v>
                </c:pt>
                <c:pt idx="2410">
                  <c:v>41356</c:v>
                </c:pt>
                <c:pt idx="2411">
                  <c:v>41363</c:v>
                </c:pt>
                <c:pt idx="2412">
                  <c:v>41370</c:v>
                </c:pt>
                <c:pt idx="2413">
                  <c:v>41377</c:v>
                </c:pt>
                <c:pt idx="2414">
                  <c:v>41384</c:v>
                </c:pt>
                <c:pt idx="2415">
                  <c:v>41391</c:v>
                </c:pt>
                <c:pt idx="2416">
                  <c:v>41398</c:v>
                </c:pt>
                <c:pt idx="2417">
                  <c:v>41405</c:v>
                </c:pt>
                <c:pt idx="2418">
                  <c:v>41412</c:v>
                </c:pt>
                <c:pt idx="2419">
                  <c:v>41419</c:v>
                </c:pt>
                <c:pt idx="2420">
                  <c:v>41426</c:v>
                </c:pt>
                <c:pt idx="2421">
                  <c:v>41433</c:v>
                </c:pt>
                <c:pt idx="2422">
                  <c:v>41440</c:v>
                </c:pt>
                <c:pt idx="2423">
                  <c:v>41447</c:v>
                </c:pt>
                <c:pt idx="2424">
                  <c:v>41454</c:v>
                </c:pt>
                <c:pt idx="2425">
                  <c:v>41461</c:v>
                </c:pt>
                <c:pt idx="2426">
                  <c:v>41468</c:v>
                </c:pt>
                <c:pt idx="2427">
                  <c:v>41475</c:v>
                </c:pt>
                <c:pt idx="2428">
                  <c:v>41482</c:v>
                </c:pt>
                <c:pt idx="2429">
                  <c:v>41489</c:v>
                </c:pt>
                <c:pt idx="2430">
                  <c:v>41496</c:v>
                </c:pt>
                <c:pt idx="2431">
                  <c:v>41503</c:v>
                </c:pt>
                <c:pt idx="2432">
                  <c:v>41510</c:v>
                </c:pt>
                <c:pt idx="2433">
                  <c:v>41517</c:v>
                </c:pt>
                <c:pt idx="2434">
                  <c:v>41524</c:v>
                </c:pt>
                <c:pt idx="2435">
                  <c:v>41531</c:v>
                </c:pt>
                <c:pt idx="2436">
                  <c:v>41538</c:v>
                </c:pt>
                <c:pt idx="2437">
                  <c:v>41545</c:v>
                </c:pt>
                <c:pt idx="2438">
                  <c:v>41552</c:v>
                </c:pt>
                <c:pt idx="2439">
                  <c:v>41559</c:v>
                </c:pt>
                <c:pt idx="2440">
                  <c:v>41566</c:v>
                </c:pt>
                <c:pt idx="2441">
                  <c:v>41573</c:v>
                </c:pt>
                <c:pt idx="2442">
                  <c:v>41580</c:v>
                </c:pt>
                <c:pt idx="2443">
                  <c:v>41587</c:v>
                </c:pt>
                <c:pt idx="2444">
                  <c:v>41594</c:v>
                </c:pt>
                <c:pt idx="2445">
                  <c:v>41601</c:v>
                </c:pt>
                <c:pt idx="2446">
                  <c:v>41608</c:v>
                </c:pt>
                <c:pt idx="2447">
                  <c:v>41615</c:v>
                </c:pt>
                <c:pt idx="2448">
                  <c:v>41622</c:v>
                </c:pt>
                <c:pt idx="2449">
                  <c:v>41629</c:v>
                </c:pt>
                <c:pt idx="2450">
                  <c:v>41636</c:v>
                </c:pt>
                <c:pt idx="2451">
                  <c:v>41643</c:v>
                </c:pt>
                <c:pt idx="2452">
                  <c:v>41650</c:v>
                </c:pt>
                <c:pt idx="2453">
                  <c:v>41657</c:v>
                </c:pt>
                <c:pt idx="2454">
                  <c:v>41664</c:v>
                </c:pt>
                <c:pt idx="2455">
                  <c:v>41671</c:v>
                </c:pt>
                <c:pt idx="2456">
                  <c:v>41678</c:v>
                </c:pt>
                <c:pt idx="2457">
                  <c:v>41685</c:v>
                </c:pt>
                <c:pt idx="2458">
                  <c:v>41692</c:v>
                </c:pt>
                <c:pt idx="2459">
                  <c:v>41699</c:v>
                </c:pt>
                <c:pt idx="2460">
                  <c:v>41706</c:v>
                </c:pt>
                <c:pt idx="2461">
                  <c:v>41713</c:v>
                </c:pt>
                <c:pt idx="2462">
                  <c:v>41720</c:v>
                </c:pt>
                <c:pt idx="2463">
                  <c:v>41727</c:v>
                </c:pt>
                <c:pt idx="2464">
                  <c:v>41734</c:v>
                </c:pt>
                <c:pt idx="2465">
                  <c:v>41741</c:v>
                </c:pt>
                <c:pt idx="2466">
                  <c:v>41748</c:v>
                </c:pt>
                <c:pt idx="2467">
                  <c:v>41755</c:v>
                </c:pt>
                <c:pt idx="2468">
                  <c:v>41762</c:v>
                </c:pt>
                <c:pt idx="2469">
                  <c:v>41769</c:v>
                </c:pt>
                <c:pt idx="2470">
                  <c:v>41776</c:v>
                </c:pt>
                <c:pt idx="2471">
                  <c:v>41783</c:v>
                </c:pt>
                <c:pt idx="2472">
                  <c:v>41790</c:v>
                </c:pt>
                <c:pt idx="2473">
                  <c:v>41797</c:v>
                </c:pt>
                <c:pt idx="2474">
                  <c:v>41804</c:v>
                </c:pt>
                <c:pt idx="2475">
                  <c:v>41811</c:v>
                </c:pt>
                <c:pt idx="2476">
                  <c:v>41818</c:v>
                </c:pt>
                <c:pt idx="2477">
                  <c:v>41825</c:v>
                </c:pt>
                <c:pt idx="2478">
                  <c:v>41832</c:v>
                </c:pt>
                <c:pt idx="2479">
                  <c:v>41839</c:v>
                </c:pt>
                <c:pt idx="2480">
                  <c:v>41846</c:v>
                </c:pt>
                <c:pt idx="2481">
                  <c:v>41853</c:v>
                </c:pt>
                <c:pt idx="2482">
                  <c:v>41860</c:v>
                </c:pt>
                <c:pt idx="2483">
                  <c:v>41867</c:v>
                </c:pt>
                <c:pt idx="2484">
                  <c:v>41874</c:v>
                </c:pt>
                <c:pt idx="2485">
                  <c:v>41881</c:v>
                </c:pt>
                <c:pt idx="2486">
                  <c:v>41888</c:v>
                </c:pt>
                <c:pt idx="2487">
                  <c:v>41895</c:v>
                </c:pt>
                <c:pt idx="2488">
                  <c:v>41902</c:v>
                </c:pt>
                <c:pt idx="2489">
                  <c:v>41909</c:v>
                </c:pt>
                <c:pt idx="2490">
                  <c:v>41916</c:v>
                </c:pt>
                <c:pt idx="2491">
                  <c:v>41923</c:v>
                </c:pt>
                <c:pt idx="2492">
                  <c:v>41930</c:v>
                </c:pt>
                <c:pt idx="2493">
                  <c:v>41937</c:v>
                </c:pt>
                <c:pt idx="2494">
                  <c:v>41944</c:v>
                </c:pt>
                <c:pt idx="2495">
                  <c:v>41951</c:v>
                </c:pt>
                <c:pt idx="2496">
                  <c:v>41958</c:v>
                </c:pt>
                <c:pt idx="2497">
                  <c:v>41965</c:v>
                </c:pt>
                <c:pt idx="2498">
                  <c:v>41972</c:v>
                </c:pt>
                <c:pt idx="2499">
                  <c:v>41979</c:v>
                </c:pt>
                <c:pt idx="2500">
                  <c:v>41986</c:v>
                </c:pt>
                <c:pt idx="2501">
                  <c:v>41993</c:v>
                </c:pt>
                <c:pt idx="2502">
                  <c:v>42000</c:v>
                </c:pt>
                <c:pt idx="2503">
                  <c:v>42007</c:v>
                </c:pt>
                <c:pt idx="2504">
                  <c:v>42014</c:v>
                </c:pt>
                <c:pt idx="2505">
                  <c:v>42021</c:v>
                </c:pt>
                <c:pt idx="2506">
                  <c:v>42028</c:v>
                </c:pt>
                <c:pt idx="2507">
                  <c:v>42035</c:v>
                </c:pt>
                <c:pt idx="2508">
                  <c:v>42042</c:v>
                </c:pt>
                <c:pt idx="2509">
                  <c:v>42049</c:v>
                </c:pt>
                <c:pt idx="2510">
                  <c:v>42056</c:v>
                </c:pt>
                <c:pt idx="2511">
                  <c:v>42063</c:v>
                </c:pt>
                <c:pt idx="2512">
                  <c:v>42070</c:v>
                </c:pt>
                <c:pt idx="2513">
                  <c:v>42077</c:v>
                </c:pt>
                <c:pt idx="2514">
                  <c:v>42084</c:v>
                </c:pt>
                <c:pt idx="2515">
                  <c:v>42091</c:v>
                </c:pt>
                <c:pt idx="2516">
                  <c:v>42098</c:v>
                </c:pt>
                <c:pt idx="2517">
                  <c:v>42105</c:v>
                </c:pt>
                <c:pt idx="2518">
                  <c:v>42112</c:v>
                </c:pt>
                <c:pt idx="2519">
                  <c:v>42119</c:v>
                </c:pt>
                <c:pt idx="2520">
                  <c:v>42126</c:v>
                </c:pt>
                <c:pt idx="2521">
                  <c:v>42133</c:v>
                </c:pt>
                <c:pt idx="2522">
                  <c:v>42140</c:v>
                </c:pt>
                <c:pt idx="2523">
                  <c:v>42147</c:v>
                </c:pt>
                <c:pt idx="2524">
                  <c:v>42154</c:v>
                </c:pt>
                <c:pt idx="2525">
                  <c:v>42161</c:v>
                </c:pt>
                <c:pt idx="2526">
                  <c:v>42168</c:v>
                </c:pt>
                <c:pt idx="2527">
                  <c:v>42175</c:v>
                </c:pt>
                <c:pt idx="2528">
                  <c:v>42182</c:v>
                </c:pt>
                <c:pt idx="2529">
                  <c:v>42189</c:v>
                </c:pt>
                <c:pt idx="2530">
                  <c:v>42196</c:v>
                </c:pt>
                <c:pt idx="2531">
                  <c:v>42203</c:v>
                </c:pt>
                <c:pt idx="2532">
                  <c:v>42210</c:v>
                </c:pt>
                <c:pt idx="2533">
                  <c:v>42217</c:v>
                </c:pt>
                <c:pt idx="2534">
                  <c:v>42224</c:v>
                </c:pt>
                <c:pt idx="2535">
                  <c:v>42231</c:v>
                </c:pt>
                <c:pt idx="2536">
                  <c:v>42238</c:v>
                </c:pt>
                <c:pt idx="2537">
                  <c:v>42245</c:v>
                </c:pt>
                <c:pt idx="2538">
                  <c:v>42252</c:v>
                </c:pt>
                <c:pt idx="2539">
                  <c:v>42259</c:v>
                </c:pt>
                <c:pt idx="2540">
                  <c:v>42266</c:v>
                </c:pt>
                <c:pt idx="2541">
                  <c:v>42273</c:v>
                </c:pt>
                <c:pt idx="2542">
                  <c:v>42280</c:v>
                </c:pt>
                <c:pt idx="2543">
                  <c:v>42287</c:v>
                </c:pt>
                <c:pt idx="2544">
                  <c:v>42294</c:v>
                </c:pt>
                <c:pt idx="2545">
                  <c:v>42301</c:v>
                </c:pt>
                <c:pt idx="2546">
                  <c:v>42308</c:v>
                </c:pt>
                <c:pt idx="2547">
                  <c:v>42315</c:v>
                </c:pt>
                <c:pt idx="2548">
                  <c:v>42322</c:v>
                </c:pt>
                <c:pt idx="2549">
                  <c:v>42329</c:v>
                </c:pt>
                <c:pt idx="2550">
                  <c:v>42336</c:v>
                </c:pt>
                <c:pt idx="2551">
                  <c:v>42343</c:v>
                </c:pt>
                <c:pt idx="2552">
                  <c:v>42350</c:v>
                </c:pt>
                <c:pt idx="2553">
                  <c:v>42357</c:v>
                </c:pt>
                <c:pt idx="2554">
                  <c:v>42364</c:v>
                </c:pt>
                <c:pt idx="2555">
                  <c:v>42371</c:v>
                </c:pt>
                <c:pt idx="2556">
                  <c:v>42378</c:v>
                </c:pt>
                <c:pt idx="2557">
                  <c:v>42385</c:v>
                </c:pt>
                <c:pt idx="2558">
                  <c:v>42392</c:v>
                </c:pt>
                <c:pt idx="2559">
                  <c:v>42399</c:v>
                </c:pt>
                <c:pt idx="2560">
                  <c:v>42406</c:v>
                </c:pt>
                <c:pt idx="2561">
                  <c:v>42413</c:v>
                </c:pt>
                <c:pt idx="2562">
                  <c:v>42420</c:v>
                </c:pt>
                <c:pt idx="2563">
                  <c:v>42427</c:v>
                </c:pt>
                <c:pt idx="2564">
                  <c:v>42434</c:v>
                </c:pt>
                <c:pt idx="2565">
                  <c:v>42441</c:v>
                </c:pt>
                <c:pt idx="2566">
                  <c:v>42448</c:v>
                </c:pt>
                <c:pt idx="2567">
                  <c:v>42455</c:v>
                </c:pt>
                <c:pt idx="2568">
                  <c:v>42462</c:v>
                </c:pt>
                <c:pt idx="2569">
                  <c:v>42469</c:v>
                </c:pt>
                <c:pt idx="2570">
                  <c:v>42476</c:v>
                </c:pt>
                <c:pt idx="2571">
                  <c:v>42483</c:v>
                </c:pt>
                <c:pt idx="2572">
                  <c:v>42490</c:v>
                </c:pt>
                <c:pt idx="2573">
                  <c:v>42497</c:v>
                </c:pt>
                <c:pt idx="2574">
                  <c:v>42504</c:v>
                </c:pt>
                <c:pt idx="2575">
                  <c:v>42511</c:v>
                </c:pt>
                <c:pt idx="2576">
                  <c:v>42518</c:v>
                </c:pt>
                <c:pt idx="2577">
                  <c:v>42525</c:v>
                </c:pt>
                <c:pt idx="2578">
                  <c:v>42532</c:v>
                </c:pt>
                <c:pt idx="2579">
                  <c:v>42539</c:v>
                </c:pt>
                <c:pt idx="2580">
                  <c:v>42546</c:v>
                </c:pt>
                <c:pt idx="2581">
                  <c:v>42553</c:v>
                </c:pt>
                <c:pt idx="2582">
                  <c:v>42560</c:v>
                </c:pt>
                <c:pt idx="2583">
                  <c:v>42567</c:v>
                </c:pt>
                <c:pt idx="2584">
                  <c:v>42574</c:v>
                </c:pt>
                <c:pt idx="2585">
                  <c:v>42581</c:v>
                </c:pt>
                <c:pt idx="2586">
                  <c:v>42588</c:v>
                </c:pt>
                <c:pt idx="2587">
                  <c:v>42595</c:v>
                </c:pt>
                <c:pt idx="2588">
                  <c:v>42602</c:v>
                </c:pt>
                <c:pt idx="2589">
                  <c:v>42609</c:v>
                </c:pt>
                <c:pt idx="2590">
                  <c:v>42616</c:v>
                </c:pt>
                <c:pt idx="2591">
                  <c:v>42623</c:v>
                </c:pt>
                <c:pt idx="2592">
                  <c:v>42630</c:v>
                </c:pt>
                <c:pt idx="2593">
                  <c:v>42637</c:v>
                </c:pt>
                <c:pt idx="2594">
                  <c:v>42644</c:v>
                </c:pt>
                <c:pt idx="2595">
                  <c:v>42651</c:v>
                </c:pt>
                <c:pt idx="2596">
                  <c:v>42658</c:v>
                </c:pt>
                <c:pt idx="2597">
                  <c:v>42665</c:v>
                </c:pt>
                <c:pt idx="2598">
                  <c:v>42672</c:v>
                </c:pt>
                <c:pt idx="2599">
                  <c:v>42679</c:v>
                </c:pt>
                <c:pt idx="2600">
                  <c:v>42686</c:v>
                </c:pt>
                <c:pt idx="2601">
                  <c:v>42693</c:v>
                </c:pt>
                <c:pt idx="2602">
                  <c:v>42700</c:v>
                </c:pt>
                <c:pt idx="2603">
                  <c:v>42707</c:v>
                </c:pt>
                <c:pt idx="2604">
                  <c:v>42714</c:v>
                </c:pt>
                <c:pt idx="2605">
                  <c:v>42721</c:v>
                </c:pt>
                <c:pt idx="2606">
                  <c:v>42728</c:v>
                </c:pt>
                <c:pt idx="2607">
                  <c:v>42735</c:v>
                </c:pt>
                <c:pt idx="2608">
                  <c:v>42742</c:v>
                </c:pt>
                <c:pt idx="2609">
                  <c:v>42749</c:v>
                </c:pt>
                <c:pt idx="2610">
                  <c:v>42756</c:v>
                </c:pt>
                <c:pt idx="2611">
                  <c:v>42763</c:v>
                </c:pt>
                <c:pt idx="2612">
                  <c:v>42770</c:v>
                </c:pt>
                <c:pt idx="2613">
                  <c:v>42777</c:v>
                </c:pt>
                <c:pt idx="2614">
                  <c:v>42784</c:v>
                </c:pt>
                <c:pt idx="2615">
                  <c:v>42791</c:v>
                </c:pt>
                <c:pt idx="2616">
                  <c:v>42798</c:v>
                </c:pt>
                <c:pt idx="2617">
                  <c:v>42805</c:v>
                </c:pt>
                <c:pt idx="2618">
                  <c:v>42812</c:v>
                </c:pt>
                <c:pt idx="2619">
                  <c:v>42819</c:v>
                </c:pt>
                <c:pt idx="2620">
                  <c:v>42826</c:v>
                </c:pt>
                <c:pt idx="2621">
                  <c:v>42833</c:v>
                </c:pt>
                <c:pt idx="2622">
                  <c:v>42840</c:v>
                </c:pt>
                <c:pt idx="2623">
                  <c:v>42847</c:v>
                </c:pt>
                <c:pt idx="2624">
                  <c:v>42854</c:v>
                </c:pt>
                <c:pt idx="2625">
                  <c:v>42861</c:v>
                </c:pt>
                <c:pt idx="2626">
                  <c:v>42868</c:v>
                </c:pt>
                <c:pt idx="2627">
                  <c:v>42875</c:v>
                </c:pt>
                <c:pt idx="2628">
                  <c:v>42882</c:v>
                </c:pt>
                <c:pt idx="2629">
                  <c:v>42889</c:v>
                </c:pt>
                <c:pt idx="2630">
                  <c:v>42896</c:v>
                </c:pt>
                <c:pt idx="2631">
                  <c:v>42903</c:v>
                </c:pt>
                <c:pt idx="2632">
                  <c:v>42910</c:v>
                </c:pt>
                <c:pt idx="2633">
                  <c:v>42917</c:v>
                </c:pt>
                <c:pt idx="2634">
                  <c:v>42924</c:v>
                </c:pt>
                <c:pt idx="2635">
                  <c:v>42931</c:v>
                </c:pt>
                <c:pt idx="2636">
                  <c:v>42938</c:v>
                </c:pt>
                <c:pt idx="2637">
                  <c:v>42945</c:v>
                </c:pt>
                <c:pt idx="2638">
                  <c:v>42952</c:v>
                </c:pt>
                <c:pt idx="2639">
                  <c:v>42959</c:v>
                </c:pt>
                <c:pt idx="2640">
                  <c:v>42966</c:v>
                </c:pt>
                <c:pt idx="2641">
                  <c:v>42973</c:v>
                </c:pt>
                <c:pt idx="2642">
                  <c:v>42980</c:v>
                </c:pt>
                <c:pt idx="2643">
                  <c:v>42987</c:v>
                </c:pt>
                <c:pt idx="2644">
                  <c:v>42994</c:v>
                </c:pt>
                <c:pt idx="2645">
                  <c:v>43001</c:v>
                </c:pt>
                <c:pt idx="2646">
                  <c:v>43008</c:v>
                </c:pt>
                <c:pt idx="2647">
                  <c:v>43015</c:v>
                </c:pt>
                <c:pt idx="2648">
                  <c:v>43022</c:v>
                </c:pt>
                <c:pt idx="2649">
                  <c:v>43029</c:v>
                </c:pt>
                <c:pt idx="2650">
                  <c:v>43036</c:v>
                </c:pt>
                <c:pt idx="2651">
                  <c:v>43043</c:v>
                </c:pt>
                <c:pt idx="2652">
                  <c:v>43050</c:v>
                </c:pt>
                <c:pt idx="2653">
                  <c:v>43057</c:v>
                </c:pt>
                <c:pt idx="2654">
                  <c:v>43064</c:v>
                </c:pt>
                <c:pt idx="2655">
                  <c:v>43071</c:v>
                </c:pt>
                <c:pt idx="2656">
                  <c:v>43078</c:v>
                </c:pt>
                <c:pt idx="2657">
                  <c:v>43085</c:v>
                </c:pt>
                <c:pt idx="2658">
                  <c:v>43092</c:v>
                </c:pt>
                <c:pt idx="2659">
                  <c:v>43099</c:v>
                </c:pt>
                <c:pt idx="2660">
                  <c:v>43106</c:v>
                </c:pt>
                <c:pt idx="2661">
                  <c:v>43113</c:v>
                </c:pt>
                <c:pt idx="2662">
                  <c:v>43120</c:v>
                </c:pt>
                <c:pt idx="2663">
                  <c:v>43127</c:v>
                </c:pt>
                <c:pt idx="2664">
                  <c:v>43134</c:v>
                </c:pt>
                <c:pt idx="2665">
                  <c:v>43141</c:v>
                </c:pt>
                <c:pt idx="2666">
                  <c:v>43148</c:v>
                </c:pt>
                <c:pt idx="2667">
                  <c:v>43155</c:v>
                </c:pt>
                <c:pt idx="2668">
                  <c:v>43162</c:v>
                </c:pt>
                <c:pt idx="2669">
                  <c:v>43169</c:v>
                </c:pt>
                <c:pt idx="2670">
                  <c:v>43176</c:v>
                </c:pt>
                <c:pt idx="2671">
                  <c:v>43183</c:v>
                </c:pt>
                <c:pt idx="2672">
                  <c:v>43190</c:v>
                </c:pt>
                <c:pt idx="2673">
                  <c:v>43197</c:v>
                </c:pt>
                <c:pt idx="2674">
                  <c:v>43204</c:v>
                </c:pt>
                <c:pt idx="2675">
                  <c:v>43211</c:v>
                </c:pt>
                <c:pt idx="2676">
                  <c:v>43218</c:v>
                </c:pt>
                <c:pt idx="2677">
                  <c:v>43225</c:v>
                </c:pt>
                <c:pt idx="2678">
                  <c:v>43232</c:v>
                </c:pt>
                <c:pt idx="2679">
                  <c:v>43239</c:v>
                </c:pt>
                <c:pt idx="2680">
                  <c:v>43246</c:v>
                </c:pt>
                <c:pt idx="2681">
                  <c:v>43253</c:v>
                </c:pt>
                <c:pt idx="2682">
                  <c:v>43260</c:v>
                </c:pt>
                <c:pt idx="2683">
                  <c:v>43267</c:v>
                </c:pt>
                <c:pt idx="2684">
                  <c:v>43274</c:v>
                </c:pt>
                <c:pt idx="2685">
                  <c:v>43281</c:v>
                </c:pt>
                <c:pt idx="2686">
                  <c:v>43288</c:v>
                </c:pt>
                <c:pt idx="2687">
                  <c:v>43295</c:v>
                </c:pt>
                <c:pt idx="2688">
                  <c:v>43302</c:v>
                </c:pt>
                <c:pt idx="2689">
                  <c:v>43309</c:v>
                </c:pt>
                <c:pt idx="2690">
                  <c:v>43316</c:v>
                </c:pt>
                <c:pt idx="2691">
                  <c:v>43323</c:v>
                </c:pt>
                <c:pt idx="2692">
                  <c:v>43330</c:v>
                </c:pt>
                <c:pt idx="2693">
                  <c:v>43337</c:v>
                </c:pt>
                <c:pt idx="2694">
                  <c:v>43344</c:v>
                </c:pt>
                <c:pt idx="2695">
                  <c:v>43351</c:v>
                </c:pt>
                <c:pt idx="2696">
                  <c:v>43358</c:v>
                </c:pt>
                <c:pt idx="2697">
                  <c:v>43365</c:v>
                </c:pt>
                <c:pt idx="2698">
                  <c:v>43372</c:v>
                </c:pt>
                <c:pt idx="2699">
                  <c:v>43379</c:v>
                </c:pt>
                <c:pt idx="2700">
                  <c:v>43386</c:v>
                </c:pt>
                <c:pt idx="2701">
                  <c:v>43393</c:v>
                </c:pt>
                <c:pt idx="2702">
                  <c:v>43400</c:v>
                </c:pt>
                <c:pt idx="2703">
                  <c:v>43407</c:v>
                </c:pt>
                <c:pt idx="2704">
                  <c:v>43414</c:v>
                </c:pt>
                <c:pt idx="2705">
                  <c:v>43421</c:v>
                </c:pt>
                <c:pt idx="2706">
                  <c:v>43428</c:v>
                </c:pt>
                <c:pt idx="2707">
                  <c:v>43435</c:v>
                </c:pt>
                <c:pt idx="2708">
                  <c:v>43442</c:v>
                </c:pt>
                <c:pt idx="2709">
                  <c:v>43449</c:v>
                </c:pt>
                <c:pt idx="2710">
                  <c:v>43456</c:v>
                </c:pt>
                <c:pt idx="2711">
                  <c:v>43463</c:v>
                </c:pt>
                <c:pt idx="2712">
                  <c:v>43470</c:v>
                </c:pt>
                <c:pt idx="2713">
                  <c:v>43477</c:v>
                </c:pt>
                <c:pt idx="2714">
                  <c:v>43484</c:v>
                </c:pt>
                <c:pt idx="2715">
                  <c:v>43491</c:v>
                </c:pt>
                <c:pt idx="2716">
                  <c:v>43498</c:v>
                </c:pt>
                <c:pt idx="2717">
                  <c:v>43505</c:v>
                </c:pt>
                <c:pt idx="2718">
                  <c:v>43512</c:v>
                </c:pt>
                <c:pt idx="2719">
                  <c:v>43519</c:v>
                </c:pt>
                <c:pt idx="2720">
                  <c:v>43526</c:v>
                </c:pt>
                <c:pt idx="2721">
                  <c:v>43533</c:v>
                </c:pt>
                <c:pt idx="2722">
                  <c:v>43540</c:v>
                </c:pt>
                <c:pt idx="2723">
                  <c:v>43547</c:v>
                </c:pt>
                <c:pt idx="2724">
                  <c:v>43554</c:v>
                </c:pt>
                <c:pt idx="2725">
                  <c:v>43561</c:v>
                </c:pt>
                <c:pt idx="2726">
                  <c:v>43568</c:v>
                </c:pt>
                <c:pt idx="2727">
                  <c:v>43575</c:v>
                </c:pt>
                <c:pt idx="2728">
                  <c:v>43582</c:v>
                </c:pt>
                <c:pt idx="2729">
                  <c:v>43589</c:v>
                </c:pt>
                <c:pt idx="2730">
                  <c:v>43596</c:v>
                </c:pt>
                <c:pt idx="2731">
                  <c:v>43603</c:v>
                </c:pt>
                <c:pt idx="2732">
                  <c:v>43610</c:v>
                </c:pt>
                <c:pt idx="2733">
                  <c:v>43617</c:v>
                </c:pt>
                <c:pt idx="2734">
                  <c:v>43624</c:v>
                </c:pt>
                <c:pt idx="2735">
                  <c:v>43631</c:v>
                </c:pt>
                <c:pt idx="2736">
                  <c:v>43638</c:v>
                </c:pt>
                <c:pt idx="2737">
                  <c:v>43645</c:v>
                </c:pt>
                <c:pt idx="2738">
                  <c:v>43652</c:v>
                </c:pt>
                <c:pt idx="2739">
                  <c:v>43659</c:v>
                </c:pt>
                <c:pt idx="2740">
                  <c:v>43666</c:v>
                </c:pt>
                <c:pt idx="2741">
                  <c:v>43673</c:v>
                </c:pt>
                <c:pt idx="2742">
                  <c:v>43680</c:v>
                </c:pt>
                <c:pt idx="2743">
                  <c:v>43687</c:v>
                </c:pt>
                <c:pt idx="2744">
                  <c:v>43694</c:v>
                </c:pt>
                <c:pt idx="2745">
                  <c:v>43701</c:v>
                </c:pt>
                <c:pt idx="2746">
                  <c:v>43708</c:v>
                </c:pt>
                <c:pt idx="2747">
                  <c:v>43715</c:v>
                </c:pt>
                <c:pt idx="2748">
                  <c:v>43722</c:v>
                </c:pt>
                <c:pt idx="2749">
                  <c:v>43729</c:v>
                </c:pt>
                <c:pt idx="2750">
                  <c:v>43736</c:v>
                </c:pt>
                <c:pt idx="2751">
                  <c:v>43743</c:v>
                </c:pt>
                <c:pt idx="2752">
                  <c:v>43750</c:v>
                </c:pt>
                <c:pt idx="2753">
                  <c:v>43757</c:v>
                </c:pt>
                <c:pt idx="2754">
                  <c:v>43764</c:v>
                </c:pt>
                <c:pt idx="2755">
                  <c:v>43771</c:v>
                </c:pt>
                <c:pt idx="2756">
                  <c:v>43778</c:v>
                </c:pt>
                <c:pt idx="2757">
                  <c:v>43785</c:v>
                </c:pt>
                <c:pt idx="2758">
                  <c:v>43792</c:v>
                </c:pt>
                <c:pt idx="2759">
                  <c:v>43799</c:v>
                </c:pt>
                <c:pt idx="2760">
                  <c:v>43806</c:v>
                </c:pt>
                <c:pt idx="2761">
                  <c:v>43813</c:v>
                </c:pt>
                <c:pt idx="2762">
                  <c:v>43820</c:v>
                </c:pt>
                <c:pt idx="2763">
                  <c:v>43827</c:v>
                </c:pt>
                <c:pt idx="2764">
                  <c:v>43834</c:v>
                </c:pt>
                <c:pt idx="2765">
                  <c:v>43841</c:v>
                </c:pt>
                <c:pt idx="2766">
                  <c:v>43848</c:v>
                </c:pt>
                <c:pt idx="2767">
                  <c:v>43855</c:v>
                </c:pt>
                <c:pt idx="2768">
                  <c:v>43862</c:v>
                </c:pt>
                <c:pt idx="2769">
                  <c:v>43869</c:v>
                </c:pt>
                <c:pt idx="2770">
                  <c:v>43876</c:v>
                </c:pt>
                <c:pt idx="2771">
                  <c:v>43883</c:v>
                </c:pt>
                <c:pt idx="2772">
                  <c:v>43890</c:v>
                </c:pt>
                <c:pt idx="2773">
                  <c:v>43897</c:v>
                </c:pt>
                <c:pt idx="2774">
                  <c:v>43904</c:v>
                </c:pt>
                <c:pt idx="2775">
                  <c:v>43911</c:v>
                </c:pt>
                <c:pt idx="2776">
                  <c:v>43918</c:v>
                </c:pt>
                <c:pt idx="2777">
                  <c:v>43925</c:v>
                </c:pt>
                <c:pt idx="2778">
                  <c:v>43932</c:v>
                </c:pt>
                <c:pt idx="2779">
                  <c:v>43939</c:v>
                </c:pt>
                <c:pt idx="2780">
                  <c:v>43946</c:v>
                </c:pt>
                <c:pt idx="2781">
                  <c:v>43953</c:v>
                </c:pt>
                <c:pt idx="2782">
                  <c:v>43960</c:v>
                </c:pt>
                <c:pt idx="2783">
                  <c:v>43967</c:v>
                </c:pt>
                <c:pt idx="2784">
                  <c:v>43974</c:v>
                </c:pt>
                <c:pt idx="2785">
                  <c:v>43981</c:v>
                </c:pt>
                <c:pt idx="2786">
                  <c:v>43988</c:v>
                </c:pt>
                <c:pt idx="2787">
                  <c:v>43995</c:v>
                </c:pt>
                <c:pt idx="2788">
                  <c:v>44002</c:v>
                </c:pt>
                <c:pt idx="2789">
                  <c:v>44009</c:v>
                </c:pt>
                <c:pt idx="2790">
                  <c:v>44016</c:v>
                </c:pt>
                <c:pt idx="2791">
                  <c:v>44023</c:v>
                </c:pt>
                <c:pt idx="2792">
                  <c:v>44030</c:v>
                </c:pt>
                <c:pt idx="2793">
                  <c:v>44037</c:v>
                </c:pt>
                <c:pt idx="2794">
                  <c:v>44044</c:v>
                </c:pt>
                <c:pt idx="2795">
                  <c:v>44051</c:v>
                </c:pt>
                <c:pt idx="2796">
                  <c:v>44058</c:v>
                </c:pt>
                <c:pt idx="2797">
                  <c:v>44065</c:v>
                </c:pt>
                <c:pt idx="2798">
                  <c:v>44072</c:v>
                </c:pt>
                <c:pt idx="2799">
                  <c:v>44079</c:v>
                </c:pt>
                <c:pt idx="2800">
                  <c:v>44086</c:v>
                </c:pt>
                <c:pt idx="2801">
                  <c:v>44093</c:v>
                </c:pt>
                <c:pt idx="2802">
                  <c:v>44100</c:v>
                </c:pt>
                <c:pt idx="2803">
                  <c:v>44107</c:v>
                </c:pt>
                <c:pt idx="2804">
                  <c:v>44114</c:v>
                </c:pt>
                <c:pt idx="2805">
                  <c:v>44121</c:v>
                </c:pt>
                <c:pt idx="2806">
                  <c:v>44128</c:v>
                </c:pt>
                <c:pt idx="2807">
                  <c:v>44135</c:v>
                </c:pt>
                <c:pt idx="2808">
                  <c:v>44142</c:v>
                </c:pt>
                <c:pt idx="2809">
                  <c:v>44149</c:v>
                </c:pt>
                <c:pt idx="2810">
                  <c:v>44156</c:v>
                </c:pt>
                <c:pt idx="2811">
                  <c:v>44163</c:v>
                </c:pt>
                <c:pt idx="2812">
                  <c:v>44170</c:v>
                </c:pt>
                <c:pt idx="2813">
                  <c:v>44177</c:v>
                </c:pt>
                <c:pt idx="2814">
                  <c:v>44184</c:v>
                </c:pt>
                <c:pt idx="2815">
                  <c:v>44191</c:v>
                </c:pt>
                <c:pt idx="2816">
                  <c:v>44198</c:v>
                </c:pt>
                <c:pt idx="2817">
                  <c:v>44205</c:v>
                </c:pt>
                <c:pt idx="2818">
                  <c:v>44212</c:v>
                </c:pt>
                <c:pt idx="2819">
                  <c:v>44219</c:v>
                </c:pt>
                <c:pt idx="2820">
                  <c:v>44226</c:v>
                </c:pt>
                <c:pt idx="2821">
                  <c:v>44233</c:v>
                </c:pt>
                <c:pt idx="2822">
                  <c:v>44240</c:v>
                </c:pt>
                <c:pt idx="2823">
                  <c:v>44247</c:v>
                </c:pt>
                <c:pt idx="2824">
                  <c:v>44254</c:v>
                </c:pt>
                <c:pt idx="2825">
                  <c:v>44261</c:v>
                </c:pt>
                <c:pt idx="2826">
                  <c:v>44268</c:v>
                </c:pt>
                <c:pt idx="2827">
                  <c:v>44275</c:v>
                </c:pt>
                <c:pt idx="2828">
                  <c:v>44282</c:v>
                </c:pt>
                <c:pt idx="2829">
                  <c:v>44289</c:v>
                </c:pt>
                <c:pt idx="2830">
                  <c:v>44296</c:v>
                </c:pt>
                <c:pt idx="2831">
                  <c:v>44303</c:v>
                </c:pt>
                <c:pt idx="2832">
                  <c:v>44310</c:v>
                </c:pt>
                <c:pt idx="2833">
                  <c:v>44317</c:v>
                </c:pt>
                <c:pt idx="2834">
                  <c:v>44324</c:v>
                </c:pt>
                <c:pt idx="2835">
                  <c:v>44331</c:v>
                </c:pt>
                <c:pt idx="2836">
                  <c:v>44338</c:v>
                </c:pt>
                <c:pt idx="2837">
                  <c:v>44345</c:v>
                </c:pt>
                <c:pt idx="2838">
                  <c:v>44352</c:v>
                </c:pt>
                <c:pt idx="2839">
                  <c:v>44359</c:v>
                </c:pt>
                <c:pt idx="2840">
                  <c:v>44366</c:v>
                </c:pt>
                <c:pt idx="2841">
                  <c:v>44373</c:v>
                </c:pt>
                <c:pt idx="2842">
                  <c:v>44380</c:v>
                </c:pt>
                <c:pt idx="2843">
                  <c:v>44387</c:v>
                </c:pt>
                <c:pt idx="2844">
                  <c:v>44394</c:v>
                </c:pt>
                <c:pt idx="2845">
                  <c:v>44401</c:v>
                </c:pt>
                <c:pt idx="2846">
                  <c:v>44408</c:v>
                </c:pt>
                <c:pt idx="2847">
                  <c:v>44415</c:v>
                </c:pt>
                <c:pt idx="2848">
                  <c:v>44422</c:v>
                </c:pt>
                <c:pt idx="2849">
                  <c:v>44429</c:v>
                </c:pt>
                <c:pt idx="2850">
                  <c:v>44436</c:v>
                </c:pt>
                <c:pt idx="2851">
                  <c:v>44443</c:v>
                </c:pt>
                <c:pt idx="2852">
                  <c:v>44450</c:v>
                </c:pt>
                <c:pt idx="2853">
                  <c:v>44457</c:v>
                </c:pt>
                <c:pt idx="2854">
                  <c:v>44464</c:v>
                </c:pt>
                <c:pt idx="2855">
                  <c:v>44471</c:v>
                </c:pt>
                <c:pt idx="2856">
                  <c:v>44478</c:v>
                </c:pt>
                <c:pt idx="2857">
                  <c:v>44485</c:v>
                </c:pt>
                <c:pt idx="2858">
                  <c:v>44492</c:v>
                </c:pt>
                <c:pt idx="2859">
                  <c:v>44499</c:v>
                </c:pt>
                <c:pt idx="2860">
                  <c:v>44506</c:v>
                </c:pt>
                <c:pt idx="2861">
                  <c:v>44513</c:v>
                </c:pt>
                <c:pt idx="2862">
                  <c:v>44520</c:v>
                </c:pt>
                <c:pt idx="2863">
                  <c:v>44527</c:v>
                </c:pt>
                <c:pt idx="2864">
                  <c:v>44534</c:v>
                </c:pt>
                <c:pt idx="2865">
                  <c:v>44541</c:v>
                </c:pt>
                <c:pt idx="2866">
                  <c:v>44548</c:v>
                </c:pt>
                <c:pt idx="2867">
                  <c:v>44555</c:v>
                </c:pt>
                <c:pt idx="2868">
                  <c:v>44562</c:v>
                </c:pt>
                <c:pt idx="2869">
                  <c:v>44569</c:v>
                </c:pt>
              </c:numCache>
            </c:numRef>
          </c:cat>
          <c:val>
            <c:numRef>
              <c:f>Claims!$B$5:$B$2917</c:f>
              <c:numCache>
                <c:formatCode>#,##0</c:formatCode>
                <c:ptCount val="2913"/>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pt idx="2791">
                  <c:v>1398000</c:v>
                </c:pt>
                <c:pt idx="2792">
                  <c:v>1479000</c:v>
                </c:pt>
                <c:pt idx="2793">
                  <c:v>1398000</c:v>
                </c:pt>
                <c:pt idx="2794">
                  <c:v>1262000</c:v>
                </c:pt>
                <c:pt idx="2795">
                  <c:v>1043000</c:v>
                </c:pt>
                <c:pt idx="2796">
                  <c:v>883000</c:v>
                </c:pt>
                <c:pt idx="2797">
                  <c:v>920000</c:v>
                </c:pt>
                <c:pt idx="2798">
                  <c:v>872000</c:v>
                </c:pt>
                <c:pt idx="2799">
                  <c:v>875000</c:v>
                </c:pt>
                <c:pt idx="2800">
                  <c:v>881000</c:v>
                </c:pt>
                <c:pt idx="2801">
                  <c:v>860000</c:v>
                </c:pt>
                <c:pt idx="2802">
                  <c:v>860000</c:v>
                </c:pt>
                <c:pt idx="2803">
                  <c:v>803000</c:v>
                </c:pt>
                <c:pt idx="2804">
                  <c:v>782000</c:v>
                </c:pt>
                <c:pt idx="2805">
                  <c:v>833000</c:v>
                </c:pt>
                <c:pt idx="2806">
                  <c:v>798000</c:v>
                </c:pt>
                <c:pt idx="2807">
                  <c:v>768000</c:v>
                </c:pt>
                <c:pt idx="2808">
                  <c:v>765000</c:v>
                </c:pt>
                <c:pt idx="2809">
                  <c:v>728000</c:v>
                </c:pt>
                <c:pt idx="2810">
                  <c:v>732000</c:v>
                </c:pt>
                <c:pt idx="2811">
                  <c:v>762000</c:v>
                </c:pt>
                <c:pt idx="2812">
                  <c:v>719000</c:v>
                </c:pt>
                <c:pt idx="2813">
                  <c:v>853000</c:v>
                </c:pt>
                <c:pt idx="2814">
                  <c:v>873000</c:v>
                </c:pt>
                <c:pt idx="2815">
                  <c:v>803000</c:v>
                </c:pt>
                <c:pt idx="2816">
                  <c:v>763000</c:v>
                </c:pt>
                <c:pt idx="2817">
                  <c:v>781000</c:v>
                </c:pt>
                <c:pt idx="2818">
                  <c:v>904000</c:v>
                </c:pt>
                <c:pt idx="2819">
                  <c:v>886000</c:v>
                </c:pt>
                <c:pt idx="2820">
                  <c:v>836000</c:v>
                </c:pt>
                <c:pt idx="2821">
                  <c:v>837000</c:v>
                </c:pt>
                <c:pt idx="2822">
                  <c:v>863000</c:v>
                </c:pt>
                <c:pt idx="2823">
                  <c:v>847000</c:v>
                </c:pt>
                <c:pt idx="2824">
                  <c:v>747000</c:v>
                </c:pt>
                <c:pt idx="2825">
                  <c:v>761000</c:v>
                </c:pt>
                <c:pt idx="2826">
                  <c:v>734000</c:v>
                </c:pt>
                <c:pt idx="2827">
                  <c:v>765000</c:v>
                </c:pt>
                <c:pt idx="2828">
                  <c:v>658000</c:v>
                </c:pt>
                <c:pt idx="2829">
                  <c:v>729000</c:v>
                </c:pt>
                <c:pt idx="2830">
                  <c:v>742000</c:v>
                </c:pt>
                <c:pt idx="2831">
                  <c:v>586000</c:v>
                </c:pt>
                <c:pt idx="2832">
                  <c:v>566000</c:v>
                </c:pt>
                <c:pt idx="2833">
                  <c:v>590000</c:v>
                </c:pt>
                <c:pt idx="2834">
                  <c:v>507000</c:v>
                </c:pt>
                <c:pt idx="2835">
                  <c:v>478000</c:v>
                </c:pt>
                <c:pt idx="2836">
                  <c:v>444000</c:v>
                </c:pt>
                <c:pt idx="2837">
                  <c:v>405000</c:v>
                </c:pt>
                <c:pt idx="2838">
                  <c:v>388000</c:v>
                </c:pt>
                <c:pt idx="2839">
                  <c:v>374000</c:v>
                </c:pt>
                <c:pt idx="2840">
                  <c:v>418000</c:v>
                </c:pt>
                <c:pt idx="2841">
                  <c:v>416000</c:v>
                </c:pt>
                <c:pt idx="2842">
                  <c:v>368000</c:v>
                </c:pt>
                <c:pt idx="2843">
                  <c:v>386000</c:v>
                </c:pt>
                <c:pt idx="2844">
                  <c:v>368000</c:v>
                </c:pt>
                <c:pt idx="2845">
                  <c:v>424000</c:v>
                </c:pt>
                <c:pt idx="2846">
                  <c:v>399000</c:v>
                </c:pt>
                <c:pt idx="2847">
                  <c:v>387000</c:v>
                </c:pt>
                <c:pt idx="2848">
                  <c:v>377000</c:v>
                </c:pt>
                <c:pt idx="2849">
                  <c:v>349000</c:v>
                </c:pt>
                <c:pt idx="2850">
                  <c:v>354000</c:v>
                </c:pt>
                <c:pt idx="2851">
                  <c:v>345000</c:v>
                </c:pt>
                <c:pt idx="2852">
                  <c:v>312000</c:v>
                </c:pt>
                <c:pt idx="2853">
                  <c:v>335000</c:v>
                </c:pt>
                <c:pt idx="2854">
                  <c:v>351000</c:v>
                </c:pt>
                <c:pt idx="2855">
                  <c:v>364000</c:v>
                </c:pt>
                <c:pt idx="2856">
                  <c:v>329000</c:v>
                </c:pt>
                <c:pt idx="2857">
                  <c:v>296000</c:v>
                </c:pt>
                <c:pt idx="2858">
                  <c:v>291000</c:v>
                </c:pt>
                <c:pt idx="2859">
                  <c:v>283000</c:v>
                </c:pt>
                <c:pt idx="2860">
                  <c:v>271000</c:v>
                </c:pt>
                <c:pt idx="2861">
                  <c:v>269000</c:v>
                </c:pt>
                <c:pt idx="2862">
                  <c:v>270000</c:v>
                </c:pt>
                <c:pt idx="2863">
                  <c:v>194000</c:v>
                </c:pt>
                <c:pt idx="2864">
                  <c:v>227000</c:v>
                </c:pt>
                <c:pt idx="2865">
                  <c:v>188000</c:v>
                </c:pt>
                <c:pt idx="2866">
                  <c:v>206000</c:v>
                </c:pt>
                <c:pt idx="2867">
                  <c:v>206000</c:v>
                </c:pt>
                <c:pt idx="2868">
                  <c:v>200000</c:v>
                </c:pt>
                <c:pt idx="2869">
                  <c:v>207000</c:v>
                </c:pt>
                <c:pt idx="2870">
                  <c:v>231000</c:v>
                </c:pt>
              </c:numCache>
            </c:numRef>
          </c:val>
          <c:smooth val="0"/>
          <c:extLst>
            <c:ext xmlns:c16="http://schemas.microsoft.com/office/drawing/2014/chart" uri="{C3380CC4-5D6E-409C-BE32-E72D297353CC}">
              <c16:uniqueId val="{00000000-B97A-E14E-BE1E-915EADF66EEB}"/>
            </c:ext>
          </c:extLst>
        </c:ser>
        <c:dLbls>
          <c:showLegendKey val="0"/>
          <c:showVal val="0"/>
          <c:showCatName val="0"/>
          <c:showSerName val="0"/>
          <c:showPercent val="0"/>
          <c:showBubbleSize val="0"/>
        </c:dLbls>
        <c:smooth val="0"/>
        <c:axId val="1717239216"/>
        <c:axId val="1717239544"/>
      </c:lineChart>
      <c:dateAx>
        <c:axId val="1717239216"/>
        <c:scaling>
          <c:orientation val="minMax"/>
          <c:max val="4456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NFP!$A$300:$A$1025</c:f>
              <c:numCache>
                <c:formatCode>yyyy\-mm\-dd</c:formatCode>
                <c:ptCount val="726"/>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numCache>
            </c:numRef>
          </c:cat>
          <c:val>
            <c:numRef>
              <c:f>NFP!$C$300:$C$1025</c:f>
              <c:numCache>
                <c:formatCode>0</c:formatCode>
                <c:ptCount val="726"/>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numCache>
            </c:numRef>
          </c:val>
          <c:smooth val="0"/>
          <c:extLst>
            <c:ext xmlns:c16="http://schemas.microsoft.com/office/drawing/2014/chart" uri="{C3380CC4-5D6E-409C-BE32-E72D297353CC}">
              <c16:uniqueId val="{00000000-82BB-6143-A5F8-0C2EC80C6447}"/>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NFP!$A$800:$A$1025</c:f>
              <c:numCache>
                <c:formatCode>yyyy\-mm\-dd</c:formatCode>
                <c:ptCount val="226"/>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numCache>
            </c:numRef>
          </c:cat>
          <c:val>
            <c:numRef>
              <c:f>NFP!$C$800:$C$1025</c:f>
              <c:numCache>
                <c:formatCode>0</c:formatCode>
                <c:ptCount val="226"/>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numCache>
            </c:numRef>
          </c:val>
          <c:smooth val="0"/>
          <c:extLst>
            <c:ext xmlns:c16="http://schemas.microsoft.com/office/drawing/2014/chart" uri="{C3380CC4-5D6E-409C-BE32-E72D297353CC}">
              <c16:uniqueId val="{00000000-645F-C141-8C8D-64C5FD787999}"/>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NFP!$A$13:$A$1025</c:f>
              <c:numCache>
                <c:formatCode>yyyy\-mm\-dd</c:formatCode>
                <c:ptCount val="1013"/>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numCache>
            </c:numRef>
          </c:cat>
          <c:val>
            <c:numRef>
              <c:f>NFP!$C$13:$C$1025</c:f>
              <c:numCache>
                <c:formatCode>0</c:formatCode>
                <c:ptCount val="1013"/>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numCache>
            </c:numRef>
          </c:val>
          <c:extLst>
            <c:ext xmlns:c16="http://schemas.microsoft.com/office/drawing/2014/chart" uri="{C3380CC4-5D6E-409C-BE32-E72D297353CC}">
              <c16:uniqueId val="{00000000-8595-2A42-A360-3727D9B19050}"/>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NFP!$A$13:$A$1025</c:f>
              <c:numCache>
                <c:formatCode>yyyy\-mm\-dd</c:formatCode>
                <c:ptCount val="1013"/>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numCache>
            </c:numRef>
          </c:cat>
          <c:val>
            <c:numRef>
              <c:f>NFP!$C$13:$C$1025</c:f>
              <c:numCache>
                <c:formatCode>0</c:formatCode>
                <c:ptCount val="1013"/>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numCache>
            </c:numRef>
          </c:val>
          <c:extLst>
            <c:ext xmlns:c16="http://schemas.microsoft.com/office/drawing/2014/chart" uri="{C3380CC4-5D6E-409C-BE32-E72D297353CC}">
              <c16:uniqueId val="{00000000-360A-6648-8C02-573D3C1CDBCE}"/>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numCache>
            </c:numRef>
          </c:val>
          <c:smooth val="0"/>
          <c:extLst>
            <c:ext xmlns:c16="http://schemas.microsoft.com/office/drawing/2014/chart" uri="{C3380CC4-5D6E-409C-BE32-E72D297353CC}">
              <c16:uniqueId val="{00000000-4736-1346-A434-23468CA02470}"/>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numCache>
            </c:numRef>
          </c:val>
          <c:smooth val="0"/>
          <c:extLst>
            <c:ext xmlns:c16="http://schemas.microsoft.com/office/drawing/2014/chart" uri="{C3380CC4-5D6E-409C-BE32-E72D297353CC}">
              <c16:uniqueId val="{00000000-DAB6-3646-A9AC-6204A869EF6C}"/>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ADP!$B$6:$B$253</c:f>
              <c:numCache>
                <c:formatCode>0.00</c:formatCode>
                <c:ptCount val="248"/>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numCache>
            </c:numRef>
          </c:val>
          <c:smooth val="0"/>
          <c:extLst>
            <c:ext xmlns:c16="http://schemas.microsoft.com/office/drawing/2014/chart" uri="{C3380CC4-5D6E-409C-BE32-E72D297353CC}">
              <c16:uniqueId val="{00000000-71DC-FE4A-A1CF-55D334A2E127}"/>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ADP!$C$6:$C$253</c:f>
              <c:numCache>
                <c:formatCode>0.00</c:formatCode>
                <c:ptCount val="248"/>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340</c:v>
                </c:pt>
              </c:numCache>
            </c:numRef>
          </c:val>
          <c:smooth val="0"/>
          <c:extLst>
            <c:ext xmlns:c16="http://schemas.microsoft.com/office/drawing/2014/chart" uri="{C3380CC4-5D6E-409C-BE32-E72D297353CC}">
              <c16:uniqueId val="{00000001-71DC-FE4A-A1CF-55D334A2E127}"/>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9525</xdr:colOff>
      <xdr:row>938</xdr:row>
      <xdr:rowOff>9524</xdr:rowOff>
    </xdr:from>
    <xdr:to>
      <xdr:col>19</xdr:col>
      <xdr:colOff>600075</xdr:colOff>
      <xdr:row>958</xdr:row>
      <xdr:rowOff>190499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24340</xdr:colOff>
      <xdr:row>960</xdr:row>
      <xdr:rowOff>10583</xdr:rowOff>
    </xdr:from>
    <xdr:to>
      <xdr:col>19</xdr:col>
      <xdr:colOff>635000</xdr:colOff>
      <xdr:row>984</xdr:row>
      <xdr:rowOff>116417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304553</xdr:colOff>
      <xdr:row>2847</xdr:row>
      <xdr:rowOff>26131</xdr:rowOff>
    </xdr:from>
    <xdr:to>
      <xdr:col>14</xdr:col>
      <xdr:colOff>504579</xdr:colOff>
      <xdr:row>2867</xdr:row>
      <xdr:rowOff>16606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341923</xdr:colOff>
      <xdr:row>227</xdr:row>
      <xdr:rowOff>54706</xdr:rowOff>
    </xdr:from>
    <xdr:to>
      <xdr:col>14</xdr:col>
      <xdr:colOff>427649</xdr:colOff>
      <xdr:row>249</xdr:row>
      <xdr:rowOff>164366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7" totalsRowShown="0" headerRowDxfId="21" dataDxfId="20">
  <autoFilter ref="A11:F1007"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3" totalsRowShown="0" headerRowDxfId="6" dataDxfId="5">
  <autoFilter ref="A5:C253"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40" zoomScaleNormal="140" workbookViewId="0">
      <selection activeCell="L243" sqref="L243"/>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32" width="9.1640625" style="59" customWidth="1"/>
    <col min="33"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44470</v>
      </c>
      <c r="Q14" s="37">
        <f>DATE(YEAR(P14),MONTH(P14)-1,DAY(P14))</f>
        <v>44440</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148401</v>
      </c>
      <c r="Q16" s="41">
        <f>VLOOKUP($Q$14,Database!A:D,MATCH(Note!S16,Database!A1:D1,),)</f>
        <v>147855</v>
      </c>
      <c r="R16" s="44">
        <f>P16-Q16</f>
        <v>546</v>
      </c>
      <c r="S16" s="42" t="s">
        <v>16</v>
      </c>
    </row>
    <row r="17" spans="2:19" x14ac:dyDescent="0.2">
      <c r="B17" s="4" t="s">
        <v>16</v>
      </c>
      <c r="G17" s="59" t="s">
        <v>17</v>
      </c>
      <c r="N17" s="69" t="s">
        <v>18</v>
      </c>
      <c r="O17" s="66"/>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59" t="s">
        <v>20</v>
      </c>
      <c r="N18" s="70" t="s">
        <v>21</v>
      </c>
      <c r="O18" s="71"/>
      <c r="P18" s="52">
        <f>VLOOKUP($P$14,Database!A:D,MATCH(Note!S18,Database!A1:D1,),)</f>
        <v>61.6</v>
      </c>
      <c r="Q18" s="52">
        <f>VLOOKUP($Q$14,Database!A:D,MATCH(Note!S18,Database!A1:D1,),)</f>
        <v>61.6</v>
      </c>
      <c r="R18" s="53">
        <f>P18-Q18</f>
        <v>0</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7"/>
  <sheetViews>
    <sheetView workbookViewId="0">
      <pane ySplit="1" topLeftCell="A934"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73"/>
  <sheetViews>
    <sheetView workbookViewId="0">
      <pane ySplit="1" topLeftCell="A2820"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3" width="8.83203125" style="49" customWidth="1"/>
    <col min="14"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C2873">
        <v>286000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49"/>
  <sheetViews>
    <sheetView workbookViewId="0">
      <pane ySplit="1" topLeftCell="A185"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2" width="8.83203125" style="49" customWidth="1"/>
    <col min="13"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1" tint="0.499984740745262"/>
  </sheetPr>
  <dimension ref="A1:AL818"/>
  <sheetViews>
    <sheetView workbookViewId="0">
      <pane xSplit="1" ySplit="1" topLeftCell="B762"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19" width="9.1640625" style="49" customWidth="1"/>
    <col min="20" max="16384" width="9.1640625" style="49"/>
  </cols>
  <sheetData>
    <row r="1" spans="1:38" x14ac:dyDescent="0.2">
      <c r="A1" t="s">
        <v>36</v>
      </c>
      <c r="B1" t="s">
        <v>53</v>
      </c>
      <c r="C1" t="s">
        <v>54</v>
      </c>
      <c r="D1" t="s">
        <v>55</v>
      </c>
      <c r="E1" t="s">
        <v>56</v>
      </c>
      <c r="F1" t="s">
        <v>57</v>
      </c>
      <c r="G1" t="s">
        <v>58</v>
      </c>
      <c r="H1" t="s">
        <v>59</v>
      </c>
      <c r="I1" t="s">
        <v>60</v>
      </c>
      <c r="J1" t="s">
        <v>61</v>
      </c>
      <c r="K1" t="s">
        <v>62</v>
      </c>
      <c r="L1" t="s">
        <v>63</v>
      </c>
      <c r="M1" t="s">
        <v>64</v>
      </c>
      <c r="N1" t="s">
        <v>65</v>
      </c>
      <c r="O1" t="s">
        <v>66</v>
      </c>
      <c r="P1" t="s">
        <v>67</v>
      </c>
      <c r="Q1" t="s">
        <v>68</v>
      </c>
      <c r="R1" t="s">
        <v>69</v>
      </c>
      <c r="S1" t="s">
        <v>70</v>
      </c>
      <c r="T1" t="s">
        <v>71</v>
      </c>
      <c r="U1" t="s">
        <v>72</v>
      </c>
      <c r="V1" t="s">
        <v>73</v>
      </c>
      <c r="W1" t="s">
        <v>74</v>
      </c>
      <c r="X1" t="s">
        <v>75</v>
      </c>
      <c r="Y1" t="s">
        <v>76</v>
      </c>
      <c r="Z1" t="s">
        <v>77</v>
      </c>
      <c r="AA1" t="s">
        <v>78</v>
      </c>
      <c r="AB1" t="s">
        <v>79</v>
      </c>
      <c r="AC1" t="s">
        <v>80</v>
      </c>
      <c r="AD1" t="s">
        <v>81</v>
      </c>
      <c r="AE1" t="s">
        <v>82</v>
      </c>
      <c r="AF1" t="s">
        <v>83</v>
      </c>
      <c r="AG1" t="s">
        <v>84</v>
      </c>
      <c r="AH1" t="s">
        <v>85</v>
      </c>
      <c r="AI1" t="s">
        <v>86</v>
      </c>
      <c r="AJ1" t="s">
        <v>87</v>
      </c>
      <c r="AK1" t="s">
        <v>88</v>
      </c>
      <c r="AL1" t="s">
        <v>89</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H804">
        <v>2.2000000000000002</v>
      </c>
      <c r="I804">
        <v>3.2</v>
      </c>
      <c r="J804">
        <v>5</v>
      </c>
      <c r="K804">
        <v>7.2</v>
      </c>
      <c r="L804">
        <v>14.1</v>
      </c>
      <c r="M804">
        <v>5</v>
      </c>
      <c r="N804">
        <v>6.8</v>
      </c>
      <c r="O804">
        <v>7.5</v>
      </c>
      <c r="P804">
        <v>4.5184240000000004</v>
      </c>
      <c r="R804">
        <v>13.4</v>
      </c>
      <c r="S804">
        <v>3.8</v>
      </c>
      <c r="T804">
        <v>5.2</v>
      </c>
      <c r="U804">
        <v>5</v>
      </c>
      <c r="V804">
        <v>4.5244220000000004</v>
      </c>
      <c r="W804">
        <v>9.1999999999999993</v>
      </c>
      <c r="X804">
        <v>2.8</v>
      </c>
      <c r="Y804">
        <v>3.1</v>
      </c>
      <c r="Z804">
        <v>5</v>
      </c>
      <c r="AA804">
        <v>7.3</v>
      </c>
      <c r="AB804">
        <v>3.796662</v>
      </c>
      <c r="AC804">
        <v>2.7</v>
      </c>
      <c r="AE804">
        <v>5.4992460000000003</v>
      </c>
      <c r="AF804">
        <v>3</v>
      </c>
      <c r="AG804">
        <v>6.3</v>
      </c>
      <c r="AH804">
        <v>6.3</v>
      </c>
      <c r="AI804">
        <v>4.8</v>
      </c>
      <c r="AJ804">
        <v>8.3000000000000007</v>
      </c>
      <c r="AK804">
        <v>11.2</v>
      </c>
      <c r="AL804">
        <v>4.2</v>
      </c>
    </row>
    <row r="805" spans="1:38" x14ac:dyDescent="0.2">
      <c r="A805" s="61">
        <v>44531</v>
      </c>
      <c r="E805">
        <v>5.9</v>
      </c>
      <c r="Y805">
        <v>3.8</v>
      </c>
      <c r="AL805">
        <v>3.9</v>
      </c>
    </row>
    <row r="806" spans="1:38" x14ac:dyDescent="0.2">
      <c r="A806" s="61">
        <v>44562</v>
      </c>
    </row>
    <row r="807" spans="1:38" x14ac:dyDescent="0.2">
      <c r="A807" s="61">
        <v>44593</v>
      </c>
    </row>
    <row r="808" spans="1:38" x14ac:dyDescent="0.2">
      <c r="A808" s="61">
        <v>44621</v>
      </c>
    </row>
    <row r="809" spans="1:38" x14ac:dyDescent="0.2">
      <c r="A809" s="61">
        <v>44652</v>
      </c>
    </row>
    <row r="810" spans="1:38" x14ac:dyDescent="0.2">
      <c r="A810" s="61">
        <v>44682</v>
      </c>
    </row>
    <row r="811" spans="1:38" x14ac:dyDescent="0.2">
      <c r="A811" s="61">
        <v>44713</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AJ1007"/>
  <sheetViews>
    <sheetView zoomScale="120" zoomScaleNormal="120" workbookViewId="0">
      <pane ySplit="11" topLeftCell="A972" activePane="bottomLeft" state="frozen"/>
      <selection activeCell="F8" sqref="F8"/>
      <selection pane="bottomLeft" activeCell="J1003" sqref="J1003"/>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38</v>
      </c>
      <c r="C1" s="15"/>
      <c r="D1" s="15"/>
      <c r="E1" s="15"/>
      <c r="F1" s="15"/>
    </row>
    <row r="2" spans="1:36" s="59" customFormat="1" ht="16" customHeight="1" thickBot="1" x14ac:dyDescent="0.25">
      <c r="B2" s="15"/>
      <c r="C2" s="15"/>
      <c r="D2" s="15"/>
      <c r="E2" s="15"/>
      <c r="F2" s="15"/>
    </row>
    <row r="3" spans="1:36" s="59" customFormat="1" x14ac:dyDescent="0.2">
      <c r="B3" s="15"/>
      <c r="C3" s="22" t="s">
        <v>39</v>
      </c>
      <c r="D3" s="18">
        <f>MAX(C13:C1030)</f>
        <v>4846</v>
      </c>
      <c r="E3" s="15"/>
      <c r="F3" s="16"/>
    </row>
    <row r="4" spans="1:36" s="59" customFormat="1" x14ac:dyDescent="0.2">
      <c r="A4" s="17"/>
      <c r="B4" s="15"/>
      <c r="C4" s="23" t="s">
        <v>40</v>
      </c>
      <c r="D4" s="19">
        <f>MIN(C13:C1030)</f>
        <v>-20679</v>
      </c>
      <c r="E4" s="15"/>
      <c r="F4" s="15"/>
    </row>
    <row r="5" spans="1:36" s="59" customFormat="1" x14ac:dyDescent="0.2">
      <c r="B5" s="15"/>
      <c r="C5" s="23" t="s">
        <v>41</v>
      </c>
      <c r="D5" s="20">
        <f>AVERAGE(C13:C1530)</f>
        <v>119.62613065326633</v>
      </c>
      <c r="E5" s="15"/>
      <c r="F5" s="15"/>
    </row>
    <row r="6" spans="1:36" s="59" customFormat="1" ht="16" customHeight="1" thickBot="1" x14ac:dyDescent="0.25">
      <c r="B6" s="15"/>
      <c r="C6" s="24" t="s">
        <v>42</v>
      </c>
      <c r="D6" s="21">
        <f>AVERAGE(C864:C1030)</f>
        <v>133.07638888888889</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43</v>
      </c>
      <c r="B10" s="15"/>
      <c r="C10" s="15"/>
      <c r="D10" s="15"/>
      <c r="E10" s="15"/>
      <c r="F10" s="15"/>
    </row>
    <row r="11" spans="1:36" s="48" customFormat="1" ht="32" customHeight="1" x14ac:dyDescent="0.2">
      <c r="A11" s="14" t="s">
        <v>44</v>
      </c>
      <c r="B11" s="5" t="s">
        <v>16</v>
      </c>
      <c r="C11" s="5" t="s">
        <v>45</v>
      </c>
      <c r="D11" s="14" t="s">
        <v>46</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59">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59">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59">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59">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59">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59">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59">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59">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59">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07"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07"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sheetData>
  <conditionalFormatting sqref="C864:C1007">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50"/>
  </sheetPr>
  <dimension ref="A1:FL3062"/>
  <sheetViews>
    <sheetView zoomScale="130" zoomScaleNormal="130" workbookViewId="0">
      <pane ySplit="4" topLeftCell="A2836" activePane="bottomLeft" state="frozen"/>
      <selection activeCell="K1" sqref="K1"/>
      <selection pane="bottomLeft" activeCell="G2874" sqref="G287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44</v>
      </c>
      <c r="B4" s="30" t="s">
        <v>25</v>
      </c>
      <c r="C4" s="30" t="s">
        <v>12</v>
      </c>
      <c r="D4" s="30" t="s">
        <v>47</v>
      </c>
      <c r="E4" s="30" t="s">
        <v>48</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59" customFormat="1" x14ac:dyDescent="0.2">
      <c r="A2745" s="28">
        <v>43659</v>
      </c>
      <c r="B2745" s="25">
        <f>VLOOKUP(A2745,'Database Claims'!$A:$C,3,)</f>
        <v>217000</v>
      </c>
      <c r="C2745" s="29">
        <f t="shared" si="84"/>
        <v>12000</v>
      </c>
      <c r="D2745" s="25">
        <f>VLOOKUP(A2745,'Database Claims'!$A:$C,2,)</f>
        <v>1679000</v>
      </c>
      <c r="E2745" s="29">
        <f t="shared" si="85"/>
        <v>-9000</v>
      </c>
    </row>
    <row r="2746" spans="1:5" s="59" customFormat="1" x14ac:dyDescent="0.2">
      <c r="A2746" s="28">
        <v>43666</v>
      </c>
      <c r="B2746" s="29">
        <f>VLOOKUP(A2746,'Database Claims'!$A:$C,3,)</f>
        <v>210000</v>
      </c>
      <c r="C2746" s="29">
        <f t="shared" si="84"/>
        <v>-7000</v>
      </c>
      <c r="D2746" s="29">
        <f>VLOOKUP(A2746,'Database Claims'!$A:$C,2,)</f>
        <v>1692000</v>
      </c>
      <c r="E2746" s="29">
        <f t="shared" si="85"/>
        <v>13000</v>
      </c>
    </row>
    <row r="2747" spans="1:5" s="59" customFormat="1" x14ac:dyDescent="0.2">
      <c r="A2747" s="28">
        <v>43673</v>
      </c>
      <c r="B2747" s="25">
        <f>VLOOKUP(A2747,'Database Claims'!$A:$C,3,)</f>
        <v>216000</v>
      </c>
      <c r="C2747" s="29">
        <f t="shared" si="84"/>
        <v>6000</v>
      </c>
      <c r="D2747" s="25">
        <f>VLOOKUP(A2747,'Database Claims'!$A:$C,2,)</f>
        <v>1689000</v>
      </c>
      <c r="E2747" s="29">
        <f t="shared" si="85"/>
        <v>-3000</v>
      </c>
    </row>
    <row r="2748" spans="1:5" s="59" customFormat="1" x14ac:dyDescent="0.2">
      <c r="A2748" s="28">
        <v>43680</v>
      </c>
      <c r="B2748" s="29">
        <f>VLOOKUP(A2748,'Database Claims'!$A:$C,3,)</f>
        <v>214000</v>
      </c>
      <c r="C2748" s="29">
        <f t="shared" si="84"/>
        <v>-2000</v>
      </c>
      <c r="D2748" s="29">
        <f>VLOOKUP(A2748,'Database Claims'!$A:$C,2,)</f>
        <v>1714000</v>
      </c>
      <c r="E2748" s="29">
        <f t="shared" si="85"/>
        <v>25000</v>
      </c>
    </row>
    <row r="2749" spans="1:5" s="59" customFormat="1" x14ac:dyDescent="0.2">
      <c r="A2749" s="28">
        <v>43687</v>
      </c>
      <c r="B2749" s="25">
        <f>VLOOKUP(A2749,'Database Claims'!$A:$C,3,)</f>
        <v>218000</v>
      </c>
      <c r="C2749" s="29">
        <f t="shared" si="84"/>
        <v>4000</v>
      </c>
      <c r="D2749" s="25">
        <f>VLOOKUP(A2749,'Database Claims'!$A:$C,2,)</f>
        <v>1682000</v>
      </c>
      <c r="E2749" s="29">
        <f t="shared" si="85"/>
        <v>-32000</v>
      </c>
    </row>
    <row r="2750" spans="1:5" s="59" customFormat="1" x14ac:dyDescent="0.2">
      <c r="A2750" s="28">
        <v>43694</v>
      </c>
      <c r="B2750" s="29">
        <f>VLOOKUP(A2750,'Database Claims'!$A:$C,3,)</f>
        <v>214000</v>
      </c>
      <c r="C2750" s="29">
        <f t="shared" si="84"/>
        <v>-4000</v>
      </c>
      <c r="D2750" s="29">
        <f>VLOOKUP(A2750,'Database Claims'!$A:$C,2,)</f>
        <v>1697000</v>
      </c>
      <c r="E2750" s="29">
        <f t="shared" si="85"/>
        <v>15000</v>
      </c>
    </row>
    <row r="2751" spans="1:5" s="59" customFormat="1" x14ac:dyDescent="0.2">
      <c r="A2751" s="28">
        <v>43701</v>
      </c>
      <c r="B2751" s="25">
        <f>VLOOKUP(A2751,'Database Claims'!$A:$C,3,)</f>
        <v>215000</v>
      </c>
      <c r="C2751" s="29">
        <f t="shared" si="84"/>
        <v>1000</v>
      </c>
      <c r="D2751" s="25">
        <f>VLOOKUP(A2751,'Database Claims'!$A:$C,2,)</f>
        <v>1678000</v>
      </c>
      <c r="E2751" s="29">
        <f t="shared" si="85"/>
        <v>-19000</v>
      </c>
    </row>
    <row r="2752" spans="1:5" s="59" customFormat="1" x14ac:dyDescent="0.2">
      <c r="A2752" s="28">
        <v>43708</v>
      </c>
      <c r="B2752" s="29">
        <f>VLOOKUP(A2752,'Database Claims'!$A:$C,3,)</f>
        <v>218000</v>
      </c>
      <c r="C2752" s="29">
        <f t="shared" si="84"/>
        <v>3000</v>
      </c>
      <c r="D2752" s="29">
        <f>VLOOKUP(A2752,'Database Claims'!$A:$C,2,)</f>
        <v>1679000</v>
      </c>
      <c r="E2752" s="29">
        <f t="shared" si="85"/>
        <v>1000</v>
      </c>
    </row>
    <row r="2753" spans="1:5" s="59" customFormat="1" x14ac:dyDescent="0.2">
      <c r="A2753" s="28">
        <v>43715</v>
      </c>
      <c r="B2753" s="25">
        <f>VLOOKUP(A2753,'Database Claims'!$A:$C,3,)</f>
        <v>208000</v>
      </c>
      <c r="C2753" s="29">
        <f t="shared" si="84"/>
        <v>-10000</v>
      </c>
      <c r="D2753" s="25">
        <f>VLOOKUP(A2753,'Database Claims'!$A:$C,2,)</f>
        <v>1673000</v>
      </c>
      <c r="E2753" s="29">
        <f t="shared" si="85"/>
        <v>-6000</v>
      </c>
    </row>
    <row r="2754" spans="1:5" s="59" customFormat="1" x14ac:dyDescent="0.2">
      <c r="A2754" s="28">
        <v>43722</v>
      </c>
      <c r="B2754" s="29">
        <f>VLOOKUP(A2754,'Database Claims'!$A:$C,3,)</f>
        <v>211000</v>
      </c>
      <c r="C2754" s="29">
        <f t="shared" si="84"/>
        <v>3000</v>
      </c>
      <c r="D2754" s="29">
        <f>VLOOKUP(A2754,'Database Claims'!$A:$C,2,)</f>
        <v>1668000</v>
      </c>
      <c r="E2754" s="29">
        <f t="shared" si="85"/>
        <v>-5000</v>
      </c>
    </row>
    <row r="2755" spans="1:5" s="59" customFormat="1" x14ac:dyDescent="0.2">
      <c r="A2755" s="28">
        <v>43729</v>
      </c>
      <c r="B2755" s="25">
        <f>VLOOKUP(A2755,'Database Claims'!$A:$C,3,)</f>
        <v>215000</v>
      </c>
      <c r="C2755" s="29">
        <f t="shared" si="84"/>
        <v>4000</v>
      </c>
      <c r="D2755" s="25">
        <f>VLOOKUP(A2755,'Database Claims'!$A:$C,2,)</f>
        <v>1665000</v>
      </c>
      <c r="E2755" s="29">
        <f t="shared" si="85"/>
        <v>-3000</v>
      </c>
    </row>
    <row r="2756" spans="1:5" s="59" customFormat="1" x14ac:dyDescent="0.2">
      <c r="A2756" s="28">
        <v>43736</v>
      </c>
      <c r="B2756" s="29">
        <f>VLOOKUP(A2756,'Database Claims'!$A:$C,3,)</f>
        <v>217000</v>
      </c>
      <c r="C2756" s="29">
        <f t="shared" si="84"/>
        <v>2000</v>
      </c>
      <c r="D2756" s="29">
        <f>VLOOKUP(A2756,'Database Claims'!$A:$C,2,)</f>
        <v>1696000</v>
      </c>
      <c r="E2756" s="29">
        <f t="shared" si="85"/>
        <v>31000</v>
      </c>
    </row>
    <row r="2757" spans="1:5" s="59" customFormat="1" x14ac:dyDescent="0.2">
      <c r="A2757" s="28">
        <v>43743</v>
      </c>
      <c r="B2757" s="25">
        <f>VLOOKUP(A2757,'Database Claims'!$A:$C,3,)</f>
        <v>212000</v>
      </c>
      <c r="C2757" s="29">
        <f t="shared" si="84"/>
        <v>-5000</v>
      </c>
      <c r="D2757" s="25">
        <f>VLOOKUP(A2757,'Database Claims'!$A:$C,2,)</f>
        <v>1687000</v>
      </c>
      <c r="E2757" s="29">
        <f t="shared" si="85"/>
        <v>-9000</v>
      </c>
    </row>
    <row r="2758" spans="1:5" s="59"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59" customFormat="1" x14ac:dyDescent="0.2">
      <c r="A2759" s="28">
        <v>43757</v>
      </c>
      <c r="B2759" s="25">
        <f>VLOOKUP(A2759,'Database Claims'!$A:$C,3,)</f>
        <v>212000</v>
      </c>
      <c r="C2759" s="29">
        <f t="shared" si="86"/>
        <v>-5000</v>
      </c>
      <c r="D2759" s="25">
        <f>VLOOKUP(A2759,'Database Claims'!$A:$C,2,)</f>
        <v>1694000</v>
      </c>
      <c r="E2759" s="29">
        <f t="shared" si="87"/>
        <v>1000</v>
      </c>
    </row>
    <row r="2760" spans="1:5" s="59" customFormat="1" x14ac:dyDescent="0.2">
      <c r="A2760" s="28">
        <v>43764</v>
      </c>
      <c r="B2760" s="29">
        <f>VLOOKUP(A2760,'Database Claims'!$A:$C,3,)</f>
        <v>216000</v>
      </c>
      <c r="C2760" s="29">
        <f t="shared" si="86"/>
        <v>4000</v>
      </c>
      <c r="D2760" s="29">
        <f>VLOOKUP(A2760,'Database Claims'!$A:$C,2,)</f>
        <v>1695000</v>
      </c>
      <c r="E2760" s="29">
        <f t="shared" si="87"/>
        <v>1000</v>
      </c>
    </row>
    <row r="2761" spans="1:5" s="59" customFormat="1" x14ac:dyDescent="0.2">
      <c r="A2761" s="28">
        <v>43771</v>
      </c>
      <c r="B2761" s="25">
        <f>VLOOKUP(A2761,'Database Claims'!$A:$C,3,)</f>
        <v>211000</v>
      </c>
      <c r="C2761" s="29">
        <f t="shared" si="86"/>
        <v>-5000</v>
      </c>
      <c r="D2761" s="25">
        <f>VLOOKUP(A2761,'Database Claims'!$A:$C,2,)</f>
        <v>1692000</v>
      </c>
      <c r="E2761" s="29">
        <f t="shared" si="87"/>
        <v>-3000</v>
      </c>
    </row>
    <row r="2762" spans="1:5" s="59" customFormat="1" x14ac:dyDescent="0.2">
      <c r="A2762" s="28">
        <v>43778</v>
      </c>
      <c r="B2762" s="29">
        <f>VLOOKUP(A2762,'Database Claims'!$A:$C,3,)</f>
        <v>222000</v>
      </c>
      <c r="C2762" s="29">
        <f t="shared" si="86"/>
        <v>11000</v>
      </c>
      <c r="D2762" s="29">
        <f>VLOOKUP(A2762,'Database Claims'!$A:$C,2,)</f>
        <v>1695000</v>
      </c>
      <c r="E2762" s="29">
        <f t="shared" si="87"/>
        <v>3000</v>
      </c>
    </row>
    <row r="2763" spans="1:5" s="59" customFormat="1" x14ac:dyDescent="0.2">
      <c r="A2763" s="28">
        <v>43785</v>
      </c>
      <c r="B2763" s="25">
        <f>VLOOKUP(A2763,'Database Claims'!$A:$C,3,)</f>
        <v>221000</v>
      </c>
      <c r="C2763" s="29">
        <f t="shared" si="86"/>
        <v>-1000</v>
      </c>
      <c r="D2763" s="25">
        <f>VLOOKUP(A2763,'Database Claims'!$A:$C,2,)</f>
        <v>1678000</v>
      </c>
      <c r="E2763" s="29">
        <f t="shared" si="87"/>
        <v>-17000</v>
      </c>
    </row>
    <row r="2764" spans="1:5" s="59" customFormat="1" x14ac:dyDescent="0.2">
      <c r="A2764" s="28">
        <v>43792</v>
      </c>
      <c r="B2764" s="29">
        <f>VLOOKUP(A2764,'Database Claims'!$A:$C,3,)</f>
        <v>215000</v>
      </c>
      <c r="C2764" s="29">
        <f t="shared" si="86"/>
        <v>-6000</v>
      </c>
      <c r="D2764" s="29">
        <f>VLOOKUP(A2764,'Database Claims'!$A:$C,2,)</f>
        <v>1699000</v>
      </c>
      <c r="E2764" s="29">
        <f t="shared" si="87"/>
        <v>21000</v>
      </c>
    </row>
    <row r="2765" spans="1:5" s="59" customFormat="1" x14ac:dyDescent="0.2">
      <c r="A2765" s="28">
        <v>43799</v>
      </c>
      <c r="B2765" s="25">
        <f>VLOOKUP(A2765,'Database Claims'!$A:$C,3,)</f>
        <v>219000</v>
      </c>
      <c r="C2765" s="29">
        <f t="shared" si="86"/>
        <v>4000</v>
      </c>
      <c r="D2765" s="25">
        <f>VLOOKUP(A2765,'Database Claims'!$A:$C,2,)</f>
        <v>1705000</v>
      </c>
      <c r="E2765" s="29">
        <f t="shared" si="87"/>
        <v>6000</v>
      </c>
    </row>
    <row r="2766" spans="1:5" s="59" customFormat="1" x14ac:dyDescent="0.2">
      <c r="A2766" s="28">
        <v>43806</v>
      </c>
      <c r="B2766" s="29">
        <f>VLOOKUP(A2766,'Database Claims'!$A:$C,3,)</f>
        <v>238000</v>
      </c>
      <c r="C2766" s="29">
        <f t="shared" si="86"/>
        <v>19000</v>
      </c>
      <c r="D2766" s="29">
        <f>VLOOKUP(A2766,'Database Claims'!$A:$C,2,)</f>
        <v>1726000</v>
      </c>
      <c r="E2766" s="29">
        <f t="shared" si="87"/>
        <v>21000</v>
      </c>
    </row>
    <row r="2767" spans="1:5" s="59" customFormat="1" x14ac:dyDescent="0.2">
      <c r="A2767" s="28">
        <v>43813</v>
      </c>
      <c r="B2767" s="25">
        <f>VLOOKUP(A2767,'Database Claims'!$A:$C,3,)</f>
        <v>227000</v>
      </c>
      <c r="C2767" s="29">
        <f t="shared" si="86"/>
        <v>-11000</v>
      </c>
      <c r="D2767" s="25">
        <f>VLOOKUP(A2767,'Database Claims'!$A:$C,2,)</f>
        <v>1718000</v>
      </c>
      <c r="E2767" s="29">
        <f t="shared" si="87"/>
        <v>-8000</v>
      </c>
    </row>
    <row r="2768" spans="1:5" s="59" customFormat="1" x14ac:dyDescent="0.2">
      <c r="A2768" s="28">
        <v>43820</v>
      </c>
      <c r="B2768" s="29">
        <f>VLOOKUP(A2768,'Database Claims'!$A:$C,3,)</f>
        <v>218000</v>
      </c>
      <c r="C2768" s="29">
        <f t="shared" si="86"/>
        <v>-9000</v>
      </c>
      <c r="D2768" s="29">
        <f>VLOOKUP(A2768,'Database Claims'!$A:$C,2,)</f>
        <v>1725000</v>
      </c>
      <c r="E2768" s="29">
        <f t="shared" si="87"/>
        <v>7000</v>
      </c>
    </row>
    <row r="2769" spans="1:5" s="59" customFormat="1" x14ac:dyDescent="0.2">
      <c r="A2769" s="28">
        <v>43827</v>
      </c>
      <c r="B2769" s="25">
        <f>VLOOKUP(A2769,'Database Claims'!$A:$C,3,)</f>
        <v>218000</v>
      </c>
      <c r="C2769" s="29">
        <f t="shared" si="86"/>
        <v>0</v>
      </c>
      <c r="D2769" s="25">
        <f>VLOOKUP(A2769,'Database Claims'!$A:$C,2,)</f>
        <v>1779000</v>
      </c>
      <c r="E2769" s="29">
        <f t="shared" si="87"/>
        <v>54000</v>
      </c>
    </row>
    <row r="2770" spans="1:5" s="59" customFormat="1" x14ac:dyDescent="0.2">
      <c r="A2770" s="28">
        <v>43834</v>
      </c>
      <c r="B2770" s="29">
        <f>VLOOKUP(A2770,'Database Claims'!$A:$C,3,)</f>
        <v>210000</v>
      </c>
      <c r="C2770" s="29">
        <f t="shared" si="86"/>
        <v>-8000</v>
      </c>
      <c r="D2770" s="29">
        <f>VLOOKUP(A2770,'Database Claims'!$A:$C,2,)</f>
        <v>1766000</v>
      </c>
      <c r="E2770" s="29">
        <f t="shared" si="87"/>
        <v>-13000</v>
      </c>
    </row>
    <row r="2771" spans="1:5" s="59" customFormat="1" x14ac:dyDescent="0.2">
      <c r="A2771" s="28">
        <v>43841</v>
      </c>
      <c r="B2771" s="25">
        <f>VLOOKUP(A2771,'Database Claims'!$A:$C,3,)</f>
        <v>206000</v>
      </c>
      <c r="C2771" s="29">
        <f t="shared" si="86"/>
        <v>-4000</v>
      </c>
      <c r="D2771" s="25">
        <f>VLOOKUP(A2771,'Database Claims'!$A:$C,2,)</f>
        <v>1739000</v>
      </c>
      <c r="E2771" s="29">
        <f t="shared" si="87"/>
        <v>-27000</v>
      </c>
    </row>
    <row r="2772" spans="1:5" s="59" customFormat="1" x14ac:dyDescent="0.2">
      <c r="A2772" s="28">
        <v>43848</v>
      </c>
      <c r="B2772" s="29">
        <f>VLOOKUP(A2772,'Database Claims'!$A:$C,3,)</f>
        <v>219000</v>
      </c>
      <c r="C2772" s="29">
        <f t="shared" si="86"/>
        <v>13000</v>
      </c>
      <c r="D2772" s="29">
        <f>VLOOKUP(A2772,'Database Claims'!$A:$C,2,)</f>
        <v>1709000</v>
      </c>
      <c r="E2772" s="29">
        <f t="shared" si="87"/>
        <v>-30000</v>
      </c>
    </row>
    <row r="2773" spans="1:5" s="59" customFormat="1" x14ac:dyDescent="0.2">
      <c r="A2773" s="28">
        <v>43855</v>
      </c>
      <c r="B2773" s="25">
        <f>VLOOKUP(A2773,'Database Claims'!$A:$C,3,)</f>
        <v>210000</v>
      </c>
      <c r="C2773" s="29">
        <f t="shared" si="86"/>
        <v>-9000</v>
      </c>
      <c r="D2773" s="25">
        <f>VLOOKUP(A2773,'Database Claims'!$A:$C,2,)</f>
        <v>1752000</v>
      </c>
      <c r="E2773" s="29">
        <f t="shared" si="87"/>
        <v>43000</v>
      </c>
    </row>
    <row r="2774" spans="1:5" s="59" customFormat="1" x14ac:dyDescent="0.2">
      <c r="A2774" s="28">
        <v>43862</v>
      </c>
      <c r="B2774" s="29">
        <f>VLOOKUP(A2774,'Database Claims'!$A:$C,3,)</f>
        <v>205000</v>
      </c>
      <c r="C2774" s="29">
        <f t="shared" si="86"/>
        <v>-5000</v>
      </c>
      <c r="D2774" s="29">
        <f>VLOOKUP(A2774,'Database Claims'!$A:$C,2,)</f>
        <v>1698000</v>
      </c>
      <c r="E2774" s="29">
        <f t="shared" si="87"/>
        <v>-54000</v>
      </c>
    </row>
    <row r="2775" spans="1:5" s="59" customFormat="1" x14ac:dyDescent="0.2">
      <c r="A2775" s="28">
        <v>43869</v>
      </c>
      <c r="B2775" s="25">
        <f>VLOOKUP(A2775,'Database Claims'!$A:$C,3,)</f>
        <v>207000</v>
      </c>
      <c r="C2775" s="29">
        <f t="shared" si="86"/>
        <v>2000</v>
      </c>
      <c r="D2775" s="25">
        <f>VLOOKUP(A2775,'Database Claims'!$A:$C,2,)</f>
        <v>1734000</v>
      </c>
      <c r="E2775" s="29">
        <f t="shared" si="87"/>
        <v>36000</v>
      </c>
    </row>
    <row r="2776" spans="1:5" s="59" customFormat="1" x14ac:dyDescent="0.2">
      <c r="A2776" s="28">
        <v>43876</v>
      </c>
      <c r="B2776" s="29">
        <f>VLOOKUP(A2776,'Database Claims'!$A:$C,3,)</f>
        <v>215000</v>
      </c>
      <c r="C2776" s="29">
        <f t="shared" si="86"/>
        <v>8000</v>
      </c>
      <c r="D2776" s="29">
        <f>VLOOKUP(A2776,'Database Claims'!$A:$C,2,)</f>
        <v>1705000</v>
      </c>
      <c r="E2776" s="29">
        <f t="shared" si="87"/>
        <v>-29000</v>
      </c>
    </row>
    <row r="2777" spans="1:5" s="59" customFormat="1" x14ac:dyDescent="0.2">
      <c r="A2777" s="28">
        <v>43883</v>
      </c>
      <c r="B2777" s="25">
        <f>VLOOKUP(A2777,'Database Claims'!$A:$C,3,)</f>
        <v>218000</v>
      </c>
      <c r="C2777" s="29">
        <f t="shared" si="86"/>
        <v>3000</v>
      </c>
      <c r="D2777" s="25">
        <f>VLOOKUP(A2777,'Database Claims'!$A:$C,2,)</f>
        <v>1730000</v>
      </c>
      <c r="E2777" s="29">
        <f t="shared" si="87"/>
        <v>25000</v>
      </c>
    </row>
    <row r="2778" spans="1:5" s="59" customFormat="1" x14ac:dyDescent="0.2">
      <c r="A2778" s="28">
        <v>43890</v>
      </c>
      <c r="B2778" s="29">
        <f>VLOOKUP(A2778,'Database Claims'!$A:$C,3,)</f>
        <v>216000</v>
      </c>
      <c r="C2778" s="29">
        <f t="shared" si="86"/>
        <v>-2000</v>
      </c>
      <c r="D2778" s="29">
        <f>VLOOKUP(A2778,'Database Claims'!$A:$C,2,)</f>
        <v>1708000</v>
      </c>
      <c r="E2778" s="29">
        <f t="shared" si="87"/>
        <v>-22000</v>
      </c>
    </row>
    <row r="2779" spans="1:5" s="59" customFormat="1" x14ac:dyDescent="0.2">
      <c r="A2779" s="28">
        <v>43897</v>
      </c>
      <c r="B2779" s="25">
        <f>VLOOKUP(A2779,'Database Claims'!$A:$C,3,)</f>
        <v>212000</v>
      </c>
      <c r="C2779" s="29">
        <f t="shared" si="86"/>
        <v>-4000</v>
      </c>
      <c r="D2779" s="25">
        <f>VLOOKUP(A2779,'Database Claims'!$A:$C,2,)</f>
        <v>1715000</v>
      </c>
      <c r="E2779" s="29">
        <f t="shared" si="87"/>
        <v>7000</v>
      </c>
    </row>
    <row r="2780" spans="1:5" s="59" customFormat="1" x14ac:dyDescent="0.2">
      <c r="A2780" s="28">
        <v>43904</v>
      </c>
      <c r="B2780" s="29">
        <f>VLOOKUP(A2780,'Database Claims'!$A:$C,3,)</f>
        <v>256000</v>
      </c>
      <c r="C2780" s="29">
        <f t="shared" si="86"/>
        <v>44000</v>
      </c>
      <c r="D2780" s="29">
        <f>VLOOKUP(A2780,'Database Claims'!$A:$C,2,)</f>
        <v>1770000</v>
      </c>
      <c r="E2780" s="29">
        <f t="shared" si="87"/>
        <v>55000</v>
      </c>
    </row>
    <row r="2781" spans="1:5" s="59" customFormat="1" x14ac:dyDescent="0.2">
      <c r="A2781" s="28">
        <v>43911</v>
      </c>
      <c r="B2781" s="25">
        <f>VLOOKUP(A2781,'Database Claims'!$A:$C,3,)</f>
        <v>2923000</v>
      </c>
      <c r="C2781" s="29">
        <f t="shared" si="86"/>
        <v>2667000</v>
      </c>
      <c r="D2781" s="25">
        <f>VLOOKUP(A2781,'Database Claims'!$A:$C,2,)</f>
        <v>3094000</v>
      </c>
      <c r="E2781" s="29">
        <f t="shared" si="87"/>
        <v>1324000</v>
      </c>
    </row>
    <row r="2782" spans="1:5" s="59" customFormat="1" x14ac:dyDescent="0.2">
      <c r="A2782" s="28">
        <v>43918</v>
      </c>
      <c r="B2782" s="29">
        <f>VLOOKUP(A2782,'Database Claims'!$A:$C,3,)</f>
        <v>5985000</v>
      </c>
      <c r="C2782" s="29">
        <f t="shared" si="86"/>
        <v>3062000</v>
      </c>
      <c r="D2782" s="29">
        <f>VLOOKUP(A2782,'Database Claims'!$A:$C,2,)</f>
        <v>7868000</v>
      </c>
      <c r="E2782" s="29">
        <f t="shared" si="87"/>
        <v>4774000</v>
      </c>
    </row>
    <row r="2783" spans="1:5" s="59" customFormat="1" x14ac:dyDescent="0.2">
      <c r="A2783" s="28">
        <v>43925</v>
      </c>
      <c r="B2783" s="25">
        <f>VLOOKUP(A2783,'Database Claims'!$A:$C,3,)</f>
        <v>6149000</v>
      </c>
      <c r="C2783" s="29">
        <f t="shared" si="86"/>
        <v>164000</v>
      </c>
      <c r="D2783" s="25">
        <f>VLOOKUP(A2783,'Database Claims'!$A:$C,2,)</f>
        <v>12261000</v>
      </c>
      <c r="E2783" s="29">
        <f t="shared" si="87"/>
        <v>4393000</v>
      </c>
    </row>
    <row r="2784" spans="1:5" s="59" customFormat="1" x14ac:dyDescent="0.2">
      <c r="A2784" s="28">
        <v>43932</v>
      </c>
      <c r="B2784" s="29">
        <f>VLOOKUP(A2784,'Database Claims'!$A:$C,3,)</f>
        <v>4869000</v>
      </c>
      <c r="C2784" s="29">
        <f t="shared" si="86"/>
        <v>-1280000</v>
      </c>
      <c r="D2784" s="29">
        <f>VLOOKUP(A2784,'Database Claims'!$A:$C,2,)</f>
        <v>16070000</v>
      </c>
      <c r="E2784" s="29">
        <f t="shared" si="87"/>
        <v>3809000</v>
      </c>
    </row>
    <row r="2785" spans="1:5" s="59" customFormat="1" x14ac:dyDescent="0.2">
      <c r="A2785" s="28">
        <v>43939</v>
      </c>
      <c r="B2785" s="25">
        <f>VLOOKUP(A2785,'Database Claims'!$A:$C,3,)</f>
        <v>4202000</v>
      </c>
      <c r="C2785" s="29">
        <f t="shared" si="86"/>
        <v>-667000</v>
      </c>
      <c r="D2785" s="25">
        <f>VLOOKUP(A2785,'Database Claims'!$A:$C,2,)</f>
        <v>17656000</v>
      </c>
      <c r="E2785" s="29">
        <f t="shared" si="87"/>
        <v>1586000</v>
      </c>
    </row>
    <row r="2786" spans="1:5" s="59" customFormat="1" x14ac:dyDescent="0.2">
      <c r="A2786" s="28">
        <v>43946</v>
      </c>
      <c r="B2786" s="29">
        <f>VLOOKUP(A2786,'Database Claims'!$A:$C,3,)</f>
        <v>3451000</v>
      </c>
      <c r="C2786" s="29">
        <f t="shared" si="86"/>
        <v>-751000</v>
      </c>
      <c r="D2786" s="29">
        <f>VLOOKUP(A2786,'Database Claims'!$A:$C,2,)</f>
        <v>21664000</v>
      </c>
      <c r="E2786" s="29">
        <f t="shared" si="87"/>
        <v>4008000</v>
      </c>
    </row>
    <row r="2787" spans="1:5" s="59" customFormat="1" x14ac:dyDescent="0.2">
      <c r="A2787" s="28">
        <v>43953</v>
      </c>
      <c r="B2787" s="25">
        <f>VLOOKUP(A2787,'Database Claims'!$A:$C,3,)</f>
        <v>2784000</v>
      </c>
      <c r="C2787" s="29">
        <f t="shared" si="86"/>
        <v>-667000</v>
      </c>
      <c r="D2787" s="25">
        <f>VLOOKUP(A2787,'Database Claims'!$A:$C,2,)</f>
        <v>20823000</v>
      </c>
      <c r="E2787" s="29">
        <f t="shared" si="87"/>
        <v>-841000</v>
      </c>
    </row>
    <row r="2788" spans="1:5" s="59" customFormat="1" x14ac:dyDescent="0.2">
      <c r="A2788" s="28">
        <v>43960</v>
      </c>
      <c r="B2788" s="29">
        <f>VLOOKUP(A2788,'Database Claims'!$A:$C,3,)</f>
        <v>2315000</v>
      </c>
      <c r="C2788" s="29">
        <f t="shared" si="86"/>
        <v>-469000</v>
      </c>
      <c r="D2788" s="29">
        <f>VLOOKUP(A2788,'Database Claims'!$A:$C,2,)</f>
        <v>23128000</v>
      </c>
      <c r="E2788" s="29">
        <f t="shared" si="87"/>
        <v>2305000</v>
      </c>
    </row>
    <row r="2789" spans="1:5" s="59" customFormat="1" x14ac:dyDescent="0.2">
      <c r="A2789" s="28">
        <v>43967</v>
      </c>
      <c r="B2789" s="25">
        <f>VLOOKUP(A2789,'Database Claims'!$A:$C,3,)</f>
        <v>2149000</v>
      </c>
      <c r="C2789" s="29">
        <f t="shared" si="86"/>
        <v>-166000</v>
      </c>
      <c r="D2789" s="25">
        <f>VLOOKUP(A2789,'Database Claims'!$A:$C,2,)</f>
        <v>19181000</v>
      </c>
      <c r="E2789" s="29">
        <f t="shared" si="87"/>
        <v>-3947000</v>
      </c>
    </row>
    <row r="2790" spans="1:5" s="59" customFormat="1" x14ac:dyDescent="0.2">
      <c r="A2790" s="28">
        <v>43974</v>
      </c>
      <c r="B2790" s="29">
        <f>VLOOKUP(A2790,'Database Claims'!$A:$C,3,)</f>
        <v>1887000</v>
      </c>
      <c r="C2790" s="29">
        <f t="shared" si="86"/>
        <v>-262000</v>
      </c>
      <c r="D2790" s="29">
        <f>VLOOKUP(A2790,'Database Claims'!$A:$C,2,)</f>
        <v>19396000</v>
      </c>
      <c r="E2790" s="29">
        <f t="shared" si="87"/>
        <v>215000</v>
      </c>
    </row>
    <row r="2791" spans="1:5" s="59" customFormat="1" x14ac:dyDescent="0.2">
      <c r="A2791" s="28">
        <v>43981</v>
      </c>
      <c r="B2791" s="25">
        <f>VLOOKUP(A2791,'Database Claims'!$A:$C,3,)</f>
        <v>1605000</v>
      </c>
      <c r="C2791" s="29">
        <f t="shared" si="86"/>
        <v>-282000</v>
      </c>
      <c r="D2791" s="25">
        <f>VLOOKUP(A2791,'Database Claims'!$A:$C,2,)</f>
        <v>19287000</v>
      </c>
      <c r="E2791" s="29">
        <f t="shared" si="87"/>
        <v>-109000</v>
      </c>
    </row>
    <row r="2792" spans="1:5" s="59" customFormat="1" x14ac:dyDescent="0.2">
      <c r="A2792" s="28">
        <v>43988</v>
      </c>
      <c r="B2792" s="29">
        <f>VLOOKUP(A2792,'Database Claims'!$A:$C,3,)</f>
        <v>1537000</v>
      </c>
      <c r="C2792" s="29">
        <f t="shared" si="86"/>
        <v>-68000</v>
      </c>
      <c r="D2792" s="29">
        <f>VLOOKUP(A2792,'Database Claims'!$A:$C,2,)</f>
        <v>18927000</v>
      </c>
      <c r="E2792" s="29">
        <f t="shared" si="87"/>
        <v>-360000</v>
      </c>
    </row>
    <row r="2793" spans="1:5" s="59" customFormat="1" x14ac:dyDescent="0.2">
      <c r="A2793" s="28">
        <v>43995</v>
      </c>
      <c r="B2793" s="25">
        <f>VLOOKUP(A2793,'Database Claims'!$A:$C,3,)</f>
        <v>1472000</v>
      </c>
      <c r="C2793" s="29">
        <f t="shared" si="86"/>
        <v>-65000</v>
      </c>
      <c r="D2793" s="25">
        <f>VLOOKUP(A2793,'Database Claims'!$A:$C,2,)</f>
        <v>17993000</v>
      </c>
      <c r="E2793" s="29">
        <f t="shared" si="87"/>
        <v>-934000</v>
      </c>
    </row>
    <row r="2794" spans="1:5" s="59" customFormat="1" x14ac:dyDescent="0.2">
      <c r="A2794" s="28">
        <v>44002</v>
      </c>
      <c r="B2794" s="29">
        <f>VLOOKUP(A2794,'Database Claims'!$A:$C,3,)</f>
        <v>1460000</v>
      </c>
      <c r="C2794" s="29">
        <f t="shared" si="86"/>
        <v>-12000</v>
      </c>
      <c r="D2794" s="29">
        <f>VLOOKUP(A2794,'Database Claims'!$A:$C,2,)</f>
        <v>17713000</v>
      </c>
      <c r="E2794" s="29">
        <f t="shared" si="87"/>
        <v>-280000</v>
      </c>
    </row>
    <row r="2795" spans="1:5" s="59" customFormat="1" x14ac:dyDescent="0.2">
      <c r="A2795" s="28">
        <v>44009</v>
      </c>
      <c r="B2795" s="25">
        <f>VLOOKUP(A2795,'Database Claims'!$A:$C,3,)</f>
        <v>1436000</v>
      </c>
      <c r="C2795" s="29">
        <f t="shared" si="86"/>
        <v>-24000</v>
      </c>
      <c r="D2795" s="25">
        <f>VLOOKUP(A2795,'Database Claims'!$A:$C,2,)</f>
        <v>16780000</v>
      </c>
      <c r="E2795" s="29">
        <f t="shared" si="87"/>
        <v>-933000</v>
      </c>
    </row>
    <row r="2796" spans="1:5" s="59" customFormat="1" x14ac:dyDescent="0.2">
      <c r="A2796" s="28">
        <v>44016</v>
      </c>
      <c r="B2796" s="29">
        <f>VLOOKUP(A2796,'Database Claims'!$A:$C,3,)</f>
        <v>1398000</v>
      </c>
      <c r="C2796" s="29">
        <f t="shared" si="86"/>
        <v>-38000</v>
      </c>
      <c r="D2796" s="29">
        <f>VLOOKUP(A2796,'Database Claims'!$A:$C,2,)</f>
        <v>17413000</v>
      </c>
      <c r="E2796" s="29">
        <f t="shared" si="87"/>
        <v>633000</v>
      </c>
    </row>
    <row r="2797" spans="1:5" s="59" customFormat="1" x14ac:dyDescent="0.2">
      <c r="A2797" s="28">
        <v>44023</v>
      </c>
      <c r="B2797" s="25">
        <f>VLOOKUP(A2797,'Database Claims'!$A:$C,3,)</f>
        <v>1479000</v>
      </c>
      <c r="C2797" s="29">
        <f t="shared" si="86"/>
        <v>81000</v>
      </c>
      <c r="D2797" s="25">
        <f>VLOOKUP(A2797,'Database Claims'!$A:$C,2,)</f>
        <v>16385000</v>
      </c>
      <c r="E2797" s="29">
        <f t="shared" si="87"/>
        <v>-1028000</v>
      </c>
    </row>
    <row r="2798" spans="1:5" s="59" customFormat="1" x14ac:dyDescent="0.2">
      <c r="A2798" s="28">
        <v>44030</v>
      </c>
      <c r="B2798" s="29">
        <f>VLOOKUP(A2798,'Database Claims'!$A:$C,3,)</f>
        <v>1398000</v>
      </c>
      <c r="C2798" s="29">
        <f t="shared" si="86"/>
        <v>-81000</v>
      </c>
      <c r="D2798" s="29">
        <f>VLOOKUP(A2798,'Database Claims'!$A:$C,2,)</f>
        <v>16913000</v>
      </c>
      <c r="E2798" s="29">
        <f t="shared" si="87"/>
        <v>528000</v>
      </c>
    </row>
    <row r="2799" spans="1:5" s="59" customFormat="1" x14ac:dyDescent="0.2">
      <c r="A2799" s="28">
        <v>44037</v>
      </c>
      <c r="B2799" s="25">
        <f>VLOOKUP(A2799,'Database Claims'!$A:$C,3,)</f>
        <v>1262000</v>
      </c>
      <c r="C2799" s="29">
        <f t="shared" si="86"/>
        <v>-136000</v>
      </c>
      <c r="D2799" s="25">
        <f>VLOOKUP(A2799,'Database Claims'!$A:$C,2,)</f>
        <v>15964000</v>
      </c>
      <c r="E2799" s="29">
        <f t="shared" si="87"/>
        <v>-949000</v>
      </c>
    </row>
    <row r="2800" spans="1:5" s="59" customFormat="1" x14ac:dyDescent="0.2">
      <c r="A2800" s="28">
        <v>44044</v>
      </c>
      <c r="B2800" s="29">
        <f>VLOOKUP(A2800,'Database Claims'!$A:$C,3,)</f>
        <v>1043000</v>
      </c>
      <c r="C2800" s="29">
        <f t="shared" si="86"/>
        <v>-219000</v>
      </c>
      <c r="D2800" s="29">
        <f>VLOOKUP(A2800,'Database Claims'!$A:$C,2,)</f>
        <v>15303000</v>
      </c>
      <c r="E2800" s="29">
        <f t="shared" si="87"/>
        <v>-661000</v>
      </c>
    </row>
    <row r="2801" spans="1:5" s="59" customFormat="1" x14ac:dyDescent="0.2">
      <c r="A2801" s="28">
        <v>44051</v>
      </c>
      <c r="B2801" s="25">
        <f>VLOOKUP(A2801,'Database Claims'!$A:$C,3,)</f>
        <v>883000</v>
      </c>
      <c r="C2801" s="29">
        <f t="shared" si="86"/>
        <v>-160000</v>
      </c>
      <c r="D2801" s="25">
        <f>VLOOKUP(A2801,'Database Claims'!$A:$C,2,)</f>
        <v>14217000</v>
      </c>
      <c r="E2801" s="29">
        <f t="shared" si="87"/>
        <v>-1086000</v>
      </c>
    </row>
    <row r="2802" spans="1:5" s="59" customFormat="1" x14ac:dyDescent="0.2">
      <c r="A2802" s="28">
        <v>44058</v>
      </c>
      <c r="B2802" s="29">
        <f>VLOOKUP(A2802,'Database Claims'!$A:$C,3,)</f>
        <v>920000</v>
      </c>
      <c r="C2802" s="29">
        <f t="shared" si="86"/>
        <v>37000</v>
      </c>
      <c r="D2802" s="29">
        <f>VLOOKUP(A2802,'Database Claims'!$A:$C,2,)</f>
        <v>13948000</v>
      </c>
      <c r="E2802" s="29">
        <f t="shared" si="87"/>
        <v>-269000</v>
      </c>
    </row>
    <row r="2803" spans="1:5" s="59" customFormat="1" x14ac:dyDescent="0.2">
      <c r="A2803" s="28">
        <v>44065</v>
      </c>
      <c r="B2803" s="25">
        <f>VLOOKUP(A2803,'Database Claims'!$A:$C,3,)</f>
        <v>872000</v>
      </c>
      <c r="C2803" s="29">
        <f t="shared" si="86"/>
        <v>-48000</v>
      </c>
      <c r="D2803" s="25">
        <f>VLOOKUP(A2803,'Database Claims'!$A:$C,2,)</f>
        <v>13246000</v>
      </c>
      <c r="E2803" s="29">
        <f t="shared" si="87"/>
        <v>-702000</v>
      </c>
    </row>
    <row r="2804" spans="1:5" s="59" customFormat="1" x14ac:dyDescent="0.2">
      <c r="A2804" s="28">
        <v>44072</v>
      </c>
      <c r="B2804" s="29">
        <f>VLOOKUP(A2804,'Database Claims'!$A:$C,3,)</f>
        <v>875000</v>
      </c>
      <c r="C2804" s="29">
        <f t="shared" si="86"/>
        <v>3000</v>
      </c>
      <c r="D2804" s="29">
        <f>VLOOKUP(A2804,'Database Claims'!$A:$C,2,)</f>
        <v>13528000</v>
      </c>
      <c r="E2804" s="29">
        <f t="shared" si="87"/>
        <v>282000</v>
      </c>
    </row>
    <row r="2805" spans="1:5" s="59" customFormat="1" x14ac:dyDescent="0.2">
      <c r="A2805" s="28">
        <v>44079</v>
      </c>
      <c r="B2805" s="25">
        <f>VLOOKUP(A2805,'Database Claims'!$A:$C,3,)</f>
        <v>881000</v>
      </c>
      <c r="C2805" s="29">
        <f t="shared" si="86"/>
        <v>6000</v>
      </c>
      <c r="D2805" s="25">
        <f>VLOOKUP(A2805,'Database Claims'!$A:$C,2,)</f>
        <v>12755000</v>
      </c>
      <c r="E2805" s="29">
        <f t="shared" si="87"/>
        <v>-773000</v>
      </c>
    </row>
    <row r="2806" spans="1:5" s="59" customFormat="1" x14ac:dyDescent="0.2">
      <c r="A2806" s="28">
        <v>44086</v>
      </c>
      <c r="B2806" s="29">
        <f>VLOOKUP(A2806,'Database Claims'!$A:$C,3,)</f>
        <v>860000</v>
      </c>
      <c r="C2806" s="29">
        <f t="shared" si="86"/>
        <v>-21000</v>
      </c>
      <c r="D2806" s="29">
        <f>VLOOKUP(A2806,'Database Claims'!$A:$C,2,)</f>
        <v>12706000</v>
      </c>
      <c r="E2806" s="29">
        <f t="shared" si="87"/>
        <v>-49000</v>
      </c>
    </row>
    <row r="2807" spans="1:5" s="59" customFormat="1" x14ac:dyDescent="0.2">
      <c r="A2807" s="28">
        <v>44093</v>
      </c>
      <c r="B2807" s="25">
        <f>VLOOKUP(A2807,'Database Claims'!$A:$C,3,)</f>
        <v>860000</v>
      </c>
      <c r="C2807" s="29">
        <f t="shared" si="86"/>
        <v>0</v>
      </c>
      <c r="D2807" s="25">
        <f>VLOOKUP(A2807,'Database Claims'!$A:$C,2,)</f>
        <v>11381000</v>
      </c>
      <c r="E2807" s="29">
        <f t="shared" si="87"/>
        <v>-1325000</v>
      </c>
    </row>
    <row r="2808" spans="1:5" s="59" customFormat="1" x14ac:dyDescent="0.2">
      <c r="A2808" s="28">
        <v>44100</v>
      </c>
      <c r="B2808" s="29">
        <f>VLOOKUP(A2808,'Database Claims'!$A:$C,3,)</f>
        <v>803000</v>
      </c>
      <c r="C2808" s="29">
        <f t="shared" si="86"/>
        <v>-57000</v>
      </c>
      <c r="D2808" s="29">
        <f>VLOOKUP(A2808,'Database Claims'!$A:$C,2,)</f>
        <v>10477000</v>
      </c>
      <c r="E2808" s="29">
        <f t="shared" si="87"/>
        <v>-904000</v>
      </c>
    </row>
    <row r="2809" spans="1:5" s="59" customFormat="1" x14ac:dyDescent="0.2">
      <c r="A2809" s="28">
        <v>44107</v>
      </c>
      <c r="B2809" s="25">
        <f>VLOOKUP(A2809,'Database Claims'!$A:$C,3,)</f>
        <v>782000</v>
      </c>
      <c r="C2809" s="29">
        <f t="shared" si="86"/>
        <v>-21000</v>
      </c>
      <c r="D2809" s="25">
        <f>VLOOKUP(A2809,'Database Claims'!$A:$C,2,)</f>
        <v>9259000</v>
      </c>
      <c r="E2809" s="29">
        <f t="shared" si="87"/>
        <v>-1218000</v>
      </c>
    </row>
    <row r="2810" spans="1:5" s="59" customFormat="1" x14ac:dyDescent="0.2">
      <c r="A2810" s="28">
        <v>44114</v>
      </c>
      <c r="B2810" s="29">
        <f>VLOOKUP(A2810,'Database Claims'!$A:$C,3,)</f>
        <v>833000</v>
      </c>
      <c r="C2810" s="29">
        <f t="shared" si="86"/>
        <v>51000</v>
      </c>
      <c r="D2810" s="29">
        <f>VLOOKUP(A2810,'Database Claims'!$A:$C,2,)</f>
        <v>8384000</v>
      </c>
      <c r="E2810" s="29">
        <f t="shared" si="87"/>
        <v>-875000</v>
      </c>
    </row>
    <row r="2811" spans="1:5" s="59" customFormat="1" x14ac:dyDescent="0.2">
      <c r="A2811" s="28">
        <v>44121</v>
      </c>
      <c r="B2811" s="25">
        <f>VLOOKUP(A2811,'Database Claims'!$A:$C,3,)</f>
        <v>798000</v>
      </c>
      <c r="C2811" s="29">
        <f t="shared" si="86"/>
        <v>-35000</v>
      </c>
      <c r="D2811" s="25">
        <f>VLOOKUP(A2811,'Database Claims'!$A:$C,2,)</f>
        <v>7699000</v>
      </c>
      <c r="E2811" s="29">
        <f t="shared" si="87"/>
        <v>-685000</v>
      </c>
    </row>
    <row r="2812" spans="1:5" s="59" customFormat="1" x14ac:dyDescent="0.2">
      <c r="A2812" s="28">
        <v>44128</v>
      </c>
      <c r="B2812" s="29">
        <f>VLOOKUP(A2812,'Database Claims'!$A:$C,3,)</f>
        <v>768000</v>
      </c>
      <c r="C2812" s="29">
        <f t="shared" si="86"/>
        <v>-30000</v>
      </c>
      <c r="D2812" s="29">
        <f>VLOOKUP(A2812,'Database Claims'!$A:$C,2,)</f>
        <v>7076000</v>
      </c>
      <c r="E2812" s="29">
        <f t="shared" si="87"/>
        <v>-623000</v>
      </c>
    </row>
    <row r="2813" spans="1:5" s="59" customFormat="1" x14ac:dyDescent="0.2">
      <c r="A2813" s="28">
        <v>44135</v>
      </c>
      <c r="B2813" s="25">
        <f>VLOOKUP(A2813,'Database Claims'!$A:$C,3,)</f>
        <v>765000</v>
      </c>
      <c r="C2813" s="29">
        <f t="shared" si="86"/>
        <v>-3000</v>
      </c>
      <c r="D2813" s="25">
        <f>VLOOKUP(A2813,'Database Claims'!$A:$C,2,)</f>
        <v>6724000</v>
      </c>
      <c r="E2813" s="29">
        <f t="shared" si="87"/>
        <v>-352000</v>
      </c>
    </row>
    <row r="2814" spans="1:5" s="59" customFormat="1" x14ac:dyDescent="0.2">
      <c r="A2814" s="28">
        <v>44142</v>
      </c>
      <c r="B2814" s="29">
        <f>VLOOKUP(A2814,'Database Claims'!$A:$C,3,)</f>
        <v>728000</v>
      </c>
      <c r="C2814" s="29">
        <f t="shared" si="86"/>
        <v>-37000</v>
      </c>
      <c r="D2814" s="29">
        <f>VLOOKUP(A2814,'Database Claims'!$A:$C,2,)</f>
        <v>6389000</v>
      </c>
      <c r="E2814" s="29">
        <f t="shared" si="87"/>
        <v>-335000</v>
      </c>
    </row>
    <row r="2815" spans="1:5" s="59" customFormat="1" x14ac:dyDescent="0.2">
      <c r="A2815" s="28">
        <v>44149</v>
      </c>
      <c r="B2815" s="25">
        <f>VLOOKUP(A2815,'Database Claims'!$A:$C,3,)</f>
        <v>732000</v>
      </c>
      <c r="C2815" s="29">
        <f t="shared" si="86"/>
        <v>4000</v>
      </c>
      <c r="D2815" s="25">
        <f>VLOOKUP(A2815,'Database Claims'!$A:$C,2,)</f>
        <v>6138000</v>
      </c>
      <c r="E2815" s="29">
        <f t="shared" si="87"/>
        <v>-251000</v>
      </c>
    </row>
    <row r="2816" spans="1:5" s="59" customFormat="1" x14ac:dyDescent="0.2">
      <c r="A2816" s="28">
        <v>44156</v>
      </c>
      <c r="B2816" s="29">
        <f>VLOOKUP(A2816,'Database Claims'!$A:$C,3,)</f>
        <v>762000</v>
      </c>
      <c r="C2816" s="29">
        <f t="shared" si="86"/>
        <v>30000</v>
      </c>
      <c r="D2816" s="29">
        <f>VLOOKUP(A2816,'Database Claims'!$A:$C,2,)</f>
        <v>5606000</v>
      </c>
      <c r="E2816" s="29">
        <f t="shared" si="87"/>
        <v>-532000</v>
      </c>
    </row>
    <row r="2817" spans="1:5" s="59" customFormat="1" x14ac:dyDescent="0.2">
      <c r="A2817" s="28">
        <v>44163</v>
      </c>
      <c r="B2817" s="25">
        <f>VLOOKUP(A2817,'Database Claims'!$A:$C,3,)</f>
        <v>719000</v>
      </c>
      <c r="C2817" s="29">
        <f t="shared" si="86"/>
        <v>-43000</v>
      </c>
      <c r="D2817" s="25">
        <f>VLOOKUP(A2817,'Database Claims'!$A:$C,2,)</f>
        <v>5829000</v>
      </c>
      <c r="E2817" s="29">
        <f t="shared" si="87"/>
        <v>223000</v>
      </c>
    </row>
    <row r="2818" spans="1:5" s="59" customFormat="1" x14ac:dyDescent="0.2">
      <c r="A2818" s="28">
        <v>44170</v>
      </c>
      <c r="B2818" s="29">
        <f>VLOOKUP(A2818,'Database Claims'!$A:$C,3,)</f>
        <v>853000</v>
      </c>
      <c r="C2818" s="29">
        <f t="shared" si="86"/>
        <v>134000</v>
      </c>
      <c r="D2818" s="29">
        <f>VLOOKUP(A2818,'Database Claims'!$A:$C,2,)</f>
        <v>5614000</v>
      </c>
      <c r="E2818" s="29">
        <f t="shared" si="87"/>
        <v>-215000</v>
      </c>
    </row>
    <row r="2819" spans="1:5" s="59" customFormat="1" x14ac:dyDescent="0.2">
      <c r="A2819" s="28">
        <v>44177</v>
      </c>
      <c r="B2819" s="25">
        <f>VLOOKUP(A2819,'Database Claims'!$A:$C,3,)</f>
        <v>873000</v>
      </c>
      <c r="C2819" s="29">
        <f t="shared" si="86"/>
        <v>20000</v>
      </c>
      <c r="D2819" s="25">
        <f>VLOOKUP(A2819,'Database Claims'!$A:$C,2,)</f>
        <v>5433000</v>
      </c>
      <c r="E2819" s="29">
        <f t="shared" si="87"/>
        <v>-181000</v>
      </c>
    </row>
    <row r="2820" spans="1:5" s="59" customFormat="1" x14ac:dyDescent="0.2">
      <c r="A2820" s="28">
        <v>44184</v>
      </c>
      <c r="B2820" s="29">
        <f>VLOOKUP(A2820,'Database Claims'!$A:$C,3,)</f>
        <v>803000</v>
      </c>
      <c r="C2820" s="29">
        <f t="shared" si="86"/>
        <v>-70000</v>
      </c>
      <c r="D2820" s="29">
        <f>VLOOKUP(A2820,'Database Claims'!$A:$C,2,)</f>
        <v>5311000</v>
      </c>
      <c r="E2820" s="29">
        <f t="shared" si="87"/>
        <v>-122000</v>
      </c>
    </row>
    <row r="2821" spans="1:5" s="59" customFormat="1" x14ac:dyDescent="0.2">
      <c r="A2821" s="28">
        <v>44191</v>
      </c>
      <c r="B2821" s="25">
        <f>VLOOKUP(A2821,'Database Claims'!$A:$C,3,)</f>
        <v>763000</v>
      </c>
      <c r="C2821" s="29">
        <f t="shared" si="86"/>
        <v>-40000</v>
      </c>
      <c r="D2821" s="25">
        <f>VLOOKUP(A2821,'Database Claims'!$A:$C,2,)</f>
        <v>5180000</v>
      </c>
      <c r="E2821" s="29">
        <f t="shared" si="87"/>
        <v>-131000</v>
      </c>
    </row>
    <row r="2822" spans="1:5" s="59"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59" customFormat="1" x14ac:dyDescent="0.2">
      <c r="A2823" s="28">
        <v>44205</v>
      </c>
      <c r="B2823" s="25">
        <f>VLOOKUP(A2823,'Database Claims'!$A:$C,3,)</f>
        <v>904000</v>
      </c>
      <c r="C2823" s="29">
        <f t="shared" si="88"/>
        <v>123000</v>
      </c>
      <c r="D2823" s="25">
        <f>VLOOKUP(A2823,'Database Claims'!$A:$C,2,)</f>
        <v>5061000</v>
      </c>
      <c r="E2823" s="29">
        <f t="shared" si="89"/>
        <v>-179000</v>
      </c>
    </row>
    <row r="2824" spans="1:5" s="59" customFormat="1" x14ac:dyDescent="0.2">
      <c r="A2824" s="28">
        <v>44212</v>
      </c>
      <c r="B2824" s="29">
        <f>VLOOKUP(A2824,'Database Claims'!$A:$C,3,)</f>
        <v>886000</v>
      </c>
      <c r="C2824" s="29">
        <f t="shared" si="88"/>
        <v>-18000</v>
      </c>
      <c r="D2824" s="29">
        <f>VLOOKUP(A2824,'Database Claims'!$A:$C,2,)</f>
        <v>4878000</v>
      </c>
      <c r="E2824" s="29">
        <f t="shared" si="89"/>
        <v>-183000</v>
      </c>
    </row>
    <row r="2825" spans="1:5" s="59" customFormat="1" x14ac:dyDescent="0.2">
      <c r="A2825" s="28">
        <v>44219</v>
      </c>
      <c r="B2825" s="25">
        <f>VLOOKUP(A2825,'Database Claims'!$A:$C,3,)</f>
        <v>836000</v>
      </c>
      <c r="C2825" s="29">
        <f t="shared" si="88"/>
        <v>-50000</v>
      </c>
      <c r="D2825" s="25">
        <f>VLOOKUP(A2825,'Database Claims'!$A:$C,2,)</f>
        <v>4791000</v>
      </c>
      <c r="E2825" s="29">
        <f t="shared" si="89"/>
        <v>-87000</v>
      </c>
    </row>
    <row r="2826" spans="1:5" s="59" customFormat="1" x14ac:dyDescent="0.2">
      <c r="A2826" s="28">
        <v>44226</v>
      </c>
      <c r="B2826" s="29">
        <f>VLOOKUP(A2826,'Database Claims'!$A:$C,3,)</f>
        <v>837000</v>
      </c>
      <c r="C2826" s="29">
        <f t="shared" si="88"/>
        <v>1000</v>
      </c>
      <c r="D2826" s="29">
        <f>VLOOKUP(A2826,'Database Claims'!$A:$C,2,)</f>
        <v>4655000</v>
      </c>
      <c r="E2826" s="29">
        <f t="shared" si="89"/>
        <v>-136000</v>
      </c>
    </row>
    <row r="2827" spans="1:5" s="59" customFormat="1" x14ac:dyDescent="0.2">
      <c r="A2827" s="28">
        <v>44233</v>
      </c>
      <c r="B2827" s="25">
        <f>VLOOKUP(A2827,'Database Claims'!$A:$C,3,)</f>
        <v>863000</v>
      </c>
      <c r="C2827" s="29">
        <f t="shared" si="88"/>
        <v>26000</v>
      </c>
      <c r="D2827" s="25">
        <f>VLOOKUP(A2827,'Database Claims'!$A:$C,2,)</f>
        <v>4592000</v>
      </c>
      <c r="E2827" s="29">
        <f t="shared" si="89"/>
        <v>-63000</v>
      </c>
    </row>
    <row r="2828" spans="1:5" s="59" customFormat="1" x14ac:dyDescent="0.2">
      <c r="A2828" s="28">
        <v>44240</v>
      </c>
      <c r="B2828" s="29">
        <f>VLOOKUP(A2828,'Database Claims'!$A:$C,3,)</f>
        <v>847000</v>
      </c>
      <c r="C2828" s="29">
        <f t="shared" si="88"/>
        <v>-16000</v>
      </c>
      <c r="D2828" s="29">
        <f>VLOOKUP(A2828,'Database Claims'!$A:$C,2,)</f>
        <v>4469000</v>
      </c>
      <c r="E2828" s="29">
        <f t="shared" si="89"/>
        <v>-123000</v>
      </c>
    </row>
    <row r="2829" spans="1:5" s="59" customFormat="1" x14ac:dyDescent="0.2">
      <c r="A2829" s="28">
        <v>44247</v>
      </c>
      <c r="B2829" s="25">
        <f>VLOOKUP(A2829,'Database Claims'!$A:$C,3,)</f>
        <v>747000</v>
      </c>
      <c r="C2829" s="29">
        <f t="shared" si="88"/>
        <v>-100000</v>
      </c>
      <c r="D2829" s="25">
        <f>VLOOKUP(A2829,'Database Claims'!$A:$C,2,)</f>
        <v>4383000</v>
      </c>
      <c r="E2829" s="29">
        <f t="shared" si="89"/>
        <v>-86000</v>
      </c>
    </row>
    <row r="2830" spans="1:5" s="59" customFormat="1" x14ac:dyDescent="0.2">
      <c r="A2830" s="28">
        <v>44254</v>
      </c>
      <c r="B2830" s="29">
        <f>VLOOKUP(A2830,'Database Claims'!$A:$C,3,)</f>
        <v>761000</v>
      </c>
      <c r="C2830" s="29">
        <f t="shared" si="88"/>
        <v>14000</v>
      </c>
      <c r="D2830" s="29">
        <f>VLOOKUP(A2830,'Database Claims'!$A:$C,2,)</f>
        <v>4157000</v>
      </c>
      <c r="E2830" s="29">
        <f t="shared" si="89"/>
        <v>-226000</v>
      </c>
    </row>
    <row r="2831" spans="1:5" s="59" customFormat="1" x14ac:dyDescent="0.2">
      <c r="A2831" s="28">
        <v>44261</v>
      </c>
      <c r="B2831" s="25">
        <f>VLOOKUP(A2831,'Database Claims'!$A:$C,3,)</f>
        <v>734000</v>
      </c>
      <c r="C2831" s="29">
        <f t="shared" si="88"/>
        <v>-27000</v>
      </c>
      <c r="D2831" s="25">
        <f>VLOOKUP(A2831,'Database Claims'!$A:$C,2,)</f>
        <v>4123000</v>
      </c>
      <c r="E2831" s="29">
        <f t="shared" si="89"/>
        <v>-34000</v>
      </c>
    </row>
    <row r="2832" spans="1:5" s="59" customFormat="1" x14ac:dyDescent="0.2">
      <c r="A2832" s="28">
        <v>44268</v>
      </c>
      <c r="B2832" s="29">
        <f>VLOOKUP(A2832,'Database Claims'!$A:$C,3,)</f>
        <v>765000</v>
      </c>
      <c r="C2832" s="29">
        <f t="shared" si="88"/>
        <v>31000</v>
      </c>
      <c r="D2832" s="29">
        <f>VLOOKUP(A2832,'Database Claims'!$A:$C,2,)</f>
        <v>3841000</v>
      </c>
      <c r="E2832" s="29">
        <f t="shared" si="89"/>
        <v>-282000</v>
      </c>
    </row>
    <row r="2833" spans="1:5" s="59" customFormat="1" x14ac:dyDescent="0.2">
      <c r="A2833" s="28">
        <v>44275</v>
      </c>
      <c r="B2833" s="25">
        <f>VLOOKUP(A2833,'Database Claims'!$A:$C,3,)</f>
        <v>658000</v>
      </c>
      <c r="C2833" s="29">
        <f t="shared" si="88"/>
        <v>-107000</v>
      </c>
      <c r="D2833" s="25">
        <f>VLOOKUP(A2833,'Database Claims'!$A:$C,2,)</f>
        <v>3753000</v>
      </c>
      <c r="E2833" s="29">
        <f t="shared" si="89"/>
        <v>-88000</v>
      </c>
    </row>
    <row r="2834" spans="1:5" s="59" customFormat="1" x14ac:dyDescent="0.2">
      <c r="A2834" s="28">
        <v>44282</v>
      </c>
      <c r="B2834" s="29">
        <f>VLOOKUP(A2834,'Database Claims'!$A:$C,3,)</f>
        <v>729000</v>
      </c>
      <c r="C2834" s="29">
        <f t="shared" si="88"/>
        <v>71000</v>
      </c>
      <c r="D2834" s="29">
        <f>VLOOKUP(A2834,'Database Claims'!$A:$C,2,)</f>
        <v>3717000</v>
      </c>
      <c r="E2834" s="29">
        <f t="shared" si="89"/>
        <v>-36000</v>
      </c>
    </row>
    <row r="2835" spans="1:5" s="59" customFormat="1" x14ac:dyDescent="0.2">
      <c r="A2835" s="28">
        <v>44289</v>
      </c>
      <c r="B2835" s="25">
        <f>VLOOKUP(A2835,'Database Claims'!$A:$C,3,)</f>
        <v>742000</v>
      </c>
      <c r="C2835" s="29">
        <f t="shared" si="88"/>
        <v>13000</v>
      </c>
      <c r="D2835" s="25">
        <f>VLOOKUP(A2835,'Database Claims'!$A:$C,2,)</f>
        <v>3708000</v>
      </c>
      <c r="E2835" s="29">
        <f t="shared" si="89"/>
        <v>-9000</v>
      </c>
    </row>
    <row r="2836" spans="1:5" s="59" customFormat="1" x14ac:dyDescent="0.2">
      <c r="A2836" s="28">
        <v>44296</v>
      </c>
      <c r="B2836" s="29">
        <f>VLOOKUP(A2836,'Database Claims'!$A:$C,3,)</f>
        <v>586000</v>
      </c>
      <c r="C2836" s="29">
        <f t="shared" si="88"/>
        <v>-156000</v>
      </c>
      <c r="D2836" s="29">
        <f>VLOOKUP(A2836,'Database Claims'!$A:$C,2,)</f>
        <v>3652000</v>
      </c>
      <c r="E2836" s="29">
        <f t="shared" si="89"/>
        <v>-56000</v>
      </c>
    </row>
    <row r="2837" spans="1:5" s="59" customFormat="1" x14ac:dyDescent="0.2">
      <c r="A2837" s="28">
        <v>44303</v>
      </c>
      <c r="B2837" s="25">
        <f>VLOOKUP(A2837,'Database Claims'!$A:$C,3,)</f>
        <v>566000</v>
      </c>
      <c r="C2837" s="29">
        <f t="shared" si="88"/>
        <v>-20000</v>
      </c>
      <c r="D2837" s="25">
        <f>VLOOKUP(A2837,'Database Claims'!$A:$C,2,)</f>
        <v>3653000</v>
      </c>
      <c r="E2837" s="29">
        <f t="shared" si="89"/>
        <v>1000</v>
      </c>
    </row>
    <row r="2838" spans="1:5" s="59" customFormat="1" x14ac:dyDescent="0.2">
      <c r="A2838" s="28">
        <v>44310</v>
      </c>
      <c r="B2838" s="29">
        <f>VLOOKUP(A2838,'Database Claims'!$A:$C,3,)</f>
        <v>590000</v>
      </c>
      <c r="C2838" s="29">
        <f t="shared" si="88"/>
        <v>24000</v>
      </c>
      <c r="D2838" s="29">
        <f>VLOOKUP(A2838,'Database Claims'!$A:$C,2,)</f>
        <v>3680000</v>
      </c>
      <c r="E2838" s="29">
        <f t="shared" si="89"/>
        <v>27000</v>
      </c>
    </row>
    <row r="2839" spans="1:5" s="59" customFormat="1" x14ac:dyDescent="0.2">
      <c r="A2839" s="28">
        <v>44317</v>
      </c>
      <c r="B2839" s="25">
        <f>VLOOKUP(A2839,'Database Claims'!$A:$C,3,)</f>
        <v>507000</v>
      </c>
      <c r="C2839" s="29">
        <f t="shared" si="88"/>
        <v>-83000</v>
      </c>
      <c r="D2839" s="25">
        <f>VLOOKUP(A2839,'Database Claims'!$A:$C,2,)</f>
        <v>3640000</v>
      </c>
      <c r="E2839" s="29">
        <f t="shared" si="89"/>
        <v>-40000</v>
      </c>
    </row>
    <row r="2840" spans="1:5" s="59" customFormat="1" x14ac:dyDescent="0.2">
      <c r="A2840" s="28">
        <v>44324</v>
      </c>
      <c r="B2840" s="29">
        <f>VLOOKUP(A2840,'Database Claims'!$A:$C,3,)</f>
        <v>478000</v>
      </c>
      <c r="C2840" s="29">
        <f t="shared" si="88"/>
        <v>-29000</v>
      </c>
      <c r="D2840" s="29">
        <f>VLOOKUP(A2840,'Database Claims'!$A:$C,2,)</f>
        <v>3738000</v>
      </c>
      <c r="E2840" s="29">
        <f t="shared" si="89"/>
        <v>98000</v>
      </c>
    </row>
    <row r="2841" spans="1:5" s="59" customFormat="1" x14ac:dyDescent="0.2">
      <c r="A2841" s="28">
        <v>44331</v>
      </c>
      <c r="B2841" s="25">
        <f>VLOOKUP(A2841,'Database Claims'!$A:$C,3,)</f>
        <v>444000</v>
      </c>
      <c r="C2841" s="29">
        <f t="shared" si="88"/>
        <v>-34000</v>
      </c>
      <c r="D2841" s="25">
        <f>VLOOKUP(A2841,'Database Claims'!$A:$C,2,)</f>
        <v>3611000</v>
      </c>
      <c r="E2841" s="29">
        <f t="shared" si="89"/>
        <v>-127000</v>
      </c>
    </row>
    <row r="2842" spans="1:5" s="59" customFormat="1" x14ac:dyDescent="0.2">
      <c r="A2842" s="28">
        <v>44338</v>
      </c>
      <c r="B2842" s="29">
        <f>VLOOKUP(A2842,'Database Claims'!$A:$C,3,)</f>
        <v>405000</v>
      </c>
      <c r="C2842" s="29">
        <f t="shared" si="88"/>
        <v>-39000</v>
      </c>
      <c r="D2842" s="29">
        <f>VLOOKUP(A2842,'Database Claims'!$A:$C,2,)</f>
        <v>3769000</v>
      </c>
      <c r="E2842" s="29">
        <f t="shared" si="89"/>
        <v>158000</v>
      </c>
    </row>
    <row r="2843" spans="1:5" s="59" customFormat="1" x14ac:dyDescent="0.2">
      <c r="A2843" s="28">
        <v>44345</v>
      </c>
      <c r="B2843" s="25">
        <f>VLOOKUP(A2843,'Database Claims'!$A:$C,3,)</f>
        <v>388000</v>
      </c>
      <c r="C2843" s="29">
        <f t="shared" si="88"/>
        <v>-17000</v>
      </c>
      <c r="D2843" s="25">
        <f>VLOOKUP(A2843,'Database Claims'!$A:$C,2,)</f>
        <v>3517000</v>
      </c>
      <c r="E2843" s="29">
        <f t="shared" si="89"/>
        <v>-252000</v>
      </c>
    </row>
    <row r="2844" spans="1:5" s="59" customFormat="1" x14ac:dyDescent="0.2">
      <c r="A2844" s="28">
        <v>44352</v>
      </c>
      <c r="B2844" s="29">
        <f>VLOOKUP(A2844,'Database Claims'!$A:$C,3,)</f>
        <v>374000</v>
      </c>
      <c r="C2844" s="29">
        <f t="shared" si="88"/>
        <v>-14000</v>
      </c>
      <c r="D2844" s="29">
        <f>VLOOKUP(A2844,'Database Claims'!$A:$C,2,)</f>
        <v>3528000</v>
      </c>
      <c r="E2844" s="29">
        <f t="shared" si="89"/>
        <v>11000</v>
      </c>
    </row>
    <row r="2845" spans="1:5" s="59" customFormat="1" x14ac:dyDescent="0.2">
      <c r="A2845" s="28">
        <v>44359</v>
      </c>
      <c r="B2845" s="25">
        <f>VLOOKUP(A2845,'Database Claims'!$A:$C,3,)</f>
        <v>418000</v>
      </c>
      <c r="C2845" s="29">
        <f t="shared" si="88"/>
        <v>44000</v>
      </c>
      <c r="D2845" s="25">
        <f>VLOOKUP(A2845,'Database Claims'!$A:$C,2,)</f>
        <v>3412000</v>
      </c>
      <c r="E2845" s="29">
        <f t="shared" si="89"/>
        <v>-116000</v>
      </c>
    </row>
    <row r="2846" spans="1:5" s="59" customFormat="1" x14ac:dyDescent="0.2">
      <c r="A2846" s="28">
        <v>44366</v>
      </c>
      <c r="B2846" s="29">
        <f>VLOOKUP(A2846,'Database Claims'!$A:$C,3,)</f>
        <v>416000</v>
      </c>
      <c r="C2846" s="29">
        <f t="shared" si="88"/>
        <v>-2000</v>
      </c>
      <c r="D2846" s="29">
        <f>VLOOKUP(A2846,'Database Claims'!$A:$C,2,)</f>
        <v>3484000</v>
      </c>
      <c r="E2846" s="29">
        <f t="shared" si="89"/>
        <v>72000</v>
      </c>
    </row>
    <row r="2847" spans="1:5" s="59" customFormat="1" x14ac:dyDescent="0.2">
      <c r="A2847" s="28">
        <v>44373</v>
      </c>
      <c r="B2847" s="25">
        <f>VLOOKUP(A2847,'Database Claims'!$A:$C,3,)</f>
        <v>368000</v>
      </c>
      <c r="C2847" s="29">
        <f t="shared" si="88"/>
        <v>-48000</v>
      </c>
      <c r="D2847" s="25">
        <f>VLOOKUP(A2847,'Database Claims'!$A:$C,2,)</f>
        <v>3367000</v>
      </c>
      <c r="E2847" s="29">
        <f t="shared" si="89"/>
        <v>-117000</v>
      </c>
    </row>
    <row r="2848" spans="1:5" s="59" customFormat="1" x14ac:dyDescent="0.2">
      <c r="A2848" s="28">
        <v>44380</v>
      </c>
      <c r="B2848" s="29">
        <f>VLOOKUP(A2848,'Database Claims'!$A:$C,3,)</f>
        <v>386000</v>
      </c>
      <c r="C2848" s="29">
        <f t="shared" si="88"/>
        <v>18000</v>
      </c>
      <c r="D2848" s="29">
        <f>VLOOKUP(A2848,'Database Claims'!$A:$C,2,)</f>
        <v>3265000</v>
      </c>
      <c r="E2848" s="29">
        <f t="shared" si="89"/>
        <v>-102000</v>
      </c>
    </row>
    <row r="2849" spans="1:5" s="59" customFormat="1" x14ac:dyDescent="0.2">
      <c r="A2849" s="28">
        <v>44387</v>
      </c>
      <c r="B2849" s="25">
        <f>VLOOKUP(A2849,'Database Claims'!$A:$C,3,)</f>
        <v>368000</v>
      </c>
      <c r="C2849" s="29">
        <f t="shared" si="88"/>
        <v>-18000</v>
      </c>
      <c r="D2849" s="25">
        <f>VLOOKUP(A2849,'Database Claims'!$A:$C,2,)</f>
        <v>3262000</v>
      </c>
      <c r="E2849" s="29">
        <f t="shared" si="89"/>
        <v>-3000</v>
      </c>
    </row>
    <row r="2850" spans="1:5" s="59" customFormat="1" x14ac:dyDescent="0.2">
      <c r="A2850" s="28">
        <v>44394</v>
      </c>
      <c r="B2850" s="29">
        <f>VLOOKUP(A2850,'Database Claims'!$A:$C,3,)</f>
        <v>424000</v>
      </c>
      <c r="C2850" s="29">
        <f t="shared" si="88"/>
        <v>56000</v>
      </c>
      <c r="D2850" s="29">
        <f>VLOOKUP(A2850,'Database Claims'!$A:$C,2,)</f>
        <v>3296000</v>
      </c>
      <c r="E2850" s="29">
        <f t="shared" si="89"/>
        <v>34000</v>
      </c>
    </row>
    <row r="2851" spans="1:5" s="59" customFormat="1" x14ac:dyDescent="0.2">
      <c r="A2851" s="28">
        <v>44401</v>
      </c>
      <c r="B2851" s="25">
        <f>VLOOKUP(A2851,'Database Claims'!$A:$C,3,)</f>
        <v>399000</v>
      </c>
      <c r="C2851" s="29">
        <f t="shared" si="88"/>
        <v>-25000</v>
      </c>
      <c r="D2851" s="25">
        <f>VLOOKUP(A2851,'Database Claims'!$A:$C,2,)</f>
        <v>2980000</v>
      </c>
      <c r="E2851" s="29">
        <f t="shared" si="89"/>
        <v>-316000</v>
      </c>
    </row>
    <row r="2852" spans="1:5" s="59" customFormat="1" x14ac:dyDescent="0.2">
      <c r="A2852" s="28">
        <v>44408</v>
      </c>
      <c r="B2852" s="29">
        <f>VLOOKUP(A2852,'Database Claims'!$A:$C,3,)</f>
        <v>387000</v>
      </c>
      <c r="C2852" s="29">
        <f t="shared" si="88"/>
        <v>-12000</v>
      </c>
      <c r="D2852" s="29">
        <f>VLOOKUP(A2852,'Database Claims'!$A:$C,2,)</f>
        <v>2899000</v>
      </c>
      <c r="E2852" s="29">
        <f t="shared" si="89"/>
        <v>-81000</v>
      </c>
    </row>
    <row r="2853" spans="1:5" s="59" customFormat="1" x14ac:dyDescent="0.2">
      <c r="A2853" s="28">
        <v>44415</v>
      </c>
      <c r="B2853" s="25">
        <f>VLOOKUP(A2853,'Database Claims'!$A:$C,3,)</f>
        <v>377000</v>
      </c>
      <c r="C2853" s="29">
        <f t="shared" si="88"/>
        <v>-10000</v>
      </c>
      <c r="D2853" s="25">
        <f>VLOOKUP(A2853,'Database Claims'!$A:$C,2,)</f>
        <v>2865000</v>
      </c>
      <c r="E2853" s="29">
        <f t="shared" si="89"/>
        <v>-34000</v>
      </c>
    </row>
    <row r="2854" spans="1:5" s="59" customFormat="1" x14ac:dyDescent="0.2">
      <c r="A2854" s="28">
        <v>44422</v>
      </c>
      <c r="B2854" s="29">
        <f>VLOOKUP(A2854,'Database Claims'!$A:$C,3,)</f>
        <v>349000</v>
      </c>
      <c r="C2854" s="29">
        <f t="shared" si="88"/>
        <v>-28000</v>
      </c>
      <c r="D2854" s="29">
        <f>VLOOKUP(A2854,'Database Claims'!$A:$C,2,)</f>
        <v>2908000</v>
      </c>
      <c r="E2854" s="29">
        <f t="shared" si="89"/>
        <v>43000</v>
      </c>
    </row>
    <row r="2855" spans="1:5" s="59" customFormat="1" x14ac:dyDescent="0.2">
      <c r="A2855" s="28">
        <v>44429</v>
      </c>
      <c r="B2855" s="25">
        <f>VLOOKUP(A2855,'Database Claims'!$A:$C,3,)</f>
        <v>354000</v>
      </c>
      <c r="C2855" s="29">
        <f t="shared" si="88"/>
        <v>5000</v>
      </c>
      <c r="D2855" s="25">
        <f>VLOOKUP(A2855,'Database Claims'!$A:$C,2,)</f>
        <v>2805000</v>
      </c>
      <c r="E2855" s="29">
        <f t="shared" si="89"/>
        <v>-103000</v>
      </c>
    </row>
    <row r="2856" spans="1:5" s="59" customFormat="1" x14ac:dyDescent="0.2">
      <c r="A2856" s="28">
        <v>44436</v>
      </c>
      <c r="B2856" s="29">
        <f>VLOOKUP(A2856,'Database Claims'!$A:$C,3,)</f>
        <v>345000</v>
      </c>
      <c r="C2856" s="29">
        <f t="shared" si="88"/>
        <v>-9000</v>
      </c>
      <c r="D2856" s="29">
        <f>VLOOKUP(A2856,'Database Claims'!$A:$C,2,)</f>
        <v>2852000</v>
      </c>
      <c r="E2856" s="29">
        <f t="shared" si="89"/>
        <v>47000</v>
      </c>
    </row>
    <row r="2857" spans="1:5" s="59" customFormat="1" x14ac:dyDescent="0.2">
      <c r="A2857" s="28">
        <v>44443</v>
      </c>
      <c r="B2857" s="25">
        <f>VLOOKUP(A2857,'Database Claims'!$A:$C,3,)</f>
        <v>312000</v>
      </c>
      <c r="C2857" s="29">
        <f t="shared" si="88"/>
        <v>-33000</v>
      </c>
      <c r="D2857" s="25">
        <f>VLOOKUP(A2857,'Database Claims'!$A:$C,2,)</f>
        <v>2715000</v>
      </c>
      <c r="E2857" s="29">
        <f t="shared" si="89"/>
        <v>-137000</v>
      </c>
    </row>
    <row r="2858" spans="1:5" s="59" customFormat="1" x14ac:dyDescent="0.2">
      <c r="A2858" s="28">
        <v>44450</v>
      </c>
      <c r="B2858" s="29">
        <f>VLOOKUP(A2858,'Database Claims'!$A:$C,3,)</f>
        <v>335000</v>
      </c>
      <c r="C2858" s="29">
        <f t="shared" si="88"/>
        <v>23000</v>
      </c>
      <c r="D2858" s="29">
        <f>VLOOKUP(A2858,'Database Claims'!$A:$C,2,)</f>
        <v>2820000</v>
      </c>
      <c r="E2858" s="29">
        <f t="shared" si="89"/>
        <v>105000</v>
      </c>
    </row>
    <row r="2859" spans="1:5" s="59" customFormat="1" x14ac:dyDescent="0.2">
      <c r="A2859" s="28">
        <v>44457</v>
      </c>
      <c r="B2859" s="29">
        <f>VLOOKUP(A2859,'Database Claims'!$A:$C,3,)</f>
        <v>351000</v>
      </c>
      <c r="C2859" s="29">
        <f t="shared" si="88"/>
        <v>16000</v>
      </c>
      <c r="D2859" s="29">
        <f>VLOOKUP(A2859,'Database Claims'!$A:$C,2,)</f>
        <v>2811000</v>
      </c>
      <c r="E2859" s="29">
        <f t="shared" si="89"/>
        <v>-9000</v>
      </c>
    </row>
    <row r="2860" spans="1:5" s="59" customFormat="1" x14ac:dyDescent="0.2">
      <c r="A2860" s="28">
        <v>44464</v>
      </c>
      <c r="B2860" s="29">
        <f>VLOOKUP(A2860,'Database Claims'!$A:$C,3,)</f>
        <v>364000</v>
      </c>
      <c r="C2860" s="29">
        <f t="shared" si="88"/>
        <v>13000</v>
      </c>
      <c r="D2860" s="29">
        <f>VLOOKUP(A2860,'Database Claims'!$A:$C,2,)</f>
        <v>2727000</v>
      </c>
      <c r="E2860" s="29">
        <f t="shared" si="89"/>
        <v>-84000</v>
      </c>
    </row>
    <row r="2861" spans="1:5" s="59" customFormat="1" x14ac:dyDescent="0.2">
      <c r="A2861" s="28">
        <v>44471</v>
      </c>
      <c r="B2861" s="25">
        <f>VLOOKUP(A2861,'Database Claims'!$A:$C,3,)</f>
        <v>329000</v>
      </c>
      <c r="C2861" s="29">
        <f t="shared" si="88"/>
        <v>-35000</v>
      </c>
      <c r="D2861" s="25">
        <f>VLOOKUP(A2861,'Database Claims'!$A:$C,2,)</f>
        <v>2603000</v>
      </c>
      <c r="E2861" s="29">
        <f t="shared" si="89"/>
        <v>-124000</v>
      </c>
    </row>
    <row r="2862" spans="1:5" s="59" customFormat="1" x14ac:dyDescent="0.2">
      <c r="A2862" s="28">
        <v>44478</v>
      </c>
      <c r="B2862" s="29">
        <f>VLOOKUP(A2862,'Database Claims'!$A:$C,3,)</f>
        <v>296000</v>
      </c>
      <c r="C2862" s="29">
        <f t="shared" si="88"/>
        <v>-33000</v>
      </c>
      <c r="D2862" s="29">
        <f>VLOOKUP(A2862,'Database Claims'!$A:$C,2,)</f>
        <v>2480000</v>
      </c>
      <c r="E2862" s="29">
        <f t="shared" si="89"/>
        <v>-123000</v>
      </c>
    </row>
    <row r="2863" spans="1:5" s="59" customFormat="1" x14ac:dyDescent="0.2">
      <c r="A2863" s="28">
        <v>44485</v>
      </c>
      <c r="B2863" s="25">
        <f>VLOOKUP(A2863,'Database Claims'!$A:$C,3,)</f>
        <v>291000</v>
      </c>
      <c r="C2863" s="29">
        <f t="shared" si="88"/>
        <v>-5000</v>
      </c>
      <c r="D2863" s="25">
        <f>VLOOKUP(A2863,'Database Claims'!$A:$C,2,)</f>
        <v>2239000</v>
      </c>
      <c r="E2863" s="29">
        <f t="shared" si="89"/>
        <v>-241000</v>
      </c>
    </row>
    <row r="2864" spans="1:5" s="59" customFormat="1" x14ac:dyDescent="0.2">
      <c r="A2864" s="28">
        <v>44492</v>
      </c>
      <c r="B2864" s="29">
        <f>VLOOKUP(A2864,'Database Claims'!$A:$C,3,)</f>
        <v>283000</v>
      </c>
      <c r="C2864" s="29">
        <f t="shared" si="88"/>
        <v>-8000</v>
      </c>
      <c r="D2864" s="29">
        <f>VLOOKUP(A2864,'Database Claims'!$A:$C,2,)</f>
        <v>2101000</v>
      </c>
      <c r="E2864" s="29">
        <f t="shared" si="89"/>
        <v>-138000</v>
      </c>
    </row>
    <row r="2865" spans="1:5" s="59" customFormat="1" x14ac:dyDescent="0.2">
      <c r="A2865" s="28">
        <v>44499</v>
      </c>
      <c r="B2865" s="25">
        <f>VLOOKUP(A2865,'Database Claims'!$A:$C,3,)</f>
        <v>271000</v>
      </c>
      <c r="C2865" s="29">
        <f t="shared" si="88"/>
        <v>-12000</v>
      </c>
      <c r="D2865" s="25">
        <f>VLOOKUP(A2865,'Database Claims'!$A:$C,2,)</f>
        <v>2209000</v>
      </c>
      <c r="E2865" s="29">
        <f t="shared" si="89"/>
        <v>108000</v>
      </c>
    </row>
    <row r="2866" spans="1:5" s="59" customFormat="1" x14ac:dyDescent="0.2">
      <c r="A2866" s="28">
        <v>44506</v>
      </c>
      <c r="B2866" s="29">
        <f>VLOOKUP(A2866,'Database Claims'!$A:$C,3,)</f>
        <v>269000</v>
      </c>
      <c r="C2866" s="29">
        <f t="shared" si="88"/>
        <v>-2000</v>
      </c>
      <c r="D2866" s="29">
        <f>VLOOKUP(A2866,'Database Claims'!$A:$C,2,)</f>
        <v>2109000</v>
      </c>
      <c r="E2866" s="29">
        <f t="shared" si="89"/>
        <v>-100000</v>
      </c>
    </row>
    <row r="2867" spans="1:5" s="59" customFormat="1" x14ac:dyDescent="0.2">
      <c r="A2867" s="28">
        <v>44513</v>
      </c>
      <c r="B2867" s="25">
        <f>VLOOKUP(A2867,'Database Claims'!$A:$C,3,)</f>
        <v>270000</v>
      </c>
      <c r="C2867" s="29">
        <f t="shared" si="88"/>
        <v>1000</v>
      </c>
      <c r="D2867" s="25">
        <f>VLOOKUP(A2867,'Database Claims'!$A:$C,2,)</f>
        <v>2055000</v>
      </c>
      <c r="E2867" s="29">
        <f t="shared" si="89"/>
        <v>-54000</v>
      </c>
    </row>
    <row r="2868" spans="1:5" s="59" customFormat="1" x14ac:dyDescent="0.2">
      <c r="A2868" s="28">
        <v>44520</v>
      </c>
      <c r="B2868" s="29">
        <f>VLOOKUP(A2868,'Database Claims'!$A:$C,3,)</f>
        <v>194000</v>
      </c>
      <c r="C2868" s="29">
        <f t="shared" si="88"/>
        <v>-76000</v>
      </c>
      <c r="D2868" s="29">
        <f>VLOOKUP(A2868,'Database Claims'!$A:$C,2,)</f>
        <v>1954000</v>
      </c>
      <c r="E2868" s="29">
        <f t="shared" si="89"/>
        <v>-101000</v>
      </c>
    </row>
    <row r="2869" spans="1:5" s="59" customFormat="1" x14ac:dyDescent="0.2">
      <c r="A2869" s="28">
        <v>44527</v>
      </c>
      <c r="B2869" s="29">
        <f>VLOOKUP(A2869,'Database Claims'!$A:$C,3,)</f>
        <v>227000</v>
      </c>
      <c r="C2869" s="29">
        <f t="shared" si="88"/>
        <v>33000</v>
      </c>
      <c r="D2869" s="29">
        <f>VLOOKUP(A2869,'Database Claims'!$A:$C,2,)</f>
        <v>1999000</v>
      </c>
      <c r="E2869" s="29">
        <f t="shared" si="89"/>
        <v>45000</v>
      </c>
    </row>
    <row r="2870" spans="1:5" s="59" customFormat="1" x14ac:dyDescent="0.2">
      <c r="A2870" s="28">
        <v>44534</v>
      </c>
      <c r="B2870" s="25">
        <f>VLOOKUP(A2870,'Database Claims'!$A:$C,3,)</f>
        <v>188000</v>
      </c>
      <c r="C2870" s="29">
        <f t="shared" si="88"/>
        <v>-39000</v>
      </c>
      <c r="D2870" s="25">
        <f>VLOOKUP(A2870,'Database Claims'!$A:$C,2,)</f>
        <v>1845000</v>
      </c>
      <c r="E2870" s="29">
        <f t="shared" si="89"/>
        <v>-154000</v>
      </c>
    </row>
    <row r="2871" spans="1:5" s="59" customFormat="1" x14ac:dyDescent="0.2">
      <c r="A2871" s="28">
        <v>44541</v>
      </c>
      <c r="B2871" s="29">
        <f>VLOOKUP(A2871,'Database Claims'!$A:$C,3,)</f>
        <v>206000</v>
      </c>
      <c r="C2871" s="29">
        <f t="shared" si="88"/>
        <v>18000</v>
      </c>
      <c r="D2871" s="29">
        <f>VLOOKUP(A2871,'Database Claims'!$A:$C,2,)</f>
        <v>1856000</v>
      </c>
      <c r="E2871" s="29">
        <f t="shared" si="89"/>
        <v>11000</v>
      </c>
    </row>
    <row r="2872" spans="1:5" s="59" customFormat="1" x14ac:dyDescent="0.2">
      <c r="A2872" s="28">
        <v>44548</v>
      </c>
      <c r="B2872" s="29">
        <f>VLOOKUP(A2872,'Database Claims'!$A:$C,3,)</f>
        <v>206000</v>
      </c>
      <c r="C2872" s="29">
        <f t="shared" si="88"/>
        <v>0</v>
      </c>
      <c r="D2872" s="29">
        <f>VLOOKUP(A2872,'Database Claims'!$A:$C,2,)</f>
        <v>1718000</v>
      </c>
      <c r="E2872" s="29">
        <f t="shared" si="89"/>
        <v>-138000</v>
      </c>
    </row>
    <row r="2873" spans="1:5" s="59" customFormat="1" x14ac:dyDescent="0.2">
      <c r="A2873" s="28">
        <v>44555</v>
      </c>
      <c r="B2873" s="29">
        <f>VLOOKUP(A2873,'Database Claims'!$A:$C,3,)</f>
        <v>200000</v>
      </c>
      <c r="C2873" s="29">
        <f t="shared" si="88"/>
        <v>-6000</v>
      </c>
      <c r="D2873" s="29">
        <f>VLOOKUP(A2873,'Database Claims'!$A:$C,2,)</f>
        <v>1753000</v>
      </c>
      <c r="E2873" s="29">
        <f t="shared" si="89"/>
        <v>35000</v>
      </c>
    </row>
    <row r="2874" spans="1:5" s="59" customFormat="1" x14ac:dyDescent="0.2">
      <c r="A2874" s="28">
        <v>44562</v>
      </c>
      <c r="B2874" s="29">
        <f>VLOOKUP(A2874,'Database Claims'!$A:$C,3,)</f>
        <v>207000</v>
      </c>
      <c r="C2874" s="29">
        <f t="shared" si="88"/>
        <v>7000</v>
      </c>
      <c r="D2874" s="29">
        <f>VLOOKUP(A2874,'Database Claims'!$A:$C,2,)</f>
        <v>1551000</v>
      </c>
      <c r="E2874" s="29">
        <f t="shared" si="89"/>
        <v>-202000</v>
      </c>
    </row>
    <row r="2875" spans="1:5" s="59" customFormat="1" x14ac:dyDescent="0.2">
      <c r="A2875" s="28">
        <v>44569</v>
      </c>
      <c r="B2875" s="29">
        <f>VLOOKUP(A2875,'Database Claims'!$A:$C,3,)</f>
        <v>231000</v>
      </c>
      <c r="C2875" s="29">
        <f t="shared" si="88"/>
        <v>24000</v>
      </c>
      <c r="D2875" s="29">
        <f>VLOOKUP(A2875,'Database Claims'!$A:$C,2,)</f>
        <v>1635000</v>
      </c>
      <c r="E2875" s="29">
        <f t="shared" si="89"/>
        <v>84000</v>
      </c>
    </row>
    <row r="2876" spans="1:5" s="59" customFormat="1" x14ac:dyDescent="0.2"/>
    <row r="2877" spans="1:5" s="59" customFormat="1" x14ac:dyDescent="0.2"/>
    <row r="2878" spans="1:5" s="59" customFormat="1" x14ac:dyDescent="0.2"/>
    <row r="2879" spans="1:5" s="59" customFormat="1" x14ac:dyDescent="0.2"/>
    <row r="2880" spans="1:5" s="59" customFormat="1" x14ac:dyDescent="0.2"/>
    <row r="2881" s="59" customFormat="1" x14ac:dyDescent="0.2"/>
    <row r="2882" s="59" customFormat="1" x14ac:dyDescent="0.2"/>
    <row r="2883" s="59" customFormat="1" x14ac:dyDescent="0.2"/>
    <row r="2884" s="59" customFormat="1" x14ac:dyDescent="0.2"/>
    <row r="2885" s="59" customFormat="1" x14ac:dyDescent="0.2"/>
    <row r="2886" s="59" customFormat="1" x14ac:dyDescent="0.2"/>
    <row r="2887" s="59" customFormat="1" x14ac:dyDescent="0.2"/>
    <row r="2888" s="59" customFormat="1" x14ac:dyDescent="0.2"/>
    <row r="2889" s="59" customFormat="1" x14ac:dyDescent="0.2"/>
    <row r="2890" s="59" customFormat="1" x14ac:dyDescent="0.2"/>
    <row r="2891" s="59" customFormat="1" x14ac:dyDescent="0.2"/>
    <row r="2892" s="59" customFormat="1" x14ac:dyDescent="0.2"/>
    <row r="2893" s="59" customFormat="1" x14ac:dyDescent="0.2"/>
    <row r="2894" s="59" customFormat="1" x14ac:dyDescent="0.2"/>
    <row r="2895" s="59" customFormat="1" x14ac:dyDescent="0.2"/>
    <row r="2896" s="59" customFormat="1" x14ac:dyDescent="0.2"/>
    <row r="2897" s="59" customFormat="1" x14ac:dyDescent="0.2"/>
    <row r="2898" s="59" customFormat="1" x14ac:dyDescent="0.2"/>
    <row r="2899" s="59" customFormat="1" x14ac:dyDescent="0.2"/>
    <row r="2900" s="59" customFormat="1" x14ac:dyDescent="0.2"/>
    <row r="2901" s="59" customFormat="1" x14ac:dyDescent="0.2"/>
    <row r="2902" s="59" customFormat="1" x14ac:dyDescent="0.2"/>
    <row r="2903" s="59" customFormat="1" x14ac:dyDescent="0.2"/>
    <row r="2904" s="59" customFormat="1" x14ac:dyDescent="0.2"/>
    <row r="2905" s="59" customFormat="1" x14ac:dyDescent="0.2"/>
    <row r="2906" s="59" customFormat="1" x14ac:dyDescent="0.2"/>
    <row r="2907" s="59" customFormat="1" x14ac:dyDescent="0.2"/>
    <row r="2908" s="59" customFormat="1" x14ac:dyDescent="0.2"/>
    <row r="2909" s="59" customFormat="1" x14ac:dyDescent="0.2"/>
    <row r="2910" s="59" customFormat="1" x14ac:dyDescent="0.2"/>
    <row r="2911" s="59" customFormat="1" x14ac:dyDescent="0.2"/>
    <row r="2912" s="59" customFormat="1" x14ac:dyDescent="0.2"/>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8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A1"/>
  <sheetViews>
    <sheetView topLeftCell="A14" zoomScale="110" zoomScaleNormal="110" workbookViewId="0">
      <selection activeCell="Z61" sqref="Z61"/>
    </sheetView>
  </sheetViews>
  <sheetFormatPr baseColWidth="10" defaultColWidth="9.1640625" defaultRowHeight="15" x14ac:dyDescent="0.2"/>
  <cols>
    <col min="1" max="13" width="9.1640625" style="59" customWidth="1"/>
    <col min="14"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B050"/>
  </sheetPr>
  <dimension ref="A1:FF551"/>
  <sheetViews>
    <sheetView zoomScale="130" zoomScaleNormal="130" workbookViewId="0">
      <pane ySplit="5" topLeftCell="A228" activePane="bottomLeft" state="frozen"/>
      <selection activeCell="L243" sqref="L243"/>
      <selection pane="bottomLeft" activeCell="N269" sqref="N269"/>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49</v>
      </c>
      <c r="B1" s="15"/>
      <c r="C1" s="15"/>
      <c r="I1" s="17"/>
    </row>
    <row r="2" spans="1:9" s="59" customFormat="1" x14ac:dyDescent="0.2">
      <c r="A2" s="1" t="s">
        <v>50</v>
      </c>
      <c r="B2" s="15"/>
      <c r="C2" s="15"/>
    </row>
    <row r="3" spans="1:9" s="59" customFormat="1" x14ac:dyDescent="0.2">
      <c r="A3" s="1" t="s">
        <v>51</v>
      </c>
      <c r="B3" s="15"/>
      <c r="C3" s="15"/>
    </row>
    <row r="4" spans="1:9" s="59" customFormat="1" x14ac:dyDescent="0.2">
      <c r="A4" s="15"/>
      <c r="B4" s="15"/>
      <c r="C4" s="15"/>
    </row>
    <row r="5" spans="1:9" x14ac:dyDescent="0.2">
      <c r="A5" s="31" t="s">
        <v>44</v>
      </c>
      <c r="B5" s="31" t="s">
        <v>52</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59" customFormat="1" x14ac:dyDescent="0.2">
      <c r="A222" s="56">
        <v>43617</v>
      </c>
      <c r="B222" s="57">
        <f>VLOOKUP(A222,'Database ADP'!A:B,2)</f>
        <v>46</v>
      </c>
      <c r="C222" s="57">
        <f>VLOOKUP(A222,NFP!A:C,3)</f>
        <v>175</v>
      </c>
    </row>
    <row r="223" spans="1:3" s="59" customFormat="1" x14ac:dyDescent="0.2">
      <c r="A223" s="56">
        <v>43647</v>
      </c>
      <c r="B223" s="57">
        <f>VLOOKUP(A223,'Database ADP'!A:B,2)</f>
        <v>107</v>
      </c>
      <c r="C223" s="57">
        <f>VLOOKUP(A223,NFP!A:C,3)</f>
        <v>193</v>
      </c>
    </row>
    <row r="224" spans="1:3" s="59" customFormat="1" x14ac:dyDescent="0.2">
      <c r="A224" s="56">
        <v>43678</v>
      </c>
      <c r="B224" s="57">
        <f>VLOOKUP(A224,'Database ADP'!A:B,2)</f>
        <v>143</v>
      </c>
      <c r="C224" s="57">
        <f>VLOOKUP(A224,NFP!A:C,3)</f>
        <v>195</v>
      </c>
    </row>
    <row r="225" spans="1:3" s="59" customFormat="1" x14ac:dyDescent="0.2">
      <c r="A225" s="56">
        <v>43709</v>
      </c>
      <c r="B225" s="57">
        <f>VLOOKUP(A225,'Database ADP'!A:B,2)</f>
        <v>159</v>
      </c>
      <c r="C225" s="57">
        <f>VLOOKUP(A225,NFP!A:C,3)</f>
        <v>221</v>
      </c>
    </row>
    <row r="226" spans="1:3" s="59" customFormat="1" x14ac:dyDescent="0.2">
      <c r="A226" s="56">
        <v>43739</v>
      </c>
      <c r="B226" s="57">
        <f>VLOOKUP(A226,'Database ADP'!A:B,2)</f>
        <v>124</v>
      </c>
      <c r="C226" s="57">
        <f>VLOOKUP(A226,NFP!A:C,3)</f>
        <v>195</v>
      </c>
    </row>
    <row r="227" spans="1:3" s="59" customFormat="1" x14ac:dyDescent="0.2">
      <c r="A227" s="56">
        <v>43770</v>
      </c>
      <c r="B227" s="57">
        <f>VLOOKUP(A227,'Database ADP'!A:B,2)</f>
        <v>151</v>
      </c>
      <c r="C227" s="57">
        <f>VLOOKUP(A227,NFP!A:C,3)</f>
        <v>234</v>
      </c>
    </row>
    <row r="228" spans="1:3" s="59" customFormat="1" x14ac:dyDescent="0.2">
      <c r="A228" s="56">
        <v>43800</v>
      </c>
      <c r="B228" s="57">
        <f>VLOOKUP(A228,'Database ADP'!A:B,2)</f>
        <v>124</v>
      </c>
      <c r="C228" s="57">
        <f>VLOOKUP(A228,NFP!A:C,3)</f>
        <v>161</v>
      </c>
    </row>
    <row r="229" spans="1:3" s="59" customFormat="1" x14ac:dyDescent="0.2">
      <c r="A229" s="56">
        <v>43831</v>
      </c>
      <c r="B229" s="57">
        <f>VLOOKUP(A229,'Database ADP'!A:B,2)</f>
        <v>199</v>
      </c>
      <c r="C229" s="57">
        <f>VLOOKUP(A229,NFP!A:C,3)</f>
        <v>315</v>
      </c>
    </row>
    <row r="230" spans="1:3" s="59" customFormat="1" x14ac:dyDescent="0.2">
      <c r="A230" s="56">
        <v>43862</v>
      </c>
      <c r="B230" s="57">
        <f>VLOOKUP(A230,'Database ADP'!A:B,2)</f>
        <v>209</v>
      </c>
      <c r="C230" s="57">
        <f>VLOOKUP(A230,NFP!A:C,3)</f>
        <v>289</v>
      </c>
    </row>
    <row r="231" spans="1:3" s="59" customFormat="1" x14ac:dyDescent="0.2">
      <c r="A231" s="56">
        <v>43891</v>
      </c>
      <c r="B231" s="57">
        <f>VLOOKUP(A231,'Database ADP'!A:B,2)</f>
        <v>183</v>
      </c>
      <c r="C231" s="57">
        <f>VLOOKUP(A231,NFP!A:C,3)</f>
        <v>-1683</v>
      </c>
    </row>
    <row r="232" spans="1:3" s="59" customFormat="1" x14ac:dyDescent="0.2">
      <c r="A232" s="56">
        <v>43922</v>
      </c>
      <c r="B232" s="57">
        <f>VLOOKUP(A232,'Database ADP'!A:B,2)</f>
        <v>-149</v>
      </c>
      <c r="C232" s="57">
        <f>VLOOKUP(A232,NFP!A:C,3)</f>
        <v>-20679</v>
      </c>
    </row>
    <row r="233" spans="1:3" s="59" customFormat="1" x14ac:dyDescent="0.2">
      <c r="A233" s="56">
        <v>43952</v>
      </c>
      <c r="B233" s="57">
        <f>VLOOKUP(A233,'Database ADP'!A:B,2)</f>
        <v>-19557</v>
      </c>
      <c r="C233" s="57">
        <f>VLOOKUP(A233,NFP!A:C,3)</f>
        <v>2833</v>
      </c>
    </row>
    <row r="234" spans="1:3" s="59" customFormat="1" x14ac:dyDescent="0.2">
      <c r="A234" s="56">
        <v>43983</v>
      </c>
      <c r="B234" s="57">
        <f>VLOOKUP(A234,'Database ADP'!A:B,2)</f>
        <v>3065</v>
      </c>
      <c r="C234" s="57">
        <f>VLOOKUP(A234,NFP!A:C,3)</f>
        <v>4846</v>
      </c>
    </row>
    <row r="235" spans="1:3" s="59" customFormat="1" x14ac:dyDescent="0.2">
      <c r="A235" s="56">
        <v>44013</v>
      </c>
      <c r="B235" s="57">
        <f>VLOOKUP(A235,'Database ADP'!A:B,2)</f>
        <v>2369</v>
      </c>
      <c r="C235" s="57">
        <f>VLOOKUP(A235,NFP!A:C,3)</f>
        <v>1726</v>
      </c>
    </row>
    <row r="236" spans="1:3" s="59" customFormat="1" x14ac:dyDescent="0.2">
      <c r="A236" s="56">
        <v>44044</v>
      </c>
      <c r="B236" s="57">
        <f>VLOOKUP(A236,'Database ADP'!A:B,2)</f>
        <v>167</v>
      </c>
      <c r="C236" s="57">
        <f>VLOOKUP(A236,NFP!A:C,3)</f>
        <v>1583</v>
      </c>
    </row>
    <row r="237" spans="1:3" s="59" customFormat="1" x14ac:dyDescent="0.2">
      <c r="A237" s="56">
        <v>44075</v>
      </c>
      <c r="B237" s="57">
        <f>VLOOKUP(A237,'Database ADP'!A:B,2)</f>
        <v>428</v>
      </c>
      <c r="C237" s="57">
        <f>VLOOKUP(A237,NFP!A:C,3)</f>
        <v>716</v>
      </c>
    </row>
    <row r="238" spans="1:3" s="59" customFormat="1" x14ac:dyDescent="0.2">
      <c r="A238" s="56">
        <v>44105</v>
      </c>
      <c r="B238" s="57">
        <f>VLOOKUP(A238,'Database ADP'!A:B,2)</f>
        <v>749</v>
      </c>
      <c r="C238" s="57">
        <f>VLOOKUP(A238,NFP!A:C,3)</f>
        <v>680</v>
      </c>
    </row>
    <row r="239" spans="1:3" s="59" customFormat="1" x14ac:dyDescent="0.2">
      <c r="A239" s="56">
        <v>44136</v>
      </c>
      <c r="B239" s="57">
        <f>VLOOKUP(A239,'Database ADP'!A:B,2)</f>
        <v>365</v>
      </c>
      <c r="C239" s="57">
        <f>VLOOKUP(A239,NFP!A:C,3)</f>
        <v>264</v>
      </c>
    </row>
    <row r="240" spans="1:3" s="59" customFormat="1" x14ac:dyDescent="0.2">
      <c r="A240" s="56">
        <v>44166</v>
      </c>
      <c r="B240" s="57">
        <f>VLOOKUP(A240,'Database ADP'!A:B,2)</f>
        <v>307</v>
      </c>
      <c r="C240" s="57">
        <f>VLOOKUP(A240,NFP!A:C,3)</f>
        <v>-306</v>
      </c>
    </row>
    <row r="241" spans="1:3" s="59" customFormat="1" x14ac:dyDescent="0.2">
      <c r="A241" s="56">
        <v>44197</v>
      </c>
      <c r="B241" s="57">
        <f>VLOOKUP(A241,'Database ADP'!A:B,2)</f>
        <v>-123</v>
      </c>
      <c r="C241" s="57">
        <f>VLOOKUP(A241,NFP!A:C,3)</f>
        <v>233</v>
      </c>
    </row>
    <row r="242" spans="1:3" s="59" customFormat="1" x14ac:dyDescent="0.2">
      <c r="A242" s="56">
        <v>44228</v>
      </c>
      <c r="B242" s="57">
        <f>VLOOKUP(A242,'Database ADP'!A:B,2)</f>
        <v>174</v>
      </c>
      <c r="C242" s="57">
        <f>VLOOKUP(A242,NFP!A:C,3)</f>
        <v>536</v>
      </c>
    </row>
    <row r="243" spans="1:3" s="59" customFormat="1" x14ac:dyDescent="0.2">
      <c r="A243" s="56">
        <v>44256</v>
      </c>
      <c r="B243" s="57">
        <f>VLOOKUP(A243,'Database ADP'!A:B,2)</f>
        <v>117</v>
      </c>
      <c r="C243" s="57">
        <f>VLOOKUP(A243,NFP!A:C,3)</f>
        <v>785</v>
      </c>
    </row>
    <row r="244" spans="1:3" s="59" customFormat="1" x14ac:dyDescent="0.2">
      <c r="A244" s="56">
        <v>44287</v>
      </c>
      <c r="B244" s="57">
        <f>VLOOKUP(A244,'Database ADP'!A:B,2)</f>
        <v>517</v>
      </c>
      <c r="C244" s="57">
        <f>VLOOKUP(A244,NFP!A:C,3)</f>
        <v>269</v>
      </c>
    </row>
    <row r="245" spans="1:3" s="59" customFormat="1" x14ac:dyDescent="0.2">
      <c r="A245" s="56">
        <v>44317</v>
      </c>
      <c r="B245" s="57">
        <f>VLOOKUP(A245,'Database ADP'!A:B,2)</f>
        <v>742</v>
      </c>
      <c r="C245" s="57">
        <f>VLOOKUP(A245,NFP!A:C,3)</f>
        <v>614</v>
      </c>
    </row>
    <row r="246" spans="1:3" s="59" customFormat="1" x14ac:dyDescent="0.2">
      <c r="A246" s="56">
        <v>44348</v>
      </c>
      <c r="B246" s="57">
        <f>VLOOKUP(A246,'Database ADP'!A:B,2)</f>
        <v>978</v>
      </c>
      <c r="C246" s="57">
        <f>VLOOKUP(A246,NFP!A:C,3)</f>
        <v>962</v>
      </c>
    </row>
    <row r="247" spans="1:3" s="59" customFormat="1" x14ac:dyDescent="0.2">
      <c r="A247" s="56">
        <v>44378</v>
      </c>
      <c r="B247" s="57">
        <f>VLOOKUP(A247,'Database ADP'!A:B,2)</f>
        <v>692</v>
      </c>
      <c r="C247" s="57">
        <f>VLOOKUP(A247,NFP!A:C,3)</f>
        <v>1091</v>
      </c>
    </row>
    <row r="248" spans="1:3" s="59" customFormat="1" x14ac:dyDescent="0.2">
      <c r="A248" s="56">
        <v>44409</v>
      </c>
      <c r="B248" s="57">
        <f>VLOOKUP(A248,'Database ADP'!A:B,2)</f>
        <v>330</v>
      </c>
      <c r="C248" s="57">
        <f>VLOOKUP(A248,NFP!A:C,3)</f>
        <v>483</v>
      </c>
    </row>
    <row r="249" spans="1:3" s="59" customFormat="1" x14ac:dyDescent="0.2">
      <c r="A249" s="56">
        <v>44440</v>
      </c>
      <c r="B249" s="57">
        <f>VLOOKUP(A249,'Database ADP'!A:B,2)</f>
        <v>374</v>
      </c>
      <c r="C249" s="57">
        <f>VLOOKUP(A249,NFP!A:C,3)</f>
        <v>379</v>
      </c>
    </row>
    <row r="250" spans="1:3" s="59" customFormat="1" x14ac:dyDescent="0.2">
      <c r="A250" s="56">
        <v>44470</v>
      </c>
      <c r="B250" s="57">
        <f>VLOOKUP(A250,'Database ADP'!A:B,2)</f>
        <v>568</v>
      </c>
      <c r="C250" s="57">
        <f>VLOOKUP(A250,NFP!A:C,3)</f>
        <v>546</v>
      </c>
    </row>
    <row r="251" spans="1:3" s="59" customFormat="1" x14ac:dyDescent="0.2">
      <c r="A251" s="56">
        <v>44501</v>
      </c>
      <c r="B251" s="57">
        <f>VLOOKUP(A251,'Database ADP'!A:B,2)</f>
        <v>568</v>
      </c>
      <c r="C251" s="57">
        <f>VLOOKUP(A251,NFP!A:C,3)</f>
        <v>210</v>
      </c>
    </row>
    <row r="252" spans="1:3" s="59" customFormat="1" x14ac:dyDescent="0.2">
      <c r="A252" s="56">
        <v>44531</v>
      </c>
      <c r="B252" s="57">
        <f>VLOOKUP(A252,'Database ADP'!A:B,2)</f>
        <v>534</v>
      </c>
      <c r="C252" s="57">
        <f>VLOOKUP(A252,NFP!A:C,3)</f>
        <v>340</v>
      </c>
    </row>
    <row r="253" spans="1:3" s="59" customFormat="1" x14ac:dyDescent="0.2">
      <c r="A253" s="56">
        <v>44562</v>
      </c>
      <c r="B253" s="57">
        <f>VLOOKUP(A253,'Database ADP'!A:B,2)</f>
        <v>534</v>
      </c>
      <c r="C253" s="57">
        <f>VLOOKUP(A253,NFP!A:C,3)</f>
        <v>340</v>
      </c>
    </row>
    <row r="254" spans="1:3" s="59" customFormat="1" x14ac:dyDescent="0.2">
      <c r="A254" s="15"/>
      <c r="B254" s="15"/>
      <c r="C254" s="15"/>
    </row>
    <row r="255" spans="1:3" s="59" customFormat="1" x14ac:dyDescent="0.2">
      <c r="A255" s="15"/>
      <c r="B255" s="15"/>
      <c r="C255" s="15"/>
    </row>
    <row r="256" spans="1:3" s="59" customFormat="1" x14ac:dyDescent="0.2">
      <c r="A256" s="15"/>
      <c r="B256" s="15"/>
      <c r="C256" s="15"/>
    </row>
    <row r="257" spans="1:3" s="59" customFormat="1" x14ac:dyDescent="0.2">
      <c r="A257" s="15"/>
      <c r="B257" s="15"/>
      <c r="C257" s="15"/>
    </row>
    <row r="258" spans="1:3" s="59" customFormat="1" x14ac:dyDescent="0.2">
      <c r="A258" s="15"/>
      <c r="B258" s="15"/>
      <c r="C258" s="15"/>
    </row>
    <row r="259" spans="1:3" s="59" customFormat="1" x14ac:dyDescent="0.2">
      <c r="A259" s="15"/>
      <c r="B259" s="15"/>
      <c r="C259" s="15"/>
    </row>
    <row r="260" spans="1:3" s="59" customFormat="1" x14ac:dyDescent="0.2">
      <c r="A260" s="15"/>
      <c r="B260" s="15"/>
      <c r="C260" s="15"/>
    </row>
    <row r="261" spans="1:3" s="59" customFormat="1" x14ac:dyDescent="0.2">
      <c r="A261" s="15"/>
      <c r="B261" s="15"/>
      <c r="C261" s="15"/>
    </row>
    <row r="262" spans="1:3" s="59" customFormat="1" x14ac:dyDescent="0.2">
      <c r="A262" s="15"/>
      <c r="B262" s="15"/>
      <c r="C262" s="15"/>
    </row>
    <row r="263" spans="1:3" s="59" customFormat="1" x14ac:dyDescent="0.2">
      <c r="A263" s="15"/>
      <c r="B263" s="15"/>
      <c r="C263" s="15"/>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700-000000000000}"/>
    <hyperlink ref="A2" r:id="rId2" xr:uid="{00000000-0004-0000-0700-000001000000}"/>
    <hyperlink ref="A3" r:id="rId3" xr:uid="{00000000-0004-0000-07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40" zoomScaleNormal="140" workbookViewId="0">
      <pane xSplit="2" ySplit="3" topLeftCell="C29" activePane="bottomRight" state="frozen"/>
      <selection activeCell="AI835" sqref="AI835"/>
      <selection pane="topRight" activeCell="AI835" sqref="AI835"/>
      <selection pane="bottomLeft" activeCell="AI835" sqref="AI835"/>
      <selection pane="bottomRight" activeCell="W93" sqref="W93"/>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89</v>
      </c>
      <c r="D1" t="s">
        <v>62</v>
      </c>
      <c r="E1" t="s">
        <v>75</v>
      </c>
      <c r="F1" t="s">
        <v>60</v>
      </c>
      <c r="G1" t="s">
        <v>66</v>
      </c>
      <c r="H1" t="s">
        <v>68</v>
      </c>
      <c r="I1" t="s">
        <v>74</v>
      </c>
      <c r="J1" t="s">
        <v>63</v>
      </c>
      <c r="K1" t="s">
        <v>87</v>
      </c>
      <c r="L1" t="s">
        <v>79</v>
      </c>
      <c r="M1" t="s">
        <v>56</v>
      </c>
      <c r="N1" t="s">
        <v>53</v>
      </c>
      <c r="O1" t="s">
        <v>76</v>
      </c>
      <c r="P1" t="s">
        <v>69</v>
      </c>
      <c r="Q1" t="s">
        <v>71</v>
      </c>
      <c r="R1" t="s">
        <v>88</v>
      </c>
      <c r="S1" t="s">
        <v>59</v>
      </c>
      <c r="T1" t="s">
        <v>83</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VLOOKUP(B5,'Data World'!$A:$AL,MATCH(World!$C$1,'Data World'!$A$1:$AL$1,))</f>
        <v>5.4</v>
      </c>
      <c r="D5" s="13">
        <f>VLOOKUP(B5,'Data World'!$A:$AL,MATCH(World!$D$1,'Data World'!$A$1:$AL$1,))</f>
        <v>11.2</v>
      </c>
      <c r="E5" s="13">
        <f>VLOOKUP(B5,'Data World'!$A:$AL,MATCH(World!$E$1,'Data World'!$A$1:$AL$1,))</f>
        <v>3.4</v>
      </c>
      <c r="F5" s="13">
        <f>VLOOKUP(B5,'Data World'!$A:$AL,MATCH(World!$F$1,'Data World'!$A$1:$AL$1,))</f>
        <v>4.7</v>
      </c>
      <c r="G5" s="13">
        <f>VLOOKUP(B5,'Data World'!$A:$AL,MATCH(World!$G$1,'Data World'!$A$1:$AL$1,))</f>
        <v>10.4</v>
      </c>
      <c r="H5" s="13">
        <f>VLOOKUP(B5,'Data World'!$A:$AL,MATCH(World!$H$1,'Data World'!$A$1:$AL$1,))</f>
        <v>5.5039170000000004</v>
      </c>
      <c r="I5" s="13">
        <f>VLOOKUP(B5,'Data World'!$A:$AL,MATCH(World!$I$1,'Data World'!$A$1:$AL$1,))</f>
        <v>12.6</v>
      </c>
      <c r="J5" s="13">
        <f>VLOOKUP(B5,'Data World'!$A:$AL,MATCH(World!$J$1,'Data World'!$A$1:$AL$1,))</f>
        <v>22.9</v>
      </c>
      <c r="K5" s="13">
        <f>VLOOKUP(B5,'Data World'!$A:$AL,MATCH(World!$K$1,'Data World'!$A$1:$AL$1,))</f>
        <v>7.5</v>
      </c>
      <c r="L5" s="13">
        <f>VLOOKUP(B5,'Data World'!$A:$AL,MATCH(World!$L$1,'Data World'!$A$1:$AL$1,))</f>
        <v>4.2196490000000004</v>
      </c>
      <c r="M5" s="13">
        <f>VLOOKUP(B5,'Data World'!$A:$AL,MATCH(World!$M$1,'Data World'!$A$1:$AL$1,))</f>
        <v>6.9</v>
      </c>
      <c r="N5" s="13">
        <f>VLOOKUP(B5,'Data World'!$A:$AL,MATCH(World!$N$1,'Data World'!$A$1:$AL$1,))</f>
        <v>6.1149740000000001</v>
      </c>
      <c r="O5" s="13">
        <f>VLOOKUP(B5,'Data World'!$A:$AL,MATCH(World!$O$1,'Data World'!$A$1:$AL$1,))</f>
        <v>3.5</v>
      </c>
      <c r="P5" s="13">
        <f>VLOOKUP(B5,'Data World'!$A:$AL,MATCH(World!$P$1,'Data World'!$A$1:$AL$1,))</f>
        <v>26.2</v>
      </c>
      <c r="Q5" s="13">
        <f>VLOOKUP(B5,'Data World'!$A:$AL,MATCH(World!$Q$1,'Data World'!$A$1:$AL$1,))</f>
        <v>10.5</v>
      </c>
      <c r="R5" s="13">
        <f>VLOOKUP(B5,'Data World'!$A:$AL,MATCH(World!$R$1,'Data World'!$A$1:$AL$1,))</f>
        <v>10.5</v>
      </c>
      <c r="S5" s="13">
        <f>VLOOKUP(B5,'Data World'!$A:$AL,MATCH(World!$S$1,'Data World'!$A$1:$AL$1,))</f>
        <v>5.7</v>
      </c>
      <c r="T5" s="13">
        <f>VLOOKUP(B5,'Data World'!$A:$AL,MATCH(World!$T$1,'Data World'!$A$1:$AL$1,))</f>
        <v>7.9</v>
      </c>
    </row>
    <row r="6" spans="2:20" x14ac:dyDescent="0.2">
      <c r="B6" s="12">
        <v>42124</v>
      </c>
      <c r="C6" s="13">
        <f>VLOOKUP(B6,'Data World'!$A:$AL,MATCH(World!$C$1,'Data World'!$A$1:$AL$1,))</f>
        <v>5.4</v>
      </c>
      <c r="D6" s="13">
        <f>VLOOKUP(B6,'Data World'!$A:$AL,MATCH(World!$D$1,'Data World'!$A$1:$AL$1,))</f>
        <v>11.1</v>
      </c>
      <c r="E6" s="13">
        <f>VLOOKUP(B6,'Data World'!$A:$AL,MATCH(World!$E$1,'Data World'!$A$1:$AL$1,))</f>
        <v>3.4</v>
      </c>
      <c r="F6" s="13">
        <f>VLOOKUP(B6,'Data World'!$A:$AL,MATCH(World!$F$1,'Data World'!$A$1:$AL$1,))</f>
        <v>4.7</v>
      </c>
      <c r="G6" s="13">
        <f>VLOOKUP(B6,'Data World'!$A:$AL,MATCH(World!$G$1,'Data World'!$A$1:$AL$1,))</f>
        <v>10.5</v>
      </c>
      <c r="H6" s="13">
        <f>VLOOKUP(B6,'Data World'!$A:$AL,MATCH(World!$H$1,'Data World'!$A$1:$AL$1,))</f>
        <v>5.6174460000000002</v>
      </c>
      <c r="I6" s="13">
        <f>VLOOKUP(B6,'Data World'!$A:$AL,MATCH(World!$I$1,'Data World'!$A$1:$AL$1,))</f>
        <v>12.2</v>
      </c>
      <c r="J6" s="13">
        <f>VLOOKUP(B6,'Data World'!$A:$AL,MATCH(World!$J$1,'Data World'!$A$1:$AL$1,))</f>
        <v>22.7</v>
      </c>
      <c r="K6" s="13">
        <f>VLOOKUP(B6,'Data World'!$A:$AL,MATCH(World!$K$1,'Data World'!$A$1:$AL$1,))</f>
        <v>7.8</v>
      </c>
      <c r="L6" s="13">
        <f>VLOOKUP(B6,'Data World'!$A:$AL,MATCH(World!$L$1,'Data World'!$A$1:$AL$1,))</f>
        <v>4.404274</v>
      </c>
      <c r="M6" s="13">
        <f>VLOOKUP(B6,'Data World'!$A:$AL,MATCH(World!$M$1,'Data World'!$A$1:$AL$1,))</f>
        <v>6.9</v>
      </c>
      <c r="N6" s="13">
        <f>VLOOKUP(B6,'Data World'!$A:$AL,MATCH(World!$N$1,'Data World'!$A$1:$AL$1,))</f>
        <v>6.1216759999999999</v>
      </c>
      <c r="O6" s="13">
        <f>VLOOKUP(B6,'Data World'!$A:$AL,MATCH(World!$O$1,'Data World'!$A$1:$AL$1,))</f>
        <v>3.6</v>
      </c>
      <c r="P6" s="13">
        <f>VLOOKUP(B6,'Data World'!$A:$AL,MATCH(World!$P$1,'Data World'!$A$1:$AL$1,))</f>
        <v>25.2</v>
      </c>
      <c r="Q6" s="13">
        <f>VLOOKUP(B6,'Data World'!$A:$AL,MATCH(World!$Q$1,'Data World'!$A$1:$AL$1,))</f>
        <v>10.3</v>
      </c>
      <c r="R6" s="13">
        <f>VLOOKUP(B6,'Data World'!$A:$AL,MATCH(World!$R$1,'Data World'!$A$1:$AL$1,))</f>
        <v>10.5</v>
      </c>
      <c r="S6" s="13">
        <f>VLOOKUP(B6,'Data World'!$A:$AL,MATCH(World!$S$1,'Data World'!$A$1:$AL$1,))</f>
        <v>5.3</v>
      </c>
      <c r="T6" s="13">
        <f>VLOOKUP(B6,'Data World'!$A:$AL,MATCH(World!$T$1,'Data World'!$A$1:$AL$1,))</f>
        <v>7.7</v>
      </c>
    </row>
    <row r="7" spans="2:20" x14ac:dyDescent="0.2">
      <c r="B7" s="12">
        <v>42155</v>
      </c>
      <c r="C7" s="13">
        <f>VLOOKUP(B7,'Data World'!$A:$AL,MATCH(World!$C$1,'Data World'!$A$1:$AL$1,))</f>
        <v>5.6</v>
      </c>
      <c r="D7" s="13">
        <f>VLOOKUP(B7,'Data World'!$A:$AL,MATCH(World!$D$1,'Data World'!$A$1:$AL$1,))</f>
        <v>11.1</v>
      </c>
      <c r="E7" s="13">
        <f>VLOOKUP(B7,'Data World'!$A:$AL,MATCH(World!$E$1,'Data World'!$A$1:$AL$1,))</f>
        <v>3.3</v>
      </c>
      <c r="F7" s="13">
        <f>VLOOKUP(B7,'Data World'!$A:$AL,MATCH(World!$F$1,'Data World'!$A$1:$AL$1,))</f>
        <v>4.7</v>
      </c>
      <c r="G7" s="13">
        <f>VLOOKUP(B7,'Data World'!$A:$AL,MATCH(World!$G$1,'Data World'!$A$1:$AL$1,))</f>
        <v>10.5</v>
      </c>
      <c r="H7" s="13">
        <f>VLOOKUP(B7,'Data World'!$A:$AL,MATCH(World!$H$1,'Data World'!$A$1:$AL$1,))</f>
        <v>5.6087600000000002</v>
      </c>
      <c r="I7" s="13">
        <f>VLOOKUP(B7,'Data World'!$A:$AL,MATCH(World!$I$1,'Data World'!$A$1:$AL$1,))</f>
        <v>12.3</v>
      </c>
      <c r="J7" s="13">
        <f>VLOOKUP(B7,'Data World'!$A:$AL,MATCH(World!$J$1,'Data World'!$A$1:$AL$1,))</f>
        <v>22.4</v>
      </c>
      <c r="K7" s="13">
        <f>VLOOKUP(B7,'Data World'!$A:$AL,MATCH(World!$K$1,'Data World'!$A$1:$AL$1,))</f>
        <v>7.6</v>
      </c>
      <c r="L7" s="13">
        <f>VLOOKUP(B7,'Data World'!$A:$AL,MATCH(World!$L$1,'Data World'!$A$1:$AL$1,))</f>
        <v>4.5385989999999996</v>
      </c>
      <c r="M7" s="13">
        <f>VLOOKUP(B7,'Data World'!$A:$AL,MATCH(World!$M$1,'Data World'!$A$1:$AL$1,))</f>
        <v>6.9</v>
      </c>
      <c r="N7" s="13">
        <f>VLOOKUP(B7,'Data World'!$A:$AL,MATCH(World!$N$1,'Data World'!$A$1:$AL$1,))</f>
        <v>5.9331829999999997</v>
      </c>
      <c r="O7" s="13">
        <f>VLOOKUP(B7,'Data World'!$A:$AL,MATCH(World!$O$1,'Data World'!$A$1:$AL$1,))</f>
        <v>3.7</v>
      </c>
      <c r="P7" s="13">
        <f>VLOOKUP(B7,'Data World'!$A:$AL,MATCH(World!$P$1,'Data World'!$A$1:$AL$1,))</f>
        <v>24.7</v>
      </c>
      <c r="Q7" s="13">
        <f>VLOOKUP(B7,'Data World'!$A:$AL,MATCH(World!$Q$1,'Data World'!$A$1:$AL$1,))</f>
        <v>10</v>
      </c>
      <c r="R7" s="13">
        <f>VLOOKUP(B7,'Data World'!$A:$AL,MATCH(World!$R$1,'Data World'!$A$1:$AL$1,))</f>
        <v>10.199999999999999</v>
      </c>
      <c r="S7" s="13">
        <f>VLOOKUP(B7,'Data World'!$A:$AL,MATCH(World!$S$1,'Data World'!$A$1:$AL$1,))</f>
        <v>4.9000000000000004</v>
      </c>
      <c r="T7" s="13">
        <f>VLOOKUP(B7,'Data World'!$A:$AL,MATCH(World!$T$1,'Data World'!$A$1:$AL$1,))</f>
        <v>7.5</v>
      </c>
    </row>
    <row r="8" spans="2:20" x14ac:dyDescent="0.2">
      <c r="B8" s="12">
        <v>42185</v>
      </c>
      <c r="C8" s="13">
        <f>VLOOKUP(B8,'Data World'!$A:$AL,MATCH(World!$C$1,'Data World'!$A$1:$AL$1,))</f>
        <v>5.3</v>
      </c>
      <c r="D8" s="13">
        <f>VLOOKUP(B8,'Data World'!$A:$AL,MATCH(World!$D$1,'Data World'!$A$1:$AL$1,))</f>
        <v>11</v>
      </c>
      <c r="E8" s="13">
        <f>VLOOKUP(B8,'Data World'!$A:$AL,MATCH(World!$E$1,'Data World'!$A$1:$AL$1,))</f>
        <v>3.4</v>
      </c>
      <c r="F8" s="13">
        <f>VLOOKUP(B8,'Data World'!$A:$AL,MATCH(World!$F$1,'Data World'!$A$1:$AL$1,))</f>
        <v>4.7</v>
      </c>
      <c r="G8" s="13">
        <f>VLOOKUP(B8,'Data World'!$A:$AL,MATCH(World!$G$1,'Data World'!$A$1:$AL$1,))</f>
        <v>10.5</v>
      </c>
      <c r="H8" s="13">
        <f>VLOOKUP(B8,'Data World'!$A:$AL,MATCH(World!$H$1,'Data World'!$A$1:$AL$1,))</f>
        <v>5.5188030000000001</v>
      </c>
      <c r="I8" s="13">
        <f>VLOOKUP(B8,'Data World'!$A:$AL,MATCH(World!$I$1,'Data World'!$A$1:$AL$1,))</f>
        <v>12.4</v>
      </c>
      <c r="J8" s="13">
        <f>VLOOKUP(B8,'Data World'!$A:$AL,MATCH(World!$J$1,'Data World'!$A$1:$AL$1,))</f>
        <v>22.2</v>
      </c>
      <c r="K8" s="13">
        <f>VLOOKUP(B8,'Data World'!$A:$AL,MATCH(World!$K$1,'Data World'!$A$1:$AL$1,))</f>
        <v>7.5</v>
      </c>
      <c r="L8" s="13">
        <f>VLOOKUP(B8,'Data World'!$A:$AL,MATCH(World!$L$1,'Data World'!$A$1:$AL$1,))</f>
        <v>4.4367229999999998</v>
      </c>
      <c r="M8" s="13">
        <f>VLOOKUP(B8,'Data World'!$A:$AL,MATCH(World!$M$1,'Data World'!$A$1:$AL$1,))</f>
        <v>6.9</v>
      </c>
      <c r="N8" s="13">
        <f>VLOOKUP(B8,'Data World'!$A:$AL,MATCH(World!$N$1,'Data World'!$A$1:$AL$1,))</f>
        <v>5.9886410000000003</v>
      </c>
      <c r="O8" s="13">
        <f>VLOOKUP(B8,'Data World'!$A:$AL,MATCH(World!$O$1,'Data World'!$A$1:$AL$1,))</f>
        <v>3.8</v>
      </c>
      <c r="P8" s="13">
        <f>VLOOKUP(B8,'Data World'!$A:$AL,MATCH(World!$P$1,'Data World'!$A$1:$AL$1,))</f>
        <v>25.1</v>
      </c>
      <c r="Q8" s="13">
        <f>VLOOKUP(B8,'Data World'!$A:$AL,MATCH(World!$Q$1,'Data World'!$A$1:$AL$1,))</f>
        <v>9.8000000000000007</v>
      </c>
      <c r="R8" s="13">
        <f>VLOOKUP(B8,'Data World'!$A:$AL,MATCH(World!$R$1,'Data World'!$A$1:$AL$1,))</f>
        <v>10.199999999999999</v>
      </c>
      <c r="S8" s="13">
        <f>VLOOKUP(B8,'Data World'!$A:$AL,MATCH(World!$S$1,'Data World'!$A$1:$AL$1,))</f>
        <v>5</v>
      </c>
      <c r="T8" s="13">
        <f>VLOOKUP(B8,'Data World'!$A:$AL,MATCH(World!$T$1,'Data World'!$A$1:$AL$1,))</f>
        <v>7.4</v>
      </c>
    </row>
    <row r="9" spans="2:20" x14ac:dyDescent="0.2">
      <c r="B9" s="12">
        <v>42216</v>
      </c>
      <c r="C9" s="13">
        <f>VLOOKUP(B9,'Data World'!$A:$AL,MATCH(World!$C$1,'Data World'!$A$1:$AL$1,))</f>
        <v>5.2</v>
      </c>
      <c r="D9" s="13">
        <f>VLOOKUP(B9,'Data World'!$A:$AL,MATCH(World!$D$1,'Data World'!$A$1:$AL$1,))</f>
        <v>10.8</v>
      </c>
      <c r="E9" s="13">
        <f>VLOOKUP(B9,'Data World'!$A:$AL,MATCH(World!$E$1,'Data World'!$A$1:$AL$1,))</f>
        <v>3.3</v>
      </c>
      <c r="F9" s="13">
        <f>VLOOKUP(B9,'Data World'!$A:$AL,MATCH(World!$F$1,'Data World'!$A$1:$AL$1,))</f>
        <v>4.5999999999999996</v>
      </c>
      <c r="G9" s="13">
        <f>VLOOKUP(B9,'Data World'!$A:$AL,MATCH(World!$G$1,'Data World'!$A$1:$AL$1,))</f>
        <v>10.4</v>
      </c>
      <c r="H9" s="13">
        <f>VLOOKUP(B9,'Data World'!$A:$AL,MATCH(World!$H$1,'Data World'!$A$1:$AL$1,))</f>
        <v>5.3921169999999998</v>
      </c>
      <c r="I9" s="13">
        <f>VLOOKUP(B9,'Data World'!$A:$AL,MATCH(World!$I$1,'Data World'!$A$1:$AL$1,))</f>
        <v>11.8</v>
      </c>
      <c r="J9" s="13">
        <f>VLOOKUP(B9,'Data World'!$A:$AL,MATCH(World!$J$1,'Data World'!$A$1:$AL$1,))</f>
        <v>21.9</v>
      </c>
      <c r="K9" s="13">
        <f>VLOOKUP(B9,'Data World'!$A:$AL,MATCH(World!$K$1,'Data World'!$A$1:$AL$1,))</f>
        <v>7.1</v>
      </c>
      <c r="L9" s="13">
        <f>VLOOKUP(B9,'Data World'!$A:$AL,MATCH(World!$L$1,'Data World'!$A$1:$AL$1,))</f>
        <v>4.4565159999999997</v>
      </c>
      <c r="M9" s="13">
        <f>VLOOKUP(B9,'Data World'!$A:$AL,MATCH(World!$M$1,'Data World'!$A$1:$AL$1,))</f>
        <v>6.9</v>
      </c>
      <c r="N9" s="13">
        <f>VLOOKUP(B9,'Data World'!$A:$AL,MATCH(World!$N$1,'Data World'!$A$1:$AL$1,))</f>
        <v>6.2562319999999998</v>
      </c>
      <c r="O9" s="13">
        <f>VLOOKUP(B9,'Data World'!$A:$AL,MATCH(World!$O$1,'Data World'!$A$1:$AL$1,))</f>
        <v>3.7</v>
      </c>
      <c r="P9" s="13">
        <f>VLOOKUP(B9,'Data World'!$A:$AL,MATCH(World!$P$1,'Data World'!$A$1:$AL$1,))</f>
        <v>25</v>
      </c>
      <c r="Q9" s="13">
        <f>VLOOKUP(B9,'Data World'!$A:$AL,MATCH(World!$Q$1,'Data World'!$A$1:$AL$1,))</f>
        <v>9.6</v>
      </c>
      <c r="R9" s="13">
        <f>VLOOKUP(B9,'Data World'!$A:$AL,MATCH(World!$R$1,'Data World'!$A$1:$AL$1,))</f>
        <v>10.1</v>
      </c>
      <c r="S9" s="13">
        <f>VLOOKUP(B9,'Data World'!$A:$AL,MATCH(World!$S$1,'Data World'!$A$1:$AL$1,))</f>
        <v>5</v>
      </c>
      <c r="T9" s="13">
        <f>VLOOKUP(B9,'Data World'!$A:$AL,MATCH(World!$T$1,'Data World'!$A$1:$AL$1,))</f>
        <v>7.4</v>
      </c>
    </row>
    <row r="10" spans="2:20" x14ac:dyDescent="0.2">
      <c r="B10" s="12">
        <v>42247</v>
      </c>
      <c r="C10" s="13">
        <f>VLOOKUP(B10,'Data World'!$A:$AL,MATCH(World!$C$1,'Data World'!$A$1:$AL$1,))</f>
        <v>5.0999999999999996</v>
      </c>
      <c r="D10" s="13">
        <f>VLOOKUP(B10,'Data World'!$A:$AL,MATCH(World!$D$1,'Data World'!$A$1:$AL$1,))</f>
        <v>10.7</v>
      </c>
      <c r="E10" s="13">
        <f>VLOOKUP(B10,'Data World'!$A:$AL,MATCH(World!$E$1,'Data World'!$A$1:$AL$1,))</f>
        <v>3.4</v>
      </c>
      <c r="F10" s="13">
        <f>VLOOKUP(B10,'Data World'!$A:$AL,MATCH(World!$F$1,'Data World'!$A$1:$AL$1,))</f>
        <v>4.5999999999999996</v>
      </c>
      <c r="G10" s="13">
        <f>VLOOKUP(B10,'Data World'!$A:$AL,MATCH(World!$G$1,'Data World'!$A$1:$AL$1,))</f>
        <v>10.3</v>
      </c>
      <c r="H10" s="13">
        <f>VLOOKUP(B10,'Data World'!$A:$AL,MATCH(World!$H$1,'Data World'!$A$1:$AL$1,))</f>
        <v>5.3193219999999997</v>
      </c>
      <c r="I10" s="13">
        <f>VLOOKUP(B10,'Data World'!$A:$AL,MATCH(World!$I$1,'Data World'!$A$1:$AL$1,))</f>
        <v>11.6</v>
      </c>
      <c r="J10" s="13">
        <f>VLOOKUP(B10,'Data World'!$A:$AL,MATCH(World!$J$1,'Data World'!$A$1:$AL$1,))</f>
        <v>21.6</v>
      </c>
      <c r="K10" s="13">
        <f>VLOOKUP(B10,'Data World'!$A:$AL,MATCH(World!$K$1,'Data World'!$A$1:$AL$1,))</f>
        <v>6.9</v>
      </c>
      <c r="L10" s="13">
        <f>VLOOKUP(B10,'Data World'!$A:$AL,MATCH(World!$L$1,'Data World'!$A$1:$AL$1,))</f>
        <v>4.3827249999999998</v>
      </c>
      <c r="M10" s="13">
        <f>VLOOKUP(B10,'Data World'!$A:$AL,MATCH(World!$M$1,'Data World'!$A$1:$AL$1,))</f>
        <v>7</v>
      </c>
      <c r="N10" s="13">
        <f>VLOOKUP(B10,'Data World'!$A:$AL,MATCH(World!$N$1,'Data World'!$A$1:$AL$1,))</f>
        <v>6.0675439999999998</v>
      </c>
      <c r="O10" s="13">
        <f>VLOOKUP(B10,'Data World'!$A:$AL,MATCH(World!$O$1,'Data World'!$A$1:$AL$1,))</f>
        <v>3.6</v>
      </c>
      <c r="P10" s="13">
        <f>VLOOKUP(B10,'Data World'!$A:$AL,MATCH(World!$P$1,'Data World'!$A$1:$AL$1,))</f>
        <v>24.3</v>
      </c>
      <c r="Q10" s="13">
        <f>VLOOKUP(B10,'Data World'!$A:$AL,MATCH(World!$Q$1,'Data World'!$A$1:$AL$1,))</f>
        <v>9.5</v>
      </c>
      <c r="R10" s="13">
        <f>VLOOKUP(B10,'Data World'!$A:$AL,MATCH(World!$R$1,'Data World'!$A$1:$AL$1,))</f>
        <v>10.1</v>
      </c>
      <c r="S10" s="13">
        <f>VLOOKUP(B10,'Data World'!$A:$AL,MATCH(World!$S$1,'Data World'!$A$1:$AL$1,))</f>
        <v>4.7</v>
      </c>
      <c r="T10" s="13">
        <f>VLOOKUP(B10,'Data World'!$A:$AL,MATCH(World!$T$1,'Data World'!$A$1:$AL$1,))</f>
        <v>7.3</v>
      </c>
    </row>
    <row r="11" spans="2:20" x14ac:dyDescent="0.2">
      <c r="B11" s="12">
        <v>42277</v>
      </c>
      <c r="C11" s="13">
        <f>VLOOKUP(B11,'Data World'!$A:$AL,MATCH(World!$C$1,'Data World'!$A$1:$AL$1,))</f>
        <v>5</v>
      </c>
      <c r="D11" s="13">
        <f>VLOOKUP(B11,'Data World'!$A:$AL,MATCH(World!$D$1,'Data World'!$A$1:$AL$1,))</f>
        <v>10.7</v>
      </c>
      <c r="E11" s="13">
        <f>VLOOKUP(B11,'Data World'!$A:$AL,MATCH(World!$E$1,'Data World'!$A$1:$AL$1,))</f>
        <v>3.4</v>
      </c>
      <c r="F11" s="13">
        <f>VLOOKUP(B11,'Data World'!$A:$AL,MATCH(World!$F$1,'Data World'!$A$1:$AL$1,))</f>
        <v>4.5</v>
      </c>
      <c r="G11" s="13">
        <f>VLOOKUP(B11,'Data World'!$A:$AL,MATCH(World!$G$1,'Data World'!$A$1:$AL$1,))</f>
        <v>10.3</v>
      </c>
      <c r="H11" s="13">
        <f>VLOOKUP(B11,'Data World'!$A:$AL,MATCH(World!$H$1,'Data World'!$A$1:$AL$1,))</f>
        <v>5.1742730000000003</v>
      </c>
      <c r="I11" s="13">
        <f>VLOOKUP(B11,'Data World'!$A:$AL,MATCH(World!$I$1,'Data World'!$A$1:$AL$1,))</f>
        <v>11.6</v>
      </c>
      <c r="J11" s="13">
        <f>VLOOKUP(B11,'Data World'!$A:$AL,MATCH(World!$J$1,'Data World'!$A$1:$AL$1,))</f>
        <v>21.4</v>
      </c>
      <c r="K11" s="13">
        <f>VLOOKUP(B11,'Data World'!$A:$AL,MATCH(World!$K$1,'Data World'!$A$1:$AL$1,))</f>
        <v>7.3</v>
      </c>
      <c r="L11" s="13">
        <f>VLOOKUP(B11,'Data World'!$A:$AL,MATCH(World!$L$1,'Data World'!$A$1:$AL$1,))</f>
        <v>4.187684</v>
      </c>
      <c r="M11" s="13">
        <f>VLOOKUP(B11,'Data World'!$A:$AL,MATCH(World!$M$1,'Data World'!$A$1:$AL$1,))</f>
        <v>7.1</v>
      </c>
      <c r="N11" s="13">
        <f>VLOOKUP(B11,'Data World'!$A:$AL,MATCH(World!$N$1,'Data World'!$A$1:$AL$1,))</f>
        <v>6.1465860000000001</v>
      </c>
      <c r="O11" s="13">
        <f>VLOOKUP(B11,'Data World'!$A:$AL,MATCH(World!$O$1,'Data World'!$A$1:$AL$1,))</f>
        <v>3.5</v>
      </c>
      <c r="P11" s="13">
        <f>VLOOKUP(B11,'Data World'!$A:$AL,MATCH(World!$P$1,'Data World'!$A$1:$AL$1,))</f>
        <v>24.9</v>
      </c>
      <c r="Q11" s="13">
        <f>VLOOKUP(B11,'Data World'!$A:$AL,MATCH(World!$Q$1,'Data World'!$A$1:$AL$1,))</f>
        <v>9.6</v>
      </c>
      <c r="R11" s="13">
        <f>VLOOKUP(B11,'Data World'!$A:$AL,MATCH(World!$R$1,'Data World'!$A$1:$AL$1,))</f>
        <v>10.199999999999999</v>
      </c>
      <c r="S11" s="13">
        <f>VLOOKUP(B11,'Data World'!$A:$AL,MATCH(World!$S$1,'Data World'!$A$1:$AL$1,))</f>
        <v>4.7</v>
      </c>
      <c r="T11" s="13">
        <f>VLOOKUP(B11,'Data World'!$A:$AL,MATCH(World!$T$1,'Data World'!$A$1:$AL$1,))</f>
        <v>7.2</v>
      </c>
    </row>
    <row r="12" spans="2:20" x14ac:dyDescent="0.2">
      <c r="B12" s="12">
        <v>42308</v>
      </c>
      <c r="C12" s="13">
        <f>VLOOKUP(B12,'Data World'!$A:$AL,MATCH(World!$C$1,'Data World'!$A$1:$AL$1,))</f>
        <v>5</v>
      </c>
      <c r="D12" s="13">
        <f>VLOOKUP(B12,'Data World'!$A:$AL,MATCH(World!$D$1,'Data World'!$A$1:$AL$1,))</f>
        <v>10.7</v>
      </c>
      <c r="E12" s="13">
        <f>VLOOKUP(B12,'Data World'!$A:$AL,MATCH(World!$E$1,'Data World'!$A$1:$AL$1,))</f>
        <v>3.2</v>
      </c>
      <c r="F12" s="13">
        <f>VLOOKUP(B12,'Data World'!$A:$AL,MATCH(World!$F$1,'Data World'!$A$1:$AL$1,))</f>
        <v>4.5</v>
      </c>
      <c r="G12" s="13">
        <f>VLOOKUP(B12,'Data World'!$A:$AL,MATCH(World!$G$1,'Data World'!$A$1:$AL$1,))</f>
        <v>10.199999999999999</v>
      </c>
      <c r="H12" s="13">
        <f>VLOOKUP(B12,'Data World'!$A:$AL,MATCH(World!$H$1,'Data World'!$A$1:$AL$1,))</f>
        <v>5.0813969999999999</v>
      </c>
      <c r="I12" s="13">
        <f>VLOOKUP(B12,'Data World'!$A:$AL,MATCH(World!$I$1,'Data World'!$A$1:$AL$1,))</f>
        <v>11.8</v>
      </c>
      <c r="J12" s="13">
        <f>VLOOKUP(B12,'Data World'!$A:$AL,MATCH(World!$J$1,'Data World'!$A$1:$AL$1,))</f>
        <v>21.2</v>
      </c>
      <c r="K12" s="13">
        <f>VLOOKUP(B12,'Data World'!$A:$AL,MATCH(World!$K$1,'Data World'!$A$1:$AL$1,))</f>
        <v>7.2</v>
      </c>
      <c r="L12" s="13">
        <f>VLOOKUP(B12,'Data World'!$A:$AL,MATCH(World!$L$1,'Data World'!$A$1:$AL$1,))</f>
        <v>4.456226</v>
      </c>
      <c r="M12" s="13">
        <f>VLOOKUP(B12,'Data World'!$A:$AL,MATCH(World!$M$1,'Data World'!$A$1:$AL$1,))</f>
        <v>6.9</v>
      </c>
      <c r="N12" s="13">
        <f>VLOOKUP(B12,'Data World'!$A:$AL,MATCH(World!$N$1,'Data World'!$A$1:$AL$1,))</f>
        <v>5.9114360000000001</v>
      </c>
      <c r="O12" s="13">
        <f>VLOOKUP(B12,'Data World'!$A:$AL,MATCH(World!$O$1,'Data World'!$A$1:$AL$1,))</f>
        <v>3.5</v>
      </c>
      <c r="P12" s="13">
        <f>VLOOKUP(B12,'Data World'!$A:$AL,MATCH(World!$P$1,'Data World'!$A$1:$AL$1,))</f>
        <v>24.6</v>
      </c>
      <c r="Q12" s="13">
        <f>VLOOKUP(B12,'Data World'!$A:$AL,MATCH(World!$Q$1,'Data World'!$A$1:$AL$1,))</f>
        <v>9.6</v>
      </c>
      <c r="R12" s="13">
        <f>VLOOKUP(B12,'Data World'!$A:$AL,MATCH(World!$R$1,'Data World'!$A$1:$AL$1,))</f>
        <v>10.199999999999999</v>
      </c>
      <c r="S12" s="13">
        <f>VLOOKUP(B12,'Data World'!$A:$AL,MATCH(World!$S$1,'Data World'!$A$1:$AL$1,))</f>
        <v>4.5999999999999996</v>
      </c>
      <c r="T12" s="13">
        <f>VLOOKUP(B12,'Data World'!$A:$AL,MATCH(World!$T$1,'Data World'!$A$1:$AL$1,))</f>
        <v>7.2</v>
      </c>
    </row>
    <row r="13" spans="2:20" x14ac:dyDescent="0.2">
      <c r="B13" s="12">
        <v>42338</v>
      </c>
      <c r="C13" s="13">
        <f>VLOOKUP(B13,'Data World'!$A:$AL,MATCH(World!$C$1,'Data World'!$A$1:$AL$1,))</f>
        <v>5.0999999999999996</v>
      </c>
      <c r="D13" s="13">
        <f>VLOOKUP(B13,'Data World'!$A:$AL,MATCH(World!$D$1,'Data World'!$A$1:$AL$1,))</f>
        <v>10.5</v>
      </c>
      <c r="E13" s="13">
        <f>VLOOKUP(B13,'Data World'!$A:$AL,MATCH(World!$E$1,'Data World'!$A$1:$AL$1,))</f>
        <v>3.3</v>
      </c>
      <c r="F13" s="13">
        <f>VLOOKUP(B13,'Data World'!$A:$AL,MATCH(World!$F$1,'Data World'!$A$1:$AL$1,))</f>
        <v>4.5</v>
      </c>
      <c r="G13" s="13">
        <f>VLOOKUP(B13,'Data World'!$A:$AL,MATCH(World!$G$1,'Data World'!$A$1:$AL$1,))</f>
        <v>10.199999999999999</v>
      </c>
      <c r="H13" s="13">
        <f>VLOOKUP(B13,'Data World'!$A:$AL,MATCH(World!$H$1,'Data World'!$A$1:$AL$1,))</f>
        <v>5.0788419999999999</v>
      </c>
      <c r="I13" s="13">
        <f>VLOOKUP(B13,'Data World'!$A:$AL,MATCH(World!$I$1,'Data World'!$A$1:$AL$1,))</f>
        <v>11.5</v>
      </c>
      <c r="J13" s="13">
        <f>VLOOKUP(B13,'Data World'!$A:$AL,MATCH(World!$J$1,'Data World'!$A$1:$AL$1,))</f>
        <v>20.9</v>
      </c>
      <c r="K13" s="13">
        <f>VLOOKUP(B13,'Data World'!$A:$AL,MATCH(World!$K$1,'Data World'!$A$1:$AL$1,))</f>
        <v>6.9</v>
      </c>
      <c r="L13" s="13">
        <f>VLOOKUP(B13,'Data World'!$A:$AL,MATCH(World!$L$1,'Data World'!$A$1:$AL$1,))</f>
        <v>4.0896670000000004</v>
      </c>
      <c r="M13" s="13">
        <f>VLOOKUP(B13,'Data World'!$A:$AL,MATCH(World!$M$1,'Data World'!$A$1:$AL$1,))</f>
        <v>7.1</v>
      </c>
      <c r="N13" s="13">
        <f>VLOOKUP(B13,'Data World'!$A:$AL,MATCH(World!$N$1,'Data World'!$A$1:$AL$1,))</f>
        <v>5.8538459999999999</v>
      </c>
      <c r="O13" s="13">
        <f>VLOOKUP(B13,'Data World'!$A:$AL,MATCH(World!$O$1,'Data World'!$A$1:$AL$1,))</f>
        <v>3.6</v>
      </c>
      <c r="P13" s="13">
        <f>VLOOKUP(B13,'Data World'!$A:$AL,MATCH(World!$P$1,'Data World'!$A$1:$AL$1,))</f>
        <v>24.1</v>
      </c>
      <c r="Q13" s="13">
        <f>VLOOKUP(B13,'Data World'!$A:$AL,MATCH(World!$Q$1,'Data World'!$A$1:$AL$1,))</f>
        <v>9.6</v>
      </c>
      <c r="R13" s="13">
        <f>VLOOKUP(B13,'Data World'!$A:$AL,MATCH(World!$R$1,'Data World'!$A$1:$AL$1,))</f>
        <v>10.199999999999999</v>
      </c>
      <c r="S13" s="13">
        <f>VLOOKUP(B13,'Data World'!$A:$AL,MATCH(World!$S$1,'Data World'!$A$1:$AL$1,))</f>
        <v>4.5</v>
      </c>
      <c r="T13" s="13">
        <f>VLOOKUP(B13,'Data World'!$A:$AL,MATCH(World!$T$1,'Data World'!$A$1:$AL$1,))</f>
        <v>7.1</v>
      </c>
    </row>
    <row r="14" spans="2:20" x14ac:dyDescent="0.2">
      <c r="B14" s="12">
        <v>42369</v>
      </c>
      <c r="C14" s="13">
        <f>VLOOKUP(B14,'Data World'!$A:$AL,MATCH(World!$C$1,'Data World'!$A$1:$AL$1,))</f>
        <v>5</v>
      </c>
      <c r="D14" s="13">
        <f>VLOOKUP(B14,'Data World'!$A:$AL,MATCH(World!$D$1,'Data World'!$A$1:$AL$1,))</f>
        <v>10.5</v>
      </c>
      <c r="E14" s="13">
        <f>VLOOKUP(B14,'Data World'!$A:$AL,MATCH(World!$E$1,'Data World'!$A$1:$AL$1,))</f>
        <v>3.3</v>
      </c>
      <c r="F14" s="13">
        <f>VLOOKUP(B14,'Data World'!$A:$AL,MATCH(World!$F$1,'Data World'!$A$1:$AL$1,))</f>
        <v>4.5</v>
      </c>
      <c r="G14" s="13">
        <f>VLOOKUP(B14,'Data World'!$A:$AL,MATCH(World!$G$1,'Data World'!$A$1:$AL$1,))</f>
        <v>10.199999999999999</v>
      </c>
      <c r="H14" s="13">
        <f>VLOOKUP(B14,'Data World'!$A:$AL,MATCH(World!$H$1,'Data World'!$A$1:$AL$1,))</f>
        <v>5.0692279999999998</v>
      </c>
      <c r="I14" s="13">
        <f>VLOOKUP(B14,'Data World'!$A:$AL,MATCH(World!$I$1,'Data World'!$A$1:$AL$1,))</f>
        <v>11.7</v>
      </c>
      <c r="J14" s="13">
        <f>VLOOKUP(B14,'Data World'!$A:$AL,MATCH(World!$J$1,'Data World'!$A$1:$AL$1,))</f>
        <v>20.8</v>
      </c>
      <c r="K14" s="13">
        <f>VLOOKUP(B14,'Data World'!$A:$AL,MATCH(World!$K$1,'Data World'!$A$1:$AL$1,))</f>
        <v>7.2</v>
      </c>
      <c r="L14" s="13">
        <f>VLOOKUP(B14,'Data World'!$A:$AL,MATCH(World!$L$1,'Data World'!$A$1:$AL$1,))</f>
        <v>4.3817409999999999</v>
      </c>
      <c r="M14" s="13">
        <f>VLOOKUP(B14,'Data World'!$A:$AL,MATCH(World!$M$1,'Data World'!$A$1:$AL$1,))</f>
        <v>7.2</v>
      </c>
      <c r="N14" s="13">
        <f>VLOOKUP(B14,'Data World'!$A:$AL,MATCH(World!$N$1,'Data World'!$A$1:$AL$1,))</f>
        <v>5.7470059999999998</v>
      </c>
      <c r="O14" s="13">
        <f>VLOOKUP(B14,'Data World'!$A:$AL,MATCH(World!$O$1,'Data World'!$A$1:$AL$1,))</f>
        <v>3.5</v>
      </c>
      <c r="P14" s="13">
        <f>VLOOKUP(B14,'Data World'!$A:$AL,MATCH(World!$P$1,'Data World'!$A$1:$AL$1,))</f>
        <v>24</v>
      </c>
      <c r="Q14" s="13">
        <f>VLOOKUP(B14,'Data World'!$A:$AL,MATCH(World!$Q$1,'Data World'!$A$1:$AL$1,))</f>
        <v>9.1</v>
      </c>
      <c r="R14" s="13">
        <f>VLOOKUP(B14,'Data World'!$A:$AL,MATCH(World!$R$1,'Data World'!$A$1:$AL$1,))</f>
        <v>10.4</v>
      </c>
      <c r="S14" s="13">
        <f>VLOOKUP(B14,'Data World'!$A:$AL,MATCH(World!$S$1,'Data World'!$A$1:$AL$1,))</f>
        <v>4.5</v>
      </c>
      <c r="T14" s="13">
        <f>VLOOKUP(B14,'Data World'!$A:$AL,MATCH(World!$T$1,'Data World'!$A$1:$AL$1,))</f>
        <v>6.9</v>
      </c>
    </row>
    <row r="15" spans="2:20" x14ac:dyDescent="0.2">
      <c r="B15" s="12">
        <v>42400</v>
      </c>
      <c r="C15" s="13">
        <f>VLOOKUP(B15,'Data World'!$A:$AL,MATCH(World!$C$1,'Data World'!$A$1:$AL$1,))</f>
        <v>4.8</v>
      </c>
      <c r="D15" s="13">
        <f>VLOOKUP(B15,'Data World'!$A:$AL,MATCH(World!$D$1,'Data World'!$A$1:$AL$1,))</f>
        <v>10.4</v>
      </c>
      <c r="E15" s="13">
        <f>VLOOKUP(B15,'Data World'!$A:$AL,MATCH(World!$E$1,'Data World'!$A$1:$AL$1,))</f>
        <v>3.2</v>
      </c>
      <c r="F15" s="13">
        <f>VLOOKUP(B15,'Data World'!$A:$AL,MATCH(World!$F$1,'Data World'!$A$1:$AL$1,))</f>
        <v>4.4000000000000004</v>
      </c>
      <c r="G15" s="13">
        <f>VLOOKUP(B15,'Data World'!$A:$AL,MATCH(World!$G$1,'Data World'!$A$1:$AL$1,))</f>
        <v>10.199999999999999</v>
      </c>
      <c r="H15" s="13">
        <f>VLOOKUP(B15,'Data World'!$A:$AL,MATCH(World!$H$1,'Data World'!$A$1:$AL$1,))</f>
        <v>5.1131789999999997</v>
      </c>
      <c r="I15" s="13">
        <f>VLOOKUP(B15,'Data World'!$A:$AL,MATCH(World!$I$1,'Data World'!$A$1:$AL$1,))</f>
        <v>11.6</v>
      </c>
      <c r="J15" s="13">
        <f>VLOOKUP(B15,'Data World'!$A:$AL,MATCH(World!$J$1,'Data World'!$A$1:$AL$1,))</f>
        <v>20.6</v>
      </c>
      <c r="K15" s="13">
        <f>VLOOKUP(B15,'Data World'!$A:$AL,MATCH(World!$K$1,'Data World'!$A$1:$AL$1,))</f>
        <v>7</v>
      </c>
      <c r="L15" s="13">
        <f>VLOOKUP(B15,'Data World'!$A:$AL,MATCH(World!$L$1,'Data World'!$A$1:$AL$1,))</f>
        <v>4.0724349999999996</v>
      </c>
      <c r="M15" s="13">
        <f>VLOOKUP(B15,'Data World'!$A:$AL,MATCH(World!$M$1,'Data World'!$A$1:$AL$1,))</f>
        <v>7.2</v>
      </c>
      <c r="N15" s="13">
        <f>VLOOKUP(B15,'Data World'!$A:$AL,MATCH(World!$N$1,'Data World'!$A$1:$AL$1,))</f>
        <v>6.0433539999999999</v>
      </c>
      <c r="O15" s="13">
        <f>VLOOKUP(B15,'Data World'!$A:$AL,MATCH(World!$O$1,'Data World'!$A$1:$AL$1,))</f>
        <v>3.6</v>
      </c>
      <c r="P15" s="13">
        <f>VLOOKUP(B15,'Data World'!$A:$AL,MATCH(World!$P$1,'Data World'!$A$1:$AL$1,))</f>
        <v>24.6</v>
      </c>
      <c r="Q15" s="13">
        <f>VLOOKUP(B15,'Data World'!$A:$AL,MATCH(World!$Q$1,'Data World'!$A$1:$AL$1,))</f>
        <v>9.1</v>
      </c>
      <c r="R15" s="13">
        <f>VLOOKUP(B15,'Data World'!$A:$AL,MATCH(World!$R$1,'Data World'!$A$1:$AL$1,))</f>
        <v>10.199999999999999</v>
      </c>
      <c r="S15" s="13">
        <f>VLOOKUP(B15,'Data World'!$A:$AL,MATCH(World!$S$1,'Data World'!$A$1:$AL$1,))</f>
        <v>4.3</v>
      </c>
      <c r="T15" s="13">
        <f>VLOOKUP(B15,'Data World'!$A:$AL,MATCH(World!$T$1,'Data World'!$A$1:$AL$1,))</f>
        <v>6.7</v>
      </c>
    </row>
    <row r="16" spans="2:20" x14ac:dyDescent="0.2">
      <c r="B16" s="12">
        <v>42429</v>
      </c>
      <c r="C16" s="13">
        <f>VLOOKUP(B16,'Data World'!$A:$AL,MATCH(World!$C$1,'Data World'!$A$1:$AL$1,))</f>
        <v>4.9000000000000004</v>
      </c>
      <c r="D16" s="13">
        <f>VLOOKUP(B16,'Data World'!$A:$AL,MATCH(World!$D$1,'Data World'!$A$1:$AL$1,))</f>
        <v>10.4</v>
      </c>
      <c r="E16" s="13">
        <f>VLOOKUP(B16,'Data World'!$A:$AL,MATCH(World!$E$1,'Data World'!$A$1:$AL$1,))</f>
        <v>3.3</v>
      </c>
      <c r="F16" s="13">
        <f>VLOOKUP(B16,'Data World'!$A:$AL,MATCH(World!$F$1,'Data World'!$A$1:$AL$1,))</f>
        <v>4.3</v>
      </c>
      <c r="G16" s="13">
        <f>VLOOKUP(B16,'Data World'!$A:$AL,MATCH(World!$G$1,'Data World'!$A$1:$AL$1,))</f>
        <v>10.3</v>
      </c>
      <c r="H16" s="13">
        <f>VLOOKUP(B16,'Data World'!$A:$AL,MATCH(World!$H$1,'Data World'!$A$1:$AL$1,))</f>
        <v>5.0710350000000002</v>
      </c>
      <c r="I16" s="13">
        <f>VLOOKUP(B16,'Data World'!$A:$AL,MATCH(World!$I$1,'Data World'!$A$1:$AL$1,))</f>
        <v>11.8</v>
      </c>
      <c r="J16" s="13">
        <f>VLOOKUP(B16,'Data World'!$A:$AL,MATCH(World!$J$1,'Data World'!$A$1:$AL$1,))</f>
        <v>20.5</v>
      </c>
      <c r="K16" s="13">
        <f>VLOOKUP(B16,'Data World'!$A:$AL,MATCH(World!$K$1,'Data World'!$A$1:$AL$1,))</f>
        <v>7.1</v>
      </c>
      <c r="L16" s="13">
        <f>VLOOKUP(B16,'Data World'!$A:$AL,MATCH(World!$L$1,'Data World'!$A$1:$AL$1,))</f>
        <v>4.1755909999999998</v>
      </c>
      <c r="M16" s="13">
        <f>VLOOKUP(B16,'Data World'!$A:$AL,MATCH(World!$M$1,'Data World'!$A$1:$AL$1,))</f>
        <v>7.3</v>
      </c>
      <c r="N16" s="13">
        <f>VLOOKUP(B16,'Data World'!$A:$AL,MATCH(World!$N$1,'Data World'!$A$1:$AL$1,))</f>
        <v>5.7174440000000004</v>
      </c>
      <c r="O16" s="13">
        <f>VLOOKUP(B16,'Data World'!$A:$AL,MATCH(World!$O$1,'Data World'!$A$1:$AL$1,))</f>
        <v>3.9</v>
      </c>
      <c r="P16" s="13">
        <f>VLOOKUP(B16,'Data World'!$A:$AL,MATCH(World!$P$1,'Data World'!$A$1:$AL$1,))</f>
        <v>23.7</v>
      </c>
      <c r="Q16" s="13">
        <f>VLOOKUP(B16,'Data World'!$A:$AL,MATCH(World!$Q$1,'Data World'!$A$1:$AL$1,))</f>
        <v>8.9</v>
      </c>
      <c r="R16" s="13">
        <f>VLOOKUP(B16,'Data World'!$A:$AL,MATCH(World!$R$1,'Data World'!$A$1:$AL$1,))</f>
        <v>10.1</v>
      </c>
      <c r="S16" s="13">
        <f>VLOOKUP(B16,'Data World'!$A:$AL,MATCH(World!$S$1,'Data World'!$A$1:$AL$1,))</f>
        <v>4.2</v>
      </c>
      <c r="T16" s="13">
        <f>VLOOKUP(B16,'Data World'!$A:$AL,MATCH(World!$T$1,'Data World'!$A$1:$AL$1,))</f>
        <v>6.6</v>
      </c>
    </row>
    <row r="17" spans="2:20" x14ac:dyDescent="0.2">
      <c r="B17" s="12">
        <v>42460</v>
      </c>
      <c r="C17" s="13">
        <f>VLOOKUP(B17,'Data World'!$A:$AL,MATCH(World!$C$1,'Data World'!$A$1:$AL$1,))</f>
        <v>5</v>
      </c>
      <c r="D17" s="13">
        <f>VLOOKUP(B17,'Data World'!$A:$AL,MATCH(World!$D$1,'Data World'!$A$1:$AL$1,))</f>
        <v>10.3</v>
      </c>
      <c r="E17" s="13">
        <f>VLOOKUP(B17,'Data World'!$A:$AL,MATCH(World!$E$1,'Data World'!$A$1:$AL$1,))</f>
        <v>3.2</v>
      </c>
      <c r="F17" s="13">
        <f>VLOOKUP(B17,'Data World'!$A:$AL,MATCH(World!$F$1,'Data World'!$A$1:$AL$1,))</f>
        <v>4.3</v>
      </c>
      <c r="G17" s="13">
        <f>VLOOKUP(B17,'Data World'!$A:$AL,MATCH(World!$G$1,'Data World'!$A$1:$AL$1,))</f>
        <v>10.199999999999999</v>
      </c>
      <c r="H17" s="13">
        <f>VLOOKUP(B17,'Data World'!$A:$AL,MATCH(World!$H$1,'Data World'!$A$1:$AL$1,))</f>
        <v>5.0070499999999996</v>
      </c>
      <c r="I17" s="13">
        <f>VLOOKUP(B17,'Data World'!$A:$AL,MATCH(World!$I$1,'Data World'!$A$1:$AL$1,))</f>
        <v>11.6</v>
      </c>
      <c r="J17" s="13">
        <f>VLOOKUP(B17,'Data World'!$A:$AL,MATCH(World!$J$1,'Data World'!$A$1:$AL$1,))</f>
        <v>20.3</v>
      </c>
      <c r="K17" s="13">
        <f>VLOOKUP(B17,'Data World'!$A:$AL,MATCH(World!$K$1,'Data World'!$A$1:$AL$1,))</f>
        <v>7.3</v>
      </c>
      <c r="L17" s="13">
        <f>VLOOKUP(B17,'Data World'!$A:$AL,MATCH(World!$L$1,'Data World'!$A$1:$AL$1,))</f>
        <v>4.0811419999999998</v>
      </c>
      <c r="M17" s="13">
        <f>VLOOKUP(B17,'Data World'!$A:$AL,MATCH(World!$M$1,'Data World'!$A$1:$AL$1,))</f>
        <v>7.1</v>
      </c>
      <c r="N17" s="13">
        <f>VLOOKUP(B17,'Data World'!$A:$AL,MATCH(World!$N$1,'Data World'!$A$1:$AL$1,))</f>
        <v>5.6722939999999999</v>
      </c>
      <c r="O17" s="13">
        <f>VLOOKUP(B17,'Data World'!$A:$AL,MATCH(World!$O$1,'Data World'!$A$1:$AL$1,))</f>
        <v>3.7</v>
      </c>
      <c r="P17" s="13">
        <f>VLOOKUP(B17,'Data World'!$A:$AL,MATCH(World!$P$1,'Data World'!$A$1:$AL$1,))</f>
        <v>24</v>
      </c>
      <c r="Q17" s="13">
        <f>VLOOKUP(B17,'Data World'!$A:$AL,MATCH(World!$Q$1,'Data World'!$A$1:$AL$1,))</f>
        <v>8.8000000000000007</v>
      </c>
      <c r="R17" s="13">
        <f>VLOOKUP(B17,'Data World'!$A:$AL,MATCH(World!$R$1,'Data World'!$A$1:$AL$1,))</f>
        <v>10.199999999999999</v>
      </c>
      <c r="S17" s="13">
        <f>VLOOKUP(B17,'Data World'!$A:$AL,MATCH(World!$S$1,'Data World'!$A$1:$AL$1,))</f>
        <v>4.0999999999999996</v>
      </c>
      <c r="T17" s="13">
        <f>VLOOKUP(B17,'Data World'!$A:$AL,MATCH(World!$T$1,'Data World'!$A$1:$AL$1,))</f>
        <v>6.4</v>
      </c>
    </row>
    <row r="18" spans="2:20" x14ac:dyDescent="0.2">
      <c r="B18" s="12">
        <v>42490</v>
      </c>
      <c r="C18" s="13">
        <f>VLOOKUP(B18,'Data World'!$A:$AL,MATCH(World!$C$1,'Data World'!$A$1:$AL$1,))</f>
        <v>5.0999999999999996</v>
      </c>
      <c r="D18" s="13">
        <f>VLOOKUP(B18,'Data World'!$A:$AL,MATCH(World!$D$1,'Data World'!$A$1:$AL$1,))</f>
        <v>10.3</v>
      </c>
      <c r="E18" s="13">
        <f>VLOOKUP(B18,'Data World'!$A:$AL,MATCH(World!$E$1,'Data World'!$A$1:$AL$1,))</f>
        <v>3.2</v>
      </c>
      <c r="F18" s="13">
        <f>VLOOKUP(B18,'Data World'!$A:$AL,MATCH(World!$F$1,'Data World'!$A$1:$AL$1,))</f>
        <v>4.3</v>
      </c>
      <c r="G18" s="13">
        <f>VLOOKUP(B18,'Data World'!$A:$AL,MATCH(World!$G$1,'Data World'!$A$1:$AL$1,))</f>
        <v>10.1</v>
      </c>
      <c r="H18" s="13">
        <f>VLOOKUP(B18,'Data World'!$A:$AL,MATCH(World!$H$1,'Data World'!$A$1:$AL$1,))</f>
        <v>4.9389659999999997</v>
      </c>
      <c r="I18" s="13">
        <f>VLOOKUP(B18,'Data World'!$A:$AL,MATCH(World!$I$1,'Data World'!$A$1:$AL$1,))</f>
        <v>11.8</v>
      </c>
      <c r="J18" s="13">
        <f>VLOOKUP(B18,'Data World'!$A:$AL,MATCH(World!$J$1,'Data World'!$A$1:$AL$1,))</f>
        <v>20.3</v>
      </c>
      <c r="K18" s="13">
        <f>VLOOKUP(B18,'Data World'!$A:$AL,MATCH(World!$K$1,'Data World'!$A$1:$AL$1,))</f>
        <v>6.7</v>
      </c>
      <c r="L18" s="13">
        <f>VLOOKUP(B18,'Data World'!$A:$AL,MATCH(World!$L$1,'Data World'!$A$1:$AL$1,))</f>
        <v>3.8990710000000002</v>
      </c>
      <c r="M18" s="13">
        <f>VLOOKUP(B18,'Data World'!$A:$AL,MATCH(World!$M$1,'Data World'!$A$1:$AL$1,))</f>
        <v>7.2</v>
      </c>
      <c r="N18" s="13">
        <f>VLOOKUP(B18,'Data World'!$A:$AL,MATCH(World!$N$1,'Data World'!$A$1:$AL$1,))</f>
        <v>5.6601889999999999</v>
      </c>
      <c r="O18" s="13">
        <f>VLOOKUP(B18,'Data World'!$A:$AL,MATCH(World!$O$1,'Data World'!$A$1:$AL$1,))</f>
        <v>3.6</v>
      </c>
      <c r="P18" s="13">
        <f>VLOOKUP(B18,'Data World'!$A:$AL,MATCH(World!$P$1,'Data World'!$A$1:$AL$1,))</f>
        <v>23.5</v>
      </c>
      <c r="Q18" s="13">
        <f>VLOOKUP(B18,'Data World'!$A:$AL,MATCH(World!$Q$1,'Data World'!$A$1:$AL$1,))</f>
        <v>8.9</v>
      </c>
      <c r="R18" s="13">
        <f>VLOOKUP(B18,'Data World'!$A:$AL,MATCH(World!$R$1,'Data World'!$A$1:$AL$1,))</f>
        <v>10.1</v>
      </c>
      <c r="S18" s="13">
        <f>VLOOKUP(B18,'Data World'!$A:$AL,MATCH(World!$S$1,'Data World'!$A$1:$AL$1,))</f>
        <v>4</v>
      </c>
      <c r="T18" s="13">
        <f>VLOOKUP(B18,'Data World'!$A:$AL,MATCH(World!$T$1,'Data World'!$A$1:$AL$1,))</f>
        <v>6.4</v>
      </c>
    </row>
    <row r="19" spans="2:20" x14ac:dyDescent="0.2">
      <c r="B19" s="12">
        <v>42521</v>
      </c>
      <c r="C19" s="13">
        <f>VLOOKUP(B19,'Data World'!$A:$AL,MATCH(World!$C$1,'Data World'!$A$1:$AL$1,))</f>
        <v>4.8</v>
      </c>
      <c r="D19" s="13">
        <f>VLOOKUP(B19,'Data World'!$A:$AL,MATCH(World!$D$1,'Data World'!$A$1:$AL$1,))</f>
        <v>10.199999999999999</v>
      </c>
      <c r="E19" s="13">
        <f>VLOOKUP(B19,'Data World'!$A:$AL,MATCH(World!$E$1,'Data World'!$A$1:$AL$1,))</f>
        <v>3.2</v>
      </c>
      <c r="F19" s="13">
        <f>VLOOKUP(B19,'Data World'!$A:$AL,MATCH(World!$F$1,'Data World'!$A$1:$AL$1,))</f>
        <v>4.2</v>
      </c>
      <c r="G19" s="13">
        <f>VLOOKUP(B19,'Data World'!$A:$AL,MATCH(World!$G$1,'Data World'!$A$1:$AL$1,))</f>
        <v>10.1</v>
      </c>
      <c r="H19" s="13">
        <f>VLOOKUP(B19,'Data World'!$A:$AL,MATCH(World!$H$1,'Data World'!$A$1:$AL$1,))</f>
        <v>4.9213630000000004</v>
      </c>
      <c r="I19" s="13">
        <f>VLOOKUP(B19,'Data World'!$A:$AL,MATCH(World!$I$1,'Data World'!$A$1:$AL$1,))</f>
        <v>11.6</v>
      </c>
      <c r="J19" s="13">
        <f>VLOOKUP(B19,'Data World'!$A:$AL,MATCH(World!$J$1,'Data World'!$A$1:$AL$1,))</f>
        <v>20.100000000000001</v>
      </c>
      <c r="K19" s="13">
        <f>VLOOKUP(B19,'Data World'!$A:$AL,MATCH(World!$K$1,'Data World'!$A$1:$AL$1,))</f>
        <v>7.2</v>
      </c>
      <c r="L19" s="13">
        <f>VLOOKUP(B19,'Data World'!$A:$AL,MATCH(World!$L$1,'Data World'!$A$1:$AL$1,))</f>
        <v>4.1166070000000001</v>
      </c>
      <c r="M19" s="13">
        <f>VLOOKUP(B19,'Data World'!$A:$AL,MATCH(World!$M$1,'Data World'!$A$1:$AL$1,))</f>
        <v>7</v>
      </c>
      <c r="N19" s="13">
        <f>VLOOKUP(B19,'Data World'!$A:$AL,MATCH(World!$N$1,'Data World'!$A$1:$AL$1,))</f>
        <v>5.7195299999999998</v>
      </c>
      <c r="O19" s="13">
        <f>VLOOKUP(B19,'Data World'!$A:$AL,MATCH(World!$O$1,'Data World'!$A$1:$AL$1,))</f>
        <v>3.6</v>
      </c>
      <c r="P19" s="13">
        <f>VLOOKUP(B19,'Data World'!$A:$AL,MATCH(World!$P$1,'Data World'!$A$1:$AL$1,))</f>
        <v>23.5</v>
      </c>
      <c r="Q19" s="13">
        <f>VLOOKUP(B19,'Data World'!$A:$AL,MATCH(World!$Q$1,'Data World'!$A$1:$AL$1,))</f>
        <v>8.8000000000000007</v>
      </c>
      <c r="R19" s="13">
        <f>VLOOKUP(B19,'Data World'!$A:$AL,MATCH(World!$R$1,'Data World'!$A$1:$AL$1,))</f>
        <v>10.3</v>
      </c>
      <c r="S19" s="13">
        <f>VLOOKUP(B19,'Data World'!$A:$AL,MATCH(World!$S$1,'Data World'!$A$1:$AL$1,))</f>
        <v>3.9</v>
      </c>
      <c r="T19" s="13">
        <f>VLOOKUP(B19,'Data World'!$A:$AL,MATCH(World!$T$1,'Data World'!$A$1:$AL$1,))</f>
        <v>6.3</v>
      </c>
    </row>
    <row r="20" spans="2:20" x14ac:dyDescent="0.2">
      <c r="B20" s="12">
        <v>42551</v>
      </c>
      <c r="C20" s="13">
        <f>VLOOKUP(B20,'Data World'!$A:$AL,MATCH(World!$C$1,'Data World'!$A$1:$AL$1,))</f>
        <v>4.9000000000000004</v>
      </c>
      <c r="D20" s="13">
        <f>VLOOKUP(B20,'Data World'!$A:$AL,MATCH(World!$D$1,'Data World'!$A$1:$AL$1,))</f>
        <v>10.1</v>
      </c>
      <c r="E20" s="13">
        <f>VLOOKUP(B20,'Data World'!$A:$AL,MATCH(World!$E$1,'Data World'!$A$1:$AL$1,))</f>
        <v>3.1</v>
      </c>
      <c r="F20" s="13">
        <f>VLOOKUP(B20,'Data World'!$A:$AL,MATCH(World!$F$1,'Data World'!$A$1:$AL$1,))</f>
        <v>4.2</v>
      </c>
      <c r="G20" s="13">
        <f>VLOOKUP(B20,'Data World'!$A:$AL,MATCH(World!$G$1,'Data World'!$A$1:$AL$1,))</f>
        <v>10</v>
      </c>
      <c r="H20" s="13">
        <f>VLOOKUP(B20,'Data World'!$A:$AL,MATCH(World!$H$1,'Data World'!$A$1:$AL$1,))</f>
        <v>4.8936799999999998</v>
      </c>
      <c r="I20" s="13">
        <f>VLOOKUP(B20,'Data World'!$A:$AL,MATCH(World!$I$1,'Data World'!$A$1:$AL$1,))</f>
        <v>11.7</v>
      </c>
      <c r="J20" s="13">
        <f>VLOOKUP(B20,'Data World'!$A:$AL,MATCH(World!$J$1,'Data World'!$A$1:$AL$1,))</f>
        <v>19.8</v>
      </c>
      <c r="K20" s="13">
        <f>VLOOKUP(B20,'Data World'!$A:$AL,MATCH(World!$K$1,'Data World'!$A$1:$AL$1,))</f>
        <v>6.7</v>
      </c>
      <c r="L20" s="13">
        <f>VLOOKUP(B20,'Data World'!$A:$AL,MATCH(World!$L$1,'Data World'!$A$1:$AL$1,))</f>
        <v>3.9591590000000001</v>
      </c>
      <c r="M20" s="13">
        <f>VLOOKUP(B20,'Data World'!$A:$AL,MATCH(World!$M$1,'Data World'!$A$1:$AL$1,))</f>
        <v>6.9</v>
      </c>
      <c r="N20" s="13">
        <f>VLOOKUP(B20,'Data World'!$A:$AL,MATCH(World!$N$1,'Data World'!$A$1:$AL$1,))</f>
        <v>5.6664099999999999</v>
      </c>
      <c r="O20" s="13">
        <f>VLOOKUP(B20,'Data World'!$A:$AL,MATCH(World!$O$1,'Data World'!$A$1:$AL$1,))</f>
        <v>3.6</v>
      </c>
      <c r="P20" s="13">
        <f>VLOOKUP(B20,'Data World'!$A:$AL,MATCH(World!$P$1,'Data World'!$A$1:$AL$1,))</f>
        <v>23.5</v>
      </c>
      <c r="Q20" s="13">
        <f>VLOOKUP(B20,'Data World'!$A:$AL,MATCH(World!$Q$1,'Data World'!$A$1:$AL$1,))</f>
        <v>8.6999999999999993</v>
      </c>
      <c r="R20" s="13">
        <f>VLOOKUP(B20,'Data World'!$A:$AL,MATCH(World!$R$1,'Data World'!$A$1:$AL$1,))</f>
        <v>10.7</v>
      </c>
      <c r="S20" s="13">
        <f>VLOOKUP(B20,'Data World'!$A:$AL,MATCH(World!$S$1,'Data World'!$A$1:$AL$1,))</f>
        <v>4.2</v>
      </c>
      <c r="T20" s="13">
        <f>VLOOKUP(B20,'Data World'!$A:$AL,MATCH(World!$T$1,'Data World'!$A$1:$AL$1,))</f>
        <v>6.2</v>
      </c>
    </row>
    <row r="21" spans="2:20" x14ac:dyDescent="0.2">
      <c r="B21" s="12">
        <v>42582</v>
      </c>
      <c r="C21" s="13">
        <f>VLOOKUP(B21,'Data World'!$A:$AL,MATCH(World!$C$1,'Data World'!$A$1:$AL$1,))</f>
        <v>4.8</v>
      </c>
      <c r="D21" s="13">
        <f>VLOOKUP(B21,'Data World'!$A:$AL,MATCH(World!$D$1,'Data World'!$A$1:$AL$1,))</f>
        <v>10</v>
      </c>
      <c r="E21" s="13">
        <f>VLOOKUP(B21,'Data World'!$A:$AL,MATCH(World!$E$1,'Data World'!$A$1:$AL$1,))</f>
        <v>3</v>
      </c>
      <c r="F21" s="13">
        <f>VLOOKUP(B21,'Data World'!$A:$AL,MATCH(World!$F$1,'Data World'!$A$1:$AL$1,))</f>
        <v>4.2</v>
      </c>
      <c r="G21" s="13">
        <f>VLOOKUP(B21,'Data World'!$A:$AL,MATCH(World!$G$1,'Data World'!$A$1:$AL$1,))</f>
        <v>9.8000000000000007</v>
      </c>
      <c r="H21" s="13">
        <f>VLOOKUP(B21,'Data World'!$A:$AL,MATCH(World!$H$1,'Data World'!$A$1:$AL$1,))</f>
        <v>4.9831630000000002</v>
      </c>
      <c r="I21" s="13">
        <f>VLOOKUP(B21,'Data World'!$A:$AL,MATCH(World!$I$1,'Data World'!$A$1:$AL$1,))</f>
        <v>11.7</v>
      </c>
      <c r="J21" s="13">
        <f>VLOOKUP(B21,'Data World'!$A:$AL,MATCH(World!$J$1,'Data World'!$A$1:$AL$1,))</f>
        <v>19.5</v>
      </c>
      <c r="K21" s="13">
        <f>VLOOKUP(B21,'Data World'!$A:$AL,MATCH(World!$K$1,'Data World'!$A$1:$AL$1,))</f>
        <v>6.8</v>
      </c>
      <c r="L21" s="13">
        <f>VLOOKUP(B21,'Data World'!$A:$AL,MATCH(World!$L$1,'Data World'!$A$1:$AL$1,))</f>
        <v>3.7990979999999999</v>
      </c>
      <c r="M21" s="13">
        <f>VLOOKUP(B21,'Data World'!$A:$AL,MATCH(World!$M$1,'Data World'!$A$1:$AL$1,))</f>
        <v>7</v>
      </c>
      <c r="N21" s="13">
        <f>VLOOKUP(B21,'Data World'!$A:$AL,MATCH(World!$N$1,'Data World'!$A$1:$AL$1,))</f>
        <v>5.672841</v>
      </c>
      <c r="O21" s="13">
        <f>VLOOKUP(B21,'Data World'!$A:$AL,MATCH(World!$O$1,'Data World'!$A$1:$AL$1,))</f>
        <v>3.6</v>
      </c>
      <c r="P21" s="13">
        <f>VLOOKUP(B21,'Data World'!$A:$AL,MATCH(World!$P$1,'Data World'!$A$1:$AL$1,))</f>
        <v>23.3</v>
      </c>
      <c r="Q21" s="13">
        <f>VLOOKUP(B21,'Data World'!$A:$AL,MATCH(World!$Q$1,'Data World'!$A$1:$AL$1,))</f>
        <v>8.4</v>
      </c>
      <c r="R21" s="13">
        <f>VLOOKUP(B21,'Data World'!$A:$AL,MATCH(World!$R$1,'Data World'!$A$1:$AL$1,))</f>
        <v>11.1</v>
      </c>
      <c r="S21" s="13">
        <f>VLOOKUP(B21,'Data World'!$A:$AL,MATCH(World!$S$1,'Data World'!$A$1:$AL$1,))</f>
        <v>4.2</v>
      </c>
      <c r="T21" s="13">
        <f>VLOOKUP(B21,'Data World'!$A:$AL,MATCH(World!$T$1,'Data World'!$A$1:$AL$1,))</f>
        <v>6.2</v>
      </c>
    </row>
    <row r="22" spans="2:20" x14ac:dyDescent="0.2">
      <c r="B22" s="12">
        <v>42613</v>
      </c>
      <c r="C22" s="13">
        <f>VLOOKUP(B22,'Data World'!$A:$AL,MATCH(World!$C$1,'Data World'!$A$1:$AL$1,))</f>
        <v>4.9000000000000004</v>
      </c>
      <c r="D22" s="13">
        <f>VLOOKUP(B22,'Data World'!$A:$AL,MATCH(World!$D$1,'Data World'!$A$1:$AL$1,))</f>
        <v>9.9</v>
      </c>
      <c r="E22" s="13">
        <f>VLOOKUP(B22,'Data World'!$A:$AL,MATCH(World!$E$1,'Data World'!$A$1:$AL$1,))</f>
        <v>3.1</v>
      </c>
      <c r="F22" s="13">
        <f>VLOOKUP(B22,'Data World'!$A:$AL,MATCH(World!$F$1,'Data World'!$A$1:$AL$1,))</f>
        <v>4.0999999999999996</v>
      </c>
      <c r="G22" s="13">
        <f>VLOOKUP(B22,'Data World'!$A:$AL,MATCH(World!$G$1,'Data World'!$A$1:$AL$1,))</f>
        <v>9.8000000000000007</v>
      </c>
      <c r="H22" s="13">
        <f>VLOOKUP(B22,'Data World'!$A:$AL,MATCH(World!$H$1,'Data World'!$A$1:$AL$1,))</f>
        <v>4.838883</v>
      </c>
      <c r="I22" s="13">
        <f>VLOOKUP(B22,'Data World'!$A:$AL,MATCH(World!$I$1,'Data World'!$A$1:$AL$1,))</f>
        <v>11.6</v>
      </c>
      <c r="J22" s="13">
        <f>VLOOKUP(B22,'Data World'!$A:$AL,MATCH(World!$J$1,'Data World'!$A$1:$AL$1,))</f>
        <v>19.2</v>
      </c>
      <c r="K22" s="13">
        <f>VLOOKUP(B22,'Data World'!$A:$AL,MATCH(World!$K$1,'Data World'!$A$1:$AL$1,))</f>
        <v>7.1</v>
      </c>
      <c r="L22" s="13">
        <f>VLOOKUP(B22,'Data World'!$A:$AL,MATCH(World!$L$1,'Data World'!$A$1:$AL$1,))</f>
        <v>3.7467640000000002</v>
      </c>
      <c r="M22" s="13">
        <f>VLOOKUP(B22,'Data World'!$A:$AL,MATCH(World!$M$1,'Data World'!$A$1:$AL$1,))</f>
        <v>7</v>
      </c>
      <c r="N22" s="13">
        <f>VLOOKUP(B22,'Data World'!$A:$AL,MATCH(World!$N$1,'Data World'!$A$1:$AL$1,))</f>
        <v>5.5874579999999998</v>
      </c>
      <c r="O22" s="13">
        <f>VLOOKUP(B22,'Data World'!$A:$AL,MATCH(World!$O$1,'Data World'!$A$1:$AL$1,))</f>
        <v>3.8</v>
      </c>
      <c r="P22" s="13">
        <f>VLOOKUP(B22,'Data World'!$A:$AL,MATCH(World!$P$1,'Data World'!$A$1:$AL$1,))</f>
        <v>23.5</v>
      </c>
      <c r="Q22" s="13">
        <f>VLOOKUP(B22,'Data World'!$A:$AL,MATCH(World!$Q$1,'Data World'!$A$1:$AL$1,))</f>
        <v>8.3000000000000007</v>
      </c>
      <c r="R22" s="13">
        <f>VLOOKUP(B22,'Data World'!$A:$AL,MATCH(World!$R$1,'Data World'!$A$1:$AL$1,))</f>
        <v>11.1</v>
      </c>
      <c r="S22" s="13">
        <f>VLOOKUP(B22,'Data World'!$A:$AL,MATCH(World!$S$1,'Data World'!$A$1:$AL$1,))</f>
        <v>3.7</v>
      </c>
      <c r="T22" s="13">
        <f>VLOOKUP(B22,'Data World'!$A:$AL,MATCH(World!$T$1,'Data World'!$A$1:$AL$1,))</f>
        <v>6.1</v>
      </c>
    </row>
    <row r="23" spans="2:20" x14ac:dyDescent="0.2">
      <c r="B23" s="12">
        <v>42643</v>
      </c>
      <c r="C23" s="13">
        <f>VLOOKUP(B23,'Data World'!$A:$AL,MATCH(World!$C$1,'Data World'!$A$1:$AL$1,))</f>
        <v>5</v>
      </c>
      <c r="D23" s="13">
        <f>VLOOKUP(B23,'Data World'!$A:$AL,MATCH(World!$D$1,'Data World'!$A$1:$AL$1,))</f>
        <v>9.9</v>
      </c>
      <c r="E23" s="13">
        <f>VLOOKUP(B23,'Data World'!$A:$AL,MATCH(World!$E$1,'Data World'!$A$1:$AL$1,))</f>
        <v>3</v>
      </c>
      <c r="F23" s="13">
        <f>VLOOKUP(B23,'Data World'!$A:$AL,MATCH(World!$F$1,'Data World'!$A$1:$AL$1,))</f>
        <v>4.0999999999999996</v>
      </c>
      <c r="G23" s="13">
        <f>VLOOKUP(B23,'Data World'!$A:$AL,MATCH(World!$G$1,'Data World'!$A$1:$AL$1,))</f>
        <v>9.9</v>
      </c>
      <c r="H23" s="13">
        <f>VLOOKUP(B23,'Data World'!$A:$AL,MATCH(World!$H$1,'Data World'!$A$1:$AL$1,))</f>
        <v>4.828989</v>
      </c>
      <c r="I23" s="13">
        <f>VLOOKUP(B23,'Data World'!$A:$AL,MATCH(World!$I$1,'Data World'!$A$1:$AL$1,))</f>
        <v>11.9</v>
      </c>
      <c r="J23" s="13">
        <f>VLOOKUP(B23,'Data World'!$A:$AL,MATCH(World!$J$1,'Data World'!$A$1:$AL$1,))</f>
        <v>19.100000000000001</v>
      </c>
      <c r="K23" s="13">
        <f>VLOOKUP(B23,'Data World'!$A:$AL,MATCH(World!$K$1,'Data World'!$A$1:$AL$1,))</f>
        <v>6.7</v>
      </c>
      <c r="L23" s="13">
        <f>VLOOKUP(B23,'Data World'!$A:$AL,MATCH(World!$L$1,'Data World'!$A$1:$AL$1,))</f>
        <v>3.8491230000000001</v>
      </c>
      <c r="M23" s="13">
        <f>VLOOKUP(B23,'Data World'!$A:$AL,MATCH(World!$M$1,'Data World'!$A$1:$AL$1,))</f>
        <v>7</v>
      </c>
      <c r="N23" s="13">
        <f>VLOOKUP(B23,'Data World'!$A:$AL,MATCH(World!$N$1,'Data World'!$A$1:$AL$1,))</f>
        <v>5.6244909999999999</v>
      </c>
      <c r="O23" s="13">
        <f>VLOOKUP(B23,'Data World'!$A:$AL,MATCH(World!$O$1,'Data World'!$A$1:$AL$1,))</f>
        <v>3.9</v>
      </c>
      <c r="P23" s="13">
        <f>VLOOKUP(B23,'Data World'!$A:$AL,MATCH(World!$P$1,'Data World'!$A$1:$AL$1,))</f>
        <v>23.1</v>
      </c>
      <c r="Q23" s="13">
        <f>VLOOKUP(B23,'Data World'!$A:$AL,MATCH(World!$Q$1,'Data World'!$A$1:$AL$1,))</f>
        <v>7.9</v>
      </c>
      <c r="R23" s="13">
        <f>VLOOKUP(B23,'Data World'!$A:$AL,MATCH(World!$R$1,'Data World'!$A$1:$AL$1,))</f>
        <v>11.6</v>
      </c>
      <c r="S23" s="13">
        <f>VLOOKUP(B23,'Data World'!$A:$AL,MATCH(World!$S$1,'Data World'!$A$1:$AL$1,))</f>
        <v>4</v>
      </c>
      <c r="T23" s="13">
        <f>VLOOKUP(B23,'Data World'!$A:$AL,MATCH(World!$T$1,'Data World'!$A$1:$AL$1,))</f>
        <v>6</v>
      </c>
    </row>
    <row r="24" spans="2:20" x14ac:dyDescent="0.2">
      <c r="B24" s="12">
        <v>42674</v>
      </c>
      <c r="C24" s="13">
        <f>VLOOKUP(B24,'Data World'!$A:$AL,MATCH(World!$C$1,'Data World'!$A$1:$AL$1,))</f>
        <v>4.9000000000000004</v>
      </c>
      <c r="D24" s="13">
        <f>VLOOKUP(B24,'Data World'!$A:$AL,MATCH(World!$D$1,'Data World'!$A$1:$AL$1,))</f>
        <v>9.8000000000000007</v>
      </c>
      <c r="E24" s="13">
        <f>VLOOKUP(B24,'Data World'!$A:$AL,MATCH(World!$E$1,'Data World'!$A$1:$AL$1,))</f>
        <v>3</v>
      </c>
      <c r="F24" s="13">
        <f>VLOOKUP(B24,'Data World'!$A:$AL,MATCH(World!$F$1,'Data World'!$A$1:$AL$1,))</f>
        <v>4</v>
      </c>
      <c r="G24" s="13">
        <f>VLOOKUP(B24,'Data World'!$A:$AL,MATCH(World!$G$1,'Data World'!$A$1:$AL$1,))</f>
        <v>10</v>
      </c>
      <c r="H24" s="13">
        <f>VLOOKUP(B24,'Data World'!$A:$AL,MATCH(World!$H$1,'Data World'!$A$1:$AL$1,))</f>
        <v>4.7941200000000004</v>
      </c>
      <c r="I24" s="13">
        <f>VLOOKUP(B24,'Data World'!$A:$AL,MATCH(World!$I$1,'Data World'!$A$1:$AL$1,))</f>
        <v>11.7</v>
      </c>
      <c r="J24" s="13">
        <f>VLOOKUP(B24,'Data World'!$A:$AL,MATCH(World!$J$1,'Data World'!$A$1:$AL$1,))</f>
        <v>18.8</v>
      </c>
      <c r="K24" s="13">
        <f>VLOOKUP(B24,'Data World'!$A:$AL,MATCH(World!$K$1,'Data World'!$A$1:$AL$1,))</f>
        <v>6.9</v>
      </c>
      <c r="L24" s="13">
        <f>VLOOKUP(B24,'Data World'!$A:$AL,MATCH(World!$L$1,'Data World'!$A$1:$AL$1,))</f>
        <v>3.5847669999999998</v>
      </c>
      <c r="M24" s="13">
        <f>VLOOKUP(B24,'Data World'!$A:$AL,MATCH(World!$M$1,'Data World'!$A$1:$AL$1,))</f>
        <v>7</v>
      </c>
      <c r="N24" s="13">
        <f>VLOOKUP(B24,'Data World'!$A:$AL,MATCH(World!$N$1,'Data World'!$A$1:$AL$1,))</f>
        <v>5.5721350000000003</v>
      </c>
      <c r="O24" s="13">
        <f>VLOOKUP(B24,'Data World'!$A:$AL,MATCH(World!$O$1,'Data World'!$A$1:$AL$1,))</f>
        <v>3.8</v>
      </c>
      <c r="P24" s="13">
        <f>VLOOKUP(B24,'Data World'!$A:$AL,MATCH(World!$P$1,'Data World'!$A$1:$AL$1,))</f>
        <v>23.1</v>
      </c>
      <c r="Q24" s="13">
        <f>VLOOKUP(B24,'Data World'!$A:$AL,MATCH(World!$Q$1,'Data World'!$A$1:$AL$1,))</f>
        <v>7.7</v>
      </c>
      <c r="R24" s="13">
        <f>VLOOKUP(B24,'Data World'!$A:$AL,MATCH(World!$R$1,'Data World'!$A$1:$AL$1,))</f>
        <v>11.5</v>
      </c>
      <c r="S24" s="13">
        <f>VLOOKUP(B24,'Data World'!$A:$AL,MATCH(World!$S$1,'Data World'!$A$1:$AL$1,))</f>
        <v>3.8</v>
      </c>
      <c r="T24" s="13">
        <f>VLOOKUP(B24,'Data World'!$A:$AL,MATCH(World!$T$1,'Data World'!$A$1:$AL$1,))</f>
        <v>5.9</v>
      </c>
    </row>
    <row r="25" spans="2:20" x14ac:dyDescent="0.2">
      <c r="B25" s="12">
        <v>42704</v>
      </c>
      <c r="C25" s="13">
        <f>VLOOKUP(B25,'Data World'!$A:$AL,MATCH(World!$C$1,'Data World'!$A$1:$AL$1,))</f>
        <v>4.7</v>
      </c>
      <c r="D25" s="13">
        <f>VLOOKUP(B25,'Data World'!$A:$AL,MATCH(World!$D$1,'Data World'!$A$1:$AL$1,))</f>
        <v>9.8000000000000007</v>
      </c>
      <c r="E25" s="13">
        <f>VLOOKUP(B25,'Data World'!$A:$AL,MATCH(World!$E$1,'Data World'!$A$1:$AL$1,))</f>
        <v>3</v>
      </c>
      <c r="F25" s="13">
        <f>VLOOKUP(B25,'Data World'!$A:$AL,MATCH(World!$F$1,'Data World'!$A$1:$AL$1,))</f>
        <v>3.9</v>
      </c>
      <c r="G25" s="13">
        <f>VLOOKUP(B25,'Data World'!$A:$AL,MATCH(World!$G$1,'Data World'!$A$1:$AL$1,))</f>
        <v>10.1</v>
      </c>
      <c r="H25" s="13">
        <f>VLOOKUP(B25,'Data World'!$A:$AL,MATCH(World!$H$1,'Data World'!$A$1:$AL$1,))</f>
        <v>4.7421059999999997</v>
      </c>
      <c r="I25" s="13">
        <f>VLOOKUP(B25,'Data World'!$A:$AL,MATCH(World!$I$1,'Data World'!$A$1:$AL$1,))</f>
        <v>12</v>
      </c>
      <c r="J25" s="13">
        <f>VLOOKUP(B25,'Data World'!$A:$AL,MATCH(World!$J$1,'Data World'!$A$1:$AL$1,))</f>
        <v>18.8</v>
      </c>
      <c r="K25" s="13">
        <f>VLOOKUP(B25,'Data World'!$A:$AL,MATCH(World!$K$1,'Data World'!$A$1:$AL$1,))</f>
        <v>6.8</v>
      </c>
      <c r="L25" s="13">
        <f>VLOOKUP(B25,'Data World'!$A:$AL,MATCH(World!$L$1,'Data World'!$A$1:$AL$1,))</f>
        <v>3.6219769999999998</v>
      </c>
      <c r="M25" s="13">
        <f>VLOOKUP(B25,'Data World'!$A:$AL,MATCH(World!$M$1,'Data World'!$A$1:$AL$1,))</f>
        <v>6.9</v>
      </c>
      <c r="N25" s="13">
        <f>VLOOKUP(B25,'Data World'!$A:$AL,MATCH(World!$N$1,'Data World'!$A$1:$AL$1,))</f>
        <v>5.7626419999999996</v>
      </c>
      <c r="O25" s="13">
        <f>VLOOKUP(B25,'Data World'!$A:$AL,MATCH(World!$O$1,'Data World'!$A$1:$AL$1,))</f>
        <v>3.7</v>
      </c>
      <c r="P25" s="13">
        <f>VLOOKUP(B25,'Data World'!$A:$AL,MATCH(World!$P$1,'Data World'!$A$1:$AL$1,))</f>
        <v>23.5</v>
      </c>
      <c r="Q25" s="13">
        <f>VLOOKUP(B25,'Data World'!$A:$AL,MATCH(World!$Q$1,'Data World'!$A$1:$AL$1,))</f>
        <v>7.5</v>
      </c>
      <c r="R25" s="13">
        <f>VLOOKUP(B25,'Data World'!$A:$AL,MATCH(World!$R$1,'Data World'!$A$1:$AL$1,))</f>
        <v>11.6</v>
      </c>
      <c r="S25" s="13">
        <f>VLOOKUP(B25,'Data World'!$A:$AL,MATCH(World!$S$1,'Data World'!$A$1:$AL$1,))</f>
        <v>3.6</v>
      </c>
      <c r="T25" s="13">
        <f>VLOOKUP(B25,'Data World'!$A:$AL,MATCH(World!$T$1,'Data World'!$A$1:$AL$1,))</f>
        <v>5.7</v>
      </c>
    </row>
    <row r="26" spans="2:20" x14ac:dyDescent="0.2">
      <c r="B26" s="12">
        <v>42735</v>
      </c>
      <c r="C26" s="13">
        <f>VLOOKUP(B26,'Data World'!$A:$AL,MATCH(World!$C$1,'Data World'!$A$1:$AL$1,))</f>
        <v>4.7</v>
      </c>
      <c r="D26" s="13">
        <f>VLOOKUP(B26,'Data World'!$A:$AL,MATCH(World!$D$1,'Data World'!$A$1:$AL$1,))</f>
        <v>9.6999999999999993</v>
      </c>
      <c r="E26" s="13">
        <f>VLOOKUP(B26,'Data World'!$A:$AL,MATCH(World!$E$1,'Data World'!$A$1:$AL$1,))</f>
        <v>3</v>
      </c>
      <c r="F26" s="13">
        <f>VLOOKUP(B26,'Data World'!$A:$AL,MATCH(World!$F$1,'Data World'!$A$1:$AL$1,))</f>
        <v>3.9</v>
      </c>
      <c r="G26" s="13">
        <f>VLOOKUP(B26,'Data World'!$A:$AL,MATCH(World!$G$1,'Data World'!$A$1:$AL$1,))</f>
        <v>10</v>
      </c>
      <c r="H26" s="13">
        <f>VLOOKUP(B26,'Data World'!$A:$AL,MATCH(World!$H$1,'Data World'!$A$1:$AL$1,))</f>
        <v>4.7071170000000002</v>
      </c>
      <c r="I26" s="13">
        <f>VLOOKUP(B26,'Data World'!$A:$AL,MATCH(World!$I$1,'Data World'!$A$1:$AL$1,))</f>
        <v>11.8</v>
      </c>
      <c r="J26" s="13">
        <f>VLOOKUP(B26,'Data World'!$A:$AL,MATCH(World!$J$1,'Data World'!$A$1:$AL$1,))</f>
        <v>18.600000000000001</v>
      </c>
      <c r="K26" s="13">
        <f>VLOOKUP(B26,'Data World'!$A:$AL,MATCH(World!$K$1,'Data World'!$A$1:$AL$1,))</f>
        <v>6.9</v>
      </c>
      <c r="L26" s="13">
        <f>VLOOKUP(B26,'Data World'!$A:$AL,MATCH(World!$L$1,'Data World'!$A$1:$AL$1,))</f>
        <v>3.7170019999999999</v>
      </c>
      <c r="M26" s="13">
        <f>VLOOKUP(B26,'Data World'!$A:$AL,MATCH(World!$M$1,'Data World'!$A$1:$AL$1,))</f>
        <v>7</v>
      </c>
      <c r="N26" s="13">
        <f>VLOOKUP(B26,'Data World'!$A:$AL,MATCH(World!$N$1,'Data World'!$A$1:$AL$1,))</f>
        <v>5.8334650000000003</v>
      </c>
      <c r="O26" s="13">
        <f>VLOOKUP(B26,'Data World'!$A:$AL,MATCH(World!$O$1,'Data World'!$A$1:$AL$1,))</f>
        <v>3.5</v>
      </c>
      <c r="P26" s="13">
        <f>VLOOKUP(B26,'Data World'!$A:$AL,MATCH(World!$P$1,'Data World'!$A$1:$AL$1,))</f>
        <v>23.5</v>
      </c>
      <c r="Q26" s="13">
        <f>VLOOKUP(B26,'Data World'!$A:$AL,MATCH(World!$Q$1,'Data World'!$A$1:$AL$1,))</f>
        <v>7.5</v>
      </c>
      <c r="R26" s="13">
        <f>VLOOKUP(B26,'Data World'!$A:$AL,MATCH(World!$R$1,'Data World'!$A$1:$AL$1,))</f>
        <v>12.1</v>
      </c>
      <c r="S26" s="13">
        <f>VLOOKUP(B26,'Data World'!$A:$AL,MATCH(World!$S$1,'Data World'!$A$1:$AL$1,))</f>
        <v>3.5</v>
      </c>
      <c r="T26" s="13">
        <f>VLOOKUP(B26,'Data World'!$A:$AL,MATCH(World!$T$1,'Data World'!$A$1:$AL$1,))</f>
        <v>5.5</v>
      </c>
    </row>
    <row r="27" spans="2:20" x14ac:dyDescent="0.2">
      <c r="B27" s="12">
        <v>42766</v>
      </c>
      <c r="C27" s="13">
        <f>VLOOKUP(B27,'Data World'!$A:$AL,MATCH(World!$C$1,'Data World'!$A$1:$AL$1,))</f>
        <v>4.7</v>
      </c>
      <c r="D27" s="13">
        <f>VLOOKUP(B27,'Data World'!$A:$AL,MATCH(World!$D$1,'Data World'!$A$1:$AL$1,))</f>
        <v>9.6</v>
      </c>
      <c r="E27" s="13">
        <f>VLOOKUP(B27,'Data World'!$A:$AL,MATCH(World!$E$1,'Data World'!$A$1:$AL$1,))</f>
        <v>3</v>
      </c>
      <c r="F27" s="13">
        <f>VLOOKUP(B27,'Data World'!$A:$AL,MATCH(World!$F$1,'Data World'!$A$1:$AL$1,))</f>
        <v>3.9</v>
      </c>
      <c r="G27" s="13">
        <f>VLOOKUP(B27,'Data World'!$A:$AL,MATCH(World!$G$1,'Data World'!$A$1:$AL$1,))</f>
        <v>9.6999999999999993</v>
      </c>
      <c r="H27" s="13">
        <f>VLOOKUP(B27,'Data World'!$A:$AL,MATCH(World!$H$1,'Data World'!$A$1:$AL$1,))</f>
        <v>4.6404860000000001</v>
      </c>
      <c r="I27" s="13">
        <f>VLOOKUP(B27,'Data World'!$A:$AL,MATCH(World!$I$1,'Data World'!$A$1:$AL$1,))</f>
        <v>11.8</v>
      </c>
      <c r="J27" s="13">
        <f>VLOOKUP(B27,'Data World'!$A:$AL,MATCH(World!$J$1,'Data World'!$A$1:$AL$1,))</f>
        <v>18.399999999999999</v>
      </c>
      <c r="K27" s="13">
        <f>VLOOKUP(B27,'Data World'!$A:$AL,MATCH(World!$K$1,'Data World'!$A$1:$AL$1,))</f>
        <v>6.8</v>
      </c>
      <c r="L27" s="13">
        <f>VLOOKUP(B27,'Data World'!$A:$AL,MATCH(World!$L$1,'Data World'!$A$1:$AL$1,))</f>
        <v>3.4415460000000002</v>
      </c>
      <c r="M27" s="13">
        <f>VLOOKUP(B27,'Data World'!$A:$AL,MATCH(World!$M$1,'Data World'!$A$1:$AL$1,))</f>
        <v>6.8</v>
      </c>
      <c r="N27" s="13">
        <f>VLOOKUP(B27,'Data World'!$A:$AL,MATCH(World!$N$1,'Data World'!$A$1:$AL$1,))</f>
        <v>5.7091900000000004</v>
      </c>
      <c r="O27" s="13">
        <f>VLOOKUP(B27,'Data World'!$A:$AL,MATCH(World!$O$1,'Data World'!$A$1:$AL$1,))</f>
        <v>3.6</v>
      </c>
      <c r="P27" s="13">
        <f>VLOOKUP(B27,'Data World'!$A:$AL,MATCH(World!$P$1,'Data World'!$A$1:$AL$1,))</f>
        <v>22.9</v>
      </c>
      <c r="Q27" s="13">
        <f>VLOOKUP(B27,'Data World'!$A:$AL,MATCH(World!$Q$1,'Data World'!$A$1:$AL$1,))</f>
        <v>7.4</v>
      </c>
      <c r="R27" s="13">
        <f>VLOOKUP(B27,'Data World'!$A:$AL,MATCH(World!$R$1,'Data World'!$A$1:$AL$1,))</f>
        <v>12</v>
      </c>
      <c r="S27" s="13">
        <f>VLOOKUP(B27,'Data World'!$A:$AL,MATCH(World!$S$1,'Data World'!$A$1:$AL$1,))</f>
        <v>3.5</v>
      </c>
      <c r="T27" s="13">
        <f>VLOOKUP(B27,'Data World'!$A:$AL,MATCH(World!$T$1,'Data World'!$A$1:$AL$1,))</f>
        <v>5.2</v>
      </c>
    </row>
    <row r="28" spans="2:20" x14ac:dyDescent="0.2">
      <c r="B28" s="12">
        <v>42794</v>
      </c>
      <c r="C28" s="13">
        <f>VLOOKUP(B28,'Data World'!$A:$AL,MATCH(World!$C$1,'Data World'!$A$1:$AL$1,))</f>
        <v>4.5999999999999996</v>
      </c>
      <c r="D28" s="13">
        <f>VLOOKUP(B28,'Data World'!$A:$AL,MATCH(World!$D$1,'Data World'!$A$1:$AL$1,))</f>
        <v>9.5</v>
      </c>
      <c r="E28" s="13">
        <f>VLOOKUP(B28,'Data World'!$A:$AL,MATCH(World!$E$1,'Data World'!$A$1:$AL$1,))</f>
        <v>2.9</v>
      </c>
      <c r="F28" s="13">
        <f>VLOOKUP(B28,'Data World'!$A:$AL,MATCH(World!$F$1,'Data World'!$A$1:$AL$1,))</f>
        <v>3.9</v>
      </c>
      <c r="G28" s="13">
        <f>VLOOKUP(B28,'Data World'!$A:$AL,MATCH(World!$G$1,'Data World'!$A$1:$AL$1,))</f>
        <v>9.6</v>
      </c>
      <c r="H28" s="13">
        <f>VLOOKUP(B28,'Data World'!$A:$AL,MATCH(World!$H$1,'Data World'!$A$1:$AL$1,))</f>
        <v>4.5632999999999999</v>
      </c>
      <c r="I28" s="13">
        <f>VLOOKUP(B28,'Data World'!$A:$AL,MATCH(World!$I$1,'Data World'!$A$1:$AL$1,))</f>
        <v>11.5</v>
      </c>
      <c r="J28" s="13">
        <f>VLOOKUP(B28,'Data World'!$A:$AL,MATCH(World!$J$1,'Data World'!$A$1:$AL$1,))</f>
        <v>18.3</v>
      </c>
      <c r="K28" s="13">
        <f>VLOOKUP(B28,'Data World'!$A:$AL,MATCH(World!$K$1,'Data World'!$A$1:$AL$1,))</f>
        <v>6.9</v>
      </c>
      <c r="L28" s="13">
        <f>VLOOKUP(B28,'Data World'!$A:$AL,MATCH(World!$L$1,'Data World'!$A$1:$AL$1,))</f>
        <v>3.4009230000000001</v>
      </c>
      <c r="M28" s="13">
        <f>VLOOKUP(B28,'Data World'!$A:$AL,MATCH(World!$M$1,'Data World'!$A$1:$AL$1,))</f>
        <v>6.6</v>
      </c>
      <c r="N28" s="13">
        <f>VLOOKUP(B28,'Data World'!$A:$AL,MATCH(World!$N$1,'Data World'!$A$1:$AL$1,))</f>
        <v>5.8858860000000002</v>
      </c>
      <c r="O28" s="13">
        <f>VLOOKUP(B28,'Data World'!$A:$AL,MATCH(World!$O$1,'Data World'!$A$1:$AL$1,))</f>
        <v>3.9</v>
      </c>
      <c r="P28" s="13">
        <f>VLOOKUP(B28,'Data World'!$A:$AL,MATCH(World!$P$1,'Data World'!$A$1:$AL$1,))</f>
        <v>22.8</v>
      </c>
      <c r="Q28" s="13">
        <f>VLOOKUP(B28,'Data World'!$A:$AL,MATCH(World!$Q$1,'Data World'!$A$1:$AL$1,))</f>
        <v>7.3</v>
      </c>
      <c r="R28" s="13">
        <f>VLOOKUP(B28,'Data World'!$A:$AL,MATCH(World!$R$1,'Data World'!$A$1:$AL$1,))</f>
        <v>11.9</v>
      </c>
      <c r="S28" s="13">
        <f>VLOOKUP(B28,'Data World'!$A:$AL,MATCH(World!$S$1,'Data World'!$A$1:$AL$1,))</f>
        <v>3.3</v>
      </c>
      <c r="T28" s="13">
        <f>VLOOKUP(B28,'Data World'!$A:$AL,MATCH(World!$T$1,'Data World'!$A$1:$AL$1,))</f>
        <v>5</v>
      </c>
    </row>
    <row r="29" spans="2:20" x14ac:dyDescent="0.2">
      <c r="B29" s="12">
        <v>42825</v>
      </c>
      <c r="C29" s="13">
        <f>VLOOKUP(B29,'Data World'!$A:$AL,MATCH(World!$C$1,'Data World'!$A$1:$AL$1,))</f>
        <v>4.4000000000000004</v>
      </c>
      <c r="D29" s="13">
        <f>VLOOKUP(B29,'Data World'!$A:$AL,MATCH(World!$D$1,'Data World'!$A$1:$AL$1,))</f>
        <v>9.4</v>
      </c>
      <c r="E29" s="13">
        <f>VLOOKUP(B29,'Data World'!$A:$AL,MATCH(World!$E$1,'Data World'!$A$1:$AL$1,))</f>
        <v>2.8</v>
      </c>
      <c r="F29" s="13">
        <f>VLOOKUP(B29,'Data World'!$A:$AL,MATCH(World!$F$1,'Data World'!$A$1:$AL$1,))</f>
        <v>3.9</v>
      </c>
      <c r="G29" s="13">
        <f>VLOOKUP(B29,'Data World'!$A:$AL,MATCH(World!$G$1,'Data World'!$A$1:$AL$1,))</f>
        <v>9.6</v>
      </c>
      <c r="H29" s="13">
        <f>VLOOKUP(B29,'Data World'!$A:$AL,MATCH(World!$H$1,'Data World'!$A$1:$AL$1,))</f>
        <v>4.5402870000000002</v>
      </c>
      <c r="I29" s="13">
        <f>VLOOKUP(B29,'Data World'!$A:$AL,MATCH(World!$I$1,'Data World'!$A$1:$AL$1,))</f>
        <v>11.7</v>
      </c>
      <c r="J29" s="13">
        <f>VLOOKUP(B29,'Data World'!$A:$AL,MATCH(World!$J$1,'Data World'!$A$1:$AL$1,))</f>
        <v>18.100000000000001</v>
      </c>
      <c r="K29" s="13">
        <f>VLOOKUP(B29,'Data World'!$A:$AL,MATCH(World!$K$1,'Data World'!$A$1:$AL$1,))</f>
        <v>6.4</v>
      </c>
      <c r="L29" s="13">
        <f>VLOOKUP(B29,'Data World'!$A:$AL,MATCH(World!$L$1,'Data World'!$A$1:$AL$1,))</f>
        <v>3.4837280000000002</v>
      </c>
      <c r="M29" s="13">
        <f>VLOOKUP(B29,'Data World'!$A:$AL,MATCH(World!$M$1,'Data World'!$A$1:$AL$1,))</f>
        <v>6.7</v>
      </c>
      <c r="N29" s="13">
        <f>VLOOKUP(B29,'Data World'!$A:$AL,MATCH(World!$N$1,'Data World'!$A$1:$AL$1,))</f>
        <v>5.8872710000000001</v>
      </c>
      <c r="O29" s="13">
        <f>VLOOKUP(B29,'Data World'!$A:$AL,MATCH(World!$O$1,'Data World'!$A$1:$AL$1,))</f>
        <v>3.6</v>
      </c>
      <c r="P29" s="13">
        <f>VLOOKUP(B29,'Data World'!$A:$AL,MATCH(World!$P$1,'Data World'!$A$1:$AL$1,))</f>
        <v>22.1</v>
      </c>
      <c r="Q29" s="13">
        <f>VLOOKUP(B29,'Data World'!$A:$AL,MATCH(World!$Q$1,'Data World'!$A$1:$AL$1,))</f>
        <v>7.1</v>
      </c>
      <c r="R29" s="13">
        <f>VLOOKUP(B29,'Data World'!$A:$AL,MATCH(World!$R$1,'Data World'!$A$1:$AL$1,))</f>
        <v>11.9</v>
      </c>
      <c r="S29" s="13">
        <f>VLOOKUP(B29,'Data World'!$A:$AL,MATCH(World!$S$1,'Data World'!$A$1:$AL$1,))</f>
        <v>3.2</v>
      </c>
      <c r="T29" s="13">
        <f>VLOOKUP(B29,'Data World'!$A:$AL,MATCH(World!$T$1,'Data World'!$A$1:$AL$1,))</f>
        <v>5</v>
      </c>
    </row>
    <row r="30" spans="2:20" x14ac:dyDescent="0.2">
      <c r="B30" s="12">
        <v>42855</v>
      </c>
      <c r="C30" s="13">
        <f>VLOOKUP(B30,'Data World'!$A:$AL,MATCH(World!$C$1,'Data World'!$A$1:$AL$1,))</f>
        <v>4.5</v>
      </c>
      <c r="D30" s="13">
        <f>VLOOKUP(B30,'Data World'!$A:$AL,MATCH(World!$D$1,'Data World'!$A$1:$AL$1,))</f>
        <v>9.1999999999999993</v>
      </c>
      <c r="E30" s="13">
        <f>VLOOKUP(B30,'Data World'!$A:$AL,MATCH(World!$E$1,'Data World'!$A$1:$AL$1,))</f>
        <v>2.8</v>
      </c>
      <c r="F30" s="13">
        <f>VLOOKUP(B30,'Data World'!$A:$AL,MATCH(World!$F$1,'Data World'!$A$1:$AL$1,))</f>
        <v>3.8</v>
      </c>
      <c r="G30" s="13">
        <f>VLOOKUP(B30,'Data World'!$A:$AL,MATCH(World!$G$1,'Data World'!$A$1:$AL$1,))</f>
        <v>9.5</v>
      </c>
      <c r="H30" s="13">
        <f>VLOOKUP(B30,'Data World'!$A:$AL,MATCH(World!$H$1,'Data World'!$A$1:$AL$1,))</f>
        <v>4.4453719999999999</v>
      </c>
      <c r="I30" s="13">
        <f>VLOOKUP(B30,'Data World'!$A:$AL,MATCH(World!$I$1,'Data World'!$A$1:$AL$1,))</f>
        <v>11.2</v>
      </c>
      <c r="J30" s="13">
        <f>VLOOKUP(B30,'Data World'!$A:$AL,MATCH(World!$J$1,'Data World'!$A$1:$AL$1,))</f>
        <v>17.600000000000001</v>
      </c>
      <c r="K30" s="13">
        <f>VLOOKUP(B30,'Data World'!$A:$AL,MATCH(World!$K$1,'Data World'!$A$1:$AL$1,))</f>
        <v>6.8</v>
      </c>
      <c r="L30" s="13">
        <f>VLOOKUP(B30,'Data World'!$A:$AL,MATCH(World!$L$1,'Data World'!$A$1:$AL$1,))</f>
        <v>3.5439530000000001</v>
      </c>
      <c r="M30" s="13">
        <f>VLOOKUP(B30,'Data World'!$A:$AL,MATCH(World!$M$1,'Data World'!$A$1:$AL$1,))</f>
        <v>6.5</v>
      </c>
      <c r="N30" s="13">
        <f>VLOOKUP(B30,'Data World'!$A:$AL,MATCH(World!$N$1,'Data World'!$A$1:$AL$1,))</f>
        <v>5.6368429999999998</v>
      </c>
      <c r="O30" s="13">
        <f>VLOOKUP(B30,'Data World'!$A:$AL,MATCH(World!$O$1,'Data World'!$A$1:$AL$1,))</f>
        <v>3.8</v>
      </c>
      <c r="P30" s="13">
        <f>VLOOKUP(B30,'Data World'!$A:$AL,MATCH(World!$P$1,'Data World'!$A$1:$AL$1,))</f>
        <v>21.4</v>
      </c>
      <c r="Q30" s="13">
        <f>VLOOKUP(B30,'Data World'!$A:$AL,MATCH(World!$Q$1,'Data World'!$A$1:$AL$1,))</f>
        <v>6.8</v>
      </c>
      <c r="R30" s="13">
        <f>VLOOKUP(B30,'Data World'!$A:$AL,MATCH(World!$R$1,'Data World'!$A$1:$AL$1,))</f>
        <v>11.6</v>
      </c>
      <c r="S30" s="13">
        <f>VLOOKUP(B30,'Data World'!$A:$AL,MATCH(World!$S$1,'Data World'!$A$1:$AL$1,))</f>
        <v>3.4</v>
      </c>
      <c r="T30" s="13">
        <f>VLOOKUP(B30,'Data World'!$A:$AL,MATCH(World!$T$1,'Data World'!$A$1:$AL$1,))</f>
        <v>5.0999999999999996</v>
      </c>
    </row>
    <row r="31" spans="2:20" x14ac:dyDescent="0.2">
      <c r="B31" s="12">
        <v>42886</v>
      </c>
      <c r="C31" s="13">
        <f>VLOOKUP(B31,'Data World'!$A:$AL,MATCH(World!$C$1,'Data World'!$A$1:$AL$1,))</f>
        <v>4.4000000000000004</v>
      </c>
      <c r="D31" s="13">
        <f>VLOOKUP(B31,'Data World'!$A:$AL,MATCH(World!$D$1,'Data World'!$A$1:$AL$1,))</f>
        <v>9.1999999999999993</v>
      </c>
      <c r="E31" s="13">
        <f>VLOOKUP(B31,'Data World'!$A:$AL,MATCH(World!$E$1,'Data World'!$A$1:$AL$1,))</f>
        <v>3</v>
      </c>
      <c r="F31" s="13">
        <f>VLOOKUP(B31,'Data World'!$A:$AL,MATCH(World!$F$1,'Data World'!$A$1:$AL$1,))</f>
        <v>3.8</v>
      </c>
      <c r="G31" s="13">
        <f>VLOOKUP(B31,'Data World'!$A:$AL,MATCH(World!$G$1,'Data World'!$A$1:$AL$1,))</f>
        <v>9.5</v>
      </c>
      <c r="H31" s="13">
        <f>VLOOKUP(B31,'Data World'!$A:$AL,MATCH(World!$H$1,'Data World'!$A$1:$AL$1,))</f>
        <v>4.4254020000000001</v>
      </c>
      <c r="I31" s="13">
        <f>VLOOKUP(B31,'Data World'!$A:$AL,MATCH(World!$I$1,'Data World'!$A$1:$AL$1,))</f>
        <v>11.5</v>
      </c>
      <c r="J31" s="13">
        <f>VLOOKUP(B31,'Data World'!$A:$AL,MATCH(World!$J$1,'Data World'!$A$1:$AL$1,))</f>
        <v>17.3</v>
      </c>
      <c r="K31" s="13">
        <f>VLOOKUP(B31,'Data World'!$A:$AL,MATCH(World!$K$1,'Data World'!$A$1:$AL$1,))</f>
        <v>6.7</v>
      </c>
      <c r="L31" s="13">
        <f>VLOOKUP(B31,'Data World'!$A:$AL,MATCH(World!$L$1,'Data World'!$A$1:$AL$1,))</f>
        <v>3.624101</v>
      </c>
      <c r="M31" s="13">
        <f>VLOOKUP(B31,'Data World'!$A:$AL,MATCH(World!$M$1,'Data World'!$A$1:$AL$1,))</f>
        <v>6.6</v>
      </c>
      <c r="N31" s="13">
        <f>VLOOKUP(B31,'Data World'!$A:$AL,MATCH(World!$N$1,'Data World'!$A$1:$AL$1,))</f>
        <v>5.5397970000000001</v>
      </c>
      <c r="O31" s="13">
        <f>VLOOKUP(B31,'Data World'!$A:$AL,MATCH(World!$O$1,'Data World'!$A$1:$AL$1,))</f>
        <v>3.4</v>
      </c>
      <c r="P31" s="13">
        <f>VLOOKUP(B31,'Data World'!$A:$AL,MATCH(World!$P$1,'Data World'!$A$1:$AL$1,))</f>
        <v>21.8</v>
      </c>
      <c r="Q31" s="13">
        <f>VLOOKUP(B31,'Data World'!$A:$AL,MATCH(World!$Q$1,'Data World'!$A$1:$AL$1,))</f>
        <v>6.6</v>
      </c>
      <c r="R31" s="13">
        <f>VLOOKUP(B31,'Data World'!$A:$AL,MATCH(World!$R$1,'Data World'!$A$1:$AL$1,))</f>
        <v>11.1</v>
      </c>
      <c r="S31" s="13">
        <f>VLOOKUP(B31,'Data World'!$A:$AL,MATCH(World!$S$1,'Data World'!$A$1:$AL$1,))</f>
        <v>2.9</v>
      </c>
      <c r="T31" s="13">
        <f>VLOOKUP(B31,'Data World'!$A:$AL,MATCH(World!$T$1,'Data World'!$A$1:$AL$1,))</f>
        <v>5.0999999999999996</v>
      </c>
    </row>
    <row r="32" spans="2:20" x14ac:dyDescent="0.2">
      <c r="B32" s="12">
        <v>42916</v>
      </c>
      <c r="C32" s="13">
        <f>VLOOKUP(B32,'Data World'!$A:$AL,MATCH(World!$C$1,'Data World'!$A$1:$AL$1,))</f>
        <v>4.3</v>
      </c>
      <c r="D32" s="13">
        <f>VLOOKUP(B32,'Data World'!$A:$AL,MATCH(World!$D$1,'Data World'!$A$1:$AL$1,))</f>
        <v>9.1</v>
      </c>
      <c r="E32" s="13">
        <f>VLOOKUP(B32,'Data World'!$A:$AL,MATCH(World!$E$1,'Data World'!$A$1:$AL$1,))</f>
        <v>2.8</v>
      </c>
      <c r="F32" s="13">
        <f>VLOOKUP(B32,'Data World'!$A:$AL,MATCH(World!$F$1,'Data World'!$A$1:$AL$1,))</f>
        <v>3.8</v>
      </c>
      <c r="G32" s="13">
        <f>VLOOKUP(B32,'Data World'!$A:$AL,MATCH(World!$G$1,'Data World'!$A$1:$AL$1,))</f>
        <v>9.5</v>
      </c>
      <c r="H32" s="13">
        <f>VLOOKUP(B32,'Data World'!$A:$AL,MATCH(World!$H$1,'Data World'!$A$1:$AL$1,))</f>
        <v>4.3376950000000001</v>
      </c>
      <c r="I32" s="13">
        <f>VLOOKUP(B32,'Data World'!$A:$AL,MATCH(World!$I$1,'Data World'!$A$1:$AL$1,))</f>
        <v>11.2</v>
      </c>
      <c r="J32" s="13">
        <f>VLOOKUP(B32,'Data World'!$A:$AL,MATCH(World!$J$1,'Data World'!$A$1:$AL$1,))</f>
        <v>17</v>
      </c>
      <c r="K32" s="13">
        <f>VLOOKUP(B32,'Data World'!$A:$AL,MATCH(World!$K$1,'Data World'!$A$1:$AL$1,))</f>
        <v>6.6</v>
      </c>
      <c r="L32" s="13">
        <f>VLOOKUP(B32,'Data World'!$A:$AL,MATCH(World!$L$1,'Data World'!$A$1:$AL$1,))</f>
        <v>3.2819590000000001</v>
      </c>
      <c r="M32" s="13">
        <f>VLOOKUP(B32,'Data World'!$A:$AL,MATCH(World!$M$1,'Data World'!$A$1:$AL$1,))</f>
        <v>6.5</v>
      </c>
      <c r="N32" s="13">
        <f>VLOOKUP(B32,'Data World'!$A:$AL,MATCH(World!$N$1,'Data World'!$A$1:$AL$1,))</f>
        <v>5.5609770000000003</v>
      </c>
      <c r="O32" s="13">
        <f>VLOOKUP(B32,'Data World'!$A:$AL,MATCH(World!$O$1,'Data World'!$A$1:$AL$1,))</f>
        <v>3.7</v>
      </c>
      <c r="P32" s="13">
        <f>VLOOKUP(B32,'Data World'!$A:$AL,MATCH(World!$P$1,'Data World'!$A$1:$AL$1,))</f>
        <v>21.3</v>
      </c>
      <c r="Q32" s="13">
        <f>VLOOKUP(B32,'Data World'!$A:$AL,MATCH(World!$Q$1,'Data World'!$A$1:$AL$1,))</f>
        <v>6.6</v>
      </c>
      <c r="R32" s="13">
        <f>VLOOKUP(B32,'Data World'!$A:$AL,MATCH(World!$R$1,'Data World'!$A$1:$AL$1,))</f>
        <v>11</v>
      </c>
      <c r="S32" s="13">
        <f>VLOOKUP(B32,'Data World'!$A:$AL,MATCH(World!$S$1,'Data World'!$A$1:$AL$1,))</f>
        <v>2.9</v>
      </c>
      <c r="T32" s="13">
        <f>VLOOKUP(B32,'Data World'!$A:$AL,MATCH(World!$T$1,'Data World'!$A$1:$AL$1,))</f>
        <v>5</v>
      </c>
    </row>
    <row r="33" spans="2:20" x14ac:dyDescent="0.2">
      <c r="B33" s="12">
        <v>42947</v>
      </c>
      <c r="C33" s="13">
        <f>VLOOKUP(B33,'Data World'!$A:$AL,MATCH(World!$C$1,'Data World'!$A$1:$AL$1,))</f>
        <v>4.3</v>
      </c>
      <c r="D33" s="13">
        <f>VLOOKUP(B33,'Data World'!$A:$AL,MATCH(World!$D$1,'Data World'!$A$1:$AL$1,))</f>
        <v>9</v>
      </c>
      <c r="E33" s="13">
        <f>VLOOKUP(B33,'Data World'!$A:$AL,MATCH(World!$E$1,'Data World'!$A$1:$AL$1,))</f>
        <v>2.8</v>
      </c>
      <c r="F33" s="13">
        <f>VLOOKUP(B33,'Data World'!$A:$AL,MATCH(World!$F$1,'Data World'!$A$1:$AL$1,))</f>
        <v>3.7</v>
      </c>
      <c r="G33" s="13">
        <f>VLOOKUP(B33,'Data World'!$A:$AL,MATCH(World!$G$1,'Data World'!$A$1:$AL$1,))</f>
        <v>9.6</v>
      </c>
      <c r="H33" s="13">
        <f>VLOOKUP(B33,'Data World'!$A:$AL,MATCH(World!$H$1,'Data World'!$A$1:$AL$1,))</f>
        <v>4.3280399999999997</v>
      </c>
      <c r="I33" s="13">
        <f>VLOOKUP(B33,'Data World'!$A:$AL,MATCH(World!$I$1,'Data World'!$A$1:$AL$1,))</f>
        <v>11.4</v>
      </c>
      <c r="J33" s="13">
        <f>VLOOKUP(B33,'Data World'!$A:$AL,MATCH(World!$J$1,'Data World'!$A$1:$AL$1,))</f>
        <v>16.8</v>
      </c>
      <c r="K33" s="13">
        <f>VLOOKUP(B33,'Data World'!$A:$AL,MATCH(World!$K$1,'Data World'!$A$1:$AL$1,))</f>
        <v>6.9</v>
      </c>
      <c r="L33" s="13">
        <f>VLOOKUP(B33,'Data World'!$A:$AL,MATCH(World!$L$1,'Data World'!$A$1:$AL$1,))</f>
        <v>3.2468089999999998</v>
      </c>
      <c r="M33" s="13">
        <f>VLOOKUP(B33,'Data World'!$A:$AL,MATCH(World!$M$1,'Data World'!$A$1:$AL$1,))</f>
        <v>6.3</v>
      </c>
      <c r="N33" s="13">
        <f>VLOOKUP(B33,'Data World'!$A:$AL,MATCH(World!$N$1,'Data World'!$A$1:$AL$1,))</f>
        <v>5.5656540000000003</v>
      </c>
      <c r="O33" s="13">
        <f>VLOOKUP(B33,'Data World'!$A:$AL,MATCH(World!$O$1,'Data World'!$A$1:$AL$1,))</f>
        <v>3.5</v>
      </c>
      <c r="P33" s="13">
        <f>VLOOKUP(B33,'Data World'!$A:$AL,MATCH(World!$P$1,'Data World'!$A$1:$AL$1,))</f>
        <v>20.9</v>
      </c>
      <c r="Q33" s="13">
        <f>VLOOKUP(B33,'Data World'!$A:$AL,MATCH(World!$Q$1,'Data World'!$A$1:$AL$1,))</f>
        <v>6.6</v>
      </c>
      <c r="R33" s="13">
        <f>VLOOKUP(B33,'Data World'!$A:$AL,MATCH(World!$R$1,'Data World'!$A$1:$AL$1,))</f>
        <v>10.6</v>
      </c>
      <c r="S33" s="13">
        <f>VLOOKUP(B33,'Data World'!$A:$AL,MATCH(World!$S$1,'Data World'!$A$1:$AL$1,))</f>
        <v>2.8</v>
      </c>
      <c r="T33" s="13">
        <f>VLOOKUP(B33,'Data World'!$A:$AL,MATCH(World!$T$1,'Data World'!$A$1:$AL$1,))</f>
        <v>4.9000000000000004</v>
      </c>
    </row>
    <row r="34" spans="2:20" x14ac:dyDescent="0.2">
      <c r="B34" s="12">
        <v>42978</v>
      </c>
      <c r="C34" s="13">
        <f>VLOOKUP(B34,'Data World'!$A:$AL,MATCH(World!$C$1,'Data World'!$A$1:$AL$1,))</f>
        <v>4.4000000000000004</v>
      </c>
      <c r="D34" s="13">
        <f>VLOOKUP(B34,'Data World'!$A:$AL,MATCH(World!$D$1,'Data World'!$A$1:$AL$1,))</f>
        <v>9</v>
      </c>
      <c r="E34" s="13">
        <f>VLOOKUP(B34,'Data World'!$A:$AL,MATCH(World!$E$1,'Data World'!$A$1:$AL$1,))</f>
        <v>2.8</v>
      </c>
      <c r="F34" s="13">
        <f>VLOOKUP(B34,'Data World'!$A:$AL,MATCH(World!$F$1,'Data World'!$A$1:$AL$1,))</f>
        <v>3.7</v>
      </c>
      <c r="G34" s="13">
        <f>VLOOKUP(B34,'Data World'!$A:$AL,MATCH(World!$G$1,'Data World'!$A$1:$AL$1,))</f>
        <v>9.5</v>
      </c>
      <c r="H34" s="13">
        <f>VLOOKUP(B34,'Data World'!$A:$AL,MATCH(World!$H$1,'Data World'!$A$1:$AL$1,))</f>
        <v>4.2668150000000002</v>
      </c>
      <c r="I34" s="13">
        <f>VLOOKUP(B34,'Data World'!$A:$AL,MATCH(World!$I$1,'Data World'!$A$1:$AL$1,))</f>
        <v>11.4</v>
      </c>
      <c r="J34" s="13">
        <f>VLOOKUP(B34,'Data World'!$A:$AL,MATCH(World!$J$1,'Data World'!$A$1:$AL$1,))</f>
        <v>16.7</v>
      </c>
      <c r="K34" s="13">
        <f>VLOOKUP(B34,'Data World'!$A:$AL,MATCH(World!$K$1,'Data World'!$A$1:$AL$1,))</f>
        <v>6.4</v>
      </c>
      <c r="L34" s="13">
        <f>VLOOKUP(B34,'Data World'!$A:$AL,MATCH(World!$L$1,'Data World'!$A$1:$AL$1,))</f>
        <v>3.2918590000000001</v>
      </c>
      <c r="M34" s="13">
        <f>VLOOKUP(B34,'Data World'!$A:$AL,MATCH(World!$M$1,'Data World'!$A$1:$AL$1,))</f>
        <v>6.2</v>
      </c>
      <c r="N34" s="13">
        <f>VLOOKUP(B34,'Data World'!$A:$AL,MATCH(World!$N$1,'Data World'!$A$1:$AL$1,))</f>
        <v>5.4890030000000003</v>
      </c>
      <c r="O34" s="13">
        <f>VLOOKUP(B34,'Data World'!$A:$AL,MATCH(World!$O$1,'Data World'!$A$1:$AL$1,))</f>
        <v>3.8</v>
      </c>
      <c r="P34" s="13">
        <f>VLOOKUP(B34,'Data World'!$A:$AL,MATCH(World!$P$1,'Data World'!$A$1:$AL$1,))</f>
        <v>20.9</v>
      </c>
      <c r="Q34" s="13">
        <f>VLOOKUP(B34,'Data World'!$A:$AL,MATCH(World!$Q$1,'Data World'!$A$1:$AL$1,))</f>
        <v>6.6</v>
      </c>
      <c r="R34" s="13">
        <f>VLOOKUP(B34,'Data World'!$A:$AL,MATCH(World!$R$1,'Data World'!$A$1:$AL$1,))</f>
        <v>10.5</v>
      </c>
      <c r="S34" s="13">
        <f>VLOOKUP(B34,'Data World'!$A:$AL,MATCH(World!$S$1,'Data World'!$A$1:$AL$1,))</f>
        <v>2.7</v>
      </c>
      <c r="T34" s="13">
        <f>VLOOKUP(B34,'Data World'!$A:$AL,MATCH(World!$T$1,'Data World'!$A$1:$AL$1,))</f>
        <v>4.9000000000000004</v>
      </c>
    </row>
    <row r="35" spans="2:20" x14ac:dyDescent="0.2">
      <c r="B35" s="12">
        <v>43008</v>
      </c>
      <c r="C35" s="13">
        <f>VLOOKUP(B35,'Data World'!$A:$AL,MATCH(World!$C$1,'Data World'!$A$1:$AL$1,))</f>
        <v>4.2</v>
      </c>
      <c r="D35" s="13">
        <f>VLOOKUP(B35,'Data World'!$A:$AL,MATCH(World!$D$1,'Data World'!$A$1:$AL$1,))</f>
        <v>8.9</v>
      </c>
      <c r="E35" s="13">
        <f>VLOOKUP(B35,'Data World'!$A:$AL,MATCH(World!$E$1,'Data World'!$A$1:$AL$1,))</f>
        <v>2.8</v>
      </c>
      <c r="F35" s="13">
        <f>VLOOKUP(B35,'Data World'!$A:$AL,MATCH(World!$F$1,'Data World'!$A$1:$AL$1,))</f>
        <v>3.7</v>
      </c>
      <c r="G35" s="13">
        <f>VLOOKUP(B35,'Data World'!$A:$AL,MATCH(World!$G$1,'Data World'!$A$1:$AL$1,))</f>
        <v>9.4</v>
      </c>
      <c r="H35" s="13">
        <f>VLOOKUP(B35,'Data World'!$A:$AL,MATCH(World!$H$1,'Data World'!$A$1:$AL$1,))</f>
        <v>4.2433370000000004</v>
      </c>
      <c r="I35" s="13">
        <f>VLOOKUP(B35,'Data World'!$A:$AL,MATCH(World!$I$1,'Data World'!$A$1:$AL$1,))</f>
        <v>11.2</v>
      </c>
      <c r="J35" s="13">
        <f>VLOOKUP(B35,'Data World'!$A:$AL,MATCH(World!$J$1,'Data World'!$A$1:$AL$1,))</f>
        <v>16.600000000000001</v>
      </c>
      <c r="K35" s="13">
        <f>VLOOKUP(B35,'Data World'!$A:$AL,MATCH(World!$K$1,'Data World'!$A$1:$AL$1,))</f>
        <v>6.8</v>
      </c>
      <c r="L35" s="13">
        <f>VLOOKUP(B35,'Data World'!$A:$AL,MATCH(World!$L$1,'Data World'!$A$1:$AL$1,))</f>
        <v>3.341208</v>
      </c>
      <c r="M35" s="13">
        <f>VLOOKUP(B35,'Data World'!$A:$AL,MATCH(World!$M$1,'Data World'!$A$1:$AL$1,))</f>
        <v>6.2</v>
      </c>
      <c r="N35" s="13">
        <f>VLOOKUP(B35,'Data World'!$A:$AL,MATCH(World!$N$1,'Data World'!$A$1:$AL$1,))</f>
        <v>5.4210409999999998</v>
      </c>
      <c r="O35" s="13">
        <f>VLOOKUP(B35,'Data World'!$A:$AL,MATCH(World!$O$1,'Data World'!$A$1:$AL$1,))</f>
        <v>3.7</v>
      </c>
      <c r="P35" s="13">
        <f>VLOOKUP(B35,'Data World'!$A:$AL,MATCH(World!$P$1,'Data World'!$A$1:$AL$1,))</f>
        <v>20.9</v>
      </c>
      <c r="Q35" s="13">
        <f>VLOOKUP(B35,'Data World'!$A:$AL,MATCH(World!$Q$1,'Data World'!$A$1:$AL$1,))</f>
        <v>6.6</v>
      </c>
      <c r="R35" s="13">
        <f>VLOOKUP(B35,'Data World'!$A:$AL,MATCH(World!$R$1,'Data World'!$A$1:$AL$1,))</f>
        <v>10.3</v>
      </c>
      <c r="S35" s="13">
        <f>VLOOKUP(B35,'Data World'!$A:$AL,MATCH(World!$S$1,'Data World'!$A$1:$AL$1,))</f>
        <v>2.7</v>
      </c>
      <c r="T35" s="13">
        <f>VLOOKUP(B35,'Data World'!$A:$AL,MATCH(World!$T$1,'Data World'!$A$1:$AL$1,))</f>
        <v>4.8</v>
      </c>
    </row>
    <row r="36" spans="2:20" x14ac:dyDescent="0.2">
      <c r="B36" s="12">
        <v>43039</v>
      </c>
      <c r="C36" s="13">
        <f>VLOOKUP(B36,'Data World'!$A:$AL,MATCH(World!$C$1,'Data World'!$A$1:$AL$1,))</f>
        <v>4.0999999999999996</v>
      </c>
      <c r="D36" s="13">
        <f>VLOOKUP(B36,'Data World'!$A:$AL,MATCH(World!$D$1,'Data World'!$A$1:$AL$1,))</f>
        <v>8.8000000000000007</v>
      </c>
      <c r="E36" s="13">
        <f>VLOOKUP(B36,'Data World'!$A:$AL,MATCH(World!$E$1,'Data World'!$A$1:$AL$1,))</f>
        <v>2.7</v>
      </c>
      <c r="F36" s="13">
        <f>VLOOKUP(B36,'Data World'!$A:$AL,MATCH(World!$F$1,'Data World'!$A$1:$AL$1,))</f>
        <v>3.7</v>
      </c>
      <c r="G36" s="13">
        <f>VLOOKUP(B36,'Data World'!$A:$AL,MATCH(World!$G$1,'Data World'!$A$1:$AL$1,))</f>
        <v>9.1999999999999993</v>
      </c>
      <c r="H36" s="13">
        <f>VLOOKUP(B36,'Data World'!$A:$AL,MATCH(World!$H$1,'Data World'!$A$1:$AL$1,))</f>
        <v>4.2718559999999997</v>
      </c>
      <c r="I36" s="13">
        <f>VLOOKUP(B36,'Data World'!$A:$AL,MATCH(World!$I$1,'Data World'!$A$1:$AL$1,))</f>
        <v>11.1</v>
      </c>
      <c r="J36" s="13">
        <f>VLOOKUP(B36,'Data World'!$A:$AL,MATCH(World!$J$1,'Data World'!$A$1:$AL$1,))</f>
        <v>16.600000000000001</v>
      </c>
      <c r="K36" s="13">
        <f>VLOOKUP(B36,'Data World'!$A:$AL,MATCH(World!$K$1,'Data World'!$A$1:$AL$1,))</f>
        <v>6.8</v>
      </c>
      <c r="L36" s="13">
        <f>VLOOKUP(B36,'Data World'!$A:$AL,MATCH(World!$L$1,'Data World'!$A$1:$AL$1,))</f>
        <v>3.4387050000000001</v>
      </c>
      <c r="M36" s="13">
        <f>VLOOKUP(B36,'Data World'!$A:$AL,MATCH(World!$M$1,'Data World'!$A$1:$AL$1,))</f>
        <v>6.3</v>
      </c>
      <c r="N36" s="13">
        <f>VLOOKUP(B36,'Data World'!$A:$AL,MATCH(World!$N$1,'Data World'!$A$1:$AL$1,))</f>
        <v>5.35039</v>
      </c>
      <c r="O36" s="13">
        <f>VLOOKUP(B36,'Data World'!$A:$AL,MATCH(World!$O$1,'Data World'!$A$1:$AL$1,))</f>
        <v>3.7</v>
      </c>
      <c r="P36" s="13">
        <f>VLOOKUP(B36,'Data World'!$A:$AL,MATCH(World!$P$1,'Data World'!$A$1:$AL$1,))</f>
        <v>20.9</v>
      </c>
      <c r="Q36" s="13">
        <f>VLOOKUP(B36,'Data World'!$A:$AL,MATCH(World!$Q$1,'Data World'!$A$1:$AL$1,))</f>
        <v>6.5</v>
      </c>
      <c r="R36" s="13">
        <f>VLOOKUP(B36,'Data World'!$A:$AL,MATCH(World!$R$1,'Data World'!$A$1:$AL$1,))</f>
        <v>10.3</v>
      </c>
      <c r="S36" s="13">
        <f>VLOOKUP(B36,'Data World'!$A:$AL,MATCH(World!$S$1,'Data World'!$A$1:$AL$1,))</f>
        <v>2.6</v>
      </c>
      <c r="T36" s="13">
        <f>VLOOKUP(B36,'Data World'!$A:$AL,MATCH(World!$T$1,'Data World'!$A$1:$AL$1,))</f>
        <v>4.7</v>
      </c>
    </row>
    <row r="37" spans="2:20" x14ac:dyDescent="0.2">
      <c r="B37" s="12">
        <v>43069</v>
      </c>
      <c r="C37" s="13">
        <f>VLOOKUP(B37,'Data World'!$A:$AL,MATCH(World!$C$1,'Data World'!$A$1:$AL$1,))</f>
        <v>4.2</v>
      </c>
      <c r="D37" s="13">
        <f>VLOOKUP(B37,'Data World'!$A:$AL,MATCH(World!$D$1,'Data World'!$A$1:$AL$1,))</f>
        <v>8.6999999999999993</v>
      </c>
      <c r="E37" s="13">
        <f>VLOOKUP(B37,'Data World'!$A:$AL,MATCH(World!$E$1,'Data World'!$A$1:$AL$1,))</f>
        <v>2.7</v>
      </c>
      <c r="F37" s="13">
        <f>VLOOKUP(B37,'Data World'!$A:$AL,MATCH(World!$F$1,'Data World'!$A$1:$AL$1,))</f>
        <v>3.6</v>
      </c>
      <c r="G37" s="13">
        <f>VLOOKUP(B37,'Data World'!$A:$AL,MATCH(World!$G$1,'Data World'!$A$1:$AL$1,))</f>
        <v>9.1</v>
      </c>
      <c r="H37" s="13">
        <f>VLOOKUP(B37,'Data World'!$A:$AL,MATCH(World!$H$1,'Data World'!$A$1:$AL$1,))</f>
        <v>4.3522169999999996</v>
      </c>
      <c r="I37" s="13">
        <f>VLOOKUP(B37,'Data World'!$A:$AL,MATCH(World!$I$1,'Data World'!$A$1:$AL$1,))</f>
        <v>11</v>
      </c>
      <c r="J37" s="13">
        <f>VLOOKUP(B37,'Data World'!$A:$AL,MATCH(World!$J$1,'Data World'!$A$1:$AL$1,))</f>
        <v>16.7</v>
      </c>
      <c r="K37" s="13">
        <f>VLOOKUP(B37,'Data World'!$A:$AL,MATCH(World!$K$1,'Data World'!$A$1:$AL$1,))</f>
        <v>6.4</v>
      </c>
      <c r="L37" s="13">
        <f>VLOOKUP(B37,'Data World'!$A:$AL,MATCH(World!$L$1,'Data World'!$A$1:$AL$1,))</f>
        <v>3.4974919999999998</v>
      </c>
      <c r="M37" s="13">
        <f>VLOOKUP(B37,'Data World'!$A:$AL,MATCH(World!$M$1,'Data World'!$A$1:$AL$1,))</f>
        <v>6</v>
      </c>
      <c r="N37" s="13">
        <f>VLOOKUP(B37,'Data World'!$A:$AL,MATCH(World!$N$1,'Data World'!$A$1:$AL$1,))</f>
        <v>5.4212870000000004</v>
      </c>
      <c r="O37" s="13">
        <f>VLOOKUP(B37,'Data World'!$A:$AL,MATCH(World!$O$1,'Data World'!$A$1:$AL$1,))</f>
        <v>3.7</v>
      </c>
      <c r="P37" s="13">
        <f>VLOOKUP(B37,'Data World'!$A:$AL,MATCH(World!$P$1,'Data World'!$A$1:$AL$1,))</f>
        <v>21.1</v>
      </c>
      <c r="Q37" s="13">
        <f>VLOOKUP(B37,'Data World'!$A:$AL,MATCH(World!$Q$1,'Data World'!$A$1:$AL$1,))</f>
        <v>6.4</v>
      </c>
      <c r="R37" s="13">
        <f>VLOOKUP(B37,'Data World'!$A:$AL,MATCH(World!$R$1,'Data World'!$A$1:$AL$1,))</f>
        <v>10.1</v>
      </c>
      <c r="S37" s="13">
        <f>VLOOKUP(B37,'Data World'!$A:$AL,MATCH(World!$S$1,'Data World'!$A$1:$AL$1,))</f>
        <v>2.4</v>
      </c>
      <c r="T37" s="13">
        <f>VLOOKUP(B37,'Data World'!$A:$AL,MATCH(World!$T$1,'Data World'!$A$1:$AL$1,))</f>
        <v>4.5999999999999996</v>
      </c>
    </row>
    <row r="38" spans="2:20" x14ac:dyDescent="0.2">
      <c r="B38" s="12">
        <v>43100</v>
      </c>
      <c r="C38" s="13">
        <f>VLOOKUP(B38,'Data World'!$A:$AL,MATCH(World!$C$1,'Data World'!$A$1:$AL$1,))</f>
        <v>4.0999999999999996</v>
      </c>
      <c r="D38" s="13">
        <f>VLOOKUP(B38,'Data World'!$A:$AL,MATCH(World!$D$1,'Data World'!$A$1:$AL$1,))</f>
        <v>8.6999999999999993</v>
      </c>
      <c r="E38" s="13">
        <f>VLOOKUP(B38,'Data World'!$A:$AL,MATCH(World!$E$1,'Data World'!$A$1:$AL$1,))</f>
        <v>2.7</v>
      </c>
      <c r="F38" s="13">
        <f>VLOOKUP(B38,'Data World'!$A:$AL,MATCH(World!$F$1,'Data World'!$A$1:$AL$1,))</f>
        <v>3.6</v>
      </c>
      <c r="G38" s="13">
        <f>VLOOKUP(B38,'Data World'!$A:$AL,MATCH(World!$G$1,'Data World'!$A$1:$AL$1,))</f>
        <v>9.1</v>
      </c>
      <c r="H38" s="13">
        <f>VLOOKUP(B38,'Data World'!$A:$AL,MATCH(World!$H$1,'Data World'!$A$1:$AL$1,))</f>
        <v>4.3060479999999997</v>
      </c>
      <c r="I38" s="13">
        <f>VLOOKUP(B38,'Data World'!$A:$AL,MATCH(World!$I$1,'Data World'!$A$1:$AL$1,))</f>
        <v>10.9</v>
      </c>
      <c r="J38" s="13">
        <f>VLOOKUP(B38,'Data World'!$A:$AL,MATCH(World!$J$1,'Data World'!$A$1:$AL$1,))</f>
        <v>16.600000000000001</v>
      </c>
      <c r="K38" s="13">
        <f>VLOOKUP(B38,'Data World'!$A:$AL,MATCH(World!$K$1,'Data World'!$A$1:$AL$1,))</f>
        <v>6.6</v>
      </c>
      <c r="L38" s="13">
        <f>VLOOKUP(B38,'Data World'!$A:$AL,MATCH(World!$L$1,'Data World'!$A$1:$AL$1,))</f>
        <v>3.4327549999999998</v>
      </c>
      <c r="M38" s="13">
        <f>VLOOKUP(B38,'Data World'!$A:$AL,MATCH(World!$M$1,'Data World'!$A$1:$AL$1,))</f>
        <v>5.9</v>
      </c>
      <c r="N38" s="13">
        <f>VLOOKUP(B38,'Data World'!$A:$AL,MATCH(World!$N$1,'Data World'!$A$1:$AL$1,))</f>
        <v>5.6064959999999999</v>
      </c>
      <c r="O38" s="13">
        <f>VLOOKUP(B38,'Data World'!$A:$AL,MATCH(World!$O$1,'Data World'!$A$1:$AL$1,))</f>
        <v>3.7</v>
      </c>
      <c r="P38" s="13">
        <f>VLOOKUP(B38,'Data World'!$A:$AL,MATCH(World!$P$1,'Data World'!$A$1:$AL$1,))</f>
        <v>21</v>
      </c>
      <c r="Q38" s="13">
        <f>VLOOKUP(B38,'Data World'!$A:$AL,MATCH(World!$Q$1,'Data World'!$A$1:$AL$1,))</f>
        <v>6.3</v>
      </c>
      <c r="R38" s="13">
        <f>VLOOKUP(B38,'Data World'!$A:$AL,MATCH(World!$R$1,'Data World'!$A$1:$AL$1,))</f>
        <v>9.9</v>
      </c>
      <c r="S38" s="13">
        <f>VLOOKUP(B38,'Data World'!$A:$AL,MATCH(World!$S$1,'Data World'!$A$1:$AL$1,))</f>
        <v>2.2999999999999998</v>
      </c>
      <c r="T38" s="13">
        <f>VLOOKUP(B38,'Data World'!$A:$AL,MATCH(World!$T$1,'Data World'!$A$1:$AL$1,))</f>
        <v>4.4000000000000004</v>
      </c>
    </row>
    <row r="39" spans="2:20" x14ac:dyDescent="0.2">
      <c r="B39" s="12">
        <v>43131</v>
      </c>
      <c r="C39" s="13">
        <f>VLOOKUP(B39,'Data World'!$A:$AL,MATCH(World!$C$1,'Data World'!$A$1:$AL$1,))</f>
        <v>4</v>
      </c>
      <c r="D39" s="13">
        <f>VLOOKUP(B39,'Data World'!$A:$AL,MATCH(World!$D$1,'Data World'!$A$1:$AL$1,))</f>
        <v>8.6999999999999993</v>
      </c>
      <c r="E39" s="13">
        <f>VLOOKUP(B39,'Data World'!$A:$AL,MATCH(World!$E$1,'Data World'!$A$1:$AL$1,))</f>
        <v>2.4</v>
      </c>
      <c r="F39" s="13">
        <f>VLOOKUP(B39,'Data World'!$A:$AL,MATCH(World!$F$1,'Data World'!$A$1:$AL$1,))</f>
        <v>3.5</v>
      </c>
      <c r="G39" s="13">
        <f>VLOOKUP(B39,'Data World'!$A:$AL,MATCH(World!$G$1,'Data World'!$A$1:$AL$1,))</f>
        <v>9.1999999999999993</v>
      </c>
      <c r="H39" s="13">
        <f>VLOOKUP(B39,'Data World'!$A:$AL,MATCH(World!$H$1,'Data World'!$A$1:$AL$1,))</f>
        <v>4.2130970000000003</v>
      </c>
      <c r="I39" s="13">
        <f>VLOOKUP(B39,'Data World'!$A:$AL,MATCH(World!$I$1,'Data World'!$A$1:$AL$1,))</f>
        <v>11.1</v>
      </c>
      <c r="J39" s="13">
        <f>VLOOKUP(B39,'Data World'!$A:$AL,MATCH(World!$J$1,'Data World'!$A$1:$AL$1,))</f>
        <v>16.5</v>
      </c>
      <c r="K39" s="13">
        <f>VLOOKUP(B39,'Data World'!$A:$AL,MATCH(World!$K$1,'Data World'!$A$1:$AL$1,))</f>
        <v>6.6</v>
      </c>
      <c r="L39" s="13">
        <f>VLOOKUP(B39,'Data World'!$A:$AL,MATCH(World!$L$1,'Data World'!$A$1:$AL$1,))</f>
        <v>3.2443409999999999</v>
      </c>
      <c r="M39" s="13">
        <f>VLOOKUP(B39,'Data World'!$A:$AL,MATCH(World!$M$1,'Data World'!$A$1:$AL$1,))</f>
        <v>6</v>
      </c>
      <c r="N39" s="13">
        <f>VLOOKUP(B39,'Data World'!$A:$AL,MATCH(World!$N$1,'Data World'!$A$1:$AL$1,))</f>
        <v>5.5355249999999998</v>
      </c>
      <c r="O39" s="13">
        <f>VLOOKUP(B39,'Data World'!$A:$AL,MATCH(World!$O$1,'Data World'!$A$1:$AL$1,))</f>
        <v>3.6</v>
      </c>
      <c r="P39" s="13">
        <f>VLOOKUP(B39,'Data World'!$A:$AL,MATCH(World!$P$1,'Data World'!$A$1:$AL$1,))</f>
        <v>20.399999999999999</v>
      </c>
      <c r="Q39" s="13">
        <f>VLOOKUP(B39,'Data World'!$A:$AL,MATCH(World!$Q$1,'Data World'!$A$1:$AL$1,))</f>
        <v>6</v>
      </c>
      <c r="R39" s="13">
        <f>VLOOKUP(B39,'Data World'!$A:$AL,MATCH(World!$R$1,'Data World'!$A$1:$AL$1,))</f>
        <v>9.8000000000000007</v>
      </c>
      <c r="S39" s="13">
        <f>VLOOKUP(B39,'Data World'!$A:$AL,MATCH(World!$S$1,'Data World'!$A$1:$AL$1,))</f>
        <v>2.5</v>
      </c>
      <c r="T39" s="13">
        <f>VLOOKUP(B39,'Data World'!$A:$AL,MATCH(World!$T$1,'Data World'!$A$1:$AL$1,))</f>
        <v>4.0999999999999996</v>
      </c>
    </row>
    <row r="40" spans="2:20" x14ac:dyDescent="0.2">
      <c r="B40" s="12">
        <v>43159</v>
      </c>
      <c r="C40" s="13">
        <f>VLOOKUP(B40,'Data World'!$A:$AL,MATCH(World!$C$1,'Data World'!$A$1:$AL$1,))</f>
        <v>4.0999999999999996</v>
      </c>
      <c r="D40" s="13">
        <f>VLOOKUP(B40,'Data World'!$A:$AL,MATCH(World!$D$1,'Data World'!$A$1:$AL$1,))</f>
        <v>8.6</v>
      </c>
      <c r="E40" s="13">
        <f>VLOOKUP(B40,'Data World'!$A:$AL,MATCH(World!$E$1,'Data World'!$A$1:$AL$1,))</f>
        <v>2.5</v>
      </c>
      <c r="F40" s="13">
        <f>VLOOKUP(B40,'Data World'!$A:$AL,MATCH(World!$F$1,'Data World'!$A$1:$AL$1,))</f>
        <v>3.5</v>
      </c>
      <c r="G40" s="13">
        <f>VLOOKUP(B40,'Data World'!$A:$AL,MATCH(World!$G$1,'Data World'!$A$1:$AL$1,))</f>
        <v>9.1999999999999993</v>
      </c>
      <c r="H40" s="13">
        <f>VLOOKUP(B40,'Data World'!$A:$AL,MATCH(World!$H$1,'Data World'!$A$1:$AL$1,))</f>
        <v>4.198035</v>
      </c>
      <c r="I40" s="13">
        <f>VLOOKUP(B40,'Data World'!$A:$AL,MATCH(World!$I$1,'Data World'!$A$1:$AL$1,))</f>
        <v>10.8</v>
      </c>
      <c r="J40" s="13">
        <f>VLOOKUP(B40,'Data World'!$A:$AL,MATCH(World!$J$1,'Data World'!$A$1:$AL$1,))</f>
        <v>16.399999999999999</v>
      </c>
      <c r="K40" s="13">
        <f>VLOOKUP(B40,'Data World'!$A:$AL,MATCH(World!$K$1,'Data World'!$A$1:$AL$1,))</f>
        <v>5.7</v>
      </c>
      <c r="L40" s="13">
        <f>VLOOKUP(B40,'Data World'!$A:$AL,MATCH(World!$L$1,'Data World'!$A$1:$AL$1,))</f>
        <v>3.225454</v>
      </c>
      <c r="M40" s="13">
        <f>VLOOKUP(B40,'Data World'!$A:$AL,MATCH(World!$M$1,'Data World'!$A$1:$AL$1,))</f>
        <v>5.9</v>
      </c>
      <c r="N40" s="13">
        <f>VLOOKUP(B40,'Data World'!$A:$AL,MATCH(World!$N$1,'Data World'!$A$1:$AL$1,))</f>
        <v>5.6095309999999996</v>
      </c>
      <c r="O40" s="13">
        <f>VLOOKUP(B40,'Data World'!$A:$AL,MATCH(World!$O$1,'Data World'!$A$1:$AL$1,))</f>
        <v>3.7</v>
      </c>
      <c r="P40" s="13">
        <f>VLOOKUP(B40,'Data World'!$A:$AL,MATCH(World!$P$1,'Data World'!$A$1:$AL$1,))</f>
        <v>20.7</v>
      </c>
      <c r="Q40" s="13">
        <f>VLOOKUP(B40,'Data World'!$A:$AL,MATCH(World!$Q$1,'Data World'!$A$1:$AL$1,))</f>
        <v>6</v>
      </c>
      <c r="R40" s="13">
        <f>VLOOKUP(B40,'Data World'!$A:$AL,MATCH(World!$R$1,'Data World'!$A$1:$AL$1,))</f>
        <v>10</v>
      </c>
      <c r="S40" s="13">
        <f>VLOOKUP(B40,'Data World'!$A:$AL,MATCH(World!$S$1,'Data World'!$A$1:$AL$1,))</f>
        <v>2.4</v>
      </c>
      <c r="T40" s="13">
        <f>VLOOKUP(B40,'Data World'!$A:$AL,MATCH(World!$T$1,'Data World'!$A$1:$AL$1,))</f>
        <v>3.9</v>
      </c>
    </row>
    <row r="41" spans="2:20" x14ac:dyDescent="0.2">
      <c r="B41" s="12">
        <v>43190</v>
      </c>
      <c r="C41" s="13">
        <f>VLOOKUP(B41,'Data World'!$A:$AL,MATCH(World!$C$1,'Data World'!$A$1:$AL$1,))</f>
        <v>4</v>
      </c>
      <c r="D41" s="13">
        <f>VLOOKUP(B41,'Data World'!$A:$AL,MATCH(World!$D$1,'Data World'!$A$1:$AL$1,))</f>
        <v>8.5</v>
      </c>
      <c r="E41" s="13">
        <f>VLOOKUP(B41,'Data World'!$A:$AL,MATCH(World!$E$1,'Data World'!$A$1:$AL$1,))</f>
        <v>2.5</v>
      </c>
      <c r="F41" s="13">
        <f>VLOOKUP(B41,'Data World'!$A:$AL,MATCH(World!$F$1,'Data World'!$A$1:$AL$1,))</f>
        <v>3.5</v>
      </c>
      <c r="G41" s="13">
        <f>VLOOKUP(B41,'Data World'!$A:$AL,MATCH(World!$G$1,'Data World'!$A$1:$AL$1,))</f>
        <v>9.1999999999999993</v>
      </c>
      <c r="H41" s="13">
        <f>VLOOKUP(B41,'Data World'!$A:$AL,MATCH(World!$H$1,'Data World'!$A$1:$AL$1,))</f>
        <v>4.1889440000000002</v>
      </c>
      <c r="I41" s="13">
        <f>VLOOKUP(B41,'Data World'!$A:$AL,MATCH(World!$I$1,'Data World'!$A$1:$AL$1,))</f>
        <v>11</v>
      </c>
      <c r="J41" s="13">
        <f>VLOOKUP(B41,'Data World'!$A:$AL,MATCH(World!$J$1,'Data World'!$A$1:$AL$1,))</f>
        <v>16</v>
      </c>
      <c r="K41" s="13">
        <f>VLOOKUP(B41,'Data World'!$A:$AL,MATCH(World!$K$1,'Data World'!$A$1:$AL$1,))</f>
        <v>6.1</v>
      </c>
      <c r="L41" s="13">
        <f>VLOOKUP(B41,'Data World'!$A:$AL,MATCH(World!$L$1,'Data World'!$A$1:$AL$1,))</f>
        <v>3.2141709999999999</v>
      </c>
      <c r="M41" s="13">
        <f>VLOOKUP(B41,'Data World'!$A:$AL,MATCH(World!$M$1,'Data World'!$A$1:$AL$1,))</f>
        <v>5.9</v>
      </c>
      <c r="N41" s="13">
        <f>VLOOKUP(B41,'Data World'!$A:$AL,MATCH(World!$N$1,'Data World'!$A$1:$AL$1,))</f>
        <v>5.5550480000000002</v>
      </c>
      <c r="O41" s="13">
        <f>VLOOKUP(B41,'Data World'!$A:$AL,MATCH(World!$O$1,'Data World'!$A$1:$AL$1,))</f>
        <v>4</v>
      </c>
      <c r="P41" s="13">
        <f>VLOOKUP(B41,'Data World'!$A:$AL,MATCH(World!$P$1,'Data World'!$A$1:$AL$1,))</f>
        <v>20.2</v>
      </c>
      <c r="Q41" s="13">
        <f>VLOOKUP(B41,'Data World'!$A:$AL,MATCH(World!$Q$1,'Data World'!$A$1:$AL$1,))</f>
        <v>5.8</v>
      </c>
      <c r="R41" s="13">
        <f>VLOOKUP(B41,'Data World'!$A:$AL,MATCH(World!$R$1,'Data World'!$A$1:$AL$1,))</f>
        <v>10</v>
      </c>
      <c r="S41" s="13">
        <f>VLOOKUP(B41,'Data World'!$A:$AL,MATCH(World!$S$1,'Data World'!$A$1:$AL$1,))</f>
        <v>2.1</v>
      </c>
      <c r="T41" s="13">
        <f>VLOOKUP(B41,'Data World'!$A:$AL,MATCH(World!$T$1,'Data World'!$A$1:$AL$1,))</f>
        <v>3.8</v>
      </c>
    </row>
    <row r="42" spans="2:20" x14ac:dyDescent="0.2">
      <c r="B42" s="12">
        <v>43220</v>
      </c>
      <c r="C42" s="13">
        <f>VLOOKUP(B42,'Data World'!$A:$AL,MATCH(World!$C$1,'Data World'!$A$1:$AL$1,))</f>
        <v>4</v>
      </c>
      <c r="D42" s="13">
        <f>VLOOKUP(B42,'Data World'!$A:$AL,MATCH(World!$D$1,'Data World'!$A$1:$AL$1,))</f>
        <v>8.4</v>
      </c>
      <c r="E42" s="13">
        <f>VLOOKUP(B42,'Data World'!$A:$AL,MATCH(World!$E$1,'Data World'!$A$1:$AL$1,))</f>
        <v>2.5</v>
      </c>
      <c r="F42" s="13">
        <f>VLOOKUP(B42,'Data World'!$A:$AL,MATCH(World!$F$1,'Data World'!$A$1:$AL$1,))</f>
        <v>3.4</v>
      </c>
      <c r="G42" s="13">
        <f>VLOOKUP(B42,'Data World'!$A:$AL,MATCH(World!$G$1,'Data World'!$A$1:$AL$1,))</f>
        <v>9.1999999999999993</v>
      </c>
      <c r="H42" s="13">
        <f>VLOOKUP(B42,'Data World'!$A:$AL,MATCH(World!$H$1,'Data World'!$A$1:$AL$1,))</f>
        <v>4.1653599999999997</v>
      </c>
      <c r="I42" s="13">
        <f>VLOOKUP(B42,'Data World'!$A:$AL,MATCH(World!$I$1,'Data World'!$A$1:$AL$1,))</f>
        <v>11.1</v>
      </c>
      <c r="J42" s="13">
        <f>VLOOKUP(B42,'Data World'!$A:$AL,MATCH(World!$J$1,'Data World'!$A$1:$AL$1,))</f>
        <v>15.7</v>
      </c>
      <c r="K42" s="13">
        <f>VLOOKUP(B42,'Data World'!$A:$AL,MATCH(World!$K$1,'Data World'!$A$1:$AL$1,))</f>
        <v>6.4</v>
      </c>
      <c r="L42" s="13">
        <f>VLOOKUP(B42,'Data World'!$A:$AL,MATCH(World!$L$1,'Data World'!$A$1:$AL$1,))</f>
        <v>3.4793769999999999</v>
      </c>
      <c r="M42" s="13">
        <f>VLOOKUP(B42,'Data World'!$A:$AL,MATCH(World!$M$1,'Data World'!$A$1:$AL$1,))</f>
        <v>5.9</v>
      </c>
      <c r="N42" s="13">
        <f>VLOOKUP(B42,'Data World'!$A:$AL,MATCH(World!$N$1,'Data World'!$A$1:$AL$1,))</f>
        <v>5.5591549999999996</v>
      </c>
      <c r="O42" s="13">
        <f>VLOOKUP(B42,'Data World'!$A:$AL,MATCH(World!$O$1,'Data World'!$A$1:$AL$1,))</f>
        <v>3.8</v>
      </c>
      <c r="P42" s="13">
        <f>VLOOKUP(B42,'Data World'!$A:$AL,MATCH(World!$P$1,'Data World'!$A$1:$AL$1,))</f>
        <v>19.8</v>
      </c>
      <c r="Q42" s="13">
        <f>VLOOKUP(B42,'Data World'!$A:$AL,MATCH(World!$Q$1,'Data World'!$A$1:$AL$1,))</f>
        <v>5.9</v>
      </c>
      <c r="R42" s="13">
        <f>VLOOKUP(B42,'Data World'!$A:$AL,MATCH(World!$R$1,'Data World'!$A$1:$AL$1,))</f>
        <v>10.199999999999999</v>
      </c>
      <c r="S42" s="13">
        <f>VLOOKUP(B42,'Data World'!$A:$AL,MATCH(World!$S$1,'Data World'!$A$1:$AL$1,))</f>
        <v>2.2999999999999998</v>
      </c>
      <c r="T42" s="13">
        <f>VLOOKUP(B42,'Data World'!$A:$AL,MATCH(World!$T$1,'Data World'!$A$1:$AL$1,))</f>
        <v>3.7</v>
      </c>
    </row>
    <row r="43" spans="2:20" s="59" customFormat="1" x14ac:dyDescent="0.2">
      <c r="B43" s="12">
        <v>43251</v>
      </c>
      <c r="C43" s="13">
        <f>VLOOKUP(B43,'Data World'!$A:$AL,MATCH(World!$C$1,'Data World'!$A$1:$AL$1,))</f>
        <v>3.8</v>
      </c>
      <c r="D43" s="13">
        <f>VLOOKUP(B43,'Data World'!$A:$AL,MATCH(World!$D$1,'Data World'!$A$1:$AL$1,))</f>
        <v>8.3000000000000007</v>
      </c>
      <c r="E43" s="13">
        <f>VLOOKUP(B43,'Data World'!$A:$AL,MATCH(World!$E$1,'Data World'!$A$1:$AL$1,))</f>
        <v>2.2000000000000002</v>
      </c>
      <c r="F43" s="13">
        <f>VLOOKUP(B43,'Data World'!$A:$AL,MATCH(World!$F$1,'Data World'!$A$1:$AL$1,))</f>
        <v>3.4</v>
      </c>
      <c r="G43" s="13">
        <f>VLOOKUP(B43,'Data World'!$A:$AL,MATCH(World!$G$1,'Data World'!$A$1:$AL$1,))</f>
        <v>9.1999999999999993</v>
      </c>
      <c r="H43" s="13">
        <f>VLOOKUP(B43,'Data World'!$A:$AL,MATCH(World!$H$1,'Data World'!$A$1:$AL$1,))</f>
        <v>4.036543</v>
      </c>
      <c r="I43" s="13">
        <f>VLOOKUP(B43,'Data World'!$A:$AL,MATCH(World!$I$1,'Data World'!$A$1:$AL$1,))</f>
        <v>10.6</v>
      </c>
      <c r="J43" s="13">
        <f>VLOOKUP(B43,'Data World'!$A:$AL,MATCH(World!$J$1,'Data World'!$A$1:$AL$1,))</f>
        <v>15.4</v>
      </c>
      <c r="K43" s="13">
        <f>VLOOKUP(B43,'Data World'!$A:$AL,MATCH(World!$K$1,'Data World'!$A$1:$AL$1,))</f>
        <v>5.9</v>
      </c>
      <c r="L43" s="13">
        <f>VLOOKUP(B43,'Data World'!$A:$AL,MATCH(World!$L$1,'Data World'!$A$1:$AL$1,))</f>
        <v>3.2971949999999999</v>
      </c>
      <c r="M43" s="13">
        <f>VLOOKUP(B43,'Data World'!$A:$AL,MATCH(World!$M$1,'Data World'!$A$1:$AL$1,))</f>
        <v>6</v>
      </c>
      <c r="N43" s="13">
        <f>VLOOKUP(B43,'Data World'!$A:$AL,MATCH(World!$N$1,'Data World'!$A$1:$AL$1,))</f>
        <v>5.3860260000000002</v>
      </c>
      <c r="O43" s="13">
        <f>VLOOKUP(B43,'Data World'!$A:$AL,MATCH(World!$O$1,'Data World'!$A$1:$AL$1,))</f>
        <v>3.8</v>
      </c>
      <c r="P43" s="13">
        <f>VLOOKUP(B43,'Data World'!$A:$AL,MATCH(World!$P$1,'Data World'!$A$1:$AL$1,))</f>
        <v>19.2</v>
      </c>
      <c r="Q43" s="13">
        <f>VLOOKUP(B43,'Data World'!$A:$AL,MATCH(World!$Q$1,'Data World'!$A$1:$AL$1,))</f>
        <v>5.9</v>
      </c>
      <c r="R43" s="13">
        <f>VLOOKUP(B43,'Data World'!$A:$AL,MATCH(World!$R$1,'Data World'!$A$1:$AL$1,))</f>
        <v>10.6</v>
      </c>
      <c r="S43" s="13">
        <f>VLOOKUP(B43,'Data World'!$A:$AL,MATCH(World!$S$1,'Data World'!$A$1:$AL$1,))</f>
        <v>2.2999999999999998</v>
      </c>
      <c r="T43" s="13">
        <f>VLOOKUP(B43,'Data World'!$A:$AL,MATCH(World!$T$1,'Data World'!$A$1:$AL$1,))</f>
        <v>3.7</v>
      </c>
    </row>
    <row r="44" spans="2:20" s="59" customFormat="1" x14ac:dyDescent="0.2">
      <c r="B44" s="12">
        <v>43281</v>
      </c>
      <c r="C44" s="13">
        <f>VLOOKUP(B44,'Data World'!$A:$AL,MATCH(World!$C$1,'Data World'!$A$1:$AL$1,))</f>
        <v>4</v>
      </c>
      <c r="D44" s="13">
        <f>VLOOKUP(B44,'Data World'!$A:$AL,MATCH(World!$D$1,'Data World'!$A$1:$AL$1,))</f>
        <v>8.1999999999999993</v>
      </c>
      <c r="E44" s="13">
        <f>VLOOKUP(B44,'Data World'!$A:$AL,MATCH(World!$E$1,'Data World'!$A$1:$AL$1,))</f>
        <v>2.4</v>
      </c>
      <c r="F44" s="13">
        <f>VLOOKUP(B44,'Data World'!$A:$AL,MATCH(World!$F$1,'Data World'!$A$1:$AL$1,))</f>
        <v>3.4</v>
      </c>
      <c r="G44" s="13">
        <f>VLOOKUP(B44,'Data World'!$A:$AL,MATCH(World!$G$1,'Data World'!$A$1:$AL$1,))</f>
        <v>9</v>
      </c>
      <c r="H44" s="13">
        <f>VLOOKUP(B44,'Data World'!$A:$AL,MATCH(World!$H$1,'Data World'!$A$1:$AL$1,))</f>
        <v>4.0211969999999999</v>
      </c>
      <c r="I44" s="13">
        <f>VLOOKUP(B44,'Data World'!$A:$AL,MATCH(World!$I$1,'Data World'!$A$1:$AL$1,))</f>
        <v>10.9</v>
      </c>
      <c r="J44" s="13">
        <f>VLOOKUP(B44,'Data World'!$A:$AL,MATCH(World!$J$1,'Data World'!$A$1:$AL$1,))</f>
        <v>15.1</v>
      </c>
      <c r="K44" s="13">
        <f>VLOOKUP(B44,'Data World'!$A:$AL,MATCH(World!$K$1,'Data World'!$A$1:$AL$1,))</f>
        <v>6.4</v>
      </c>
      <c r="L44" s="13">
        <f>VLOOKUP(B44,'Data World'!$A:$AL,MATCH(World!$L$1,'Data World'!$A$1:$AL$1,))</f>
        <v>3.3783660000000002</v>
      </c>
      <c r="M44" s="13">
        <f>VLOOKUP(B44,'Data World'!$A:$AL,MATCH(World!$M$1,'Data World'!$A$1:$AL$1,))</f>
        <v>6.1</v>
      </c>
      <c r="N44" s="13">
        <f>VLOOKUP(B44,'Data World'!$A:$AL,MATCH(World!$N$1,'Data World'!$A$1:$AL$1,))</f>
        <v>5.2775340000000002</v>
      </c>
      <c r="O44" s="13">
        <f>VLOOKUP(B44,'Data World'!$A:$AL,MATCH(World!$O$1,'Data World'!$A$1:$AL$1,))</f>
        <v>3.6</v>
      </c>
      <c r="P44" s="13">
        <f>VLOOKUP(B44,'Data World'!$A:$AL,MATCH(World!$P$1,'Data World'!$A$1:$AL$1,))</f>
        <v>19.2</v>
      </c>
      <c r="Q44" s="13">
        <f>VLOOKUP(B44,'Data World'!$A:$AL,MATCH(World!$Q$1,'Data World'!$A$1:$AL$1,))</f>
        <v>5.8</v>
      </c>
      <c r="R44" s="13">
        <f>VLOOKUP(B44,'Data World'!$A:$AL,MATCH(World!$R$1,'Data World'!$A$1:$AL$1,))</f>
        <v>10.7</v>
      </c>
      <c r="S44" s="13">
        <f>VLOOKUP(B44,'Data World'!$A:$AL,MATCH(World!$S$1,'Data World'!$A$1:$AL$1,))</f>
        <v>2.2000000000000002</v>
      </c>
      <c r="T44" s="13">
        <f>VLOOKUP(B44,'Data World'!$A:$AL,MATCH(World!$T$1,'Data World'!$A$1:$AL$1,))</f>
        <v>3.8</v>
      </c>
    </row>
    <row r="45" spans="2:20" s="59" customFormat="1" x14ac:dyDescent="0.2">
      <c r="B45" s="12">
        <v>43312</v>
      </c>
      <c r="C45" s="13">
        <f>VLOOKUP(B45,'Data World'!$A:$AL,MATCH(World!$C$1,'Data World'!$A$1:$AL$1,))</f>
        <v>3.8</v>
      </c>
      <c r="D45" s="13">
        <f>VLOOKUP(B45,'Data World'!$A:$AL,MATCH(World!$D$1,'Data World'!$A$1:$AL$1,))</f>
        <v>8.1</v>
      </c>
      <c r="E45" s="13">
        <f>VLOOKUP(B45,'Data World'!$A:$AL,MATCH(World!$E$1,'Data World'!$A$1:$AL$1,))</f>
        <v>2.5</v>
      </c>
      <c r="F45" s="13">
        <f>VLOOKUP(B45,'Data World'!$A:$AL,MATCH(World!$F$1,'Data World'!$A$1:$AL$1,))</f>
        <v>3.4</v>
      </c>
      <c r="G45" s="13">
        <f>VLOOKUP(B45,'Data World'!$A:$AL,MATCH(World!$G$1,'Data World'!$A$1:$AL$1,))</f>
        <v>8.9</v>
      </c>
      <c r="H45" s="13">
        <f>VLOOKUP(B45,'Data World'!$A:$AL,MATCH(World!$H$1,'Data World'!$A$1:$AL$1,))</f>
        <v>4.0346690000000001</v>
      </c>
      <c r="I45" s="13">
        <f>VLOOKUP(B45,'Data World'!$A:$AL,MATCH(World!$I$1,'Data World'!$A$1:$AL$1,))</f>
        <v>10.5</v>
      </c>
      <c r="J45" s="13">
        <f>VLOOKUP(B45,'Data World'!$A:$AL,MATCH(World!$J$1,'Data World'!$A$1:$AL$1,))</f>
        <v>14.9</v>
      </c>
      <c r="K45" s="13">
        <f>VLOOKUP(B45,'Data World'!$A:$AL,MATCH(World!$K$1,'Data World'!$A$1:$AL$1,))</f>
        <v>6.4</v>
      </c>
      <c r="L45" s="13">
        <f>VLOOKUP(B45,'Data World'!$A:$AL,MATCH(World!$L$1,'Data World'!$A$1:$AL$1,))</f>
        <v>3.3152919999999999</v>
      </c>
      <c r="M45" s="13">
        <f>VLOOKUP(B45,'Data World'!$A:$AL,MATCH(World!$M$1,'Data World'!$A$1:$AL$1,))</f>
        <v>5.8</v>
      </c>
      <c r="N45" s="13">
        <f>VLOOKUP(B45,'Data World'!$A:$AL,MATCH(World!$N$1,'Data World'!$A$1:$AL$1,))</f>
        <v>5.2593180000000004</v>
      </c>
      <c r="O45" s="13">
        <f>VLOOKUP(B45,'Data World'!$A:$AL,MATCH(World!$O$1,'Data World'!$A$1:$AL$1,))</f>
        <v>3.8</v>
      </c>
      <c r="P45" s="13">
        <f>VLOOKUP(B45,'Data World'!$A:$AL,MATCH(World!$P$1,'Data World'!$A$1:$AL$1,))</f>
        <v>19</v>
      </c>
      <c r="Q45" s="13">
        <f>VLOOKUP(B45,'Data World'!$A:$AL,MATCH(World!$Q$1,'Data World'!$A$1:$AL$1,))</f>
        <v>5.7</v>
      </c>
      <c r="R45" s="13">
        <f>VLOOKUP(B45,'Data World'!$A:$AL,MATCH(World!$R$1,'Data World'!$A$1:$AL$1,))</f>
        <v>10.8</v>
      </c>
      <c r="S45" s="13">
        <f>VLOOKUP(B45,'Data World'!$A:$AL,MATCH(World!$S$1,'Data World'!$A$1:$AL$1,))</f>
        <v>2.2999999999999998</v>
      </c>
      <c r="T45" s="13">
        <f>VLOOKUP(B45,'Data World'!$A:$AL,MATCH(World!$T$1,'Data World'!$A$1:$AL$1,))</f>
        <v>3.9</v>
      </c>
    </row>
    <row r="46" spans="2:20" s="59" customFormat="1" x14ac:dyDescent="0.2">
      <c r="B46" s="12">
        <v>43343</v>
      </c>
      <c r="C46" s="13">
        <f>VLOOKUP(B46,'Data World'!$A:$AL,MATCH(World!$C$1,'Data World'!$A$1:$AL$1,))</f>
        <v>3.8</v>
      </c>
      <c r="D46" s="13">
        <f>VLOOKUP(B46,'Data World'!$A:$AL,MATCH(World!$D$1,'Data World'!$A$1:$AL$1,))</f>
        <v>8</v>
      </c>
      <c r="E46" s="13">
        <f>VLOOKUP(B46,'Data World'!$A:$AL,MATCH(World!$E$1,'Data World'!$A$1:$AL$1,))</f>
        <v>2.5</v>
      </c>
      <c r="F46" s="13">
        <f>VLOOKUP(B46,'Data World'!$A:$AL,MATCH(World!$F$1,'Data World'!$A$1:$AL$1,))</f>
        <v>3.4</v>
      </c>
      <c r="G46" s="13">
        <f>VLOOKUP(B46,'Data World'!$A:$AL,MATCH(World!$G$1,'Data World'!$A$1:$AL$1,))</f>
        <v>8.9</v>
      </c>
      <c r="H46" s="13">
        <f>VLOOKUP(B46,'Data World'!$A:$AL,MATCH(World!$H$1,'Data World'!$A$1:$AL$1,))</f>
        <v>4.0733689999999996</v>
      </c>
      <c r="I46" s="13">
        <f>VLOOKUP(B46,'Data World'!$A:$AL,MATCH(World!$I$1,'Data World'!$A$1:$AL$1,))</f>
        <v>10.199999999999999</v>
      </c>
      <c r="J46" s="13">
        <f>VLOOKUP(B46,'Data World'!$A:$AL,MATCH(World!$J$1,'Data World'!$A$1:$AL$1,))</f>
        <v>14.8</v>
      </c>
      <c r="K46" s="13">
        <f>VLOOKUP(B46,'Data World'!$A:$AL,MATCH(World!$K$1,'Data World'!$A$1:$AL$1,))</f>
        <v>6.3</v>
      </c>
      <c r="L46" s="13">
        <f>VLOOKUP(B46,'Data World'!$A:$AL,MATCH(World!$L$1,'Data World'!$A$1:$AL$1,))</f>
        <v>3.2462780000000002</v>
      </c>
      <c r="M46" s="13">
        <f>VLOOKUP(B46,'Data World'!$A:$AL,MATCH(World!$M$1,'Data World'!$A$1:$AL$1,))</f>
        <v>6</v>
      </c>
      <c r="N46" s="13">
        <f>VLOOKUP(B46,'Data World'!$A:$AL,MATCH(World!$N$1,'Data World'!$A$1:$AL$1,))</f>
        <v>5.2398980000000002</v>
      </c>
      <c r="O46" s="13">
        <f>VLOOKUP(B46,'Data World'!$A:$AL,MATCH(World!$O$1,'Data World'!$A$1:$AL$1,))</f>
        <v>4.3</v>
      </c>
      <c r="P46" s="13">
        <f>VLOOKUP(B46,'Data World'!$A:$AL,MATCH(World!$P$1,'Data World'!$A$1:$AL$1,))</f>
        <v>19</v>
      </c>
      <c r="Q46" s="13">
        <f>VLOOKUP(B46,'Data World'!$A:$AL,MATCH(World!$Q$1,'Data World'!$A$1:$AL$1,))</f>
        <v>5.6</v>
      </c>
      <c r="R46" s="13">
        <f>VLOOKUP(B46,'Data World'!$A:$AL,MATCH(World!$R$1,'Data World'!$A$1:$AL$1,))</f>
        <v>11.2</v>
      </c>
      <c r="S46" s="13">
        <f>VLOOKUP(B46,'Data World'!$A:$AL,MATCH(World!$S$1,'Data World'!$A$1:$AL$1,))</f>
        <v>2.4</v>
      </c>
      <c r="T46" s="13">
        <f>VLOOKUP(B46,'Data World'!$A:$AL,MATCH(World!$T$1,'Data World'!$A$1:$AL$1,))</f>
        <v>4</v>
      </c>
    </row>
    <row r="47" spans="2:20" s="59" customFormat="1" x14ac:dyDescent="0.2">
      <c r="B47" s="12">
        <v>43373</v>
      </c>
      <c r="C47" s="13">
        <f>VLOOKUP(B47,'Data World'!$A:$AL,MATCH(World!$C$1,'Data World'!$A$1:$AL$1,))</f>
        <v>3.7</v>
      </c>
      <c r="D47" s="13">
        <f>VLOOKUP(B47,'Data World'!$A:$AL,MATCH(World!$D$1,'Data World'!$A$1:$AL$1,))</f>
        <v>8</v>
      </c>
      <c r="E47" s="13">
        <f>VLOOKUP(B47,'Data World'!$A:$AL,MATCH(World!$E$1,'Data World'!$A$1:$AL$1,))</f>
        <v>2.2999999999999998</v>
      </c>
      <c r="F47" s="13">
        <f>VLOOKUP(B47,'Data World'!$A:$AL,MATCH(World!$F$1,'Data World'!$A$1:$AL$1,))</f>
        <v>3.4</v>
      </c>
      <c r="G47" s="13">
        <f>VLOOKUP(B47,'Data World'!$A:$AL,MATCH(World!$G$1,'Data World'!$A$1:$AL$1,))</f>
        <v>8.9</v>
      </c>
      <c r="H47" s="13">
        <f>VLOOKUP(B47,'Data World'!$A:$AL,MATCH(World!$H$1,'Data World'!$A$1:$AL$1,))</f>
        <v>4.0553179999999998</v>
      </c>
      <c r="I47" s="13">
        <f>VLOOKUP(B47,'Data World'!$A:$AL,MATCH(World!$I$1,'Data World'!$A$1:$AL$1,))</f>
        <v>10.4</v>
      </c>
      <c r="J47" s="13">
        <f>VLOOKUP(B47,'Data World'!$A:$AL,MATCH(World!$J$1,'Data World'!$A$1:$AL$1,))</f>
        <v>14.7</v>
      </c>
      <c r="K47" s="13">
        <f>VLOOKUP(B47,'Data World'!$A:$AL,MATCH(World!$K$1,'Data World'!$A$1:$AL$1,))</f>
        <v>6.5</v>
      </c>
      <c r="L47" s="13">
        <f>VLOOKUP(B47,'Data World'!$A:$AL,MATCH(World!$L$1,'Data World'!$A$1:$AL$1,))</f>
        <v>3.3312170000000001</v>
      </c>
      <c r="M47" s="13">
        <f>VLOOKUP(B47,'Data World'!$A:$AL,MATCH(World!$M$1,'Data World'!$A$1:$AL$1,))</f>
        <v>5.9</v>
      </c>
      <c r="N47" s="13">
        <f>VLOOKUP(B47,'Data World'!$A:$AL,MATCH(World!$N$1,'Data World'!$A$1:$AL$1,))</f>
        <v>4.9868629999999996</v>
      </c>
      <c r="O47" s="13">
        <f>VLOOKUP(B47,'Data World'!$A:$AL,MATCH(World!$O$1,'Data World'!$A$1:$AL$1,))</f>
        <v>4.0999999999999996</v>
      </c>
      <c r="P47" s="13">
        <f>VLOOKUP(B47,'Data World'!$A:$AL,MATCH(World!$P$1,'Data World'!$A$1:$AL$1,))</f>
        <v>18.8</v>
      </c>
      <c r="Q47" s="13">
        <f>VLOOKUP(B47,'Data World'!$A:$AL,MATCH(World!$Q$1,'Data World'!$A$1:$AL$1,))</f>
        <v>5.7</v>
      </c>
      <c r="R47" s="13">
        <f>VLOOKUP(B47,'Data World'!$A:$AL,MATCH(World!$R$1,'Data World'!$A$1:$AL$1,))</f>
        <v>11.5</v>
      </c>
      <c r="S47" s="13">
        <f>VLOOKUP(B47,'Data World'!$A:$AL,MATCH(World!$S$1,'Data World'!$A$1:$AL$1,))</f>
        <v>2.2000000000000002</v>
      </c>
      <c r="T47" s="13">
        <f>VLOOKUP(B47,'Data World'!$A:$AL,MATCH(World!$T$1,'Data World'!$A$1:$AL$1,))</f>
        <v>4</v>
      </c>
    </row>
    <row r="48" spans="2:20" s="59" customFormat="1" x14ac:dyDescent="0.2">
      <c r="B48" s="12">
        <v>43404</v>
      </c>
      <c r="C48" s="13">
        <f>VLOOKUP(B48,'Data World'!$A:$AL,MATCH(World!$C$1,'Data World'!$A$1:$AL$1,))</f>
        <v>3.8</v>
      </c>
      <c r="D48" s="13">
        <f>VLOOKUP(B48,'Data World'!$A:$AL,MATCH(World!$D$1,'Data World'!$A$1:$AL$1,))</f>
        <v>8</v>
      </c>
      <c r="E48" s="13">
        <f>VLOOKUP(B48,'Data World'!$A:$AL,MATCH(World!$E$1,'Data World'!$A$1:$AL$1,))</f>
        <v>2.4</v>
      </c>
      <c r="F48" s="13">
        <f>VLOOKUP(B48,'Data World'!$A:$AL,MATCH(World!$F$1,'Data World'!$A$1:$AL$1,))</f>
        <v>3.3</v>
      </c>
      <c r="G48" s="13">
        <f>VLOOKUP(B48,'Data World'!$A:$AL,MATCH(World!$G$1,'Data World'!$A$1:$AL$1,))</f>
        <v>8.8000000000000007</v>
      </c>
      <c r="H48" s="13">
        <f>VLOOKUP(B48,'Data World'!$A:$AL,MATCH(World!$H$1,'Data World'!$A$1:$AL$1,))</f>
        <v>4.0390870000000003</v>
      </c>
      <c r="I48" s="13">
        <f>VLOOKUP(B48,'Data World'!$A:$AL,MATCH(World!$I$1,'Data World'!$A$1:$AL$1,))</f>
        <v>10.8</v>
      </c>
      <c r="J48" s="13">
        <f>VLOOKUP(B48,'Data World'!$A:$AL,MATCH(World!$J$1,'Data World'!$A$1:$AL$1,))</f>
        <v>14.6</v>
      </c>
      <c r="K48" s="13">
        <f>VLOOKUP(B48,'Data World'!$A:$AL,MATCH(World!$K$1,'Data World'!$A$1:$AL$1,))</f>
        <v>6.4</v>
      </c>
      <c r="L48" s="13">
        <f>VLOOKUP(B48,'Data World'!$A:$AL,MATCH(World!$L$1,'Data World'!$A$1:$AL$1,))</f>
        <v>3.1691799999999999</v>
      </c>
      <c r="M48" s="13">
        <f>VLOOKUP(B48,'Data World'!$A:$AL,MATCH(World!$M$1,'Data World'!$A$1:$AL$1,))</f>
        <v>5.9</v>
      </c>
      <c r="N48" s="13">
        <f>VLOOKUP(B48,'Data World'!$A:$AL,MATCH(World!$N$1,'Data World'!$A$1:$AL$1,))</f>
        <v>4.9798140000000002</v>
      </c>
      <c r="O48" s="13">
        <f>VLOOKUP(B48,'Data World'!$A:$AL,MATCH(World!$O$1,'Data World'!$A$1:$AL$1,))</f>
        <v>4</v>
      </c>
      <c r="P48" s="13">
        <f>VLOOKUP(B48,'Data World'!$A:$AL,MATCH(World!$P$1,'Data World'!$A$1:$AL$1,))</f>
        <v>18.5</v>
      </c>
      <c r="Q48" s="13">
        <f>VLOOKUP(B48,'Data World'!$A:$AL,MATCH(World!$Q$1,'Data World'!$A$1:$AL$1,))</f>
        <v>5.8</v>
      </c>
      <c r="R48" s="13">
        <f>VLOOKUP(B48,'Data World'!$A:$AL,MATCH(World!$R$1,'Data World'!$A$1:$AL$1,))</f>
        <v>11.6</v>
      </c>
      <c r="S48" s="13">
        <f>VLOOKUP(B48,'Data World'!$A:$AL,MATCH(World!$S$1,'Data World'!$A$1:$AL$1,))</f>
        <v>2.1</v>
      </c>
      <c r="T48" s="13">
        <f>VLOOKUP(B48,'Data World'!$A:$AL,MATCH(World!$T$1,'Data World'!$A$1:$AL$1,))</f>
        <v>3.9</v>
      </c>
    </row>
    <row r="49" spans="2:20" s="59" customFormat="1" x14ac:dyDescent="0.2">
      <c r="B49" s="12">
        <v>43434</v>
      </c>
      <c r="C49" s="13">
        <f>VLOOKUP(B49,'Data World'!$A:$AL,MATCH(World!$C$1,'Data World'!$A$1:$AL$1,))</f>
        <v>3.8</v>
      </c>
      <c r="D49" s="13">
        <f>VLOOKUP(B49,'Data World'!$A:$AL,MATCH(World!$D$1,'Data World'!$A$1:$AL$1,))</f>
        <v>7.9</v>
      </c>
      <c r="E49" s="13">
        <f>VLOOKUP(B49,'Data World'!$A:$AL,MATCH(World!$E$1,'Data World'!$A$1:$AL$1,))</f>
        <v>2.5</v>
      </c>
      <c r="F49" s="13">
        <f>VLOOKUP(B49,'Data World'!$A:$AL,MATCH(World!$F$1,'Data World'!$A$1:$AL$1,))</f>
        <v>3.3</v>
      </c>
      <c r="G49" s="13">
        <f>VLOOKUP(B49,'Data World'!$A:$AL,MATCH(World!$G$1,'Data World'!$A$1:$AL$1,))</f>
        <v>8.8000000000000007</v>
      </c>
      <c r="H49" s="13">
        <f>VLOOKUP(B49,'Data World'!$A:$AL,MATCH(World!$H$1,'Data World'!$A$1:$AL$1,))</f>
        <v>4.0135420000000002</v>
      </c>
      <c r="I49" s="13">
        <f>VLOOKUP(B49,'Data World'!$A:$AL,MATCH(World!$I$1,'Data World'!$A$1:$AL$1,))</f>
        <v>10.6</v>
      </c>
      <c r="J49" s="13">
        <f>VLOOKUP(B49,'Data World'!$A:$AL,MATCH(World!$J$1,'Data World'!$A$1:$AL$1,))</f>
        <v>14.5</v>
      </c>
      <c r="K49" s="13">
        <f>VLOOKUP(B49,'Data World'!$A:$AL,MATCH(World!$K$1,'Data World'!$A$1:$AL$1,))</f>
        <v>6.5</v>
      </c>
      <c r="L49" s="13">
        <f>VLOOKUP(B49,'Data World'!$A:$AL,MATCH(World!$L$1,'Data World'!$A$1:$AL$1,))</f>
        <v>3.3546520000000002</v>
      </c>
      <c r="M49" s="13">
        <f>VLOOKUP(B49,'Data World'!$A:$AL,MATCH(World!$M$1,'Data World'!$A$1:$AL$1,))</f>
        <v>5.7</v>
      </c>
      <c r="N49" s="13">
        <f>VLOOKUP(B49,'Data World'!$A:$AL,MATCH(World!$N$1,'Data World'!$A$1:$AL$1,))</f>
        <v>5.1085130000000003</v>
      </c>
      <c r="O49" s="13">
        <f>VLOOKUP(B49,'Data World'!$A:$AL,MATCH(World!$O$1,'Data World'!$A$1:$AL$1,))</f>
        <v>3.9</v>
      </c>
      <c r="P49" s="13">
        <f>VLOOKUP(B49,'Data World'!$A:$AL,MATCH(World!$P$1,'Data World'!$A$1:$AL$1,))</f>
        <v>18.600000000000001</v>
      </c>
      <c r="Q49" s="13">
        <f>VLOOKUP(B49,'Data World'!$A:$AL,MATCH(World!$Q$1,'Data World'!$A$1:$AL$1,))</f>
        <v>5.7</v>
      </c>
      <c r="R49" s="13">
        <f>VLOOKUP(B49,'Data World'!$A:$AL,MATCH(World!$R$1,'Data World'!$A$1:$AL$1,))</f>
        <v>12.2</v>
      </c>
      <c r="S49" s="13">
        <f>VLOOKUP(B49,'Data World'!$A:$AL,MATCH(World!$S$1,'Data World'!$A$1:$AL$1,))</f>
        <v>1.9</v>
      </c>
      <c r="T49" s="13">
        <f>VLOOKUP(B49,'Data World'!$A:$AL,MATCH(World!$T$1,'Data World'!$A$1:$AL$1,))</f>
        <v>3.9</v>
      </c>
    </row>
    <row r="50" spans="2:20" s="59" customFormat="1" x14ac:dyDescent="0.2">
      <c r="B50" s="12">
        <v>43465</v>
      </c>
      <c r="C50" s="13">
        <f>VLOOKUP(B50,'Data World'!$A:$AL,MATCH(World!$C$1,'Data World'!$A$1:$AL$1,))</f>
        <v>3.9</v>
      </c>
      <c r="D50" s="13">
        <f>VLOOKUP(B50,'Data World'!$A:$AL,MATCH(World!$D$1,'Data World'!$A$1:$AL$1,))</f>
        <v>7.8</v>
      </c>
      <c r="E50" s="13">
        <f>VLOOKUP(B50,'Data World'!$A:$AL,MATCH(World!$E$1,'Data World'!$A$1:$AL$1,))</f>
        <v>2.5</v>
      </c>
      <c r="F50" s="13">
        <f>VLOOKUP(B50,'Data World'!$A:$AL,MATCH(World!$F$1,'Data World'!$A$1:$AL$1,))</f>
        <v>3.3</v>
      </c>
      <c r="G50" s="13">
        <f>VLOOKUP(B50,'Data World'!$A:$AL,MATCH(World!$G$1,'Data World'!$A$1:$AL$1,))</f>
        <v>8.8000000000000007</v>
      </c>
      <c r="H50" s="13">
        <f>VLOOKUP(B50,'Data World'!$A:$AL,MATCH(World!$H$1,'Data World'!$A$1:$AL$1,))</f>
        <v>3.9305620000000001</v>
      </c>
      <c r="I50" s="13">
        <f>VLOOKUP(B50,'Data World'!$A:$AL,MATCH(World!$I$1,'Data World'!$A$1:$AL$1,))</f>
        <v>10.3</v>
      </c>
      <c r="J50" s="13">
        <f>VLOOKUP(B50,'Data World'!$A:$AL,MATCH(World!$J$1,'Data World'!$A$1:$AL$1,))</f>
        <v>14.4</v>
      </c>
      <c r="K50" s="13">
        <f>VLOOKUP(B50,'Data World'!$A:$AL,MATCH(World!$K$1,'Data World'!$A$1:$AL$1,))</f>
        <v>6.6</v>
      </c>
      <c r="L50" s="13">
        <f>VLOOKUP(B50,'Data World'!$A:$AL,MATCH(World!$L$1,'Data World'!$A$1:$AL$1,))</f>
        <v>3.6894339999999999</v>
      </c>
      <c r="M50" s="13">
        <f>VLOOKUP(B50,'Data World'!$A:$AL,MATCH(World!$M$1,'Data World'!$A$1:$AL$1,))</f>
        <v>5.8</v>
      </c>
      <c r="N50" s="13">
        <f>VLOOKUP(B50,'Data World'!$A:$AL,MATCH(World!$N$1,'Data World'!$A$1:$AL$1,))</f>
        <v>5.0049219999999996</v>
      </c>
      <c r="O50" s="13">
        <f>VLOOKUP(B50,'Data World'!$A:$AL,MATCH(World!$O$1,'Data World'!$A$1:$AL$1,))</f>
        <v>3.8</v>
      </c>
      <c r="P50" s="13">
        <f>VLOOKUP(B50,'Data World'!$A:$AL,MATCH(World!$P$1,'Data World'!$A$1:$AL$1,))</f>
        <v>18.399999999999999</v>
      </c>
      <c r="Q50" s="13">
        <f>VLOOKUP(B50,'Data World'!$A:$AL,MATCH(World!$Q$1,'Data World'!$A$1:$AL$1,))</f>
        <v>5.5</v>
      </c>
      <c r="R50" s="13">
        <f>VLOOKUP(B50,'Data World'!$A:$AL,MATCH(World!$R$1,'Data World'!$A$1:$AL$1,))</f>
        <v>12.7</v>
      </c>
      <c r="S50" s="13">
        <f>VLOOKUP(B50,'Data World'!$A:$AL,MATCH(World!$S$1,'Data World'!$A$1:$AL$1,))</f>
        <v>2.2000000000000002</v>
      </c>
      <c r="T50" s="13">
        <f>VLOOKUP(B50,'Data World'!$A:$AL,MATCH(World!$T$1,'Data World'!$A$1:$AL$1,))</f>
        <v>3.8</v>
      </c>
    </row>
    <row r="51" spans="2:20" s="59" customFormat="1" x14ac:dyDescent="0.2">
      <c r="B51" s="12">
        <v>43496</v>
      </c>
      <c r="C51" s="13">
        <f>VLOOKUP(B51,'Data World'!$A:$AL,MATCH(World!$C$1,'Data World'!$A$1:$AL$1,))</f>
        <v>4</v>
      </c>
      <c r="D51" s="13">
        <f>VLOOKUP(B51,'Data World'!$A:$AL,MATCH(World!$D$1,'Data World'!$A$1:$AL$1,))</f>
        <v>7.8</v>
      </c>
      <c r="E51" s="13">
        <f>VLOOKUP(B51,'Data World'!$A:$AL,MATCH(World!$E$1,'Data World'!$A$1:$AL$1,))</f>
        <v>2.5</v>
      </c>
      <c r="F51" s="13">
        <f>VLOOKUP(B51,'Data World'!$A:$AL,MATCH(World!$F$1,'Data World'!$A$1:$AL$1,))</f>
        <v>3.3</v>
      </c>
      <c r="G51" s="13">
        <f>VLOOKUP(B51,'Data World'!$A:$AL,MATCH(World!$G$1,'Data World'!$A$1:$AL$1,))</f>
        <v>8.6999999999999993</v>
      </c>
      <c r="H51" s="13">
        <f>VLOOKUP(B51,'Data World'!$A:$AL,MATCH(World!$H$1,'Data World'!$A$1:$AL$1,))</f>
        <v>3.9415309999999999</v>
      </c>
      <c r="I51" s="13">
        <f>VLOOKUP(B51,'Data World'!$A:$AL,MATCH(World!$I$1,'Data World'!$A$1:$AL$1,))</f>
        <v>10.5</v>
      </c>
      <c r="J51" s="13">
        <f>VLOOKUP(B51,'Data World'!$A:$AL,MATCH(World!$J$1,'Data World'!$A$1:$AL$1,))</f>
        <v>14.4</v>
      </c>
      <c r="K51" s="13">
        <f>VLOOKUP(B51,'Data World'!$A:$AL,MATCH(World!$K$1,'Data World'!$A$1:$AL$1,))</f>
        <v>6.2</v>
      </c>
      <c r="L51" s="13">
        <f>VLOOKUP(B51,'Data World'!$A:$AL,MATCH(World!$L$1,'Data World'!$A$1:$AL$1,))</f>
        <v>3.3865210000000001</v>
      </c>
      <c r="M51" s="13">
        <f>VLOOKUP(B51,'Data World'!$A:$AL,MATCH(World!$M$1,'Data World'!$A$1:$AL$1,))</f>
        <v>5.9</v>
      </c>
      <c r="N51" s="13">
        <f>VLOOKUP(B51,'Data World'!$A:$AL,MATCH(World!$N$1,'Data World'!$A$1:$AL$1,))</f>
        <v>5.0813730000000001</v>
      </c>
      <c r="O51" s="13">
        <f>VLOOKUP(B51,'Data World'!$A:$AL,MATCH(World!$O$1,'Data World'!$A$1:$AL$1,))</f>
        <v>4.3</v>
      </c>
      <c r="P51" s="13">
        <f>VLOOKUP(B51,'Data World'!$A:$AL,MATCH(World!$P$1,'Data World'!$A$1:$AL$1,))</f>
        <v>18.899999999999999</v>
      </c>
      <c r="Q51" s="13">
        <f>VLOOKUP(B51,'Data World'!$A:$AL,MATCH(World!$Q$1,'Data World'!$A$1:$AL$1,))</f>
        <v>5.0999999999999996</v>
      </c>
      <c r="R51" s="13">
        <f>VLOOKUP(B51,'Data World'!$A:$AL,MATCH(World!$R$1,'Data World'!$A$1:$AL$1,))</f>
        <v>13.5</v>
      </c>
      <c r="S51" s="13">
        <f>VLOOKUP(B51,'Data World'!$A:$AL,MATCH(World!$S$1,'Data World'!$A$1:$AL$1,))</f>
        <v>2.1</v>
      </c>
      <c r="T51" s="13">
        <f>VLOOKUP(B51,'Data World'!$A:$AL,MATCH(World!$T$1,'Data World'!$A$1:$AL$1,))</f>
        <v>3.8</v>
      </c>
    </row>
    <row r="52" spans="2:20" s="59" customFormat="1" x14ac:dyDescent="0.2">
      <c r="B52" s="12">
        <v>43524</v>
      </c>
      <c r="C52" s="13">
        <f>VLOOKUP(B52,'Data World'!$A:$AL,MATCH(World!$C$1,'Data World'!$A$1:$AL$1,))</f>
        <v>3.8</v>
      </c>
      <c r="D52" s="13">
        <f>VLOOKUP(B52,'Data World'!$A:$AL,MATCH(World!$D$1,'Data World'!$A$1:$AL$1,))</f>
        <v>7.8</v>
      </c>
      <c r="E52" s="13">
        <f>VLOOKUP(B52,'Data World'!$A:$AL,MATCH(World!$E$1,'Data World'!$A$1:$AL$1,))</f>
        <v>2.4</v>
      </c>
      <c r="F52" s="13">
        <f>VLOOKUP(B52,'Data World'!$A:$AL,MATCH(World!$F$1,'Data World'!$A$1:$AL$1,))</f>
        <v>3.2</v>
      </c>
      <c r="G52" s="13">
        <f>VLOOKUP(B52,'Data World'!$A:$AL,MATCH(World!$G$1,'Data World'!$A$1:$AL$1,))</f>
        <v>8.6</v>
      </c>
      <c r="H52" s="13">
        <f>VLOOKUP(B52,'Data World'!$A:$AL,MATCH(World!$H$1,'Data World'!$A$1:$AL$1,))</f>
        <v>3.8178010000000002</v>
      </c>
      <c r="I52" s="13">
        <f>VLOOKUP(B52,'Data World'!$A:$AL,MATCH(World!$I$1,'Data World'!$A$1:$AL$1,))</f>
        <v>10.5</v>
      </c>
      <c r="J52" s="13">
        <f>VLOOKUP(B52,'Data World'!$A:$AL,MATCH(World!$J$1,'Data World'!$A$1:$AL$1,))</f>
        <v>14.4</v>
      </c>
      <c r="K52" s="13">
        <f>VLOOKUP(B52,'Data World'!$A:$AL,MATCH(World!$K$1,'Data World'!$A$1:$AL$1,))</f>
        <v>6.7</v>
      </c>
      <c r="L52" s="13">
        <f>VLOOKUP(B52,'Data World'!$A:$AL,MATCH(World!$L$1,'Data World'!$A$1:$AL$1,))</f>
        <v>3.3223370000000001</v>
      </c>
      <c r="M52" s="13">
        <f>VLOOKUP(B52,'Data World'!$A:$AL,MATCH(World!$M$1,'Data World'!$A$1:$AL$1,))</f>
        <v>5.9</v>
      </c>
      <c r="N52" s="13">
        <f>VLOOKUP(B52,'Data World'!$A:$AL,MATCH(World!$N$1,'Data World'!$A$1:$AL$1,))</f>
        <v>5.007784</v>
      </c>
      <c r="O52" s="13">
        <f>VLOOKUP(B52,'Data World'!$A:$AL,MATCH(World!$O$1,'Data World'!$A$1:$AL$1,))</f>
        <v>3.8</v>
      </c>
      <c r="P52" s="13">
        <f>VLOOKUP(B52,'Data World'!$A:$AL,MATCH(World!$P$1,'Data World'!$A$1:$AL$1,))</f>
        <v>18.600000000000001</v>
      </c>
      <c r="Q52" s="13">
        <f>VLOOKUP(B52,'Data World'!$A:$AL,MATCH(World!$Q$1,'Data World'!$A$1:$AL$1,))</f>
        <v>4.9000000000000004</v>
      </c>
      <c r="R52" s="13">
        <f>VLOOKUP(B52,'Data World'!$A:$AL,MATCH(World!$R$1,'Data World'!$A$1:$AL$1,))</f>
        <v>13.9</v>
      </c>
      <c r="S52" s="13">
        <f>VLOOKUP(B52,'Data World'!$A:$AL,MATCH(World!$S$1,'Data World'!$A$1:$AL$1,))</f>
        <v>1.7</v>
      </c>
      <c r="T52" s="13">
        <f>VLOOKUP(B52,'Data World'!$A:$AL,MATCH(World!$T$1,'Data World'!$A$1:$AL$1,))</f>
        <v>3.7</v>
      </c>
    </row>
    <row r="53" spans="2:20" s="59" customFormat="1" x14ac:dyDescent="0.2">
      <c r="B53" s="12">
        <v>43555</v>
      </c>
      <c r="C53" s="13">
        <f>VLOOKUP(B53,'Data World'!$A:$AL,MATCH(World!$C$1,'Data World'!$A$1:$AL$1,))</f>
        <v>3.8</v>
      </c>
      <c r="D53" s="13">
        <f>VLOOKUP(B53,'Data World'!$A:$AL,MATCH(World!$D$1,'Data World'!$A$1:$AL$1,))</f>
        <v>7.7</v>
      </c>
      <c r="E53" s="13">
        <f>VLOOKUP(B53,'Data World'!$A:$AL,MATCH(World!$E$1,'Data World'!$A$1:$AL$1,))</f>
        <v>2.5</v>
      </c>
      <c r="F53" s="13">
        <f>VLOOKUP(B53,'Data World'!$A:$AL,MATCH(World!$F$1,'Data World'!$A$1:$AL$1,))</f>
        <v>3.2</v>
      </c>
      <c r="G53" s="13">
        <f>VLOOKUP(B53,'Data World'!$A:$AL,MATCH(World!$G$1,'Data World'!$A$1:$AL$1,))</f>
        <v>8.6999999999999993</v>
      </c>
      <c r="H53" s="13">
        <f>VLOOKUP(B53,'Data World'!$A:$AL,MATCH(World!$H$1,'Data World'!$A$1:$AL$1,))</f>
        <v>3.8302740000000002</v>
      </c>
      <c r="I53" s="13">
        <f>VLOOKUP(B53,'Data World'!$A:$AL,MATCH(World!$I$1,'Data World'!$A$1:$AL$1,))</f>
        <v>10.1</v>
      </c>
      <c r="J53" s="13">
        <f>VLOOKUP(B53,'Data World'!$A:$AL,MATCH(World!$J$1,'Data World'!$A$1:$AL$1,))</f>
        <v>14.3</v>
      </c>
      <c r="K53" s="13">
        <f>VLOOKUP(B53,'Data World'!$A:$AL,MATCH(World!$K$1,'Data World'!$A$1:$AL$1,))</f>
        <v>7.2</v>
      </c>
      <c r="L53" s="13">
        <f>VLOOKUP(B53,'Data World'!$A:$AL,MATCH(World!$L$1,'Data World'!$A$1:$AL$1,))</f>
        <v>3.5635189999999999</v>
      </c>
      <c r="M53" s="13">
        <f>VLOOKUP(B53,'Data World'!$A:$AL,MATCH(World!$M$1,'Data World'!$A$1:$AL$1,))</f>
        <v>5.8</v>
      </c>
      <c r="N53" s="13">
        <f>VLOOKUP(B53,'Data World'!$A:$AL,MATCH(World!$N$1,'Data World'!$A$1:$AL$1,))</f>
        <v>5.1358009999999998</v>
      </c>
      <c r="O53" s="13">
        <f>VLOOKUP(B53,'Data World'!$A:$AL,MATCH(World!$O$1,'Data World'!$A$1:$AL$1,))</f>
        <v>3.8</v>
      </c>
      <c r="P53" s="13">
        <f>VLOOKUP(B53,'Data World'!$A:$AL,MATCH(World!$P$1,'Data World'!$A$1:$AL$1,))</f>
        <v>17.899999999999999</v>
      </c>
      <c r="Q53" s="13">
        <f>VLOOKUP(B53,'Data World'!$A:$AL,MATCH(World!$Q$1,'Data World'!$A$1:$AL$1,))</f>
        <v>5</v>
      </c>
      <c r="R53" s="13">
        <f>VLOOKUP(B53,'Data World'!$A:$AL,MATCH(World!$R$1,'Data World'!$A$1:$AL$1,))</f>
        <v>13.9</v>
      </c>
      <c r="S53" s="13">
        <f>VLOOKUP(B53,'Data World'!$A:$AL,MATCH(World!$S$1,'Data World'!$A$1:$AL$1,))</f>
        <v>2</v>
      </c>
      <c r="T53" s="13">
        <f>VLOOKUP(B53,'Data World'!$A:$AL,MATCH(World!$T$1,'Data World'!$A$1:$AL$1,))</f>
        <v>3.6</v>
      </c>
    </row>
    <row r="54" spans="2:20" s="59" customFormat="1" x14ac:dyDescent="0.2">
      <c r="B54" s="12">
        <v>43585</v>
      </c>
      <c r="C54" s="13">
        <f>VLOOKUP(B54,'Data World'!$A:$AL,MATCH(World!$C$1,'Data World'!$A$1:$AL$1,))</f>
        <v>3.7</v>
      </c>
      <c r="D54" s="13">
        <f>VLOOKUP(B54,'Data World'!$A:$AL,MATCH(World!$D$1,'Data World'!$A$1:$AL$1,))</f>
        <v>7.7</v>
      </c>
      <c r="E54" s="13">
        <f>VLOOKUP(B54,'Data World'!$A:$AL,MATCH(World!$E$1,'Data World'!$A$1:$AL$1,))</f>
        <v>2.4</v>
      </c>
      <c r="F54" s="13">
        <f>VLOOKUP(B54,'Data World'!$A:$AL,MATCH(World!$F$1,'Data World'!$A$1:$AL$1,))</f>
        <v>3.2</v>
      </c>
      <c r="G54" s="13">
        <f>VLOOKUP(B54,'Data World'!$A:$AL,MATCH(World!$G$1,'Data World'!$A$1:$AL$1,))</f>
        <v>8.6</v>
      </c>
      <c r="H54" s="13">
        <f>VLOOKUP(B54,'Data World'!$A:$AL,MATCH(World!$H$1,'Data World'!$A$1:$AL$1,))</f>
        <v>3.7956110000000001</v>
      </c>
      <c r="I54" s="13">
        <f>VLOOKUP(B54,'Data World'!$A:$AL,MATCH(World!$I$1,'Data World'!$A$1:$AL$1,))</f>
        <v>10.4</v>
      </c>
      <c r="J54" s="13">
        <f>VLOOKUP(B54,'Data World'!$A:$AL,MATCH(World!$J$1,'Data World'!$A$1:$AL$1,))</f>
        <v>14.1</v>
      </c>
      <c r="K54" s="13">
        <f>VLOOKUP(B54,'Data World'!$A:$AL,MATCH(World!$K$1,'Data World'!$A$1:$AL$1,))</f>
        <v>6.4</v>
      </c>
      <c r="L54" s="13">
        <f>VLOOKUP(B54,'Data World'!$A:$AL,MATCH(World!$L$1,'Data World'!$A$1:$AL$1,))</f>
        <v>3.5739860000000001</v>
      </c>
      <c r="M54" s="13">
        <f>VLOOKUP(B54,'Data World'!$A:$AL,MATCH(World!$M$1,'Data World'!$A$1:$AL$1,))</f>
        <v>5.8</v>
      </c>
      <c r="N54" s="13">
        <f>VLOOKUP(B54,'Data World'!$A:$AL,MATCH(World!$N$1,'Data World'!$A$1:$AL$1,))</f>
        <v>5.2429680000000003</v>
      </c>
      <c r="O54" s="13">
        <f>VLOOKUP(B54,'Data World'!$A:$AL,MATCH(World!$O$1,'Data World'!$A$1:$AL$1,))</f>
        <v>4</v>
      </c>
      <c r="P54" s="13">
        <f>VLOOKUP(B54,'Data World'!$A:$AL,MATCH(World!$P$1,'Data World'!$A$1:$AL$1,))</f>
        <v>18</v>
      </c>
      <c r="Q54" s="13">
        <f>VLOOKUP(B54,'Data World'!$A:$AL,MATCH(World!$Q$1,'Data World'!$A$1:$AL$1,))</f>
        <v>5.0999999999999996</v>
      </c>
      <c r="R54" s="13">
        <f>VLOOKUP(B54,'Data World'!$A:$AL,MATCH(World!$R$1,'Data World'!$A$1:$AL$1,))</f>
        <v>13.7</v>
      </c>
      <c r="S54" s="13">
        <f>VLOOKUP(B54,'Data World'!$A:$AL,MATCH(World!$S$1,'Data World'!$A$1:$AL$1,))</f>
        <v>2.1</v>
      </c>
      <c r="T54" s="13">
        <f>VLOOKUP(B54,'Data World'!$A:$AL,MATCH(World!$T$1,'Data World'!$A$1:$AL$1,))</f>
        <v>3.4</v>
      </c>
    </row>
    <row r="55" spans="2:20" s="59" customFormat="1" x14ac:dyDescent="0.2">
      <c r="B55" s="12">
        <v>43616</v>
      </c>
      <c r="C55" s="13">
        <f>VLOOKUP(B55,'Data World'!$A:$AL,MATCH(World!$C$1,'Data World'!$A$1:$AL$1,))</f>
        <v>3.7</v>
      </c>
      <c r="D55" s="13">
        <f>VLOOKUP(B55,'Data World'!$A:$AL,MATCH(World!$D$1,'Data World'!$A$1:$AL$1,))</f>
        <v>7.6</v>
      </c>
      <c r="E55" s="13">
        <f>VLOOKUP(B55,'Data World'!$A:$AL,MATCH(World!$E$1,'Data World'!$A$1:$AL$1,))</f>
        <v>2.2999999999999998</v>
      </c>
      <c r="F55" s="13">
        <f>VLOOKUP(B55,'Data World'!$A:$AL,MATCH(World!$F$1,'Data World'!$A$1:$AL$1,))</f>
        <v>3.1</v>
      </c>
      <c r="G55" s="13">
        <f>VLOOKUP(B55,'Data World'!$A:$AL,MATCH(World!$G$1,'Data World'!$A$1:$AL$1,))</f>
        <v>8.8000000000000007</v>
      </c>
      <c r="H55" s="13">
        <f>VLOOKUP(B55,'Data World'!$A:$AL,MATCH(World!$H$1,'Data World'!$A$1:$AL$1,))</f>
        <v>3.8928379999999998</v>
      </c>
      <c r="I55" s="13">
        <f>VLOOKUP(B55,'Data World'!$A:$AL,MATCH(World!$I$1,'Data World'!$A$1:$AL$1,))</f>
        <v>10.1</v>
      </c>
      <c r="J55" s="13">
        <f>VLOOKUP(B55,'Data World'!$A:$AL,MATCH(World!$J$1,'Data World'!$A$1:$AL$1,))</f>
        <v>14.1</v>
      </c>
      <c r="K55" s="13">
        <f>VLOOKUP(B55,'Data World'!$A:$AL,MATCH(World!$K$1,'Data World'!$A$1:$AL$1,))</f>
        <v>6.5</v>
      </c>
      <c r="L55" s="13">
        <f>VLOOKUP(B55,'Data World'!$A:$AL,MATCH(World!$L$1,'Data World'!$A$1:$AL$1,))</f>
        <v>3.6174819999999999</v>
      </c>
      <c r="M55" s="13">
        <f>VLOOKUP(B55,'Data World'!$A:$AL,MATCH(World!$M$1,'Data World'!$A$1:$AL$1,))</f>
        <v>5.4</v>
      </c>
      <c r="N55" s="13">
        <f>VLOOKUP(B55,'Data World'!$A:$AL,MATCH(World!$N$1,'Data World'!$A$1:$AL$1,))</f>
        <v>5.1993530000000003</v>
      </c>
      <c r="O55" s="13">
        <f>VLOOKUP(B55,'Data World'!$A:$AL,MATCH(World!$O$1,'Data World'!$A$1:$AL$1,))</f>
        <v>3.8</v>
      </c>
      <c r="P55" s="13">
        <f>VLOOKUP(B55,'Data World'!$A:$AL,MATCH(World!$P$1,'Data World'!$A$1:$AL$1,))</f>
        <v>17</v>
      </c>
      <c r="Q55" s="13">
        <f>VLOOKUP(B55,'Data World'!$A:$AL,MATCH(World!$Q$1,'Data World'!$A$1:$AL$1,))</f>
        <v>5.2</v>
      </c>
      <c r="R55" s="13">
        <f>VLOOKUP(B55,'Data World'!$A:$AL,MATCH(World!$R$1,'Data World'!$A$1:$AL$1,))</f>
        <v>13.7</v>
      </c>
      <c r="S55" s="13">
        <f>VLOOKUP(B55,'Data World'!$A:$AL,MATCH(World!$S$1,'Data World'!$A$1:$AL$1,))</f>
        <v>2.1</v>
      </c>
      <c r="T55" s="13">
        <f>VLOOKUP(B55,'Data World'!$A:$AL,MATCH(World!$T$1,'Data World'!$A$1:$AL$1,))</f>
        <v>3.3</v>
      </c>
    </row>
    <row r="56" spans="2:20" s="59" customFormat="1" x14ac:dyDescent="0.2">
      <c r="B56" s="12">
        <v>43646</v>
      </c>
      <c r="C56" s="13">
        <f>VLOOKUP(B56,'Data World'!$A:$AL,MATCH(World!$C$1,'Data World'!$A$1:$AL$1,))</f>
        <v>3.6</v>
      </c>
      <c r="D56" s="13">
        <f>VLOOKUP(B56,'Data World'!$A:$AL,MATCH(World!$D$1,'Data World'!$A$1:$AL$1,))</f>
        <v>7.5</v>
      </c>
      <c r="E56" s="13">
        <f>VLOOKUP(B56,'Data World'!$A:$AL,MATCH(World!$E$1,'Data World'!$A$1:$AL$1,))</f>
        <v>2.2999999999999998</v>
      </c>
      <c r="F56" s="13">
        <f>VLOOKUP(B56,'Data World'!$A:$AL,MATCH(World!$F$1,'Data World'!$A$1:$AL$1,))</f>
        <v>3.1</v>
      </c>
      <c r="G56" s="13">
        <f>VLOOKUP(B56,'Data World'!$A:$AL,MATCH(World!$G$1,'Data World'!$A$1:$AL$1,))</f>
        <v>8.6999999999999993</v>
      </c>
      <c r="H56" s="13">
        <f>VLOOKUP(B56,'Data World'!$A:$AL,MATCH(World!$H$1,'Data World'!$A$1:$AL$1,))</f>
        <v>3.7970489999999999</v>
      </c>
      <c r="I56" s="13">
        <f>VLOOKUP(B56,'Data World'!$A:$AL,MATCH(World!$I$1,'Data World'!$A$1:$AL$1,))</f>
        <v>9.6999999999999993</v>
      </c>
      <c r="J56" s="13">
        <f>VLOOKUP(B56,'Data World'!$A:$AL,MATCH(World!$J$1,'Data World'!$A$1:$AL$1,))</f>
        <v>14.1</v>
      </c>
      <c r="K56" s="13">
        <f>VLOOKUP(B56,'Data World'!$A:$AL,MATCH(World!$K$1,'Data World'!$A$1:$AL$1,))</f>
        <v>6.4</v>
      </c>
      <c r="L56" s="13">
        <f>VLOOKUP(B56,'Data World'!$A:$AL,MATCH(World!$L$1,'Data World'!$A$1:$AL$1,))</f>
        <v>3.5713520000000001</v>
      </c>
      <c r="M56" s="13">
        <f>VLOOKUP(B56,'Data World'!$A:$AL,MATCH(World!$M$1,'Data World'!$A$1:$AL$1,))</f>
        <v>5.6</v>
      </c>
      <c r="N56" s="13">
        <f>VLOOKUP(B56,'Data World'!$A:$AL,MATCH(World!$N$1,'Data World'!$A$1:$AL$1,))</f>
        <v>5.2015380000000002</v>
      </c>
      <c r="O56" s="13">
        <f>VLOOKUP(B56,'Data World'!$A:$AL,MATCH(World!$O$1,'Data World'!$A$1:$AL$1,))</f>
        <v>3.9</v>
      </c>
      <c r="P56" s="13">
        <f>VLOOKUP(B56,'Data World'!$A:$AL,MATCH(World!$P$1,'Data World'!$A$1:$AL$1,))</f>
        <v>16.899999999999999</v>
      </c>
      <c r="Q56" s="13">
        <f>VLOOKUP(B56,'Data World'!$A:$AL,MATCH(World!$Q$1,'Data World'!$A$1:$AL$1,))</f>
        <v>5.2</v>
      </c>
      <c r="R56" s="13">
        <f>VLOOKUP(B56,'Data World'!$A:$AL,MATCH(World!$R$1,'Data World'!$A$1:$AL$1,))</f>
        <v>13.7</v>
      </c>
      <c r="S56" s="13">
        <f>VLOOKUP(B56,'Data World'!$A:$AL,MATCH(World!$S$1,'Data World'!$A$1:$AL$1,))</f>
        <v>1.8</v>
      </c>
      <c r="T56" s="13">
        <f>VLOOKUP(B56,'Data World'!$A:$AL,MATCH(World!$T$1,'Data World'!$A$1:$AL$1,))</f>
        <v>3.2</v>
      </c>
    </row>
    <row r="57" spans="2:20" s="59" customFormat="1" x14ac:dyDescent="0.2">
      <c r="B57" s="12">
        <v>43677</v>
      </c>
      <c r="C57" s="13">
        <f>VLOOKUP(B57,'Data World'!$A:$AL,MATCH(World!$C$1,'Data World'!$A$1:$AL$1,))</f>
        <v>3.6</v>
      </c>
      <c r="D57" s="13">
        <f>VLOOKUP(B57,'Data World'!$A:$AL,MATCH(World!$D$1,'Data World'!$A$1:$AL$1,))</f>
        <v>7.5</v>
      </c>
      <c r="E57" s="13">
        <f>VLOOKUP(B57,'Data World'!$A:$AL,MATCH(World!$E$1,'Data World'!$A$1:$AL$1,))</f>
        <v>2.2999999999999998</v>
      </c>
      <c r="F57" s="13">
        <f>VLOOKUP(B57,'Data World'!$A:$AL,MATCH(World!$F$1,'Data World'!$A$1:$AL$1,))</f>
        <v>3.1</v>
      </c>
      <c r="G57" s="13">
        <f>VLOOKUP(B57,'Data World'!$A:$AL,MATCH(World!$G$1,'Data World'!$A$1:$AL$1,))</f>
        <v>8.4</v>
      </c>
      <c r="H57" s="13">
        <f>VLOOKUP(B57,'Data World'!$A:$AL,MATCH(World!$H$1,'Data World'!$A$1:$AL$1,))</f>
        <v>3.8627410000000002</v>
      </c>
      <c r="I57" s="13">
        <f>VLOOKUP(B57,'Data World'!$A:$AL,MATCH(World!$I$1,'Data World'!$A$1:$AL$1,))</f>
        <v>9.6999999999999993</v>
      </c>
      <c r="J57" s="13">
        <f>VLOOKUP(B57,'Data World'!$A:$AL,MATCH(World!$J$1,'Data World'!$A$1:$AL$1,))</f>
        <v>14.2</v>
      </c>
      <c r="K57" s="13">
        <f>VLOOKUP(B57,'Data World'!$A:$AL,MATCH(World!$K$1,'Data World'!$A$1:$AL$1,))</f>
        <v>7.1</v>
      </c>
      <c r="L57" s="13">
        <f>VLOOKUP(B57,'Data World'!$A:$AL,MATCH(World!$L$1,'Data World'!$A$1:$AL$1,))</f>
        <v>3.5250710000000001</v>
      </c>
      <c r="M57" s="13">
        <f>VLOOKUP(B57,'Data World'!$A:$AL,MATCH(World!$M$1,'Data World'!$A$1:$AL$1,))</f>
        <v>5.8</v>
      </c>
      <c r="N57" s="13">
        <f>VLOOKUP(B57,'Data World'!$A:$AL,MATCH(World!$N$1,'Data World'!$A$1:$AL$1,))</f>
        <v>5.2285079999999997</v>
      </c>
      <c r="O57" s="13">
        <f>VLOOKUP(B57,'Data World'!$A:$AL,MATCH(World!$O$1,'Data World'!$A$1:$AL$1,))</f>
        <v>3.9</v>
      </c>
      <c r="P57" s="13">
        <f>VLOOKUP(B57,'Data World'!$A:$AL,MATCH(World!$P$1,'Data World'!$A$1:$AL$1,))</f>
        <v>17.2</v>
      </c>
      <c r="Q57" s="13">
        <f>VLOOKUP(B57,'Data World'!$A:$AL,MATCH(World!$Q$1,'Data World'!$A$1:$AL$1,))</f>
        <v>5.0999999999999996</v>
      </c>
      <c r="R57" s="13">
        <f>VLOOKUP(B57,'Data World'!$A:$AL,MATCH(World!$R$1,'Data World'!$A$1:$AL$1,))</f>
        <v>13.9</v>
      </c>
      <c r="S57" s="13">
        <f>VLOOKUP(B57,'Data World'!$A:$AL,MATCH(World!$S$1,'Data World'!$A$1:$AL$1,))</f>
        <v>2.1</v>
      </c>
      <c r="T57" s="13">
        <f>VLOOKUP(B57,'Data World'!$A:$AL,MATCH(World!$T$1,'Data World'!$A$1:$AL$1,))</f>
        <v>3.2</v>
      </c>
    </row>
    <row r="58" spans="2:20" s="59" customFormat="1" x14ac:dyDescent="0.2">
      <c r="B58" s="12">
        <v>43708</v>
      </c>
      <c r="C58" s="13">
        <f>VLOOKUP(B58,'Data World'!$A:$AL,MATCH(World!$C$1,'Data World'!$A$1:$AL$1,))</f>
        <v>3.7</v>
      </c>
      <c r="D58" s="13">
        <f>VLOOKUP(B58,'Data World'!$A:$AL,MATCH(World!$D$1,'Data World'!$A$1:$AL$1,))</f>
        <v>7.4</v>
      </c>
      <c r="E58" s="13">
        <f>VLOOKUP(B58,'Data World'!$A:$AL,MATCH(World!$E$1,'Data World'!$A$1:$AL$1,))</f>
        <v>2.2999999999999998</v>
      </c>
      <c r="F58" s="13">
        <f>VLOOKUP(B58,'Data World'!$A:$AL,MATCH(World!$F$1,'Data World'!$A$1:$AL$1,))</f>
        <v>3.1</v>
      </c>
      <c r="G58" s="13">
        <f>VLOOKUP(B58,'Data World'!$A:$AL,MATCH(World!$G$1,'Data World'!$A$1:$AL$1,))</f>
        <v>8.1999999999999993</v>
      </c>
      <c r="H58" s="13">
        <f>VLOOKUP(B58,'Data World'!$A:$AL,MATCH(World!$H$1,'Data World'!$A$1:$AL$1,))</f>
        <v>3.8331979999999999</v>
      </c>
      <c r="I58" s="13">
        <f>VLOOKUP(B58,'Data World'!$A:$AL,MATCH(World!$I$1,'Data World'!$A$1:$AL$1,))</f>
        <v>9.6</v>
      </c>
      <c r="J58" s="13">
        <f>VLOOKUP(B58,'Data World'!$A:$AL,MATCH(World!$J$1,'Data World'!$A$1:$AL$1,))</f>
        <v>14.2</v>
      </c>
      <c r="K58" s="13">
        <f>VLOOKUP(B58,'Data World'!$A:$AL,MATCH(World!$K$1,'Data World'!$A$1:$AL$1,))</f>
        <v>7.1</v>
      </c>
      <c r="L58" s="13">
        <f>VLOOKUP(B58,'Data World'!$A:$AL,MATCH(World!$L$1,'Data World'!$A$1:$AL$1,))</f>
        <v>3.5065849999999998</v>
      </c>
      <c r="M58" s="13">
        <f>VLOOKUP(B58,'Data World'!$A:$AL,MATCH(World!$M$1,'Data World'!$A$1:$AL$1,))</f>
        <v>5.8</v>
      </c>
      <c r="N58" s="13">
        <f>VLOOKUP(B58,'Data World'!$A:$AL,MATCH(World!$N$1,'Data World'!$A$1:$AL$1,))</f>
        <v>5.2238040000000003</v>
      </c>
      <c r="O58" s="13">
        <f>VLOOKUP(B58,'Data World'!$A:$AL,MATCH(World!$O$1,'Data World'!$A$1:$AL$1,))</f>
        <v>3.2</v>
      </c>
      <c r="P58" s="13">
        <f>VLOOKUP(B58,'Data World'!$A:$AL,MATCH(World!$P$1,'Data World'!$A$1:$AL$1,))</f>
        <v>16.7</v>
      </c>
      <c r="Q58" s="13">
        <f>VLOOKUP(B58,'Data World'!$A:$AL,MATCH(World!$Q$1,'Data World'!$A$1:$AL$1,))</f>
        <v>4.9000000000000004</v>
      </c>
      <c r="R58" s="13">
        <f>VLOOKUP(B58,'Data World'!$A:$AL,MATCH(World!$R$1,'Data World'!$A$1:$AL$1,))</f>
        <v>14</v>
      </c>
      <c r="S58" s="13">
        <f>VLOOKUP(B58,'Data World'!$A:$AL,MATCH(World!$S$1,'Data World'!$A$1:$AL$1,))</f>
        <v>2</v>
      </c>
      <c r="T58" s="13">
        <f>VLOOKUP(B58,'Data World'!$A:$AL,MATCH(World!$T$1,'Data World'!$A$1:$AL$1,))</f>
        <v>3.1</v>
      </c>
    </row>
    <row r="59" spans="2:20" s="59" customFormat="1" x14ac:dyDescent="0.2">
      <c r="B59" s="12">
        <v>43738</v>
      </c>
      <c r="C59" s="13">
        <f>VLOOKUP(B59,'Data World'!$A:$AL,MATCH(World!$C$1,'Data World'!$A$1:$AL$1,))</f>
        <v>3.5</v>
      </c>
      <c r="D59" s="13">
        <f>VLOOKUP(B59,'Data World'!$A:$AL,MATCH(World!$D$1,'Data World'!$A$1:$AL$1,))</f>
        <v>7.4</v>
      </c>
      <c r="E59" s="13">
        <f>VLOOKUP(B59,'Data World'!$A:$AL,MATCH(World!$E$1,'Data World'!$A$1:$AL$1,))</f>
        <v>2.4</v>
      </c>
      <c r="F59" s="13">
        <f>VLOOKUP(B59,'Data World'!$A:$AL,MATCH(World!$F$1,'Data World'!$A$1:$AL$1,))</f>
        <v>3.1</v>
      </c>
      <c r="G59" s="13">
        <f>VLOOKUP(B59,'Data World'!$A:$AL,MATCH(World!$G$1,'Data World'!$A$1:$AL$1,))</f>
        <v>8.1</v>
      </c>
      <c r="H59" s="13">
        <f>VLOOKUP(B59,'Data World'!$A:$AL,MATCH(World!$H$1,'Data World'!$A$1:$AL$1,))</f>
        <v>3.7571340000000002</v>
      </c>
      <c r="I59" s="13">
        <f>VLOOKUP(B59,'Data World'!$A:$AL,MATCH(World!$I$1,'Data World'!$A$1:$AL$1,))</f>
        <v>9.8000000000000007</v>
      </c>
      <c r="J59" s="13">
        <f>VLOOKUP(B59,'Data World'!$A:$AL,MATCH(World!$J$1,'Data World'!$A$1:$AL$1,))</f>
        <v>14</v>
      </c>
      <c r="K59" s="13">
        <f>VLOOKUP(B59,'Data World'!$A:$AL,MATCH(World!$K$1,'Data World'!$A$1:$AL$1,))</f>
        <v>6.7</v>
      </c>
      <c r="L59" s="13">
        <f>VLOOKUP(B59,'Data World'!$A:$AL,MATCH(World!$L$1,'Data World'!$A$1:$AL$1,))</f>
        <v>3.5397340000000002</v>
      </c>
      <c r="M59" s="13">
        <f>VLOOKUP(B59,'Data World'!$A:$AL,MATCH(World!$M$1,'Data World'!$A$1:$AL$1,))</f>
        <v>5.6</v>
      </c>
      <c r="N59" s="13">
        <f>VLOOKUP(B59,'Data World'!$A:$AL,MATCH(World!$N$1,'Data World'!$A$1:$AL$1,))</f>
        <v>5.1609420000000004</v>
      </c>
      <c r="O59" s="13">
        <f>VLOOKUP(B59,'Data World'!$A:$AL,MATCH(World!$O$1,'Data World'!$A$1:$AL$1,))</f>
        <v>3.5</v>
      </c>
      <c r="P59" s="13">
        <f>VLOOKUP(B59,'Data World'!$A:$AL,MATCH(World!$P$1,'Data World'!$A$1:$AL$1,))</f>
        <v>16.8</v>
      </c>
      <c r="Q59" s="13">
        <f>VLOOKUP(B59,'Data World'!$A:$AL,MATCH(World!$Q$1,'Data World'!$A$1:$AL$1,))</f>
        <v>4.8</v>
      </c>
      <c r="R59" s="13">
        <f>VLOOKUP(B59,'Data World'!$A:$AL,MATCH(World!$R$1,'Data World'!$A$1:$AL$1,))</f>
        <v>14</v>
      </c>
      <c r="S59" s="13">
        <f>VLOOKUP(B59,'Data World'!$A:$AL,MATCH(World!$S$1,'Data World'!$A$1:$AL$1,))</f>
        <v>2.1</v>
      </c>
      <c r="T59" s="13">
        <f>VLOOKUP(B59,'Data World'!$A:$AL,MATCH(World!$T$1,'Data World'!$A$1:$AL$1,))</f>
        <v>3.1</v>
      </c>
    </row>
    <row r="60" spans="2:20" s="59" customFormat="1" x14ac:dyDescent="0.2">
      <c r="B60" s="12">
        <v>43769</v>
      </c>
      <c r="C60" s="13">
        <f>VLOOKUP(B60,'Data World'!$A:$AL,MATCH(World!$C$1,'Data World'!$A$1:$AL$1,))</f>
        <v>3.6</v>
      </c>
      <c r="D60" s="13">
        <f>VLOOKUP(B60,'Data World'!$A:$AL,MATCH(World!$D$1,'Data World'!$A$1:$AL$1,))</f>
        <v>7.4</v>
      </c>
      <c r="E60" s="13">
        <f>VLOOKUP(B60,'Data World'!$A:$AL,MATCH(World!$E$1,'Data World'!$A$1:$AL$1,))</f>
        <v>2.4</v>
      </c>
      <c r="F60" s="13">
        <f>VLOOKUP(B60,'Data World'!$A:$AL,MATCH(World!$F$1,'Data World'!$A$1:$AL$1,))</f>
        <v>3.1</v>
      </c>
      <c r="G60" s="13">
        <f>VLOOKUP(B60,'Data World'!$A:$AL,MATCH(World!$G$1,'Data World'!$A$1:$AL$1,))</f>
        <v>8.1999999999999993</v>
      </c>
      <c r="H60" s="13">
        <f>VLOOKUP(B60,'Data World'!$A:$AL,MATCH(World!$H$1,'Data World'!$A$1:$AL$1,))</f>
        <v>3.8185630000000002</v>
      </c>
      <c r="I60" s="13">
        <f>VLOOKUP(B60,'Data World'!$A:$AL,MATCH(World!$I$1,'Data World'!$A$1:$AL$1,))</f>
        <v>9.6999999999999993</v>
      </c>
      <c r="J60" s="13">
        <f>VLOOKUP(B60,'Data World'!$A:$AL,MATCH(World!$J$1,'Data World'!$A$1:$AL$1,))</f>
        <v>13.9</v>
      </c>
      <c r="K60" s="13">
        <f>VLOOKUP(B60,'Data World'!$A:$AL,MATCH(World!$K$1,'Data World'!$A$1:$AL$1,))</f>
        <v>6.8</v>
      </c>
      <c r="L60" s="13">
        <f>VLOOKUP(B60,'Data World'!$A:$AL,MATCH(World!$L$1,'Data World'!$A$1:$AL$1,))</f>
        <v>3.5743469999999999</v>
      </c>
      <c r="M60" s="13">
        <f>VLOOKUP(B60,'Data World'!$A:$AL,MATCH(World!$M$1,'Data World'!$A$1:$AL$1,))</f>
        <v>5.6</v>
      </c>
      <c r="N60" s="13">
        <f>VLOOKUP(B60,'Data World'!$A:$AL,MATCH(World!$N$1,'Data World'!$A$1:$AL$1,))</f>
        <v>5.2710429999999997</v>
      </c>
      <c r="O60" s="13">
        <f>VLOOKUP(B60,'Data World'!$A:$AL,MATCH(World!$O$1,'Data World'!$A$1:$AL$1,))</f>
        <v>3.5</v>
      </c>
      <c r="P60" s="13">
        <f>VLOOKUP(B60,'Data World'!$A:$AL,MATCH(World!$P$1,'Data World'!$A$1:$AL$1,))</f>
        <v>16.8</v>
      </c>
      <c r="Q60" s="13">
        <f>VLOOKUP(B60,'Data World'!$A:$AL,MATCH(World!$Q$1,'Data World'!$A$1:$AL$1,))</f>
        <v>4.7</v>
      </c>
      <c r="R60" s="13">
        <f>VLOOKUP(B60,'Data World'!$A:$AL,MATCH(World!$R$1,'Data World'!$A$1:$AL$1,))</f>
        <v>13.5</v>
      </c>
      <c r="S60" s="13">
        <f>VLOOKUP(B60,'Data World'!$A:$AL,MATCH(World!$S$1,'Data World'!$A$1:$AL$1,))</f>
        <v>2.2000000000000002</v>
      </c>
      <c r="T60" s="13">
        <f>VLOOKUP(B60,'Data World'!$A:$AL,MATCH(World!$T$1,'Data World'!$A$1:$AL$1,))</f>
        <v>3</v>
      </c>
    </row>
    <row r="61" spans="2:20" s="59" customFormat="1" x14ac:dyDescent="0.2">
      <c r="B61" s="12">
        <v>43799</v>
      </c>
      <c r="C61" s="13">
        <f>VLOOKUP(B61,'Data World'!$A:$AL,MATCH(World!$C$1,'Data World'!$A$1:$AL$1,))</f>
        <v>3.6</v>
      </c>
      <c r="D61" s="13">
        <f>VLOOKUP(B61,'Data World'!$A:$AL,MATCH(World!$D$1,'Data World'!$A$1:$AL$1,))</f>
        <v>7.5</v>
      </c>
      <c r="E61" s="13">
        <f>VLOOKUP(B61,'Data World'!$A:$AL,MATCH(World!$E$1,'Data World'!$A$1:$AL$1,))</f>
        <v>2.2999999999999998</v>
      </c>
      <c r="F61" s="13">
        <f>VLOOKUP(B61,'Data World'!$A:$AL,MATCH(World!$F$1,'Data World'!$A$1:$AL$1,))</f>
        <v>3.2</v>
      </c>
      <c r="G61" s="13">
        <f>VLOOKUP(B61,'Data World'!$A:$AL,MATCH(World!$G$1,'Data World'!$A$1:$AL$1,))</f>
        <v>8.1</v>
      </c>
      <c r="H61" s="13">
        <f>VLOOKUP(B61,'Data World'!$A:$AL,MATCH(World!$H$1,'Data World'!$A$1:$AL$1,))</f>
        <v>3.768513</v>
      </c>
      <c r="I61" s="13">
        <f>VLOOKUP(B61,'Data World'!$A:$AL,MATCH(World!$I$1,'Data World'!$A$1:$AL$1,))</f>
        <v>10</v>
      </c>
      <c r="J61" s="13">
        <f>VLOOKUP(B61,'Data World'!$A:$AL,MATCH(World!$J$1,'Data World'!$A$1:$AL$1,))</f>
        <v>13.8</v>
      </c>
      <c r="K61" s="13">
        <f>VLOOKUP(B61,'Data World'!$A:$AL,MATCH(World!$K$1,'Data World'!$A$1:$AL$1,))</f>
        <v>7.5</v>
      </c>
      <c r="L61" s="13">
        <f>VLOOKUP(B61,'Data World'!$A:$AL,MATCH(World!$L$1,'Data World'!$A$1:$AL$1,))</f>
        <v>3.5296979999999998</v>
      </c>
      <c r="M61" s="13">
        <f>VLOOKUP(B61,'Data World'!$A:$AL,MATCH(World!$M$1,'Data World'!$A$1:$AL$1,))</f>
        <v>5.9</v>
      </c>
      <c r="N61" s="13">
        <f>VLOOKUP(B61,'Data World'!$A:$AL,MATCH(World!$N$1,'Data World'!$A$1:$AL$1,))</f>
        <v>5.1572300000000002</v>
      </c>
      <c r="O61" s="13">
        <f>VLOOKUP(B61,'Data World'!$A:$AL,MATCH(World!$O$1,'Data World'!$A$1:$AL$1,))</f>
        <v>3.7</v>
      </c>
      <c r="P61" s="13">
        <f>VLOOKUP(B61,'Data World'!$A:$AL,MATCH(World!$P$1,'Data World'!$A$1:$AL$1,))</f>
        <v>16.600000000000001</v>
      </c>
      <c r="Q61" s="13">
        <f>VLOOKUP(B61,'Data World'!$A:$AL,MATCH(World!$Q$1,'Data World'!$A$1:$AL$1,))</f>
        <v>4.8</v>
      </c>
      <c r="R61" s="13">
        <f>VLOOKUP(B61,'Data World'!$A:$AL,MATCH(World!$R$1,'Data World'!$A$1:$AL$1,))</f>
        <v>13.4</v>
      </c>
      <c r="S61" s="13">
        <f>VLOOKUP(B61,'Data World'!$A:$AL,MATCH(World!$S$1,'Data World'!$A$1:$AL$1,))</f>
        <v>2.1</v>
      </c>
      <c r="T61" s="13">
        <f>VLOOKUP(B61,'Data World'!$A:$AL,MATCH(World!$T$1,'Data World'!$A$1:$AL$1,))</f>
        <v>3</v>
      </c>
    </row>
    <row r="62" spans="2:20" s="59" customFormat="1" x14ac:dyDescent="0.2">
      <c r="B62" s="12">
        <v>43830</v>
      </c>
      <c r="C62" s="13">
        <f>VLOOKUP(B62,'Data World'!$A:$AL,MATCH(World!$C$1,'Data World'!$A$1:$AL$1,))</f>
        <v>3.6</v>
      </c>
      <c r="D62" s="13">
        <f>VLOOKUP(B62,'Data World'!$A:$AL,MATCH(World!$D$1,'Data World'!$A$1:$AL$1,))</f>
        <v>7.4</v>
      </c>
      <c r="E62" s="13">
        <f>VLOOKUP(B62,'Data World'!$A:$AL,MATCH(World!$E$1,'Data World'!$A$1:$AL$1,))</f>
        <v>2.2000000000000002</v>
      </c>
      <c r="F62" s="13">
        <f>VLOOKUP(B62,'Data World'!$A:$AL,MATCH(World!$F$1,'Data World'!$A$1:$AL$1,))</f>
        <v>3.3</v>
      </c>
      <c r="G62" s="13">
        <f>VLOOKUP(B62,'Data World'!$A:$AL,MATCH(World!$G$1,'Data World'!$A$1:$AL$1,))</f>
        <v>8.1</v>
      </c>
      <c r="H62" s="13">
        <f>VLOOKUP(B62,'Data World'!$A:$AL,MATCH(World!$H$1,'Data World'!$A$1:$AL$1,))</f>
        <v>3.912849</v>
      </c>
      <c r="I62" s="13">
        <f>VLOOKUP(B62,'Data World'!$A:$AL,MATCH(World!$I$1,'Data World'!$A$1:$AL$1,))</f>
        <v>9.9</v>
      </c>
      <c r="J62" s="13">
        <f>VLOOKUP(B62,'Data World'!$A:$AL,MATCH(World!$J$1,'Data World'!$A$1:$AL$1,))</f>
        <v>13.8</v>
      </c>
      <c r="K62" s="13">
        <f>VLOOKUP(B62,'Data World'!$A:$AL,MATCH(World!$K$1,'Data World'!$A$1:$AL$1,))</f>
        <v>6.7</v>
      </c>
      <c r="L62" s="13">
        <f>VLOOKUP(B62,'Data World'!$A:$AL,MATCH(World!$L$1,'Data World'!$A$1:$AL$1,))</f>
        <v>3.2250990000000002</v>
      </c>
      <c r="M62" s="13">
        <f>VLOOKUP(B62,'Data World'!$A:$AL,MATCH(World!$M$1,'Data World'!$A$1:$AL$1,))</f>
        <v>5.7</v>
      </c>
      <c r="N62" s="13">
        <f>VLOOKUP(B62,'Data World'!$A:$AL,MATCH(World!$N$1,'Data World'!$A$1:$AL$1,))</f>
        <v>5.0463259999999996</v>
      </c>
      <c r="O62" s="13">
        <f>VLOOKUP(B62,'Data World'!$A:$AL,MATCH(World!$O$1,'Data World'!$A$1:$AL$1,))</f>
        <v>3.7</v>
      </c>
      <c r="P62" s="13">
        <f>VLOOKUP(B62,'Data World'!$A:$AL,MATCH(World!$P$1,'Data World'!$A$1:$AL$1,))</f>
        <v>16.399999999999999</v>
      </c>
      <c r="Q62" s="13">
        <f>VLOOKUP(B62,'Data World'!$A:$AL,MATCH(World!$Q$1,'Data World'!$A$1:$AL$1,))</f>
        <v>4.8</v>
      </c>
      <c r="R62" s="13">
        <f>VLOOKUP(B62,'Data World'!$A:$AL,MATCH(World!$R$1,'Data World'!$A$1:$AL$1,))</f>
        <v>13.4</v>
      </c>
      <c r="S62" s="13">
        <f>VLOOKUP(B62,'Data World'!$A:$AL,MATCH(World!$S$1,'Data World'!$A$1:$AL$1,))</f>
        <v>2</v>
      </c>
      <c r="T62" s="13">
        <f>VLOOKUP(B62,'Data World'!$A:$AL,MATCH(World!$T$1,'Data World'!$A$1:$AL$1,))</f>
        <v>2.9</v>
      </c>
    </row>
    <row r="63" spans="2:20" s="59" customFormat="1" x14ac:dyDescent="0.2">
      <c r="B63" s="12">
        <v>43861</v>
      </c>
      <c r="C63" s="13">
        <f>VLOOKUP(B63,'Data World'!$A:$AL,MATCH(World!$C$1,'Data World'!$A$1:$AL$1,))</f>
        <v>3.5</v>
      </c>
      <c r="D63" s="13">
        <f>VLOOKUP(B63,'Data World'!$A:$AL,MATCH(World!$D$1,'Data World'!$A$1:$AL$1,))</f>
        <v>7.5</v>
      </c>
      <c r="E63" s="13">
        <f>VLOOKUP(B63,'Data World'!$A:$AL,MATCH(World!$E$1,'Data World'!$A$1:$AL$1,))</f>
        <v>2.4</v>
      </c>
      <c r="F63" s="13">
        <f>VLOOKUP(B63,'Data World'!$A:$AL,MATCH(World!$F$1,'Data World'!$A$1:$AL$1,))</f>
        <v>3.4</v>
      </c>
      <c r="G63" s="13">
        <f>VLOOKUP(B63,'Data World'!$A:$AL,MATCH(World!$G$1,'Data World'!$A$1:$AL$1,))</f>
        <v>8.1</v>
      </c>
      <c r="H63" s="13">
        <f>VLOOKUP(B63,'Data World'!$A:$AL,MATCH(World!$H$1,'Data World'!$A$1:$AL$1,))</f>
        <v>3.9612129999999999</v>
      </c>
      <c r="I63" s="13">
        <f>VLOOKUP(B63,'Data World'!$A:$AL,MATCH(World!$I$1,'Data World'!$A$1:$AL$1,))</f>
        <v>9.6999999999999993</v>
      </c>
      <c r="J63" s="13">
        <f>VLOOKUP(B63,'Data World'!$A:$AL,MATCH(World!$J$1,'Data World'!$A$1:$AL$1,))</f>
        <v>13.9</v>
      </c>
      <c r="K63" s="13">
        <f>VLOOKUP(B63,'Data World'!$A:$AL,MATCH(World!$K$1,'Data World'!$A$1:$AL$1,))</f>
        <v>7.2</v>
      </c>
      <c r="L63" s="13">
        <f>VLOOKUP(B63,'Data World'!$A:$AL,MATCH(World!$L$1,'Data World'!$A$1:$AL$1,))</f>
        <v>3.594449</v>
      </c>
      <c r="M63" s="13">
        <f>VLOOKUP(B63,'Data World'!$A:$AL,MATCH(World!$M$1,'Data World'!$A$1:$AL$1,))</f>
        <v>5.6</v>
      </c>
      <c r="N63" s="13">
        <f>VLOOKUP(B63,'Data World'!$A:$AL,MATCH(World!$N$1,'Data World'!$A$1:$AL$1,))</f>
        <v>5.3116890000000003</v>
      </c>
      <c r="O63" s="13">
        <f>VLOOKUP(B63,'Data World'!$A:$AL,MATCH(World!$O$1,'Data World'!$A$1:$AL$1,))</f>
        <v>3.9</v>
      </c>
      <c r="P63" s="13">
        <f>VLOOKUP(B63,'Data World'!$A:$AL,MATCH(World!$P$1,'Data World'!$A$1:$AL$1,))</f>
        <v>16.600000000000001</v>
      </c>
      <c r="Q63" s="13">
        <f>VLOOKUP(B63,'Data World'!$A:$AL,MATCH(World!$Q$1,'Data World'!$A$1:$AL$1,))</f>
        <v>4.9000000000000004</v>
      </c>
      <c r="R63" s="13">
        <f>VLOOKUP(B63,'Data World'!$A:$AL,MATCH(World!$R$1,'Data World'!$A$1:$AL$1,))</f>
        <v>13.2</v>
      </c>
      <c r="S63" s="13">
        <f>VLOOKUP(B63,'Data World'!$A:$AL,MATCH(World!$S$1,'Data World'!$A$1:$AL$1,))</f>
        <v>1.9</v>
      </c>
      <c r="T63" s="13">
        <f>VLOOKUP(B63,'Data World'!$A:$AL,MATCH(World!$T$1,'Data World'!$A$1:$AL$1,))</f>
        <v>3</v>
      </c>
    </row>
    <row r="64" spans="2:20" s="59" customFormat="1" x14ac:dyDescent="0.2">
      <c r="B64" s="12">
        <v>43890</v>
      </c>
      <c r="C64" s="13">
        <f>VLOOKUP(B64,'Data World'!$A:$AL,MATCH(World!$C$1,'Data World'!$A$1:$AL$1,))</f>
        <v>3.5</v>
      </c>
      <c r="D64" s="13">
        <f>VLOOKUP(B64,'Data World'!$A:$AL,MATCH(World!$D$1,'Data World'!$A$1:$AL$1,))</f>
        <v>7.4</v>
      </c>
      <c r="E64" s="13">
        <f>VLOOKUP(B64,'Data World'!$A:$AL,MATCH(World!$E$1,'Data World'!$A$1:$AL$1,))</f>
        <v>2.4</v>
      </c>
      <c r="F64" s="13">
        <f>VLOOKUP(B64,'Data World'!$A:$AL,MATCH(World!$F$1,'Data World'!$A$1:$AL$1,))</f>
        <v>3.5</v>
      </c>
      <c r="G64" s="13">
        <f>VLOOKUP(B64,'Data World'!$A:$AL,MATCH(World!$G$1,'Data World'!$A$1:$AL$1,))</f>
        <v>7.7</v>
      </c>
      <c r="H64" s="13">
        <f>VLOOKUP(B64,'Data World'!$A:$AL,MATCH(World!$H$1,'Data World'!$A$1:$AL$1,))</f>
        <v>3.996721</v>
      </c>
      <c r="I64" s="13">
        <f>VLOOKUP(B64,'Data World'!$A:$AL,MATCH(World!$I$1,'Data World'!$A$1:$AL$1,))</f>
        <v>9.6999999999999993</v>
      </c>
      <c r="J64" s="13">
        <f>VLOOKUP(B64,'Data World'!$A:$AL,MATCH(World!$J$1,'Data World'!$A$1:$AL$1,))</f>
        <v>13.7</v>
      </c>
      <c r="K64" s="13">
        <f>VLOOKUP(B64,'Data World'!$A:$AL,MATCH(World!$K$1,'Data World'!$A$1:$AL$1,))</f>
        <v>7.6</v>
      </c>
      <c r="L64" s="13">
        <f>VLOOKUP(B64,'Data World'!$A:$AL,MATCH(World!$L$1,'Data World'!$A$1:$AL$1,))</f>
        <v>3.5516990000000002</v>
      </c>
      <c r="M64" s="13">
        <f>VLOOKUP(B64,'Data World'!$A:$AL,MATCH(World!$M$1,'Data World'!$A$1:$AL$1,))</f>
        <v>5.7</v>
      </c>
      <c r="N64" s="13">
        <f>VLOOKUP(B64,'Data World'!$A:$AL,MATCH(World!$N$1,'Data World'!$A$1:$AL$1,))</f>
        <v>5.1336599999999999</v>
      </c>
      <c r="O64" s="13">
        <f>VLOOKUP(B64,'Data World'!$A:$AL,MATCH(World!$O$1,'Data World'!$A$1:$AL$1,))</f>
        <v>3.4</v>
      </c>
      <c r="P64" s="13">
        <f>VLOOKUP(B64,'Data World'!$A:$AL,MATCH(World!$P$1,'Data World'!$A$1:$AL$1,))</f>
        <v>15.7</v>
      </c>
      <c r="Q64" s="13">
        <f>VLOOKUP(B64,'Data World'!$A:$AL,MATCH(World!$Q$1,'Data World'!$A$1:$AL$1,))</f>
        <v>4.9000000000000004</v>
      </c>
      <c r="R64" s="13">
        <f>VLOOKUP(B64,'Data World'!$A:$AL,MATCH(World!$R$1,'Data World'!$A$1:$AL$1,))</f>
        <v>12.8</v>
      </c>
      <c r="S64" s="13">
        <f>VLOOKUP(B64,'Data World'!$A:$AL,MATCH(World!$S$1,'Data World'!$A$1:$AL$1,))</f>
        <v>1.8</v>
      </c>
      <c r="T64" s="13">
        <f>VLOOKUP(B64,'Data World'!$A:$AL,MATCH(World!$T$1,'Data World'!$A$1:$AL$1,))</f>
        <v>3</v>
      </c>
    </row>
    <row r="65" spans="2:20" s="59" customFormat="1" x14ac:dyDescent="0.2">
      <c r="B65" s="12">
        <v>43921</v>
      </c>
      <c r="C65" s="13">
        <f>VLOOKUP(B65,'Data World'!$A:$AL,MATCH(World!$C$1,'Data World'!$A$1:$AL$1,))</f>
        <v>4.4000000000000004</v>
      </c>
      <c r="D65" s="13">
        <f>VLOOKUP(B65,'Data World'!$A:$AL,MATCH(World!$D$1,'Data World'!$A$1:$AL$1,))</f>
        <v>7.1</v>
      </c>
      <c r="E65" s="13">
        <f>VLOOKUP(B65,'Data World'!$A:$AL,MATCH(World!$E$1,'Data World'!$A$1:$AL$1,))</f>
        <v>2.5</v>
      </c>
      <c r="F65" s="13">
        <f>VLOOKUP(B65,'Data World'!$A:$AL,MATCH(World!$F$1,'Data World'!$A$1:$AL$1,))</f>
        <v>3.6</v>
      </c>
      <c r="G65" s="13">
        <f>VLOOKUP(B65,'Data World'!$A:$AL,MATCH(World!$G$1,'Data World'!$A$1:$AL$1,))</f>
        <v>7.5</v>
      </c>
      <c r="H65" s="13">
        <f>VLOOKUP(B65,'Data World'!$A:$AL,MATCH(World!$H$1,'Data World'!$A$1:$AL$1,))</f>
        <v>4.0413800000000002</v>
      </c>
      <c r="I65" s="13">
        <f>VLOOKUP(B65,'Data World'!$A:$AL,MATCH(World!$I$1,'Data World'!$A$1:$AL$1,))</f>
        <v>7.3</v>
      </c>
      <c r="J65" s="13">
        <f>VLOOKUP(B65,'Data World'!$A:$AL,MATCH(World!$J$1,'Data World'!$A$1:$AL$1,))</f>
        <v>14.5</v>
      </c>
      <c r="K65" s="13">
        <f>VLOOKUP(B65,'Data World'!$A:$AL,MATCH(World!$K$1,'Data World'!$A$1:$AL$1,))</f>
        <v>6.6</v>
      </c>
      <c r="L65" s="13">
        <f>VLOOKUP(B65,'Data World'!$A:$AL,MATCH(World!$L$1,'Data World'!$A$1:$AL$1,))</f>
        <v>3.215592</v>
      </c>
      <c r="M65" s="13">
        <f>VLOOKUP(B65,'Data World'!$A:$AL,MATCH(World!$M$1,'Data World'!$A$1:$AL$1,))</f>
        <v>7.9</v>
      </c>
      <c r="N65" s="13">
        <f>VLOOKUP(B65,'Data World'!$A:$AL,MATCH(World!$N$1,'Data World'!$A$1:$AL$1,))</f>
        <v>5.2718410000000002</v>
      </c>
      <c r="O65" s="13">
        <f>VLOOKUP(B65,'Data World'!$A:$AL,MATCH(World!$O$1,'Data World'!$A$1:$AL$1,))</f>
        <v>3.8</v>
      </c>
      <c r="P65" s="13">
        <f>VLOOKUP(B65,'Data World'!$A:$AL,MATCH(World!$P$1,'Data World'!$A$1:$AL$1,))</f>
        <v>15.8</v>
      </c>
      <c r="Q65" s="13">
        <f>VLOOKUP(B65,'Data World'!$A:$AL,MATCH(World!$Q$1,'Data World'!$A$1:$AL$1,))</f>
        <v>5</v>
      </c>
      <c r="R65" s="13">
        <f>VLOOKUP(B65,'Data World'!$A:$AL,MATCH(World!$R$1,'Data World'!$A$1:$AL$1,))</f>
        <v>13.1</v>
      </c>
      <c r="S65" s="13">
        <f>VLOOKUP(B65,'Data World'!$A:$AL,MATCH(World!$S$1,'Data World'!$A$1:$AL$1,))</f>
        <v>1.9</v>
      </c>
      <c r="T65" s="13">
        <f>VLOOKUP(B65,'Data World'!$A:$AL,MATCH(World!$T$1,'Data World'!$A$1:$AL$1,))</f>
        <v>2.9</v>
      </c>
    </row>
    <row r="66" spans="2:20" s="59" customFormat="1" x14ac:dyDescent="0.2">
      <c r="B66" s="12">
        <v>43951</v>
      </c>
      <c r="C66" s="13">
        <f>VLOOKUP(B66,'Data World'!$A:$AL,MATCH(World!$C$1,'Data World'!$A$1:$AL$1,))</f>
        <v>14.8</v>
      </c>
      <c r="D66" s="13">
        <f>VLOOKUP(B66,'Data World'!$A:$AL,MATCH(World!$D$1,'Data World'!$A$1:$AL$1,))</f>
        <v>7.3</v>
      </c>
      <c r="E66" s="13">
        <f>VLOOKUP(B66,'Data World'!$A:$AL,MATCH(World!$E$1,'Data World'!$A$1:$AL$1,))</f>
        <v>2.6</v>
      </c>
      <c r="F66" s="13">
        <f>VLOOKUP(B66,'Data World'!$A:$AL,MATCH(World!$F$1,'Data World'!$A$1:$AL$1,))</f>
        <v>3.7</v>
      </c>
      <c r="G66" s="13">
        <f>VLOOKUP(B66,'Data World'!$A:$AL,MATCH(World!$G$1,'Data World'!$A$1:$AL$1,))</f>
        <v>7.5</v>
      </c>
      <c r="H66" s="13">
        <f>VLOOKUP(B66,'Data World'!$A:$AL,MATCH(World!$H$1,'Data World'!$A$1:$AL$1,))</f>
        <v>4.1469899999999997</v>
      </c>
      <c r="I66" s="13">
        <f>VLOOKUP(B66,'Data World'!$A:$AL,MATCH(World!$I$1,'Data World'!$A$1:$AL$1,))</f>
        <v>7.4</v>
      </c>
      <c r="J66" s="13">
        <f>VLOOKUP(B66,'Data World'!$A:$AL,MATCH(World!$J$1,'Data World'!$A$1:$AL$1,))</f>
        <v>15.1</v>
      </c>
      <c r="K66" s="13">
        <f>VLOOKUP(B66,'Data World'!$A:$AL,MATCH(World!$K$1,'Data World'!$A$1:$AL$1,))</f>
        <v>7.9</v>
      </c>
      <c r="L66" s="13">
        <f>VLOOKUP(B66,'Data World'!$A:$AL,MATCH(World!$L$1,'Data World'!$A$1:$AL$1,))</f>
        <v>4.8208409999999997</v>
      </c>
      <c r="M66" s="13">
        <f>VLOOKUP(B66,'Data World'!$A:$AL,MATCH(World!$M$1,'Data World'!$A$1:$AL$1,))</f>
        <v>13.1</v>
      </c>
      <c r="N66" s="13">
        <f>VLOOKUP(B66,'Data World'!$A:$AL,MATCH(World!$N$1,'Data World'!$A$1:$AL$1,))</f>
        <v>6.3742799999999997</v>
      </c>
      <c r="O66" s="13">
        <f>VLOOKUP(B66,'Data World'!$A:$AL,MATCH(World!$O$1,'Data World'!$A$1:$AL$1,))</f>
        <v>3.8</v>
      </c>
      <c r="P66" s="13">
        <f>VLOOKUP(B66,'Data World'!$A:$AL,MATCH(World!$P$1,'Data World'!$A$1:$AL$1,))</f>
        <v>16.100000000000001</v>
      </c>
      <c r="Q66" s="13">
        <f>VLOOKUP(B66,'Data World'!$A:$AL,MATCH(World!$Q$1,'Data World'!$A$1:$AL$1,))</f>
        <v>4.8</v>
      </c>
      <c r="R66" s="13">
        <f>VLOOKUP(B66,'Data World'!$A:$AL,MATCH(World!$R$1,'Data World'!$A$1:$AL$1,))</f>
        <v>13.4</v>
      </c>
      <c r="S66" s="13">
        <f>VLOOKUP(B66,'Data World'!$A:$AL,MATCH(World!$S$1,'Data World'!$A$1:$AL$1,))</f>
        <v>2.2000000000000002</v>
      </c>
      <c r="T66" s="13">
        <f>VLOOKUP(B66,'Data World'!$A:$AL,MATCH(World!$T$1,'Data World'!$A$1:$AL$1,))</f>
        <v>3.1</v>
      </c>
    </row>
    <row r="67" spans="2:20" s="59" customFormat="1" x14ac:dyDescent="0.2">
      <c r="B67" s="12">
        <v>43982</v>
      </c>
      <c r="C67" s="13">
        <f>VLOOKUP(B67,'Data World'!$A:$AL,MATCH(World!$C$1,'Data World'!$A$1:$AL$1,))</f>
        <v>13.3</v>
      </c>
      <c r="D67" s="13">
        <f>VLOOKUP(B67,'Data World'!$A:$AL,MATCH(World!$D$1,'Data World'!$A$1:$AL$1,))</f>
        <v>7.5</v>
      </c>
      <c r="E67" s="13">
        <f>VLOOKUP(B67,'Data World'!$A:$AL,MATCH(World!$E$1,'Data World'!$A$1:$AL$1,))</f>
        <v>2.8</v>
      </c>
      <c r="F67" s="13">
        <f>VLOOKUP(B67,'Data World'!$A:$AL,MATCH(World!$F$1,'Data World'!$A$1:$AL$1,))</f>
        <v>3.8</v>
      </c>
      <c r="G67" s="13">
        <f>VLOOKUP(B67,'Data World'!$A:$AL,MATCH(World!$G$1,'Data World'!$A$1:$AL$1,))</f>
        <v>7.1</v>
      </c>
      <c r="H67" s="13">
        <f>VLOOKUP(B67,'Data World'!$A:$AL,MATCH(World!$H$1,'Data World'!$A$1:$AL$1,))</f>
        <v>4.1371890000000002</v>
      </c>
      <c r="I67" s="13">
        <f>VLOOKUP(B67,'Data World'!$A:$AL,MATCH(World!$I$1,'Data World'!$A$1:$AL$1,))</f>
        <v>8.5</v>
      </c>
      <c r="J67" s="13">
        <f>VLOOKUP(B67,'Data World'!$A:$AL,MATCH(World!$J$1,'Data World'!$A$1:$AL$1,))</f>
        <v>15.3</v>
      </c>
      <c r="K67" s="13">
        <f>VLOOKUP(B67,'Data World'!$A:$AL,MATCH(World!$K$1,'Data World'!$A$1:$AL$1,))</f>
        <v>8.3000000000000007</v>
      </c>
      <c r="L67" s="13">
        <f>VLOOKUP(B67,'Data World'!$A:$AL,MATCH(World!$L$1,'Data World'!$A$1:$AL$1,))</f>
        <v>4.304964</v>
      </c>
      <c r="M67" s="13">
        <f>VLOOKUP(B67,'Data World'!$A:$AL,MATCH(World!$M$1,'Data World'!$A$1:$AL$1,))</f>
        <v>13.7</v>
      </c>
      <c r="N67" s="13">
        <f>VLOOKUP(B67,'Data World'!$A:$AL,MATCH(World!$N$1,'Data World'!$A$1:$AL$1,))</f>
        <v>7.0185500000000003</v>
      </c>
      <c r="O67" s="13">
        <f>VLOOKUP(B67,'Data World'!$A:$AL,MATCH(World!$O$1,'Data World'!$A$1:$AL$1,))</f>
        <v>4.3</v>
      </c>
      <c r="P67" s="13">
        <f>VLOOKUP(B67,'Data World'!$A:$AL,MATCH(World!$P$1,'Data World'!$A$1:$AL$1,))</f>
        <v>16.8</v>
      </c>
      <c r="Q67" s="13">
        <f>VLOOKUP(B67,'Data World'!$A:$AL,MATCH(World!$Q$1,'Data World'!$A$1:$AL$1,))</f>
        <v>5</v>
      </c>
      <c r="R67" s="13">
        <f>VLOOKUP(B67,'Data World'!$A:$AL,MATCH(World!$R$1,'Data World'!$A$1:$AL$1,))</f>
        <v>13.2</v>
      </c>
      <c r="S67" s="13">
        <f>VLOOKUP(B67,'Data World'!$A:$AL,MATCH(World!$S$1,'Data World'!$A$1:$AL$1,))</f>
        <v>2.4</v>
      </c>
      <c r="T67" s="13">
        <f>VLOOKUP(B67,'Data World'!$A:$AL,MATCH(World!$T$1,'Data World'!$A$1:$AL$1,))</f>
        <v>3.2</v>
      </c>
    </row>
    <row r="68" spans="2:20" s="59" customFormat="1" x14ac:dyDescent="0.2">
      <c r="B68" s="12">
        <v>44012</v>
      </c>
      <c r="C68" s="13">
        <f>VLOOKUP(B68,'Data World'!$A:$AL,MATCH(World!$C$1,'Data World'!$A$1:$AL$1,))</f>
        <v>11.1</v>
      </c>
      <c r="D68" s="13">
        <f>VLOOKUP(B68,'Data World'!$A:$AL,MATCH(World!$D$1,'Data World'!$A$1:$AL$1,))</f>
        <v>8</v>
      </c>
      <c r="E68" s="13">
        <f>VLOOKUP(B68,'Data World'!$A:$AL,MATCH(World!$E$1,'Data World'!$A$1:$AL$1,))</f>
        <v>2.8</v>
      </c>
      <c r="F68" s="13">
        <f>VLOOKUP(B68,'Data World'!$A:$AL,MATCH(World!$F$1,'Data World'!$A$1:$AL$1,))</f>
        <v>3.9</v>
      </c>
      <c r="G68" s="13">
        <f>VLOOKUP(B68,'Data World'!$A:$AL,MATCH(World!$G$1,'Data World'!$A$1:$AL$1,))</f>
        <v>7.5</v>
      </c>
      <c r="H68" s="13">
        <f>VLOOKUP(B68,'Data World'!$A:$AL,MATCH(World!$H$1,'Data World'!$A$1:$AL$1,))</f>
        <v>4.3189039999999999</v>
      </c>
      <c r="I68" s="13">
        <f>VLOOKUP(B68,'Data World'!$A:$AL,MATCH(World!$I$1,'Data World'!$A$1:$AL$1,))</f>
        <v>9.5</v>
      </c>
      <c r="J68" s="13">
        <f>VLOOKUP(B68,'Data World'!$A:$AL,MATCH(World!$J$1,'Data World'!$A$1:$AL$1,))</f>
        <v>15.9</v>
      </c>
      <c r="K68" s="13">
        <f>VLOOKUP(B68,'Data World'!$A:$AL,MATCH(World!$K$1,'Data World'!$A$1:$AL$1,))</f>
        <v>9</v>
      </c>
      <c r="L68" s="13">
        <f>VLOOKUP(B68,'Data World'!$A:$AL,MATCH(World!$L$1,'Data World'!$A$1:$AL$1,))</f>
        <v>5.5320520000000002</v>
      </c>
      <c r="M68" s="13">
        <f>VLOOKUP(B68,'Data World'!$A:$AL,MATCH(World!$M$1,'Data World'!$A$1:$AL$1,))</f>
        <v>12.5</v>
      </c>
      <c r="N68" s="13">
        <f>VLOOKUP(B68,'Data World'!$A:$AL,MATCH(World!$N$1,'Data World'!$A$1:$AL$1,))</f>
        <v>7.3534930000000003</v>
      </c>
      <c r="O68" s="13">
        <f>VLOOKUP(B68,'Data World'!$A:$AL,MATCH(World!$O$1,'Data World'!$A$1:$AL$1,))</f>
        <v>4.2</v>
      </c>
      <c r="P68" s="13">
        <f>VLOOKUP(B68,'Data World'!$A:$AL,MATCH(World!$P$1,'Data World'!$A$1:$AL$1,))</f>
        <v>17.7</v>
      </c>
      <c r="Q68" s="13">
        <f>VLOOKUP(B68,'Data World'!$A:$AL,MATCH(World!$Q$1,'Data World'!$A$1:$AL$1,))</f>
        <v>5.6</v>
      </c>
      <c r="R68" s="13">
        <f>VLOOKUP(B68,'Data World'!$A:$AL,MATCH(World!$R$1,'Data World'!$A$1:$AL$1,))</f>
        <v>13.3</v>
      </c>
      <c r="S68" s="13">
        <f>VLOOKUP(B68,'Data World'!$A:$AL,MATCH(World!$S$1,'Data World'!$A$1:$AL$1,))</f>
        <v>2.7</v>
      </c>
      <c r="T68" s="13">
        <f>VLOOKUP(B68,'Data World'!$A:$AL,MATCH(World!$T$1,'Data World'!$A$1:$AL$1,))</f>
        <v>3.4</v>
      </c>
    </row>
    <row r="69" spans="2:20" s="59" customFormat="1" x14ac:dyDescent="0.2">
      <c r="B69" s="12">
        <v>44043</v>
      </c>
      <c r="C69" s="13">
        <f>VLOOKUP(B69,'Data World'!$A:$AL,MATCH(World!$C$1,'Data World'!$A$1:$AL$1,))</f>
        <v>10.199999999999999</v>
      </c>
      <c r="D69" s="13">
        <f>VLOOKUP(B69,'Data World'!$A:$AL,MATCH(World!$D$1,'Data World'!$A$1:$AL$1,))</f>
        <v>8.4</v>
      </c>
      <c r="E69" s="13">
        <f>VLOOKUP(B69,'Data World'!$A:$AL,MATCH(World!$E$1,'Data World'!$A$1:$AL$1,))</f>
        <v>2.9</v>
      </c>
      <c r="F69" s="13">
        <f>VLOOKUP(B69,'Data World'!$A:$AL,MATCH(World!$F$1,'Data World'!$A$1:$AL$1,))</f>
        <v>4</v>
      </c>
      <c r="G69" s="13">
        <f>VLOOKUP(B69,'Data World'!$A:$AL,MATCH(World!$G$1,'Data World'!$A$1:$AL$1,))</f>
        <v>8.6999999999999993</v>
      </c>
      <c r="H69" s="13">
        <f>VLOOKUP(B69,'Data World'!$A:$AL,MATCH(World!$H$1,'Data World'!$A$1:$AL$1,))</f>
        <v>4.5383909999999998</v>
      </c>
      <c r="I69" s="13">
        <f>VLOOKUP(B69,'Data World'!$A:$AL,MATCH(World!$I$1,'Data World'!$A$1:$AL$1,))</f>
        <v>10.1</v>
      </c>
      <c r="J69" s="13">
        <f>VLOOKUP(B69,'Data World'!$A:$AL,MATCH(World!$J$1,'Data World'!$A$1:$AL$1,))</f>
        <v>16.3</v>
      </c>
      <c r="K69" s="13">
        <f>VLOOKUP(B69,'Data World'!$A:$AL,MATCH(World!$K$1,'Data World'!$A$1:$AL$1,))</f>
        <v>9.1999999999999993</v>
      </c>
      <c r="L69" s="13">
        <f>VLOOKUP(B69,'Data World'!$A:$AL,MATCH(World!$L$1,'Data World'!$A$1:$AL$1,))</f>
        <v>5.1260719999999997</v>
      </c>
      <c r="M69" s="13">
        <f>VLOOKUP(B69,'Data World'!$A:$AL,MATCH(World!$M$1,'Data World'!$A$1:$AL$1,))</f>
        <v>10.9</v>
      </c>
      <c r="N69" s="13">
        <f>VLOOKUP(B69,'Data World'!$A:$AL,MATCH(World!$N$1,'Data World'!$A$1:$AL$1,))</f>
        <v>7.4478520000000001</v>
      </c>
      <c r="O69" s="13">
        <f>VLOOKUP(B69,'Data World'!$A:$AL,MATCH(World!$O$1,'Data World'!$A$1:$AL$1,))</f>
        <v>4.0999999999999996</v>
      </c>
      <c r="P69" s="13">
        <f>VLOOKUP(B69,'Data World'!$A:$AL,MATCH(World!$P$1,'Data World'!$A$1:$AL$1,))</f>
        <v>16.7</v>
      </c>
      <c r="Q69" s="13">
        <f>VLOOKUP(B69,'Data World'!$A:$AL,MATCH(World!$Q$1,'Data World'!$A$1:$AL$1,))</f>
        <v>6.7</v>
      </c>
      <c r="R69" s="13">
        <f>VLOOKUP(B69,'Data World'!$A:$AL,MATCH(World!$R$1,'Data World'!$A$1:$AL$1,))</f>
        <v>14.4</v>
      </c>
      <c r="S69" s="13">
        <f>VLOOKUP(B69,'Data World'!$A:$AL,MATCH(World!$S$1,'Data World'!$A$1:$AL$1,))</f>
        <v>2.9</v>
      </c>
      <c r="T69" s="13">
        <f>VLOOKUP(B69,'Data World'!$A:$AL,MATCH(World!$T$1,'Data World'!$A$1:$AL$1,))</f>
        <v>3.4</v>
      </c>
    </row>
    <row r="70" spans="2:20" s="59" customFormat="1" x14ac:dyDescent="0.2">
      <c r="B70" s="12">
        <v>44074</v>
      </c>
      <c r="C70" s="13">
        <f>VLOOKUP(B70,'Data World'!$A:$AL,MATCH(World!$C$1,'Data World'!$A$1:$AL$1,))</f>
        <v>8.4</v>
      </c>
      <c r="D70" s="13">
        <f>VLOOKUP(B70,'Data World'!$A:$AL,MATCH(World!$D$1,'Data World'!$A$1:$AL$1,))</f>
        <v>8.6</v>
      </c>
      <c r="E70" s="13">
        <f>VLOOKUP(B70,'Data World'!$A:$AL,MATCH(World!$E$1,'Data World'!$A$1:$AL$1,))</f>
        <v>3</v>
      </c>
      <c r="F70" s="13">
        <f>VLOOKUP(B70,'Data World'!$A:$AL,MATCH(World!$F$1,'Data World'!$A$1:$AL$1,))</f>
        <v>4.0999999999999996</v>
      </c>
      <c r="G70" s="13">
        <f>VLOOKUP(B70,'Data World'!$A:$AL,MATCH(World!$G$1,'Data World'!$A$1:$AL$1,))</f>
        <v>9</v>
      </c>
      <c r="H70" s="13">
        <f>VLOOKUP(B70,'Data World'!$A:$AL,MATCH(World!$H$1,'Data World'!$A$1:$AL$1,))</f>
        <v>4.8480699999999999</v>
      </c>
      <c r="I70" s="13">
        <f>VLOOKUP(B70,'Data World'!$A:$AL,MATCH(World!$I$1,'Data World'!$A$1:$AL$1,))</f>
        <v>10</v>
      </c>
      <c r="J70" s="13">
        <f>VLOOKUP(B70,'Data World'!$A:$AL,MATCH(World!$J$1,'Data World'!$A$1:$AL$1,))</f>
        <v>16.600000000000001</v>
      </c>
      <c r="K70" s="13">
        <f>VLOOKUP(B70,'Data World'!$A:$AL,MATCH(World!$K$1,'Data World'!$A$1:$AL$1,))</f>
        <v>9</v>
      </c>
      <c r="L70" s="13">
        <f>VLOOKUP(B70,'Data World'!$A:$AL,MATCH(World!$L$1,'Data World'!$A$1:$AL$1,))</f>
        <v>4.948359</v>
      </c>
      <c r="M70" s="13">
        <f>VLOOKUP(B70,'Data World'!$A:$AL,MATCH(World!$M$1,'Data World'!$A$1:$AL$1,))</f>
        <v>10.199999999999999</v>
      </c>
      <c r="N70" s="13">
        <f>VLOOKUP(B70,'Data World'!$A:$AL,MATCH(World!$N$1,'Data World'!$A$1:$AL$1,))</f>
        <v>6.7581170000000004</v>
      </c>
      <c r="O70" s="13">
        <f>VLOOKUP(B70,'Data World'!$A:$AL,MATCH(World!$O$1,'Data World'!$A$1:$AL$1,))</f>
        <v>3.3</v>
      </c>
      <c r="P70" s="13">
        <f>VLOOKUP(B70,'Data World'!$A:$AL,MATCH(World!$P$1,'Data World'!$A$1:$AL$1,))</f>
        <v>17</v>
      </c>
      <c r="Q70" s="13">
        <f>VLOOKUP(B70,'Data World'!$A:$AL,MATCH(World!$Q$1,'Data World'!$A$1:$AL$1,))</f>
        <v>7.1</v>
      </c>
      <c r="R70" s="13">
        <f>VLOOKUP(B70,'Data World'!$A:$AL,MATCH(World!$R$1,'Data World'!$A$1:$AL$1,))</f>
        <v>12.9</v>
      </c>
      <c r="S70" s="13">
        <f>VLOOKUP(B70,'Data World'!$A:$AL,MATCH(World!$S$1,'Data World'!$A$1:$AL$1,))</f>
        <v>2.7</v>
      </c>
      <c r="T70" s="13">
        <f>VLOOKUP(B70,'Data World'!$A:$AL,MATCH(World!$T$1,'Data World'!$A$1:$AL$1,))</f>
        <v>3.3</v>
      </c>
    </row>
    <row r="71" spans="2:20" s="59" customFormat="1" x14ac:dyDescent="0.2">
      <c r="B71" s="12">
        <v>44104</v>
      </c>
      <c r="C71" s="13">
        <f>VLOOKUP(B71,'Data World'!$A:$AL,MATCH(World!$C$1,'Data World'!$A$1:$AL$1,))</f>
        <v>7.8</v>
      </c>
      <c r="D71" s="13">
        <f>VLOOKUP(B71,'Data World'!$A:$AL,MATCH(World!$D$1,'Data World'!$A$1:$AL$1,))</f>
        <v>8.6</v>
      </c>
      <c r="E71" s="13">
        <f>VLOOKUP(B71,'Data World'!$A:$AL,MATCH(World!$E$1,'Data World'!$A$1:$AL$1,))</f>
        <v>3</v>
      </c>
      <c r="F71" s="13">
        <f>VLOOKUP(B71,'Data World'!$A:$AL,MATCH(World!$F$1,'Data World'!$A$1:$AL$1,))</f>
        <v>4.0999999999999996</v>
      </c>
      <c r="G71" s="13">
        <f>VLOOKUP(B71,'Data World'!$A:$AL,MATCH(World!$G$1,'Data World'!$A$1:$AL$1,))</f>
        <v>9</v>
      </c>
      <c r="H71" s="13">
        <f>VLOOKUP(B71,'Data World'!$A:$AL,MATCH(World!$H$1,'Data World'!$A$1:$AL$1,))</f>
        <v>5.0499239999999999</v>
      </c>
      <c r="I71" s="13">
        <f>VLOOKUP(B71,'Data World'!$A:$AL,MATCH(World!$I$1,'Data World'!$A$1:$AL$1,))</f>
        <v>10.1</v>
      </c>
      <c r="J71" s="13">
        <f>VLOOKUP(B71,'Data World'!$A:$AL,MATCH(World!$J$1,'Data World'!$A$1:$AL$1,))</f>
        <v>16.5</v>
      </c>
      <c r="K71" s="13">
        <f>VLOOKUP(B71,'Data World'!$A:$AL,MATCH(World!$K$1,'Data World'!$A$1:$AL$1,))</f>
        <v>8.9</v>
      </c>
      <c r="L71" s="13">
        <f>VLOOKUP(B71,'Data World'!$A:$AL,MATCH(World!$L$1,'Data World'!$A$1:$AL$1,))</f>
        <v>4.791512</v>
      </c>
      <c r="M71" s="13">
        <f>VLOOKUP(B71,'Data World'!$A:$AL,MATCH(World!$M$1,'Data World'!$A$1:$AL$1,))</f>
        <v>9.1999999999999993</v>
      </c>
      <c r="N71" s="13">
        <f>VLOOKUP(B71,'Data World'!$A:$AL,MATCH(World!$N$1,'Data World'!$A$1:$AL$1,))</f>
        <v>6.8547419999999999</v>
      </c>
      <c r="O71" s="13">
        <f>VLOOKUP(B71,'Data World'!$A:$AL,MATCH(World!$O$1,'Data World'!$A$1:$AL$1,))</f>
        <v>4</v>
      </c>
      <c r="P71" s="13">
        <f>VLOOKUP(B71,'Data World'!$A:$AL,MATCH(World!$P$1,'Data World'!$A$1:$AL$1,))</f>
        <v>16.5</v>
      </c>
      <c r="Q71" s="13">
        <f>VLOOKUP(B71,'Data World'!$A:$AL,MATCH(World!$Q$1,'Data World'!$A$1:$AL$1,))</f>
        <v>7.2</v>
      </c>
      <c r="R71" s="13">
        <f>VLOOKUP(B71,'Data World'!$A:$AL,MATCH(World!$R$1,'Data World'!$A$1:$AL$1,))</f>
        <v>12.8</v>
      </c>
      <c r="S71" s="13">
        <f>VLOOKUP(B71,'Data World'!$A:$AL,MATCH(World!$S$1,'Data World'!$A$1:$AL$1,))</f>
        <v>2.8</v>
      </c>
      <c r="T71" s="13">
        <f>VLOOKUP(B71,'Data World'!$A:$AL,MATCH(World!$T$1,'Data World'!$A$1:$AL$1,))</f>
        <v>3.3</v>
      </c>
    </row>
    <row r="72" spans="2:20" s="59" customFormat="1" x14ac:dyDescent="0.2">
      <c r="B72" s="12">
        <v>44135</v>
      </c>
      <c r="C72" s="13">
        <f>VLOOKUP(B72,'Data World'!$A:$AL,MATCH(World!$C$1,'Data World'!$A$1:$AL$1,))</f>
        <v>6.9</v>
      </c>
      <c r="D72" s="13">
        <f>VLOOKUP(B72,'Data World'!$A:$AL,MATCH(World!$D$1,'Data World'!$A$1:$AL$1,))</f>
        <v>8.4</v>
      </c>
      <c r="E72" s="13">
        <f>VLOOKUP(B72,'Data World'!$A:$AL,MATCH(World!$E$1,'Data World'!$A$1:$AL$1,))</f>
        <v>3.1</v>
      </c>
      <c r="F72" s="13">
        <f>VLOOKUP(B72,'Data World'!$A:$AL,MATCH(World!$F$1,'Data World'!$A$1:$AL$1,))</f>
        <v>4.0999999999999996</v>
      </c>
      <c r="G72" s="13">
        <f>VLOOKUP(B72,'Data World'!$A:$AL,MATCH(World!$G$1,'Data World'!$A$1:$AL$1,))</f>
        <v>8.3000000000000007</v>
      </c>
      <c r="H72" s="13">
        <f>VLOOKUP(B72,'Data World'!$A:$AL,MATCH(World!$H$1,'Data World'!$A$1:$AL$1,))</f>
        <v>5.1072100000000002</v>
      </c>
      <c r="I72" s="13">
        <f>VLOOKUP(B72,'Data World'!$A:$AL,MATCH(World!$I$1,'Data World'!$A$1:$AL$1,))</f>
        <v>10</v>
      </c>
      <c r="J72" s="13">
        <f>VLOOKUP(B72,'Data World'!$A:$AL,MATCH(World!$J$1,'Data World'!$A$1:$AL$1,))</f>
        <v>16.3</v>
      </c>
      <c r="K72" s="13">
        <f>VLOOKUP(B72,'Data World'!$A:$AL,MATCH(World!$K$1,'Data World'!$A$1:$AL$1,))</f>
        <v>8.6999999999999993</v>
      </c>
      <c r="L72" s="13">
        <f>VLOOKUP(B72,'Data World'!$A:$AL,MATCH(World!$L$1,'Data World'!$A$1:$AL$1,))</f>
        <v>4.6303010000000002</v>
      </c>
      <c r="M72" s="13">
        <f>VLOOKUP(B72,'Data World'!$A:$AL,MATCH(World!$M$1,'Data World'!$A$1:$AL$1,))</f>
        <v>9</v>
      </c>
      <c r="N72" s="13">
        <f>VLOOKUP(B72,'Data World'!$A:$AL,MATCH(World!$N$1,'Data World'!$A$1:$AL$1,))</f>
        <v>6.9360290000000004</v>
      </c>
      <c r="O72" s="13">
        <f>VLOOKUP(B72,'Data World'!$A:$AL,MATCH(World!$O$1,'Data World'!$A$1:$AL$1,))</f>
        <v>4.2</v>
      </c>
      <c r="P72" s="13">
        <f>VLOOKUP(B72,'Data World'!$A:$AL,MATCH(World!$P$1,'Data World'!$A$1:$AL$1,))</f>
        <v>16.399999999999999</v>
      </c>
      <c r="Q72" s="13">
        <f>VLOOKUP(B72,'Data World'!$A:$AL,MATCH(World!$Q$1,'Data World'!$A$1:$AL$1,))</f>
        <v>6.3</v>
      </c>
      <c r="R72" s="13">
        <f>VLOOKUP(B72,'Data World'!$A:$AL,MATCH(World!$R$1,'Data World'!$A$1:$AL$1,))</f>
        <v>13</v>
      </c>
      <c r="S72" s="13">
        <f>VLOOKUP(B72,'Data World'!$A:$AL,MATCH(World!$S$1,'Data World'!$A$1:$AL$1,))</f>
        <v>3.2</v>
      </c>
      <c r="T72" s="13">
        <f>VLOOKUP(B72,'Data World'!$A:$AL,MATCH(World!$T$1,'Data World'!$A$1:$AL$1,))</f>
        <v>3.2</v>
      </c>
    </row>
    <row r="73" spans="2:20" s="59" customFormat="1" x14ac:dyDescent="0.2">
      <c r="B73" s="12">
        <v>44165</v>
      </c>
      <c r="C73" s="13">
        <f>VLOOKUP(B73,'Data World'!$A:$AL,MATCH(World!$C$1,'Data World'!$A$1:$AL$1,))</f>
        <v>6.7</v>
      </c>
      <c r="D73" s="13">
        <f>VLOOKUP(B73,'Data World'!$A:$AL,MATCH(World!$D$1,'Data World'!$A$1:$AL$1,))</f>
        <v>8.1</v>
      </c>
      <c r="E73" s="13">
        <f>VLOOKUP(B73,'Data World'!$A:$AL,MATCH(World!$E$1,'Data World'!$A$1:$AL$1,))</f>
        <v>3</v>
      </c>
      <c r="F73" s="13">
        <f>VLOOKUP(B73,'Data World'!$A:$AL,MATCH(World!$F$1,'Data World'!$A$1:$AL$1,))</f>
        <v>4.0999999999999996</v>
      </c>
      <c r="G73" s="13">
        <f>VLOOKUP(B73,'Data World'!$A:$AL,MATCH(World!$G$1,'Data World'!$A$1:$AL$1,))</f>
        <v>8</v>
      </c>
      <c r="H73" s="13">
        <f>VLOOKUP(B73,'Data World'!$A:$AL,MATCH(World!$H$1,'Data World'!$A$1:$AL$1,))</f>
        <v>5.2198320000000002</v>
      </c>
      <c r="I73" s="13">
        <f>VLOOKUP(B73,'Data World'!$A:$AL,MATCH(World!$I$1,'Data World'!$A$1:$AL$1,))</f>
        <v>9.6</v>
      </c>
      <c r="J73" s="13">
        <f>VLOOKUP(B73,'Data World'!$A:$AL,MATCH(World!$J$1,'Data World'!$A$1:$AL$1,))</f>
        <v>16.2</v>
      </c>
      <c r="K73" s="13">
        <f>VLOOKUP(B73,'Data World'!$A:$AL,MATCH(World!$K$1,'Data World'!$A$1:$AL$1,))</f>
        <v>8.3000000000000007</v>
      </c>
      <c r="L73" s="13">
        <f>VLOOKUP(B73,'Data World'!$A:$AL,MATCH(World!$L$1,'Data World'!$A$1:$AL$1,))</f>
        <v>4.4944990000000002</v>
      </c>
      <c r="M73" s="13">
        <f>VLOOKUP(B73,'Data World'!$A:$AL,MATCH(World!$M$1,'Data World'!$A$1:$AL$1,))</f>
        <v>8.6</v>
      </c>
      <c r="N73" s="13">
        <f>VLOOKUP(B73,'Data World'!$A:$AL,MATCH(World!$N$1,'Data World'!$A$1:$AL$1,))</f>
        <v>6.8328199999999999</v>
      </c>
      <c r="O73" s="13">
        <f>VLOOKUP(B73,'Data World'!$A:$AL,MATCH(World!$O$1,'Data World'!$A$1:$AL$1,))</f>
        <v>4.2</v>
      </c>
      <c r="P73" s="13">
        <f>VLOOKUP(B73,'Data World'!$A:$AL,MATCH(World!$P$1,'Data World'!$A$1:$AL$1,))</f>
        <v>16.2</v>
      </c>
      <c r="Q73" s="13">
        <f>VLOOKUP(B73,'Data World'!$A:$AL,MATCH(World!$Q$1,'Data World'!$A$1:$AL$1,))</f>
        <v>6.2</v>
      </c>
      <c r="R73" s="13">
        <f>VLOOKUP(B73,'Data World'!$A:$AL,MATCH(World!$R$1,'Data World'!$A$1:$AL$1,))</f>
        <v>13</v>
      </c>
      <c r="S73" s="13">
        <f>VLOOKUP(B73,'Data World'!$A:$AL,MATCH(World!$S$1,'Data World'!$A$1:$AL$1,))</f>
        <v>2.9</v>
      </c>
      <c r="T73" s="13">
        <f>VLOOKUP(B73,'Data World'!$A:$AL,MATCH(World!$T$1,'Data World'!$A$1:$AL$1,))</f>
        <v>3.2</v>
      </c>
    </row>
    <row r="74" spans="2:20" s="59" customFormat="1" x14ac:dyDescent="0.2">
      <c r="B74" s="12">
        <v>44196</v>
      </c>
      <c r="C74" s="13">
        <f>VLOOKUP(B74,'Data World'!$A:$AL,MATCH(World!$C$1,'Data World'!$A$1:$AL$1,))</f>
        <v>6.7</v>
      </c>
      <c r="D74" s="13">
        <f>VLOOKUP(B74,'Data World'!$A:$AL,MATCH(World!$D$1,'Data World'!$A$1:$AL$1,))</f>
        <v>8.1</v>
      </c>
      <c r="E74" s="13">
        <f>VLOOKUP(B74,'Data World'!$A:$AL,MATCH(World!$E$1,'Data World'!$A$1:$AL$1,))</f>
        <v>3</v>
      </c>
      <c r="F74" s="13">
        <f>VLOOKUP(B74,'Data World'!$A:$AL,MATCH(World!$F$1,'Data World'!$A$1:$AL$1,))</f>
        <v>4</v>
      </c>
      <c r="G74" s="13">
        <f>VLOOKUP(B74,'Data World'!$A:$AL,MATCH(World!$G$1,'Data World'!$A$1:$AL$1,))</f>
        <v>7.8</v>
      </c>
      <c r="H74" s="13">
        <f>VLOOKUP(B74,'Data World'!$A:$AL,MATCH(World!$H$1,'Data World'!$A$1:$AL$1,))</f>
        <v>5.1340260000000004</v>
      </c>
      <c r="I74" s="13">
        <f>VLOOKUP(B74,'Data World'!$A:$AL,MATCH(World!$I$1,'Data World'!$A$1:$AL$1,))</f>
        <v>9.8000000000000007</v>
      </c>
      <c r="J74" s="13">
        <f>VLOOKUP(B74,'Data World'!$A:$AL,MATCH(World!$J$1,'Data World'!$A$1:$AL$1,))</f>
        <v>16.2</v>
      </c>
      <c r="K74" s="13">
        <f>VLOOKUP(B74,'Data World'!$A:$AL,MATCH(World!$K$1,'Data World'!$A$1:$AL$1,))</f>
        <v>8.8000000000000007</v>
      </c>
      <c r="L74" s="13">
        <f>VLOOKUP(B74,'Data World'!$A:$AL,MATCH(World!$L$1,'Data World'!$A$1:$AL$1,))</f>
        <v>4.237476</v>
      </c>
      <c r="M74" s="13">
        <f>VLOOKUP(B74,'Data World'!$A:$AL,MATCH(World!$M$1,'Data World'!$A$1:$AL$1,))</f>
        <v>8.8000000000000007</v>
      </c>
      <c r="N74" s="13">
        <f>VLOOKUP(B74,'Data World'!$A:$AL,MATCH(World!$N$1,'Data World'!$A$1:$AL$1,))</f>
        <v>6.5778499999999998</v>
      </c>
      <c r="O74" s="13">
        <f>VLOOKUP(B74,'Data World'!$A:$AL,MATCH(World!$O$1,'Data World'!$A$1:$AL$1,))</f>
        <v>4.5</v>
      </c>
      <c r="P74" s="13">
        <f>VLOOKUP(B74,'Data World'!$A:$AL,MATCH(World!$P$1,'Data World'!$A$1:$AL$1,))</f>
        <v>15.6</v>
      </c>
      <c r="Q74" s="13">
        <f>VLOOKUP(B74,'Data World'!$A:$AL,MATCH(World!$Q$1,'Data World'!$A$1:$AL$1,))</f>
        <v>6.2</v>
      </c>
      <c r="R74" s="13">
        <f>VLOOKUP(B74,'Data World'!$A:$AL,MATCH(World!$R$1,'Data World'!$A$1:$AL$1,))</f>
        <v>12.8</v>
      </c>
      <c r="S74" s="13">
        <f>VLOOKUP(B74,'Data World'!$A:$AL,MATCH(World!$S$1,'Data World'!$A$1:$AL$1,))</f>
        <v>3.2</v>
      </c>
      <c r="T74" s="13">
        <f>VLOOKUP(B74,'Data World'!$A:$AL,MATCH(World!$T$1,'Data World'!$A$1:$AL$1,))</f>
        <v>3.4</v>
      </c>
    </row>
    <row r="75" spans="2:20" s="59" customFormat="1" x14ac:dyDescent="0.2">
      <c r="B75" s="12">
        <v>44227</v>
      </c>
      <c r="C75" s="13">
        <f>VLOOKUP(B75,'Data World'!$A:$AL,MATCH(World!$C$1,'Data World'!$A$1:$AL$1,))</f>
        <v>6.3</v>
      </c>
      <c r="D75" s="13">
        <f>VLOOKUP(B75,'Data World'!$A:$AL,MATCH(World!$D$1,'Data World'!$A$1:$AL$1,))</f>
        <v>8.1999999999999993</v>
      </c>
      <c r="E75" s="13">
        <f>VLOOKUP(B75,'Data World'!$A:$AL,MATCH(World!$E$1,'Data World'!$A$1:$AL$1,))</f>
        <v>2.9</v>
      </c>
      <c r="F75" s="13">
        <f>VLOOKUP(B75,'Data World'!$A:$AL,MATCH(World!$F$1,'Data World'!$A$1:$AL$1,))</f>
        <v>3.9</v>
      </c>
      <c r="G75" s="13">
        <f>VLOOKUP(B75,'Data World'!$A:$AL,MATCH(World!$G$1,'Data World'!$A$1:$AL$1,))</f>
        <v>7.9</v>
      </c>
      <c r="H75" s="13">
        <f>VLOOKUP(B75,'Data World'!$A:$AL,MATCH(World!$H$1,'Data World'!$A$1:$AL$1,))</f>
        <v>5.034872</v>
      </c>
      <c r="I75" s="13">
        <f>VLOOKUP(B75,'Data World'!$A:$AL,MATCH(World!$I$1,'Data World'!$A$1:$AL$1,))</f>
        <v>10.199999999999999</v>
      </c>
      <c r="J75" s="13">
        <f>VLOOKUP(B75,'Data World'!$A:$AL,MATCH(World!$J$1,'Data World'!$A$1:$AL$1,))</f>
        <v>15.8</v>
      </c>
      <c r="K75" s="13">
        <f>VLOOKUP(B75,'Data World'!$A:$AL,MATCH(World!$K$1,'Data World'!$A$1:$AL$1,))</f>
        <v>9</v>
      </c>
      <c r="L75" s="13">
        <f>VLOOKUP(B75,'Data World'!$A:$AL,MATCH(World!$L$1,'Data World'!$A$1:$AL$1,))</f>
        <v>4.4792059999999996</v>
      </c>
      <c r="M75" s="13">
        <f>VLOOKUP(B75,'Data World'!$A:$AL,MATCH(World!$M$1,'Data World'!$A$1:$AL$1,))</f>
        <v>9.4</v>
      </c>
      <c r="N75" s="13">
        <f>VLOOKUP(B75,'Data World'!$A:$AL,MATCH(World!$N$1,'Data World'!$A$1:$AL$1,))</f>
        <v>6.3993539999999998</v>
      </c>
      <c r="O75" s="13">
        <f>VLOOKUP(B75,'Data World'!$A:$AL,MATCH(World!$O$1,'Data World'!$A$1:$AL$1,))</f>
        <v>5.4</v>
      </c>
      <c r="P75" s="13">
        <f>VLOOKUP(B75,'Data World'!$A:$AL,MATCH(World!$P$1,'Data World'!$A$1:$AL$1,))</f>
        <v>16.399999999999999</v>
      </c>
      <c r="Q75" s="13">
        <f>VLOOKUP(B75,'Data World'!$A:$AL,MATCH(World!$Q$1,'Data World'!$A$1:$AL$1,))</f>
        <v>7</v>
      </c>
      <c r="R75" s="13">
        <f>VLOOKUP(B75,'Data World'!$A:$AL,MATCH(World!$R$1,'Data World'!$A$1:$AL$1,))</f>
        <v>12.7</v>
      </c>
      <c r="S75" s="13">
        <f>VLOOKUP(B75,'Data World'!$A:$AL,MATCH(World!$S$1,'Data World'!$A$1:$AL$1,))</f>
        <v>3.2</v>
      </c>
      <c r="T75" s="13">
        <f>VLOOKUP(B75,'Data World'!$A:$AL,MATCH(World!$T$1,'Data World'!$A$1:$AL$1,))</f>
        <v>3.7</v>
      </c>
    </row>
    <row r="76" spans="2:20" s="59" customFormat="1" x14ac:dyDescent="0.2">
      <c r="B76" s="12">
        <v>44255</v>
      </c>
      <c r="C76" s="13">
        <f>VLOOKUP(B76,'Data World'!$A:$AL,MATCH(World!$C$1,'Data World'!$A$1:$AL$1,))</f>
        <v>6.2</v>
      </c>
      <c r="D76" s="13">
        <f>VLOOKUP(B76,'Data World'!$A:$AL,MATCH(World!$D$1,'Data World'!$A$1:$AL$1,))</f>
        <v>8.1</v>
      </c>
      <c r="E76" s="13">
        <f>VLOOKUP(B76,'Data World'!$A:$AL,MATCH(World!$E$1,'Data World'!$A$1:$AL$1,))</f>
        <v>2.9</v>
      </c>
      <c r="F76" s="13">
        <f>VLOOKUP(B76,'Data World'!$A:$AL,MATCH(World!$F$1,'Data World'!$A$1:$AL$1,))</f>
        <v>3.9</v>
      </c>
      <c r="G76" s="13">
        <f>VLOOKUP(B76,'Data World'!$A:$AL,MATCH(World!$G$1,'Data World'!$A$1:$AL$1,))</f>
        <v>8.1</v>
      </c>
      <c r="H76" s="13">
        <f>VLOOKUP(B76,'Data World'!$A:$AL,MATCH(World!$H$1,'Data World'!$A$1:$AL$1,))</f>
        <v>4.8856159999999997</v>
      </c>
      <c r="I76" s="13">
        <f>VLOOKUP(B76,'Data World'!$A:$AL,MATCH(World!$I$1,'Data World'!$A$1:$AL$1,))</f>
        <v>10.1</v>
      </c>
      <c r="J76" s="13">
        <f>VLOOKUP(B76,'Data World'!$A:$AL,MATCH(World!$J$1,'Data World'!$A$1:$AL$1,))</f>
        <v>15.7</v>
      </c>
      <c r="K76" s="13">
        <f>VLOOKUP(B76,'Data World'!$A:$AL,MATCH(World!$K$1,'Data World'!$A$1:$AL$1,))</f>
        <v>9</v>
      </c>
      <c r="L76" s="13">
        <f>VLOOKUP(B76,'Data World'!$A:$AL,MATCH(World!$L$1,'Data World'!$A$1:$AL$1,))</f>
        <v>4.4100720000000004</v>
      </c>
      <c r="M76" s="13">
        <f>VLOOKUP(B76,'Data World'!$A:$AL,MATCH(World!$M$1,'Data World'!$A$1:$AL$1,))</f>
        <v>8.1999999999999993</v>
      </c>
      <c r="N76" s="13">
        <f>VLOOKUP(B76,'Data World'!$A:$AL,MATCH(World!$N$1,'Data World'!$A$1:$AL$1,))</f>
        <v>5.8625129999999999</v>
      </c>
      <c r="O76" s="13">
        <f>VLOOKUP(B76,'Data World'!$A:$AL,MATCH(World!$O$1,'Data World'!$A$1:$AL$1,))</f>
        <v>4</v>
      </c>
      <c r="P76" s="13">
        <f>VLOOKUP(B76,'Data World'!$A:$AL,MATCH(World!$P$1,'Data World'!$A$1:$AL$1,))</f>
        <v>16.3</v>
      </c>
      <c r="Q76" s="13">
        <f>VLOOKUP(B76,'Data World'!$A:$AL,MATCH(World!$Q$1,'Data World'!$A$1:$AL$1,))</f>
        <v>7.6</v>
      </c>
      <c r="R76" s="13">
        <f>VLOOKUP(B76,'Data World'!$A:$AL,MATCH(World!$R$1,'Data World'!$A$1:$AL$1,))</f>
        <v>13.2</v>
      </c>
      <c r="S76" s="13">
        <f>VLOOKUP(B76,'Data World'!$A:$AL,MATCH(World!$S$1,'Data World'!$A$1:$AL$1,))</f>
        <v>3.2</v>
      </c>
      <c r="T76" s="13">
        <f>VLOOKUP(B76,'Data World'!$A:$AL,MATCH(World!$T$1,'Data World'!$A$1:$AL$1,))</f>
        <v>3.9</v>
      </c>
    </row>
    <row r="77" spans="2:20" s="59" customFormat="1" x14ac:dyDescent="0.2">
      <c r="B77" s="12">
        <v>44286</v>
      </c>
      <c r="C77" s="13">
        <f>VLOOKUP(B77,'Data World'!$A:$AL,MATCH(World!$C$1,'Data World'!$A$1:$AL$1,))</f>
        <v>6</v>
      </c>
      <c r="D77" s="13">
        <f>VLOOKUP(B77,'Data World'!$A:$AL,MATCH(World!$D$1,'Data World'!$A$1:$AL$1,))</f>
        <v>8</v>
      </c>
      <c r="E77" s="13">
        <f>VLOOKUP(B77,'Data World'!$A:$AL,MATCH(World!$E$1,'Data World'!$A$1:$AL$1,))</f>
        <v>2.6</v>
      </c>
      <c r="F77" s="13">
        <f>VLOOKUP(B77,'Data World'!$A:$AL,MATCH(World!$F$1,'Data World'!$A$1:$AL$1,))</f>
        <v>3.8</v>
      </c>
      <c r="G77" s="13">
        <f>VLOOKUP(B77,'Data World'!$A:$AL,MATCH(World!$G$1,'Data World'!$A$1:$AL$1,))</f>
        <v>8.1</v>
      </c>
      <c r="H77" s="13">
        <f>VLOOKUP(B77,'Data World'!$A:$AL,MATCH(World!$H$1,'Data World'!$A$1:$AL$1,))</f>
        <v>4.8407559999999998</v>
      </c>
      <c r="I77" s="13">
        <f>VLOOKUP(B77,'Data World'!$A:$AL,MATCH(World!$I$1,'Data World'!$A$1:$AL$1,))</f>
        <v>10</v>
      </c>
      <c r="J77" s="13">
        <f>VLOOKUP(B77,'Data World'!$A:$AL,MATCH(World!$J$1,'Data World'!$A$1:$AL$1,))</f>
        <v>15.4</v>
      </c>
      <c r="K77" s="13">
        <f>VLOOKUP(B77,'Data World'!$A:$AL,MATCH(World!$K$1,'Data World'!$A$1:$AL$1,))</f>
        <v>9.5</v>
      </c>
      <c r="L77" s="13">
        <f>VLOOKUP(B77,'Data World'!$A:$AL,MATCH(World!$L$1,'Data World'!$A$1:$AL$1,))</f>
        <v>4.309412</v>
      </c>
      <c r="M77" s="13">
        <f>VLOOKUP(B77,'Data World'!$A:$AL,MATCH(World!$M$1,'Data World'!$A$1:$AL$1,))</f>
        <v>7.5</v>
      </c>
      <c r="N77" s="13">
        <f>VLOOKUP(B77,'Data World'!$A:$AL,MATCH(World!$N$1,'Data World'!$A$1:$AL$1,))</f>
        <v>5.6935710000000004</v>
      </c>
      <c r="O77" s="13">
        <f>VLOOKUP(B77,'Data World'!$A:$AL,MATCH(World!$O$1,'Data World'!$A$1:$AL$1,))</f>
        <v>3.9</v>
      </c>
      <c r="P77" s="13">
        <f>VLOOKUP(B77,'Data World'!$A:$AL,MATCH(World!$P$1,'Data World'!$A$1:$AL$1,))</f>
        <v>16.5</v>
      </c>
      <c r="Q77" s="13">
        <f>VLOOKUP(B77,'Data World'!$A:$AL,MATCH(World!$Q$1,'Data World'!$A$1:$AL$1,))</f>
        <v>7.9</v>
      </c>
      <c r="R77" s="13">
        <f>VLOOKUP(B77,'Data World'!$A:$AL,MATCH(World!$R$1,'Data World'!$A$1:$AL$1,))</f>
        <v>13</v>
      </c>
      <c r="S77" s="13">
        <f>VLOOKUP(B77,'Data World'!$A:$AL,MATCH(World!$S$1,'Data World'!$A$1:$AL$1,))</f>
        <v>3.4</v>
      </c>
      <c r="T77" s="13">
        <f>VLOOKUP(B77,'Data World'!$A:$AL,MATCH(World!$T$1,'Data World'!$A$1:$AL$1,))</f>
        <v>3.9</v>
      </c>
    </row>
    <row r="78" spans="2:20" s="59" customFormat="1" x14ac:dyDescent="0.2">
      <c r="B78" s="12">
        <v>44316</v>
      </c>
      <c r="C78" s="13">
        <f>VLOOKUP(B78,'Data World'!$A:$AL,MATCH(World!$C$1,'Data World'!$A$1:$AL$1,))</f>
        <v>6.1</v>
      </c>
      <c r="D78" s="13">
        <f>VLOOKUP(B78,'Data World'!$A:$AL,MATCH(World!$D$1,'Data World'!$A$1:$AL$1,))</f>
        <v>8.1</v>
      </c>
      <c r="E78" s="13">
        <f>VLOOKUP(B78,'Data World'!$A:$AL,MATCH(World!$E$1,'Data World'!$A$1:$AL$1,))</f>
        <v>2.8</v>
      </c>
      <c r="F78" s="13">
        <f>VLOOKUP(B78,'Data World'!$A:$AL,MATCH(World!$F$1,'Data World'!$A$1:$AL$1,))</f>
        <v>3.7</v>
      </c>
      <c r="G78" s="13">
        <f>VLOOKUP(B78,'Data World'!$A:$AL,MATCH(World!$G$1,'Data World'!$A$1:$AL$1,))</f>
        <v>8.3000000000000007</v>
      </c>
      <c r="H78" s="13">
        <f>VLOOKUP(B78,'Data World'!$A:$AL,MATCH(World!$H$1,'Data World'!$A$1:$AL$1,))</f>
        <v>4.8394430000000002</v>
      </c>
      <c r="I78" s="13">
        <f>VLOOKUP(B78,'Data World'!$A:$AL,MATCH(World!$I$1,'Data World'!$A$1:$AL$1,))</f>
        <v>10.1</v>
      </c>
      <c r="J78" s="13">
        <f>VLOOKUP(B78,'Data World'!$A:$AL,MATCH(World!$J$1,'Data World'!$A$1:$AL$1,))</f>
        <v>15.4</v>
      </c>
      <c r="K78" s="13">
        <f>VLOOKUP(B78,'Data World'!$A:$AL,MATCH(World!$K$1,'Data World'!$A$1:$AL$1,))</f>
        <v>9.1</v>
      </c>
      <c r="L78" s="13">
        <f>VLOOKUP(B78,'Data World'!$A:$AL,MATCH(World!$L$1,'Data World'!$A$1:$AL$1,))</f>
        <v>4.8367290000000001</v>
      </c>
      <c r="M78" s="13">
        <f>VLOOKUP(B78,'Data World'!$A:$AL,MATCH(World!$M$1,'Data World'!$A$1:$AL$1,))</f>
        <v>8.1</v>
      </c>
      <c r="N78" s="13">
        <f>VLOOKUP(B78,'Data World'!$A:$AL,MATCH(World!$N$1,'Data World'!$A$1:$AL$1,))</f>
        <v>5.4703900000000001</v>
      </c>
      <c r="O78" s="13">
        <f>VLOOKUP(B78,'Data World'!$A:$AL,MATCH(World!$O$1,'Data World'!$A$1:$AL$1,))</f>
        <v>3.7</v>
      </c>
      <c r="P78" s="13">
        <f>VLOOKUP(B78,'Data World'!$A:$AL,MATCH(World!$P$1,'Data World'!$A$1:$AL$1,))</f>
        <v>17.3</v>
      </c>
      <c r="Q78" s="13">
        <f>VLOOKUP(B78,'Data World'!$A:$AL,MATCH(World!$Q$1,'Data World'!$A$1:$AL$1,))</f>
        <v>7.6</v>
      </c>
      <c r="R78" s="13">
        <f>VLOOKUP(B78,'Data World'!$A:$AL,MATCH(World!$R$1,'Data World'!$A$1:$AL$1,))</f>
        <v>13.4</v>
      </c>
      <c r="S78" s="13">
        <f>VLOOKUP(B78,'Data World'!$A:$AL,MATCH(World!$S$1,'Data World'!$A$1:$AL$1,))</f>
        <v>3.3</v>
      </c>
      <c r="T78" s="13">
        <f>VLOOKUP(B78,'Data World'!$A:$AL,MATCH(World!$T$1,'Data World'!$A$1:$AL$1,))</f>
        <v>3.7</v>
      </c>
    </row>
    <row r="79" spans="2:20" s="59" customFormat="1" x14ac:dyDescent="0.2">
      <c r="B79" s="12">
        <v>44347</v>
      </c>
      <c r="C79" s="13">
        <f>VLOOKUP(B79,'Data World'!$A:$AL,MATCH(World!$C$1,'Data World'!$A$1:$AL$1,))</f>
        <v>5.8</v>
      </c>
      <c r="D79" s="13">
        <f>VLOOKUP(B79,'Data World'!$A:$AL,MATCH(World!$D$1,'Data World'!$A$1:$AL$1,))</f>
        <v>8</v>
      </c>
      <c r="E79" s="13">
        <f>VLOOKUP(B79,'Data World'!$A:$AL,MATCH(World!$E$1,'Data World'!$A$1:$AL$1,))</f>
        <v>3</v>
      </c>
      <c r="F79" s="13">
        <f>VLOOKUP(B79,'Data World'!$A:$AL,MATCH(World!$F$1,'Data World'!$A$1:$AL$1,))</f>
        <v>3.6</v>
      </c>
      <c r="G79" s="13">
        <f>VLOOKUP(B79,'Data World'!$A:$AL,MATCH(World!$G$1,'Data World'!$A$1:$AL$1,))</f>
        <v>8.3000000000000007</v>
      </c>
      <c r="H79" s="13">
        <f>VLOOKUP(B79,'Data World'!$A:$AL,MATCH(World!$H$1,'Data World'!$A$1:$AL$1,))</f>
        <v>4.7239149999999999</v>
      </c>
      <c r="I79" s="13">
        <f>VLOOKUP(B79,'Data World'!$A:$AL,MATCH(World!$I$1,'Data World'!$A$1:$AL$1,))</f>
        <v>9.9</v>
      </c>
      <c r="J79" s="13">
        <f>VLOOKUP(B79,'Data World'!$A:$AL,MATCH(World!$J$1,'Data World'!$A$1:$AL$1,))</f>
        <v>15.4</v>
      </c>
      <c r="K79" s="13">
        <f>VLOOKUP(B79,'Data World'!$A:$AL,MATCH(World!$K$1,'Data World'!$A$1:$AL$1,))</f>
        <v>9.1</v>
      </c>
      <c r="L79" s="13">
        <f>VLOOKUP(B79,'Data World'!$A:$AL,MATCH(World!$L$1,'Data World'!$A$1:$AL$1,))</f>
        <v>4.1460720000000002</v>
      </c>
      <c r="M79" s="13">
        <f>VLOOKUP(B79,'Data World'!$A:$AL,MATCH(World!$M$1,'Data World'!$A$1:$AL$1,))</f>
        <v>8.1999999999999993</v>
      </c>
      <c r="N79" s="13">
        <f>VLOOKUP(B79,'Data World'!$A:$AL,MATCH(World!$N$1,'Data World'!$A$1:$AL$1,))</f>
        <v>5.0642990000000001</v>
      </c>
      <c r="O79" s="13">
        <f>VLOOKUP(B79,'Data World'!$A:$AL,MATCH(World!$O$1,'Data World'!$A$1:$AL$1,))</f>
        <v>3.8</v>
      </c>
      <c r="P79" s="13">
        <f>VLOOKUP(B79,'Data World'!$A:$AL,MATCH(World!$P$1,'Data World'!$A$1:$AL$1,))</f>
        <v>15.9</v>
      </c>
      <c r="Q79" s="13">
        <f>VLOOKUP(B79,'Data World'!$A:$AL,MATCH(World!$Q$1,'Data World'!$A$1:$AL$1,))</f>
        <v>6.9</v>
      </c>
      <c r="R79" s="13">
        <f>VLOOKUP(B79,'Data World'!$A:$AL,MATCH(World!$R$1,'Data World'!$A$1:$AL$1,))</f>
        <v>12.6</v>
      </c>
      <c r="S79" s="13">
        <f>VLOOKUP(B79,'Data World'!$A:$AL,MATCH(World!$S$1,'Data World'!$A$1:$AL$1,))</f>
        <v>3.1</v>
      </c>
      <c r="T79" s="13">
        <f>VLOOKUP(B79,'Data World'!$A:$AL,MATCH(World!$T$1,'Data World'!$A$1:$AL$1,))</f>
        <v>3.6</v>
      </c>
    </row>
    <row r="80" spans="2:20" s="59" customFormat="1" x14ac:dyDescent="0.2">
      <c r="B80" s="12">
        <v>44377</v>
      </c>
      <c r="C80" s="13">
        <f>VLOOKUP(B80,'Data World'!$A:$AL,MATCH(World!$C$1,'Data World'!$A$1:$AL$1,))</f>
        <v>5.9</v>
      </c>
      <c r="D80" s="13">
        <f>VLOOKUP(B80,'Data World'!$A:$AL,MATCH(World!$D$1,'Data World'!$A$1:$AL$1,))</f>
        <v>7.8</v>
      </c>
      <c r="E80" s="13">
        <f>VLOOKUP(B80,'Data World'!$A:$AL,MATCH(World!$E$1,'Data World'!$A$1:$AL$1,))</f>
        <v>2.9</v>
      </c>
      <c r="F80" s="13">
        <f>VLOOKUP(B80,'Data World'!$A:$AL,MATCH(World!$F$1,'Data World'!$A$1:$AL$1,))</f>
        <v>3.5</v>
      </c>
      <c r="G80" s="13">
        <f>VLOOKUP(B80,'Data World'!$A:$AL,MATCH(World!$G$1,'Data World'!$A$1:$AL$1,))</f>
        <v>8.1</v>
      </c>
      <c r="H80" s="13">
        <f>VLOOKUP(B80,'Data World'!$A:$AL,MATCH(World!$H$1,'Data World'!$A$1:$AL$1,))</f>
        <v>4.5724629999999999</v>
      </c>
      <c r="I80" s="13">
        <f>VLOOKUP(B80,'Data World'!$A:$AL,MATCH(World!$I$1,'Data World'!$A$1:$AL$1,))</f>
        <v>9.4</v>
      </c>
      <c r="J80" s="13">
        <f>VLOOKUP(B80,'Data World'!$A:$AL,MATCH(World!$J$1,'Data World'!$A$1:$AL$1,))</f>
        <v>15.3</v>
      </c>
      <c r="K80" s="13">
        <f>VLOOKUP(B80,'Data World'!$A:$AL,MATCH(World!$K$1,'Data World'!$A$1:$AL$1,))</f>
        <v>9.4</v>
      </c>
      <c r="L80" s="13">
        <f>VLOOKUP(B80,'Data World'!$A:$AL,MATCH(World!$L$1,'Data World'!$A$1:$AL$1,))</f>
        <v>4.0491729999999997</v>
      </c>
      <c r="M80" s="13">
        <f>VLOOKUP(B80,'Data World'!$A:$AL,MATCH(World!$M$1,'Data World'!$A$1:$AL$1,))</f>
        <v>7.8</v>
      </c>
      <c r="N80" s="13">
        <f>VLOOKUP(B80,'Data World'!$A:$AL,MATCH(World!$N$1,'Data World'!$A$1:$AL$1,))</f>
        <v>4.9055629999999999</v>
      </c>
      <c r="O80" s="13">
        <f>VLOOKUP(B80,'Data World'!$A:$AL,MATCH(World!$O$1,'Data World'!$A$1:$AL$1,))</f>
        <v>3.7</v>
      </c>
      <c r="P80" s="13">
        <f>VLOOKUP(B80,'Data World'!$A:$AL,MATCH(World!$P$1,'Data World'!$A$1:$AL$1,))</f>
        <v>15</v>
      </c>
      <c r="Q80" s="13">
        <f>VLOOKUP(B80,'Data World'!$A:$AL,MATCH(World!$Q$1,'Data World'!$A$1:$AL$1,))</f>
        <v>6.3</v>
      </c>
      <c r="R80" s="13">
        <f>VLOOKUP(B80,'Data World'!$A:$AL,MATCH(World!$R$1,'Data World'!$A$1:$AL$1,))</f>
        <v>10.6</v>
      </c>
      <c r="S80" s="13">
        <f>VLOOKUP(B80,'Data World'!$A:$AL,MATCH(World!$S$1,'Data World'!$A$1:$AL$1,))</f>
        <v>2.8</v>
      </c>
      <c r="T80" s="13">
        <f>VLOOKUP(B80,'Data World'!$A:$AL,MATCH(World!$T$1,'Data World'!$A$1:$AL$1,))</f>
        <v>3.5</v>
      </c>
    </row>
    <row r="81" spans="2:20" s="59" customFormat="1" x14ac:dyDescent="0.2">
      <c r="B81" s="12">
        <v>44408</v>
      </c>
      <c r="C81" s="13">
        <f>VLOOKUP(B81,'Data World'!$A:$AL,MATCH(World!$C$1,'Data World'!$A$1:$AL$1,))</f>
        <v>5.4</v>
      </c>
      <c r="D81" s="13">
        <f>VLOOKUP(B81,'Data World'!$A:$AL,MATCH(World!$D$1,'Data World'!$A$1:$AL$1,))</f>
        <v>7.6</v>
      </c>
      <c r="E81" s="13">
        <f>VLOOKUP(B81,'Data World'!$A:$AL,MATCH(World!$E$1,'Data World'!$A$1:$AL$1,))</f>
        <v>2.8</v>
      </c>
      <c r="F81" s="13">
        <f>VLOOKUP(B81,'Data World'!$A:$AL,MATCH(World!$F$1,'Data World'!$A$1:$AL$1,))</f>
        <v>3.4</v>
      </c>
      <c r="G81" s="13">
        <f>VLOOKUP(B81,'Data World'!$A:$AL,MATCH(World!$G$1,'Data World'!$A$1:$AL$1,))</f>
        <v>8</v>
      </c>
      <c r="H81" s="13">
        <f>VLOOKUP(B81,'Data World'!$A:$AL,MATCH(World!$H$1,'Data World'!$A$1:$AL$1,))</f>
        <v>4.4513720000000001</v>
      </c>
      <c r="I81" s="13">
        <f>VLOOKUP(B81,'Data World'!$A:$AL,MATCH(World!$I$1,'Data World'!$A$1:$AL$1,))</f>
        <v>9.1999999999999993</v>
      </c>
      <c r="J81" s="13">
        <f>VLOOKUP(B81,'Data World'!$A:$AL,MATCH(World!$J$1,'Data World'!$A$1:$AL$1,))</f>
        <v>15</v>
      </c>
      <c r="K81" s="13">
        <f>VLOOKUP(B81,'Data World'!$A:$AL,MATCH(World!$K$1,'Data World'!$A$1:$AL$1,))</f>
        <v>8.3000000000000007</v>
      </c>
      <c r="L81" s="13">
        <f>VLOOKUP(B81,'Data World'!$A:$AL,MATCH(World!$L$1,'Data World'!$A$1:$AL$1,))</f>
        <v>4.2133789999999998</v>
      </c>
      <c r="M81" s="13">
        <f>VLOOKUP(B81,'Data World'!$A:$AL,MATCH(World!$M$1,'Data World'!$A$1:$AL$1,))</f>
        <v>7.5</v>
      </c>
      <c r="N81" s="13">
        <f>VLOOKUP(B81,'Data World'!$A:$AL,MATCH(World!$N$1,'Data World'!$A$1:$AL$1,))</f>
        <v>4.6275310000000003</v>
      </c>
      <c r="O81" s="13">
        <f>VLOOKUP(B81,'Data World'!$A:$AL,MATCH(World!$O$1,'Data World'!$A$1:$AL$1,))</f>
        <v>3.3</v>
      </c>
      <c r="P81" s="13">
        <f>VLOOKUP(B81,'Data World'!$A:$AL,MATCH(World!$P$1,'Data World'!$A$1:$AL$1,))</f>
        <v>14.1</v>
      </c>
      <c r="Q81" s="13">
        <f>VLOOKUP(B81,'Data World'!$A:$AL,MATCH(World!$Q$1,'Data World'!$A$1:$AL$1,))</f>
        <v>5.7</v>
      </c>
      <c r="R81" s="13">
        <f>VLOOKUP(B81,'Data World'!$A:$AL,MATCH(World!$R$1,'Data World'!$A$1:$AL$1,))</f>
        <v>11.9</v>
      </c>
      <c r="S81" s="13">
        <f>VLOOKUP(B81,'Data World'!$A:$AL,MATCH(World!$S$1,'Data World'!$A$1:$AL$1,))</f>
        <v>2.6</v>
      </c>
      <c r="T81" s="13">
        <f>VLOOKUP(B81,'Data World'!$A:$AL,MATCH(World!$T$1,'Data World'!$A$1:$AL$1,))</f>
        <v>3.4</v>
      </c>
    </row>
    <row r="82" spans="2:20" s="59" customFormat="1" x14ac:dyDescent="0.2">
      <c r="B82" s="12">
        <v>44439</v>
      </c>
      <c r="C82" s="13">
        <f>VLOOKUP(B82,'Data World'!$A:$AL,MATCH(World!$C$1,'Data World'!$A$1:$AL$1,))</f>
        <v>5.2</v>
      </c>
      <c r="D82" s="13">
        <f>VLOOKUP(B82,'Data World'!$A:$AL,MATCH(World!$D$1,'Data World'!$A$1:$AL$1,))</f>
        <v>7.5</v>
      </c>
      <c r="E82" s="13">
        <f>VLOOKUP(B82,'Data World'!$A:$AL,MATCH(World!$E$1,'Data World'!$A$1:$AL$1,))</f>
        <v>2.8</v>
      </c>
      <c r="F82" s="13">
        <f>VLOOKUP(B82,'Data World'!$A:$AL,MATCH(World!$F$1,'Data World'!$A$1:$AL$1,))</f>
        <v>3.4</v>
      </c>
      <c r="G82" s="13">
        <f>VLOOKUP(B82,'Data World'!$A:$AL,MATCH(World!$G$1,'Data World'!$A$1:$AL$1,))</f>
        <v>7.9</v>
      </c>
      <c r="H82" s="13">
        <f>VLOOKUP(B82,'Data World'!$A:$AL,MATCH(World!$H$1,'Data World'!$A$1:$AL$1,))</f>
        <v>4.263134</v>
      </c>
      <c r="I82" s="13">
        <f>VLOOKUP(B82,'Data World'!$A:$AL,MATCH(World!$I$1,'Data World'!$A$1:$AL$1,))</f>
        <v>9.3000000000000007</v>
      </c>
      <c r="J82" s="13">
        <f>VLOOKUP(B82,'Data World'!$A:$AL,MATCH(World!$J$1,'Data World'!$A$1:$AL$1,))</f>
        <v>14.8</v>
      </c>
      <c r="K82" s="13">
        <f>VLOOKUP(B82,'Data World'!$A:$AL,MATCH(World!$K$1,'Data World'!$A$1:$AL$1,))</f>
        <v>8.8000000000000007</v>
      </c>
      <c r="L82" s="13">
        <f>VLOOKUP(B82,'Data World'!$A:$AL,MATCH(World!$L$1,'Data World'!$A$1:$AL$1,))</f>
        <v>4.0619880000000004</v>
      </c>
      <c r="M82" s="13">
        <f>VLOOKUP(B82,'Data World'!$A:$AL,MATCH(World!$M$1,'Data World'!$A$1:$AL$1,))</f>
        <v>7.1</v>
      </c>
      <c r="N82" s="13">
        <f>VLOOKUP(B82,'Data World'!$A:$AL,MATCH(World!$N$1,'Data World'!$A$1:$AL$1,))</f>
        <v>4.524375</v>
      </c>
      <c r="O82" s="13">
        <f>VLOOKUP(B82,'Data World'!$A:$AL,MATCH(World!$O$1,'Data World'!$A$1:$AL$1,))</f>
        <v>2.8</v>
      </c>
      <c r="P82" s="13">
        <f>VLOOKUP(B82,'Data World'!$A:$AL,MATCH(World!$P$1,'Data World'!$A$1:$AL$1,))</f>
        <v>13.8</v>
      </c>
      <c r="Q82" s="13">
        <f>VLOOKUP(B82,'Data World'!$A:$AL,MATCH(World!$Q$1,'Data World'!$A$1:$AL$1,))</f>
        <v>5.4</v>
      </c>
      <c r="R82" s="13">
        <f>VLOOKUP(B82,'Data World'!$A:$AL,MATCH(World!$R$1,'Data World'!$A$1:$AL$1,))</f>
        <v>11.8</v>
      </c>
      <c r="S82" s="13">
        <f>VLOOKUP(B82,'Data World'!$A:$AL,MATCH(World!$S$1,'Data World'!$A$1:$AL$1,))</f>
        <v>2.8</v>
      </c>
      <c r="T82" s="13">
        <f>VLOOKUP(B82,'Data World'!$A:$AL,MATCH(World!$T$1,'Data World'!$A$1:$AL$1,))</f>
        <v>3.4</v>
      </c>
    </row>
    <row r="83" spans="2:20" s="59" customFormat="1" x14ac:dyDescent="0.2">
      <c r="B83" s="12">
        <v>44469</v>
      </c>
      <c r="C83" s="13">
        <f>VLOOKUP(B83,'Data World'!$A:$AL,MATCH(World!$C$1,'Data World'!$A$1:$AL$1,))</f>
        <v>4.8</v>
      </c>
      <c r="D83" s="13">
        <f>VLOOKUP(B83,'Data World'!$A:$AL,MATCH(World!$D$1,'Data World'!$A$1:$AL$1,))</f>
        <v>7.4</v>
      </c>
      <c r="E83" s="13">
        <f>VLOOKUP(B83,'Data World'!$A:$AL,MATCH(World!$E$1,'Data World'!$A$1:$AL$1,))</f>
        <v>2.8</v>
      </c>
      <c r="F83" s="13">
        <f>VLOOKUP(B83,'Data World'!$A:$AL,MATCH(World!$F$1,'Data World'!$A$1:$AL$1,))</f>
        <v>3.3</v>
      </c>
      <c r="G83" s="13">
        <f>VLOOKUP(B83,'Data World'!$A:$AL,MATCH(World!$G$1,'Data World'!$A$1:$AL$1,))</f>
        <v>7.7</v>
      </c>
      <c r="H83" s="13">
        <f>VLOOKUP(B83,'Data World'!$A:$AL,MATCH(World!$H$1,'Data World'!$A$1:$AL$1,))</f>
        <v>4.1953060000000004</v>
      </c>
      <c r="I83" s="13">
        <f>VLOOKUP(B83,'Data World'!$A:$AL,MATCH(World!$I$1,'Data World'!$A$1:$AL$1,))</f>
        <v>9.1999999999999993</v>
      </c>
      <c r="J83" s="13">
        <f>VLOOKUP(B83,'Data World'!$A:$AL,MATCH(World!$J$1,'Data World'!$A$1:$AL$1,))</f>
        <v>14.6</v>
      </c>
      <c r="K83" s="13">
        <f>VLOOKUP(B83,'Data World'!$A:$AL,MATCH(World!$K$1,'Data World'!$A$1:$AL$1,))</f>
        <v>8.8000000000000007</v>
      </c>
      <c r="L83" s="13">
        <f>VLOOKUP(B83,'Data World'!$A:$AL,MATCH(World!$L$1,'Data World'!$A$1:$AL$1,))</f>
        <v>3.916452</v>
      </c>
      <c r="M83" s="13">
        <f>VLOOKUP(B83,'Data World'!$A:$AL,MATCH(World!$M$1,'Data World'!$A$1:$AL$1,))</f>
        <v>6.9</v>
      </c>
      <c r="N83" s="13">
        <f>VLOOKUP(B83,'Data World'!$A:$AL,MATCH(World!$N$1,'Data World'!$A$1:$AL$1,))</f>
        <v>4.6310929999999999</v>
      </c>
      <c r="O83" s="13">
        <f>VLOOKUP(B83,'Data World'!$A:$AL,MATCH(World!$O$1,'Data World'!$A$1:$AL$1,))</f>
        <v>3</v>
      </c>
      <c r="P83" s="13">
        <f>VLOOKUP(B83,'Data World'!$A:$AL,MATCH(World!$P$1,'Data World'!$A$1:$AL$1,))</f>
        <v>13.1</v>
      </c>
      <c r="Q83" s="13">
        <f>VLOOKUP(B83,'Data World'!$A:$AL,MATCH(World!$Q$1,'Data World'!$A$1:$AL$1,))</f>
        <v>5.2</v>
      </c>
      <c r="R83" s="13">
        <f>VLOOKUP(B83,'Data World'!$A:$AL,MATCH(World!$R$1,'Data World'!$A$1:$AL$1,))</f>
        <v>11.5</v>
      </c>
      <c r="S83" s="13">
        <f>VLOOKUP(B83,'Data World'!$A:$AL,MATCH(World!$S$1,'Data World'!$A$1:$AL$1,))</f>
        <v>2.6</v>
      </c>
      <c r="T83" s="13">
        <f>VLOOKUP(B83,'Data World'!$A:$AL,MATCH(World!$T$1,'Data World'!$A$1:$AL$1,))</f>
        <v>3.4</v>
      </c>
    </row>
    <row r="84" spans="2:20" s="59" customFormat="1" x14ac:dyDescent="0.2">
      <c r="B84" s="12">
        <v>44500</v>
      </c>
      <c r="C84" s="13">
        <f>VLOOKUP(B84,'Data World'!$A:$AL,MATCH(World!$C$1,'Data World'!$A$1:$AL$1,))</f>
        <v>4.5999999999999996</v>
      </c>
      <c r="D84" s="13">
        <f>VLOOKUP(B84,'Data World'!$A:$AL,MATCH(World!$D$1,'Data World'!$A$1:$AL$1,))</f>
        <v>7.3</v>
      </c>
      <c r="E84" s="13">
        <f>VLOOKUP(B84,'Data World'!$A:$AL,MATCH(World!$E$1,'Data World'!$A$1:$AL$1,))</f>
        <v>2.7</v>
      </c>
      <c r="F84" s="13">
        <f>VLOOKUP(B84,'Data World'!$A:$AL,MATCH(World!$F$1,'Data World'!$A$1:$AL$1,))</f>
        <v>3.3</v>
      </c>
      <c r="G84" s="13">
        <f>VLOOKUP(B84,'Data World'!$A:$AL,MATCH(World!$G$1,'Data World'!$A$1:$AL$1,))</f>
        <v>7.6</v>
      </c>
      <c r="H84" s="13">
        <f>VLOOKUP(B84,'Data World'!$A:$AL,MATCH(World!$H$1,'Data World'!$A$1:$AL$1,))</f>
        <v>4.0828579999999999</v>
      </c>
      <c r="I84" s="13">
        <f>VLOOKUP(B84,'Data World'!$A:$AL,MATCH(World!$I$1,'Data World'!$A$1:$AL$1,))</f>
        <v>9.4</v>
      </c>
      <c r="J84" s="13">
        <f>VLOOKUP(B84,'Data World'!$A:$AL,MATCH(World!$J$1,'Data World'!$A$1:$AL$1,))</f>
        <v>14.5</v>
      </c>
      <c r="K84" s="13">
        <f>VLOOKUP(B84,'Data World'!$A:$AL,MATCH(World!$K$1,'Data World'!$A$1:$AL$1,))</f>
        <v>8.5</v>
      </c>
      <c r="L84" s="13">
        <f>VLOOKUP(B84,'Data World'!$A:$AL,MATCH(World!$L$1,'Data World'!$A$1:$AL$1,))</f>
        <v>3.891146</v>
      </c>
      <c r="M84" s="13">
        <f>VLOOKUP(B84,'Data World'!$A:$AL,MATCH(World!$M$1,'Data World'!$A$1:$AL$1,))</f>
        <v>6.7</v>
      </c>
      <c r="N84" s="13">
        <f>VLOOKUP(B84,'Data World'!$A:$AL,MATCH(World!$N$1,'Data World'!$A$1:$AL$1,))</f>
        <v>5.2228450000000004</v>
      </c>
      <c r="O84" s="13">
        <f>VLOOKUP(B84,'Data World'!$A:$AL,MATCH(World!$O$1,'Data World'!$A$1:$AL$1,))</f>
        <v>3.2</v>
      </c>
      <c r="P84" s="13">
        <f>VLOOKUP(B84,'Data World'!$A:$AL,MATCH(World!$P$1,'Data World'!$A$1:$AL$1,))</f>
        <v>12.9</v>
      </c>
      <c r="Q84" s="13">
        <f>VLOOKUP(B84,'Data World'!$A:$AL,MATCH(World!$Q$1,'Data World'!$A$1:$AL$1,))</f>
        <v>5.2</v>
      </c>
      <c r="R84" s="13">
        <f>VLOOKUP(B84,'Data World'!$A:$AL,MATCH(World!$R$1,'Data World'!$A$1:$AL$1,))</f>
        <v>11.2</v>
      </c>
      <c r="S84" s="13">
        <f>VLOOKUP(B84,'Data World'!$A:$AL,MATCH(World!$S$1,'Data World'!$A$1:$AL$1,))</f>
        <v>2.6</v>
      </c>
      <c r="T84" s="13">
        <f>VLOOKUP(B84,'Data World'!$A:$AL,MATCH(World!$T$1,'Data World'!$A$1:$AL$1,))</f>
        <v>3.4</v>
      </c>
    </row>
    <row r="85" spans="2:20" s="59" customFormat="1" x14ac:dyDescent="0.2">
      <c r="B85" s="12">
        <v>44530</v>
      </c>
      <c r="C85" s="13">
        <f>VLOOKUP(B85,'Data World'!$A:$AL,MATCH(World!$C$1,'Data World'!$A$1:$AL$1,))</f>
        <v>4.2</v>
      </c>
      <c r="D85" s="13">
        <f>VLOOKUP(B85,'Data World'!$A:$AL,MATCH(World!$D$1,'Data World'!$A$1:$AL$1,))</f>
        <v>7.2</v>
      </c>
      <c r="E85" s="13">
        <f>VLOOKUP(B85,'Data World'!$A:$AL,MATCH(World!$E$1,'Data World'!$A$1:$AL$1,))</f>
        <v>2.8</v>
      </c>
      <c r="F85" s="13">
        <f>VLOOKUP(B85,'Data World'!$A:$AL,MATCH(World!$F$1,'Data World'!$A$1:$AL$1,))</f>
        <v>3.2</v>
      </c>
      <c r="G85" s="13">
        <f>VLOOKUP(B85,'Data World'!$A:$AL,MATCH(World!$G$1,'Data World'!$A$1:$AL$1,))</f>
        <v>7.5</v>
      </c>
      <c r="H85" s="13">
        <f>VLOOKUP(B85,'Data World'!$A:$AL,MATCH(World!$H$1,'Data World'!$A$1:$AL$1,))</f>
        <v>0</v>
      </c>
      <c r="I85" s="13">
        <f>VLOOKUP(B85,'Data World'!$A:$AL,MATCH(World!$I$1,'Data World'!$A$1:$AL$1,))</f>
        <v>9.1999999999999993</v>
      </c>
      <c r="J85" s="13">
        <f>VLOOKUP(B85,'Data World'!$A:$AL,MATCH(World!$J$1,'Data World'!$A$1:$AL$1,))</f>
        <v>14.1</v>
      </c>
      <c r="K85" s="13">
        <f>VLOOKUP(B85,'Data World'!$A:$AL,MATCH(World!$K$1,'Data World'!$A$1:$AL$1,))</f>
        <v>8.3000000000000007</v>
      </c>
      <c r="L85" s="13">
        <f>VLOOKUP(B85,'Data World'!$A:$AL,MATCH(World!$L$1,'Data World'!$A$1:$AL$1,))</f>
        <v>3.796662</v>
      </c>
      <c r="M85" s="13">
        <f>VLOOKUP(B85,'Data World'!$A:$AL,MATCH(World!$M$1,'Data World'!$A$1:$AL$1,))</f>
        <v>6</v>
      </c>
      <c r="N85" s="13">
        <f>VLOOKUP(B85,'Data World'!$A:$AL,MATCH(World!$N$1,'Data World'!$A$1:$AL$1,))</f>
        <v>4.6088040000000001</v>
      </c>
      <c r="O85" s="13">
        <f>VLOOKUP(B85,'Data World'!$A:$AL,MATCH(World!$O$1,'Data World'!$A$1:$AL$1,))</f>
        <v>3.1</v>
      </c>
      <c r="P85" s="13">
        <f>VLOOKUP(B85,'Data World'!$A:$AL,MATCH(World!$P$1,'Data World'!$A$1:$AL$1,))</f>
        <v>13.4</v>
      </c>
      <c r="Q85" s="13">
        <f>VLOOKUP(B85,'Data World'!$A:$AL,MATCH(World!$Q$1,'Data World'!$A$1:$AL$1,))</f>
        <v>5.2</v>
      </c>
      <c r="R85" s="13">
        <f>VLOOKUP(B85,'Data World'!$A:$AL,MATCH(World!$R$1,'Data World'!$A$1:$AL$1,))</f>
        <v>11.2</v>
      </c>
      <c r="S85" s="13">
        <f>VLOOKUP(B85,'Data World'!$A:$AL,MATCH(World!$S$1,'Data World'!$A$1:$AL$1,))</f>
        <v>2.2000000000000002</v>
      </c>
      <c r="T85" s="13">
        <f>VLOOKUP(B85,'Data World'!$A:$AL,MATCH(World!$T$1,'Data World'!$A$1:$AL$1,))</f>
        <v>3</v>
      </c>
    </row>
    <row r="86" spans="2:20" s="59" customFormat="1" x14ac:dyDescent="0.2"/>
    <row r="87" spans="2:20" s="59" customFormat="1" x14ac:dyDescent="0.2"/>
    <row r="88" spans="2:20" s="59" customFormat="1" x14ac:dyDescent="0.2"/>
    <row r="89" spans="2:20" s="59" customFormat="1" x14ac:dyDescent="0.2"/>
    <row r="90" spans="2:20" s="59" customFormat="1" x14ac:dyDescent="0.2"/>
    <row r="91" spans="2:20" s="59" customFormat="1" x14ac:dyDescent="0.2"/>
    <row r="92" spans="2:20" s="59" customFormat="1" x14ac:dyDescent="0.2"/>
    <row r="93" spans="2:20" s="59" customFormat="1" x14ac:dyDescent="0.2"/>
    <row r="94" spans="2:20" s="59" customFormat="1" x14ac:dyDescent="0.2"/>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85">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5">
    <cfRule type="colorScale" priority="115">
      <colorScale>
        <cfvo type="min"/>
        <cfvo type="percentile" val="50"/>
        <cfvo type="max"/>
        <color rgb="FF63BE7B"/>
        <color rgb="FFFFEB84"/>
        <color rgb="FFF8696B"/>
      </colorScale>
    </cfRule>
  </conditionalFormatting>
  <conditionalFormatting sqref="D5:D85">
    <cfRule type="colorScale" priority="116">
      <colorScale>
        <cfvo type="min"/>
        <cfvo type="percentile" val="50"/>
        <cfvo type="max"/>
        <color rgb="FF63BE7B"/>
        <color rgb="FFFFEB84"/>
        <color rgb="FFF8696B"/>
      </colorScale>
    </cfRule>
  </conditionalFormatting>
  <conditionalFormatting sqref="E5:E85">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5">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5">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5">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5">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5">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5">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5">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5">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5">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5">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5">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5">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5">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5">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5">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2022-01-22T01:20:30Z</dcterms:modified>
</cp:coreProperties>
</file>