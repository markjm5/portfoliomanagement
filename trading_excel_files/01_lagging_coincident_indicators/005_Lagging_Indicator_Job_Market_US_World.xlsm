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4860" yWindow="180" windowWidth="35860" windowHeight="2188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0" fillId="2" borderId="0" applyAlignment="1" pivotButton="0" quotePrefix="0" xfId="0">
      <alignment wrapText="1"/>
    </xf>
    <xf numFmtId="0" fontId="0" fillId="2" borderId="0" pivotButton="0" quotePrefix="0" xfId="0"/>
    <xf numFmtId="0" fontId="3" fillId="11" borderId="1" applyAlignment="1" pivotButton="0" quotePrefix="0" xfId="0">
      <alignment horizontal="center"/>
    </xf>
    <xf numFmtId="0" fontId="0" fillId="0" borderId="11" pivotButton="0" quotePrefix="0" xfId="0"/>
    <xf numFmtId="0" fontId="0" fillId="0" borderId="12"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NFP!$A$120:$A$1011</f>
              <numCache>
                <formatCode>yyyy\-mm\-dd</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NFP!$E$120:$E$1011</f>
              <numCache>
                <formatCode>General</formatCode>
                <ptCount val="892"/>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NFP!$A$120:$A$1017</f>
              <numCache>
                <formatCode>yyyy\-mm\-dd</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NFP!$E$120:$E$1017</f>
              <numCache>
                <formatCode>General</formatCode>
                <ptCount val="898"/>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NFP!$A$120:$A$1017</f>
              <numCache>
                <formatCode>yyyy\-mm\-dd</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NFP!$F$120:$F$1017</f>
              <numCache>
                <formatCode>General</formatCode>
                <ptCount val="898"/>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Claims!$A$6:$A$2917</f>
              <numCache>
                <formatCode>m/d/yy</formatCode>
                <ptCount val="2912"/>
                <pt idx="0">
                  <v>24486</v>
                </pt>
                <pt idx="1">
                  <v>24493</v>
                </pt>
                <pt idx="2">
                  <v>24500</v>
                </pt>
                <pt idx="3">
                  <v>24507</v>
                </pt>
                <pt idx="4">
                  <v>24514</v>
                </pt>
                <pt idx="5">
                  <v>24521</v>
                </pt>
                <pt idx="6">
                  <v>24528</v>
                </pt>
                <pt idx="7">
                  <v>24535</v>
                </pt>
                <pt idx="8">
                  <v>24542</v>
                </pt>
                <pt idx="9">
                  <v>24549</v>
                </pt>
                <pt idx="10">
                  <v>24556</v>
                </pt>
                <pt idx="11">
                  <v>24563</v>
                </pt>
                <pt idx="12">
                  <v>24570</v>
                </pt>
                <pt idx="13">
                  <v>24577</v>
                </pt>
                <pt idx="14">
                  <v>24584</v>
                </pt>
                <pt idx="15">
                  <v>24591</v>
                </pt>
                <pt idx="16">
                  <v>24598</v>
                </pt>
                <pt idx="17">
                  <v>24605</v>
                </pt>
                <pt idx="18">
                  <v>24612</v>
                </pt>
                <pt idx="19">
                  <v>24619</v>
                </pt>
                <pt idx="20">
                  <v>24626</v>
                </pt>
                <pt idx="21">
                  <v>24633</v>
                </pt>
                <pt idx="22">
                  <v>24640</v>
                </pt>
                <pt idx="23">
                  <v>24647</v>
                </pt>
                <pt idx="24">
                  <v>24654</v>
                </pt>
                <pt idx="25">
                  <v>24661</v>
                </pt>
                <pt idx="26">
                  <v>24668</v>
                </pt>
                <pt idx="27">
                  <v>24675</v>
                </pt>
                <pt idx="28">
                  <v>24682</v>
                </pt>
                <pt idx="29">
                  <v>24689</v>
                </pt>
                <pt idx="30">
                  <v>24696</v>
                </pt>
                <pt idx="31">
                  <v>24703</v>
                </pt>
                <pt idx="32">
                  <v>24710</v>
                </pt>
                <pt idx="33">
                  <v>24717</v>
                </pt>
                <pt idx="34">
                  <v>24724</v>
                </pt>
                <pt idx="35">
                  <v>24731</v>
                </pt>
                <pt idx="36">
                  <v>24738</v>
                </pt>
                <pt idx="37">
                  <v>24745</v>
                </pt>
                <pt idx="38">
                  <v>24752</v>
                </pt>
                <pt idx="39">
                  <v>24759</v>
                </pt>
                <pt idx="40">
                  <v>24766</v>
                </pt>
                <pt idx="41">
                  <v>24773</v>
                </pt>
                <pt idx="42">
                  <v>24780</v>
                </pt>
                <pt idx="43">
                  <v>24787</v>
                </pt>
                <pt idx="44">
                  <v>24794</v>
                </pt>
                <pt idx="45">
                  <v>24801</v>
                </pt>
                <pt idx="46">
                  <v>24808</v>
                </pt>
                <pt idx="47">
                  <v>24815</v>
                </pt>
                <pt idx="48">
                  <v>24822</v>
                </pt>
                <pt idx="49">
                  <v>24829</v>
                </pt>
                <pt idx="50">
                  <v>24836</v>
                </pt>
                <pt idx="51">
                  <v>24843</v>
                </pt>
                <pt idx="52">
                  <v>24850</v>
                </pt>
                <pt idx="53">
                  <v>24857</v>
                </pt>
                <pt idx="54">
                  <v>24864</v>
                </pt>
                <pt idx="55">
                  <v>24871</v>
                </pt>
                <pt idx="56">
                  <v>24878</v>
                </pt>
                <pt idx="57">
                  <v>24885</v>
                </pt>
                <pt idx="58">
                  <v>24892</v>
                </pt>
                <pt idx="59">
                  <v>24899</v>
                </pt>
                <pt idx="60">
                  <v>24906</v>
                </pt>
                <pt idx="61">
                  <v>24913</v>
                </pt>
                <pt idx="62">
                  <v>24920</v>
                </pt>
                <pt idx="63">
                  <v>24927</v>
                </pt>
                <pt idx="64">
                  <v>24934</v>
                </pt>
                <pt idx="65">
                  <v>24941</v>
                </pt>
                <pt idx="66">
                  <v>24948</v>
                </pt>
                <pt idx="67">
                  <v>24955</v>
                </pt>
                <pt idx="68">
                  <v>24962</v>
                </pt>
                <pt idx="69">
                  <v>24969</v>
                </pt>
                <pt idx="70">
                  <v>24976</v>
                </pt>
                <pt idx="71">
                  <v>24983</v>
                </pt>
                <pt idx="72">
                  <v>24990</v>
                </pt>
                <pt idx="73">
                  <v>24997</v>
                </pt>
                <pt idx="74">
                  <v>25004</v>
                </pt>
                <pt idx="75">
                  <v>25011</v>
                </pt>
                <pt idx="76">
                  <v>25018</v>
                </pt>
                <pt idx="77">
                  <v>25025</v>
                </pt>
                <pt idx="78">
                  <v>25032</v>
                </pt>
                <pt idx="79">
                  <v>25039</v>
                </pt>
                <pt idx="80">
                  <v>25046</v>
                </pt>
                <pt idx="81">
                  <v>25053</v>
                </pt>
                <pt idx="82">
                  <v>25060</v>
                </pt>
                <pt idx="83">
                  <v>25067</v>
                </pt>
                <pt idx="84">
                  <v>25074</v>
                </pt>
                <pt idx="85">
                  <v>25081</v>
                </pt>
                <pt idx="86">
                  <v>25088</v>
                </pt>
                <pt idx="87">
                  <v>25095</v>
                </pt>
                <pt idx="88">
                  <v>25102</v>
                </pt>
                <pt idx="89">
                  <v>25109</v>
                </pt>
                <pt idx="90">
                  <v>25116</v>
                </pt>
                <pt idx="91">
                  <v>25123</v>
                </pt>
                <pt idx="92">
                  <v>25130</v>
                </pt>
                <pt idx="93">
                  <v>25137</v>
                </pt>
                <pt idx="94">
                  <v>25144</v>
                </pt>
                <pt idx="95">
                  <v>25151</v>
                </pt>
                <pt idx="96">
                  <v>25158</v>
                </pt>
                <pt idx="97">
                  <v>25165</v>
                </pt>
                <pt idx="98">
                  <v>25172</v>
                </pt>
                <pt idx="99">
                  <v>25179</v>
                </pt>
                <pt idx="100">
                  <v>25186</v>
                </pt>
                <pt idx="101">
                  <v>25193</v>
                </pt>
                <pt idx="102">
                  <v>25200</v>
                </pt>
                <pt idx="103">
                  <v>25207</v>
                </pt>
                <pt idx="104">
                  <v>25214</v>
                </pt>
                <pt idx="105">
                  <v>25221</v>
                </pt>
                <pt idx="106">
                  <v>25228</v>
                </pt>
                <pt idx="107">
                  <v>25235</v>
                </pt>
                <pt idx="108">
                  <v>25242</v>
                </pt>
                <pt idx="109">
                  <v>25249</v>
                </pt>
                <pt idx="110">
                  <v>25256</v>
                </pt>
                <pt idx="111">
                  <v>25263</v>
                </pt>
                <pt idx="112">
                  <v>25270</v>
                </pt>
                <pt idx="113">
                  <v>25277</v>
                </pt>
                <pt idx="114">
                  <v>25284</v>
                </pt>
                <pt idx="115">
                  <v>25291</v>
                </pt>
                <pt idx="116">
                  <v>25298</v>
                </pt>
                <pt idx="117">
                  <v>25305</v>
                </pt>
                <pt idx="118">
                  <v>25312</v>
                </pt>
                <pt idx="119">
                  <v>25319</v>
                </pt>
                <pt idx="120">
                  <v>25326</v>
                </pt>
                <pt idx="121">
                  <v>25333</v>
                </pt>
                <pt idx="122">
                  <v>25340</v>
                </pt>
                <pt idx="123">
                  <v>25347</v>
                </pt>
                <pt idx="124">
                  <v>25354</v>
                </pt>
                <pt idx="125">
                  <v>25361</v>
                </pt>
                <pt idx="126">
                  <v>25368</v>
                </pt>
                <pt idx="127">
                  <v>25375</v>
                </pt>
                <pt idx="128">
                  <v>25382</v>
                </pt>
                <pt idx="129">
                  <v>25389</v>
                </pt>
                <pt idx="130">
                  <v>25396</v>
                </pt>
                <pt idx="131">
                  <v>25403</v>
                </pt>
                <pt idx="132">
                  <v>25410</v>
                </pt>
                <pt idx="133">
                  <v>25417</v>
                </pt>
                <pt idx="134">
                  <v>25424</v>
                </pt>
                <pt idx="135">
                  <v>25431</v>
                </pt>
                <pt idx="136">
                  <v>25438</v>
                </pt>
                <pt idx="137">
                  <v>25445</v>
                </pt>
                <pt idx="138">
                  <v>25452</v>
                </pt>
                <pt idx="139">
                  <v>25459</v>
                </pt>
                <pt idx="140">
                  <v>25466</v>
                </pt>
                <pt idx="141">
                  <v>25473</v>
                </pt>
                <pt idx="142">
                  <v>25480</v>
                </pt>
                <pt idx="143">
                  <v>25487</v>
                </pt>
                <pt idx="144">
                  <v>25494</v>
                </pt>
                <pt idx="145">
                  <v>25501</v>
                </pt>
                <pt idx="146">
                  <v>25508</v>
                </pt>
                <pt idx="147">
                  <v>25515</v>
                </pt>
                <pt idx="148">
                  <v>25522</v>
                </pt>
                <pt idx="149">
                  <v>25529</v>
                </pt>
                <pt idx="150">
                  <v>25536</v>
                </pt>
                <pt idx="151">
                  <v>25543</v>
                </pt>
                <pt idx="152">
                  <v>25550</v>
                </pt>
                <pt idx="153">
                  <v>25557</v>
                </pt>
                <pt idx="154">
                  <v>25564</v>
                </pt>
                <pt idx="155">
                  <v>25571</v>
                </pt>
                <pt idx="156">
                  <v>25578</v>
                </pt>
                <pt idx="157">
                  <v>25585</v>
                </pt>
                <pt idx="158">
                  <v>25592</v>
                </pt>
                <pt idx="159">
                  <v>25599</v>
                </pt>
                <pt idx="160">
                  <v>25606</v>
                </pt>
                <pt idx="161">
                  <v>25613</v>
                </pt>
                <pt idx="162">
                  <v>25620</v>
                </pt>
                <pt idx="163">
                  <v>25627</v>
                </pt>
                <pt idx="164">
                  <v>25634</v>
                </pt>
                <pt idx="165">
                  <v>25641</v>
                </pt>
                <pt idx="166">
                  <v>25648</v>
                </pt>
                <pt idx="167">
                  <v>25655</v>
                </pt>
                <pt idx="168">
                  <v>25662</v>
                </pt>
                <pt idx="169">
                  <v>25669</v>
                </pt>
                <pt idx="170">
                  <v>25676</v>
                </pt>
                <pt idx="171">
                  <v>25683</v>
                </pt>
                <pt idx="172">
                  <v>25690</v>
                </pt>
                <pt idx="173">
                  <v>25697</v>
                </pt>
                <pt idx="174">
                  <v>25704</v>
                </pt>
                <pt idx="175">
                  <v>25711</v>
                </pt>
                <pt idx="176">
                  <v>25718</v>
                </pt>
                <pt idx="177">
                  <v>25725</v>
                </pt>
                <pt idx="178">
                  <v>25732</v>
                </pt>
                <pt idx="179">
                  <v>25739</v>
                </pt>
                <pt idx="180">
                  <v>25746</v>
                </pt>
                <pt idx="181">
                  <v>25753</v>
                </pt>
                <pt idx="182">
                  <v>25760</v>
                </pt>
                <pt idx="183">
                  <v>25767</v>
                </pt>
                <pt idx="184">
                  <v>25774</v>
                </pt>
                <pt idx="185">
                  <v>25781</v>
                </pt>
                <pt idx="186">
                  <v>25788</v>
                </pt>
                <pt idx="187">
                  <v>25795</v>
                </pt>
                <pt idx="188">
                  <v>25802</v>
                </pt>
                <pt idx="189">
                  <v>25809</v>
                </pt>
                <pt idx="190">
                  <v>25816</v>
                </pt>
                <pt idx="191">
                  <v>25823</v>
                </pt>
                <pt idx="192">
                  <v>25830</v>
                </pt>
                <pt idx="193">
                  <v>25837</v>
                </pt>
                <pt idx="194">
                  <v>25844</v>
                </pt>
                <pt idx="195">
                  <v>25851</v>
                </pt>
                <pt idx="196">
                  <v>25858</v>
                </pt>
                <pt idx="197">
                  <v>25865</v>
                </pt>
                <pt idx="198">
                  <v>25872</v>
                </pt>
                <pt idx="199">
                  <v>25879</v>
                </pt>
                <pt idx="200">
                  <v>25886</v>
                </pt>
                <pt idx="201">
                  <v>25893</v>
                </pt>
                <pt idx="202">
                  <v>25900</v>
                </pt>
                <pt idx="203">
                  <v>25907</v>
                </pt>
                <pt idx="204">
                  <v>25914</v>
                </pt>
                <pt idx="205">
                  <v>25921</v>
                </pt>
                <pt idx="206">
                  <v>25928</v>
                </pt>
                <pt idx="207">
                  <v>25935</v>
                </pt>
                <pt idx="208">
                  <v>25942</v>
                </pt>
                <pt idx="209">
                  <v>25949</v>
                </pt>
                <pt idx="210">
                  <v>25956</v>
                </pt>
                <pt idx="211">
                  <v>25963</v>
                </pt>
                <pt idx="212">
                  <v>25970</v>
                </pt>
                <pt idx="213">
                  <v>25977</v>
                </pt>
                <pt idx="214">
                  <v>25984</v>
                </pt>
                <pt idx="215">
                  <v>25991</v>
                </pt>
                <pt idx="216">
                  <v>25998</v>
                </pt>
                <pt idx="217">
                  <v>26005</v>
                </pt>
                <pt idx="218">
                  <v>26012</v>
                </pt>
                <pt idx="219">
                  <v>26019</v>
                </pt>
                <pt idx="220">
                  <v>26026</v>
                </pt>
                <pt idx="221">
                  <v>26033</v>
                </pt>
                <pt idx="222">
                  <v>26040</v>
                </pt>
                <pt idx="223">
                  <v>26047</v>
                </pt>
                <pt idx="224">
                  <v>26054</v>
                </pt>
                <pt idx="225">
                  <v>26061</v>
                </pt>
                <pt idx="226">
                  <v>26068</v>
                </pt>
                <pt idx="227">
                  <v>26075</v>
                </pt>
                <pt idx="228">
                  <v>26082</v>
                </pt>
                <pt idx="229">
                  <v>26089</v>
                </pt>
                <pt idx="230">
                  <v>26096</v>
                </pt>
                <pt idx="231">
                  <v>26103</v>
                </pt>
                <pt idx="232">
                  <v>26110</v>
                </pt>
                <pt idx="233">
                  <v>26117</v>
                </pt>
                <pt idx="234">
                  <v>26124</v>
                </pt>
                <pt idx="235">
                  <v>26131</v>
                </pt>
                <pt idx="236">
                  <v>26138</v>
                </pt>
                <pt idx="237">
                  <v>26145</v>
                </pt>
                <pt idx="238">
                  <v>26152</v>
                </pt>
                <pt idx="239">
                  <v>26159</v>
                </pt>
                <pt idx="240">
                  <v>26166</v>
                </pt>
                <pt idx="241">
                  <v>26173</v>
                </pt>
                <pt idx="242">
                  <v>26180</v>
                </pt>
                <pt idx="243">
                  <v>26187</v>
                </pt>
                <pt idx="244">
                  <v>26194</v>
                </pt>
                <pt idx="245">
                  <v>26201</v>
                </pt>
                <pt idx="246">
                  <v>26208</v>
                </pt>
                <pt idx="247">
                  <v>26215</v>
                </pt>
                <pt idx="248">
                  <v>26222</v>
                </pt>
                <pt idx="249">
                  <v>26229</v>
                </pt>
                <pt idx="250">
                  <v>26236</v>
                </pt>
                <pt idx="251">
                  <v>26243</v>
                </pt>
                <pt idx="252">
                  <v>26250</v>
                </pt>
                <pt idx="253">
                  <v>26257</v>
                </pt>
                <pt idx="254">
                  <v>26264</v>
                </pt>
                <pt idx="255">
                  <v>26271</v>
                </pt>
                <pt idx="256">
                  <v>26278</v>
                </pt>
                <pt idx="257">
                  <v>26285</v>
                </pt>
                <pt idx="258">
                  <v>26292</v>
                </pt>
                <pt idx="259">
                  <v>26299</v>
                </pt>
                <pt idx="260">
                  <v>26306</v>
                </pt>
                <pt idx="261">
                  <v>26313</v>
                </pt>
                <pt idx="262">
                  <v>26320</v>
                </pt>
                <pt idx="263">
                  <v>26327</v>
                </pt>
                <pt idx="264">
                  <v>26334</v>
                </pt>
                <pt idx="265">
                  <v>26341</v>
                </pt>
                <pt idx="266">
                  <v>26348</v>
                </pt>
                <pt idx="267">
                  <v>26355</v>
                </pt>
                <pt idx="268">
                  <v>26362</v>
                </pt>
                <pt idx="269">
                  <v>26369</v>
                </pt>
                <pt idx="270">
                  <v>26376</v>
                </pt>
                <pt idx="271">
                  <v>26383</v>
                </pt>
                <pt idx="272">
                  <v>26390</v>
                </pt>
                <pt idx="273">
                  <v>26397</v>
                </pt>
                <pt idx="274">
                  <v>26404</v>
                </pt>
                <pt idx="275">
                  <v>26411</v>
                </pt>
                <pt idx="276">
                  <v>26418</v>
                </pt>
                <pt idx="277">
                  <v>26425</v>
                </pt>
                <pt idx="278">
                  <v>26432</v>
                </pt>
                <pt idx="279">
                  <v>26439</v>
                </pt>
                <pt idx="280">
                  <v>26446</v>
                </pt>
                <pt idx="281">
                  <v>26453</v>
                </pt>
                <pt idx="282">
                  <v>26460</v>
                </pt>
                <pt idx="283">
                  <v>26467</v>
                </pt>
                <pt idx="284">
                  <v>26474</v>
                </pt>
                <pt idx="285">
                  <v>26481</v>
                </pt>
                <pt idx="286">
                  <v>26488</v>
                </pt>
                <pt idx="287">
                  <v>26495</v>
                </pt>
                <pt idx="288">
                  <v>26502</v>
                </pt>
                <pt idx="289">
                  <v>26509</v>
                </pt>
                <pt idx="290">
                  <v>26516</v>
                </pt>
                <pt idx="291">
                  <v>26523</v>
                </pt>
                <pt idx="292">
                  <v>26530</v>
                </pt>
                <pt idx="293">
                  <v>26537</v>
                </pt>
                <pt idx="294">
                  <v>26544</v>
                </pt>
                <pt idx="295">
                  <v>26551</v>
                </pt>
                <pt idx="296">
                  <v>26558</v>
                </pt>
                <pt idx="297">
                  <v>26565</v>
                </pt>
                <pt idx="298">
                  <v>26572</v>
                </pt>
                <pt idx="299">
                  <v>26579</v>
                </pt>
                <pt idx="300">
                  <v>26586</v>
                </pt>
                <pt idx="301">
                  <v>26593</v>
                </pt>
                <pt idx="302">
                  <v>26600</v>
                </pt>
                <pt idx="303">
                  <v>26607</v>
                </pt>
                <pt idx="304">
                  <v>26614</v>
                </pt>
                <pt idx="305">
                  <v>26621</v>
                </pt>
                <pt idx="306">
                  <v>26628</v>
                </pt>
                <pt idx="307">
                  <v>26635</v>
                </pt>
                <pt idx="308">
                  <v>26642</v>
                </pt>
                <pt idx="309">
                  <v>26649</v>
                </pt>
                <pt idx="310">
                  <v>26656</v>
                </pt>
                <pt idx="311">
                  <v>26663</v>
                </pt>
                <pt idx="312">
                  <v>26670</v>
                </pt>
                <pt idx="313">
                  <v>26677</v>
                </pt>
                <pt idx="314">
                  <v>26684</v>
                </pt>
                <pt idx="315">
                  <v>26691</v>
                </pt>
                <pt idx="316">
                  <v>26698</v>
                </pt>
                <pt idx="317">
                  <v>26705</v>
                </pt>
                <pt idx="318">
                  <v>26712</v>
                </pt>
                <pt idx="319">
                  <v>26719</v>
                </pt>
                <pt idx="320">
                  <v>26726</v>
                </pt>
                <pt idx="321">
                  <v>26733</v>
                </pt>
                <pt idx="322">
                  <v>26740</v>
                </pt>
                <pt idx="323">
                  <v>26747</v>
                </pt>
                <pt idx="324">
                  <v>26754</v>
                </pt>
                <pt idx="325">
                  <v>26761</v>
                </pt>
                <pt idx="326">
                  <v>26768</v>
                </pt>
                <pt idx="327">
                  <v>26775</v>
                </pt>
                <pt idx="328">
                  <v>26782</v>
                </pt>
                <pt idx="329">
                  <v>26789</v>
                </pt>
                <pt idx="330">
                  <v>26796</v>
                </pt>
                <pt idx="331">
                  <v>26803</v>
                </pt>
                <pt idx="332">
                  <v>26810</v>
                </pt>
                <pt idx="333">
                  <v>26817</v>
                </pt>
                <pt idx="334">
                  <v>26824</v>
                </pt>
                <pt idx="335">
                  <v>26831</v>
                </pt>
                <pt idx="336">
                  <v>26838</v>
                </pt>
                <pt idx="337">
                  <v>26845</v>
                </pt>
                <pt idx="338">
                  <v>26852</v>
                </pt>
                <pt idx="339">
                  <v>26859</v>
                </pt>
                <pt idx="340">
                  <v>26866</v>
                </pt>
                <pt idx="341">
                  <v>26873</v>
                </pt>
                <pt idx="342">
                  <v>26880</v>
                </pt>
                <pt idx="343">
                  <v>26887</v>
                </pt>
                <pt idx="344">
                  <v>26894</v>
                </pt>
                <pt idx="345">
                  <v>26901</v>
                </pt>
                <pt idx="346">
                  <v>26908</v>
                </pt>
                <pt idx="347">
                  <v>26915</v>
                </pt>
                <pt idx="348">
                  <v>26922</v>
                </pt>
                <pt idx="349">
                  <v>26929</v>
                </pt>
                <pt idx="350">
                  <v>26936</v>
                </pt>
                <pt idx="351">
                  <v>26943</v>
                </pt>
                <pt idx="352">
                  <v>26950</v>
                </pt>
                <pt idx="353">
                  <v>26957</v>
                </pt>
                <pt idx="354">
                  <v>26964</v>
                </pt>
                <pt idx="355">
                  <v>26971</v>
                </pt>
                <pt idx="356">
                  <v>26978</v>
                </pt>
                <pt idx="357">
                  <v>26985</v>
                </pt>
                <pt idx="358">
                  <v>26992</v>
                </pt>
                <pt idx="359">
                  <v>26999</v>
                </pt>
                <pt idx="360">
                  <v>27006</v>
                </pt>
                <pt idx="361">
                  <v>27013</v>
                </pt>
                <pt idx="362">
                  <v>27020</v>
                </pt>
                <pt idx="363">
                  <v>27027</v>
                </pt>
                <pt idx="364">
                  <v>27034</v>
                </pt>
                <pt idx="365">
                  <v>27041</v>
                </pt>
                <pt idx="366">
                  <v>27048</v>
                </pt>
                <pt idx="367">
                  <v>27055</v>
                </pt>
                <pt idx="368">
                  <v>27062</v>
                </pt>
                <pt idx="369">
                  <v>27069</v>
                </pt>
                <pt idx="370">
                  <v>27076</v>
                </pt>
                <pt idx="371">
                  <v>27083</v>
                </pt>
                <pt idx="372">
                  <v>27090</v>
                </pt>
                <pt idx="373">
                  <v>27097</v>
                </pt>
                <pt idx="374">
                  <v>27104</v>
                </pt>
                <pt idx="375">
                  <v>27111</v>
                </pt>
                <pt idx="376">
                  <v>27118</v>
                </pt>
                <pt idx="377">
                  <v>27125</v>
                </pt>
                <pt idx="378">
                  <v>27132</v>
                </pt>
                <pt idx="379">
                  <v>27139</v>
                </pt>
                <pt idx="380">
                  <v>27146</v>
                </pt>
                <pt idx="381">
                  <v>27153</v>
                </pt>
                <pt idx="382">
                  <v>27160</v>
                </pt>
                <pt idx="383">
                  <v>27167</v>
                </pt>
                <pt idx="384">
                  <v>27174</v>
                </pt>
                <pt idx="385">
                  <v>27181</v>
                </pt>
                <pt idx="386">
                  <v>27188</v>
                </pt>
                <pt idx="387">
                  <v>27195</v>
                </pt>
                <pt idx="388">
                  <v>27202</v>
                </pt>
                <pt idx="389">
                  <v>27209</v>
                </pt>
                <pt idx="390">
                  <v>27216</v>
                </pt>
                <pt idx="391">
                  <v>27223</v>
                </pt>
                <pt idx="392">
                  <v>27230</v>
                </pt>
                <pt idx="393">
                  <v>27237</v>
                </pt>
                <pt idx="394">
                  <v>27244</v>
                </pt>
                <pt idx="395">
                  <v>27251</v>
                </pt>
                <pt idx="396">
                  <v>27258</v>
                </pt>
                <pt idx="397">
                  <v>27265</v>
                </pt>
                <pt idx="398">
                  <v>27272</v>
                </pt>
                <pt idx="399">
                  <v>27279</v>
                </pt>
                <pt idx="400">
                  <v>27286</v>
                </pt>
                <pt idx="401">
                  <v>27293</v>
                </pt>
                <pt idx="402">
                  <v>27300</v>
                </pt>
                <pt idx="403">
                  <v>27307</v>
                </pt>
                <pt idx="404">
                  <v>27314</v>
                </pt>
                <pt idx="405">
                  <v>27321</v>
                </pt>
                <pt idx="406">
                  <v>27328</v>
                </pt>
                <pt idx="407">
                  <v>27335</v>
                </pt>
                <pt idx="408">
                  <v>27342</v>
                </pt>
                <pt idx="409">
                  <v>27349</v>
                </pt>
                <pt idx="410">
                  <v>27356</v>
                </pt>
                <pt idx="411">
                  <v>27363</v>
                </pt>
                <pt idx="412">
                  <v>27370</v>
                </pt>
                <pt idx="413">
                  <v>27377</v>
                </pt>
                <pt idx="414">
                  <v>27384</v>
                </pt>
                <pt idx="415">
                  <v>27391</v>
                </pt>
                <pt idx="416">
                  <v>27398</v>
                </pt>
                <pt idx="417">
                  <v>27405</v>
                </pt>
                <pt idx="418">
                  <v>27412</v>
                </pt>
                <pt idx="419">
                  <v>27419</v>
                </pt>
                <pt idx="420">
                  <v>27426</v>
                </pt>
                <pt idx="421">
                  <v>27433</v>
                </pt>
                <pt idx="422">
                  <v>27440</v>
                </pt>
                <pt idx="423">
                  <v>27447</v>
                </pt>
                <pt idx="424">
                  <v>27454</v>
                </pt>
                <pt idx="425">
                  <v>27461</v>
                </pt>
                <pt idx="426">
                  <v>27468</v>
                </pt>
                <pt idx="427">
                  <v>27475</v>
                </pt>
                <pt idx="428">
                  <v>27482</v>
                </pt>
                <pt idx="429">
                  <v>27489</v>
                </pt>
                <pt idx="430">
                  <v>27496</v>
                </pt>
                <pt idx="431">
                  <v>27503</v>
                </pt>
                <pt idx="432">
                  <v>27510</v>
                </pt>
                <pt idx="433">
                  <v>27517</v>
                </pt>
                <pt idx="434">
                  <v>27524</v>
                </pt>
                <pt idx="435">
                  <v>27531</v>
                </pt>
                <pt idx="436">
                  <v>27538</v>
                </pt>
                <pt idx="437">
                  <v>27545</v>
                </pt>
                <pt idx="438">
                  <v>27552</v>
                </pt>
                <pt idx="439">
                  <v>27559</v>
                </pt>
                <pt idx="440">
                  <v>27566</v>
                </pt>
                <pt idx="441">
                  <v>27573</v>
                </pt>
                <pt idx="442">
                  <v>27580</v>
                </pt>
                <pt idx="443">
                  <v>27587</v>
                </pt>
                <pt idx="444">
                  <v>27594</v>
                </pt>
                <pt idx="445">
                  <v>27601</v>
                </pt>
                <pt idx="446">
                  <v>27608</v>
                </pt>
                <pt idx="447">
                  <v>27615</v>
                </pt>
                <pt idx="448">
                  <v>27622</v>
                </pt>
                <pt idx="449">
                  <v>27629</v>
                </pt>
                <pt idx="450">
                  <v>27636</v>
                </pt>
                <pt idx="451">
                  <v>27643</v>
                </pt>
                <pt idx="452">
                  <v>27650</v>
                </pt>
                <pt idx="453">
                  <v>27657</v>
                </pt>
                <pt idx="454">
                  <v>27664</v>
                </pt>
                <pt idx="455">
                  <v>27671</v>
                </pt>
                <pt idx="456">
                  <v>27678</v>
                </pt>
                <pt idx="457">
                  <v>27685</v>
                </pt>
                <pt idx="458">
                  <v>27692</v>
                </pt>
                <pt idx="459">
                  <v>27699</v>
                </pt>
                <pt idx="460">
                  <v>27706</v>
                </pt>
                <pt idx="461">
                  <v>27713</v>
                </pt>
                <pt idx="462">
                  <v>27720</v>
                </pt>
                <pt idx="463">
                  <v>27727</v>
                </pt>
                <pt idx="464">
                  <v>27734</v>
                </pt>
                <pt idx="465">
                  <v>27741</v>
                </pt>
                <pt idx="466">
                  <v>27748</v>
                </pt>
                <pt idx="467">
                  <v>27755</v>
                </pt>
                <pt idx="468">
                  <v>27762</v>
                </pt>
                <pt idx="469">
                  <v>27769</v>
                </pt>
                <pt idx="470">
                  <v>27776</v>
                </pt>
                <pt idx="471">
                  <v>27783</v>
                </pt>
                <pt idx="472">
                  <v>27790</v>
                </pt>
                <pt idx="473">
                  <v>27797</v>
                </pt>
                <pt idx="474">
                  <v>27804</v>
                </pt>
                <pt idx="475">
                  <v>27811</v>
                </pt>
                <pt idx="476">
                  <v>27818</v>
                </pt>
                <pt idx="477">
                  <v>27825</v>
                </pt>
                <pt idx="478">
                  <v>27832</v>
                </pt>
                <pt idx="479">
                  <v>27839</v>
                </pt>
                <pt idx="480">
                  <v>27846</v>
                </pt>
                <pt idx="481">
                  <v>27853</v>
                </pt>
                <pt idx="482">
                  <v>27860</v>
                </pt>
                <pt idx="483">
                  <v>27867</v>
                </pt>
                <pt idx="484">
                  <v>27874</v>
                </pt>
                <pt idx="485">
                  <v>27881</v>
                </pt>
                <pt idx="486">
                  <v>27888</v>
                </pt>
                <pt idx="487">
                  <v>27895</v>
                </pt>
                <pt idx="488">
                  <v>27902</v>
                </pt>
                <pt idx="489">
                  <v>27909</v>
                </pt>
                <pt idx="490">
                  <v>27916</v>
                </pt>
                <pt idx="491">
                  <v>27923</v>
                </pt>
                <pt idx="492">
                  <v>27930</v>
                </pt>
                <pt idx="493">
                  <v>27937</v>
                </pt>
                <pt idx="494">
                  <v>27944</v>
                </pt>
                <pt idx="495">
                  <v>27951</v>
                </pt>
                <pt idx="496">
                  <v>27958</v>
                </pt>
                <pt idx="497">
                  <v>27965</v>
                </pt>
                <pt idx="498">
                  <v>27972</v>
                </pt>
                <pt idx="499">
                  <v>27979</v>
                </pt>
                <pt idx="500">
                  <v>27986</v>
                </pt>
                <pt idx="501">
                  <v>27993</v>
                </pt>
                <pt idx="502">
                  <v>28000</v>
                </pt>
                <pt idx="503">
                  <v>28007</v>
                </pt>
                <pt idx="504">
                  <v>28014</v>
                </pt>
                <pt idx="505">
                  <v>28021</v>
                </pt>
                <pt idx="506">
                  <v>28028</v>
                </pt>
                <pt idx="507">
                  <v>28035</v>
                </pt>
                <pt idx="508">
                  <v>28042</v>
                </pt>
                <pt idx="509">
                  <v>28049</v>
                </pt>
                <pt idx="510">
                  <v>28056</v>
                </pt>
                <pt idx="511">
                  <v>28063</v>
                </pt>
                <pt idx="512">
                  <v>28070</v>
                </pt>
                <pt idx="513">
                  <v>28077</v>
                </pt>
                <pt idx="514">
                  <v>28084</v>
                </pt>
                <pt idx="515">
                  <v>28091</v>
                </pt>
                <pt idx="516">
                  <v>28098</v>
                </pt>
                <pt idx="517">
                  <v>28105</v>
                </pt>
                <pt idx="518">
                  <v>28112</v>
                </pt>
                <pt idx="519">
                  <v>28119</v>
                </pt>
                <pt idx="520">
                  <v>28126</v>
                </pt>
                <pt idx="521">
                  <v>28133</v>
                </pt>
                <pt idx="522">
                  <v>28140</v>
                </pt>
                <pt idx="523">
                  <v>28147</v>
                </pt>
                <pt idx="524">
                  <v>28154</v>
                </pt>
                <pt idx="525">
                  <v>28161</v>
                </pt>
                <pt idx="526">
                  <v>28168</v>
                </pt>
                <pt idx="527">
                  <v>28175</v>
                </pt>
                <pt idx="528">
                  <v>28182</v>
                </pt>
                <pt idx="529">
                  <v>28189</v>
                </pt>
                <pt idx="530">
                  <v>28196</v>
                </pt>
                <pt idx="531">
                  <v>28203</v>
                </pt>
                <pt idx="532">
                  <v>28210</v>
                </pt>
                <pt idx="533">
                  <v>28217</v>
                </pt>
                <pt idx="534">
                  <v>28224</v>
                </pt>
                <pt idx="535">
                  <v>28231</v>
                </pt>
                <pt idx="536">
                  <v>28238</v>
                </pt>
                <pt idx="537">
                  <v>28245</v>
                </pt>
                <pt idx="538">
                  <v>28252</v>
                </pt>
                <pt idx="539">
                  <v>28259</v>
                </pt>
                <pt idx="540">
                  <v>28266</v>
                </pt>
                <pt idx="541">
                  <v>28273</v>
                </pt>
                <pt idx="542">
                  <v>28280</v>
                </pt>
                <pt idx="543">
                  <v>28287</v>
                </pt>
                <pt idx="544">
                  <v>28294</v>
                </pt>
                <pt idx="545">
                  <v>28301</v>
                </pt>
                <pt idx="546">
                  <v>28308</v>
                </pt>
                <pt idx="547">
                  <v>28315</v>
                </pt>
                <pt idx="548">
                  <v>28322</v>
                </pt>
                <pt idx="549">
                  <v>28329</v>
                </pt>
                <pt idx="550">
                  <v>28336</v>
                </pt>
                <pt idx="551">
                  <v>28343</v>
                </pt>
                <pt idx="552">
                  <v>28350</v>
                </pt>
                <pt idx="553">
                  <v>28357</v>
                </pt>
                <pt idx="554">
                  <v>28364</v>
                </pt>
                <pt idx="555">
                  <v>28371</v>
                </pt>
                <pt idx="556">
                  <v>28378</v>
                </pt>
                <pt idx="557">
                  <v>28385</v>
                </pt>
                <pt idx="558">
                  <v>28392</v>
                </pt>
                <pt idx="559">
                  <v>28399</v>
                </pt>
                <pt idx="560">
                  <v>28406</v>
                </pt>
                <pt idx="561">
                  <v>28413</v>
                </pt>
                <pt idx="562">
                  <v>28420</v>
                </pt>
                <pt idx="563">
                  <v>28427</v>
                </pt>
                <pt idx="564">
                  <v>28434</v>
                </pt>
                <pt idx="565">
                  <v>28441</v>
                </pt>
                <pt idx="566">
                  <v>28448</v>
                </pt>
                <pt idx="567">
                  <v>28455</v>
                </pt>
                <pt idx="568">
                  <v>28462</v>
                </pt>
                <pt idx="569">
                  <v>28469</v>
                </pt>
                <pt idx="570">
                  <v>28476</v>
                </pt>
                <pt idx="571">
                  <v>28483</v>
                </pt>
                <pt idx="572">
                  <v>28490</v>
                </pt>
                <pt idx="573">
                  <v>28497</v>
                </pt>
                <pt idx="574">
                  <v>28504</v>
                </pt>
                <pt idx="575">
                  <v>28511</v>
                </pt>
                <pt idx="576">
                  <v>28518</v>
                </pt>
                <pt idx="577">
                  <v>28525</v>
                </pt>
                <pt idx="578">
                  <v>28532</v>
                </pt>
                <pt idx="579">
                  <v>28539</v>
                </pt>
                <pt idx="580">
                  <v>28546</v>
                </pt>
                <pt idx="581">
                  <v>28553</v>
                </pt>
                <pt idx="582">
                  <v>28560</v>
                </pt>
                <pt idx="583">
                  <v>28567</v>
                </pt>
                <pt idx="584">
                  <v>28574</v>
                </pt>
                <pt idx="585">
                  <v>28581</v>
                </pt>
                <pt idx="586">
                  <v>28588</v>
                </pt>
                <pt idx="587">
                  <v>28595</v>
                </pt>
                <pt idx="588">
                  <v>28602</v>
                </pt>
                <pt idx="589">
                  <v>28609</v>
                </pt>
                <pt idx="590">
                  <v>28616</v>
                </pt>
                <pt idx="591">
                  <v>28623</v>
                </pt>
                <pt idx="592">
                  <v>28630</v>
                </pt>
                <pt idx="593">
                  <v>28637</v>
                </pt>
                <pt idx="594">
                  <v>28644</v>
                </pt>
                <pt idx="595">
                  <v>28651</v>
                </pt>
                <pt idx="596">
                  <v>28658</v>
                </pt>
                <pt idx="597">
                  <v>28665</v>
                </pt>
                <pt idx="598">
                  <v>28672</v>
                </pt>
                <pt idx="599">
                  <v>28679</v>
                </pt>
                <pt idx="600">
                  <v>28686</v>
                </pt>
                <pt idx="601">
                  <v>28693</v>
                </pt>
                <pt idx="602">
                  <v>28700</v>
                </pt>
                <pt idx="603">
                  <v>28707</v>
                </pt>
                <pt idx="604">
                  <v>28714</v>
                </pt>
                <pt idx="605">
                  <v>28721</v>
                </pt>
                <pt idx="606">
                  <v>28728</v>
                </pt>
                <pt idx="607">
                  <v>28735</v>
                </pt>
                <pt idx="608">
                  <v>28742</v>
                </pt>
                <pt idx="609">
                  <v>28749</v>
                </pt>
                <pt idx="610">
                  <v>28756</v>
                </pt>
                <pt idx="611">
                  <v>28763</v>
                </pt>
                <pt idx="612">
                  <v>28770</v>
                </pt>
                <pt idx="613">
                  <v>28777</v>
                </pt>
                <pt idx="614">
                  <v>28784</v>
                </pt>
                <pt idx="615">
                  <v>28791</v>
                </pt>
                <pt idx="616">
                  <v>28798</v>
                </pt>
                <pt idx="617">
                  <v>28805</v>
                </pt>
                <pt idx="618">
                  <v>28812</v>
                </pt>
                <pt idx="619">
                  <v>28819</v>
                </pt>
                <pt idx="620">
                  <v>28826</v>
                </pt>
                <pt idx="621">
                  <v>28833</v>
                </pt>
                <pt idx="622">
                  <v>28840</v>
                </pt>
                <pt idx="623">
                  <v>28847</v>
                </pt>
                <pt idx="624">
                  <v>28854</v>
                </pt>
                <pt idx="625">
                  <v>28861</v>
                </pt>
                <pt idx="626">
                  <v>28868</v>
                </pt>
                <pt idx="627">
                  <v>28875</v>
                </pt>
                <pt idx="628">
                  <v>28882</v>
                </pt>
                <pt idx="629">
                  <v>28889</v>
                </pt>
                <pt idx="630">
                  <v>28896</v>
                </pt>
                <pt idx="631">
                  <v>28903</v>
                </pt>
                <pt idx="632">
                  <v>28910</v>
                </pt>
                <pt idx="633">
                  <v>28917</v>
                </pt>
                <pt idx="634">
                  <v>28924</v>
                </pt>
                <pt idx="635">
                  <v>28931</v>
                </pt>
                <pt idx="636">
                  <v>28938</v>
                </pt>
                <pt idx="637">
                  <v>28945</v>
                </pt>
                <pt idx="638">
                  <v>28952</v>
                </pt>
                <pt idx="639">
                  <v>28959</v>
                </pt>
                <pt idx="640">
                  <v>28966</v>
                </pt>
                <pt idx="641">
                  <v>28973</v>
                </pt>
                <pt idx="642">
                  <v>28980</v>
                </pt>
                <pt idx="643">
                  <v>28987</v>
                </pt>
                <pt idx="644">
                  <v>28994</v>
                </pt>
                <pt idx="645">
                  <v>29001</v>
                </pt>
                <pt idx="646">
                  <v>29008</v>
                </pt>
                <pt idx="647">
                  <v>29015</v>
                </pt>
                <pt idx="648">
                  <v>29022</v>
                </pt>
                <pt idx="649">
                  <v>29029</v>
                </pt>
                <pt idx="650">
                  <v>29036</v>
                </pt>
                <pt idx="651">
                  <v>29043</v>
                </pt>
                <pt idx="652">
                  <v>29050</v>
                </pt>
                <pt idx="653">
                  <v>29057</v>
                </pt>
                <pt idx="654">
                  <v>29064</v>
                </pt>
                <pt idx="655">
                  <v>29071</v>
                </pt>
                <pt idx="656">
                  <v>29078</v>
                </pt>
                <pt idx="657">
                  <v>29085</v>
                </pt>
                <pt idx="658">
                  <v>29092</v>
                </pt>
                <pt idx="659">
                  <v>29099</v>
                </pt>
                <pt idx="660">
                  <v>29106</v>
                </pt>
                <pt idx="661">
                  <v>29113</v>
                </pt>
                <pt idx="662">
                  <v>29120</v>
                </pt>
                <pt idx="663">
                  <v>29127</v>
                </pt>
                <pt idx="664">
                  <v>29134</v>
                </pt>
                <pt idx="665">
                  <v>29141</v>
                </pt>
                <pt idx="666">
                  <v>29148</v>
                </pt>
                <pt idx="667">
                  <v>29155</v>
                </pt>
                <pt idx="668">
                  <v>29162</v>
                </pt>
                <pt idx="669">
                  <v>29169</v>
                </pt>
                <pt idx="670">
                  <v>29176</v>
                </pt>
                <pt idx="671">
                  <v>29183</v>
                </pt>
                <pt idx="672">
                  <v>29190</v>
                </pt>
                <pt idx="673">
                  <v>29197</v>
                </pt>
                <pt idx="674">
                  <v>29204</v>
                </pt>
                <pt idx="675">
                  <v>29211</v>
                </pt>
                <pt idx="676">
                  <v>29218</v>
                </pt>
                <pt idx="677">
                  <v>29225</v>
                </pt>
                <pt idx="678">
                  <v>29232</v>
                </pt>
                <pt idx="679">
                  <v>29239</v>
                </pt>
                <pt idx="680">
                  <v>29246</v>
                </pt>
                <pt idx="681">
                  <v>29253</v>
                </pt>
                <pt idx="682">
                  <v>29260</v>
                </pt>
                <pt idx="683">
                  <v>29267</v>
                </pt>
                <pt idx="684">
                  <v>29274</v>
                </pt>
                <pt idx="685">
                  <v>29281</v>
                </pt>
                <pt idx="686">
                  <v>29288</v>
                </pt>
                <pt idx="687">
                  <v>29295</v>
                </pt>
                <pt idx="688">
                  <v>29302</v>
                </pt>
                <pt idx="689">
                  <v>29309</v>
                </pt>
                <pt idx="690">
                  <v>29316</v>
                </pt>
                <pt idx="691">
                  <v>29323</v>
                </pt>
                <pt idx="692">
                  <v>29330</v>
                </pt>
                <pt idx="693">
                  <v>29337</v>
                </pt>
                <pt idx="694">
                  <v>29344</v>
                </pt>
                <pt idx="695">
                  <v>29351</v>
                </pt>
                <pt idx="696">
                  <v>29358</v>
                </pt>
                <pt idx="697">
                  <v>29365</v>
                </pt>
                <pt idx="698">
                  <v>29372</v>
                </pt>
                <pt idx="699">
                  <v>29379</v>
                </pt>
                <pt idx="700">
                  <v>29386</v>
                </pt>
                <pt idx="701">
                  <v>29393</v>
                </pt>
                <pt idx="702">
                  <v>29400</v>
                </pt>
                <pt idx="703">
                  <v>29407</v>
                </pt>
                <pt idx="704">
                  <v>29414</v>
                </pt>
                <pt idx="705">
                  <v>29421</v>
                </pt>
                <pt idx="706">
                  <v>29428</v>
                </pt>
                <pt idx="707">
                  <v>29435</v>
                </pt>
                <pt idx="708">
                  <v>29442</v>
                </pt>
                <pt idx="709">
                  <v>29449</v>
                </pt>
                <pt idx="710">
                  <v>29456</v>
                </pt>
                <pt idx="711">
                  <v>29463</v>
                </pt>
                <pt idx="712">
                  <v>29470</v>
                </pt>
                <pt idx="713">
                  <v>29477</v>
                </pt>
                <pt idx="714">
                  <v>29484</v>
                </pt>
                <pt idx="715">
                  <v>29491</v>
                </pt>
                <pt idx="716">
                  <v>29498</v>
                </pt>
                <pt idx="717">
                  <v>29505</v>
                </pt>
                <pt idx="718">
                  <v>29512</v>
                </pt>
                <pt idx="719">
                  <v>29519</v>
                </pt>
                <pt idx="720">
                  <v>29526</v>
                </pt>
                <pt idx="721">
                  <v>29533</v>
                </pt>
                <pt idx="722">
                  <v>29540</v>
                </pt>
                <pt idx="723">
                  <v>29547</v>
                </pt>
                <pt idx="724">
                  <v>29554</v>
                </pt>
                <pt idx="725">
                  <v>29561</v>
                </pt>
                <pt idx="726">
                  <v>29568</v>
                </pt>
                <pt idx="727">
                  <v>29575</v>
                </pt>
                <pt idx="728">
                  <v>29582</v>
                </pt>
                <pt idx="729">
                  <v>29589</v>
                </pt>
                <pt idx="730">
                  <v>29596</v>
                </pt>
                <pt idx="731">
                  <v>29603</v>
                </pt>
                <pt idx="732">
                  <v>29610</v>
                </pt>
                <pt idx="733">
                  <v>29617</v>
                </pt>
                <pt idx="734">
                  <v>29624</v>
                </pt>
                <pt idx="735">
                  <v>29631</v>
                </pt>
                <pt idx="736">
                  <v>29638</v>
                </pt>
                <pt idx="737">
                  <v>29645</v>
                </pt>
                <pt idx="738">
                  <v>29652</v>
                </pt>
                <pt idx="739">
                  <v>29659</v>
                </pt>
                <pt idx="740">
                  <v>29666</v>
                </pt>
                <pt idx="741">
                  <v>29673</v>
                </pt>
                <pt idx="742">
                  <v>29680</v>
                </pt>
                <pt idx="743">
                  <v>29687</v>
                </pt>
                <pt idx="744">
                  <v>29694</v>
                </pt>
                <pt idx="745">
                  <v>29701</v>
                </pt>
                <pt idx="746">
                  <v>29708</v>
                </pt>
                <pt idx="747">
                  <v>29715</v>
                </pt>
                <pt idx="748">
                  <v>29722</v>
                </pt>
                <pt idx="749">
                  <v>29729</v>
                </pt>
                <pt idx="750">
                  <v>29736</v>
                </pt>
                <pt idx="751">
                  <v>29743</v>
                </pt>
                <pt idx="752">
                  <v>29750</v>
                </pt>
                <pt idx="753">
                  <v>29757</v>
                </pt>
                <pt idx="754">
                  <v>29764</v>
                </pt>
                <pt idx="755">
                  <v>29771</v>
                </pt>
                <pt idx="756">
                  <v>29778</v>
                </pt>
                <pt idx="757">
                  <v>29785</v>
                </pt>
                <pt idx="758">
                  <v>29792</v>
                </pt>
                <pt idx="759">
                  <v>29799</v>
                </pt>
                <pt idx="760">
                  <v>29806</v>
                </pt>
                <pt idx="761">
                  <v>29813</v>
                </pt>
                <pt idx="762">
                  <v>29820</v>
                </pt>
                <pt idx="763">
                  <v>29827</v>
                </pt>
                <pt idx="764">
                  <v>29834</v>
                </pt>
                <pt idx="765">
                  <v>29841</v>
                </pt>
                <pt idx="766">
                  <v>29848</v>
                </pt>
                <pt idx="767">
                  <v>29855</v>
                </pt>
                <pt idx="768">
                  <v>29862</v>
                </pt>
                <pt idx="769">
                  <v>29869</v>
                </pt>
                <pt idx="770">
                  <v>29876</v>
                </pt>
                <pt idx="771">
                  <v>29883</v>
                </pt>
                <pt idx="772">
                  <v>29890</v>
                </pt>
                <pt idx="773">
                  <v>29897</v>
                </pt>
                <pt idx="774">
                  <v>29904</v>
                </pt>
                <pt idx="775">
                  <v>29911</v>
                </pt>
                <pt idx="776">
                  <v>29918</v>
                </pt>
                <pt idx="777">
                  <v>29925</v>
                </pt>
                <pt idx="778">
                  <v>29932</v>
                </pt>
                <pt idx="779">
                  <v>29939</v>
                </pt>
                <pt idx="780">
                  <v>29946</v>
                </pt>
                <pt idx="781">
                  <v>29953</v>
                </pt>
                <pt idx="782">
                  <v>29960</v>
                </pt>
                <pt idx="783">
                  <v>29967</v>
                </pt>
                <pt idx="784">
                  <v>29974</v>
                </pt>
                <pt idx="785">
                  <v>29981</v>
                </pt>
                <pt idx="786">
                  <v>29988</v>
                </pt>
                <pt idx="787">
                  <v>29995</v>
                </pt>
                <pt idx="788">
                  <v>30002</v>
                </pt>
                <pt idx="789">
                  <v>30009</v>
                </pt>
                <pt idx="790">
                  <v>30016</v>
                </pt>
                <pt idx="791">
                  <v>30023</v>
                </pt>
                <pt idx="792">
                  <v>30030</v>
                </pt>
                <pt idx="793">
                  <v>30037</v>
                </pt>
                <pt idx="794">
                  <v>30044</v>
                </pt>
                <pt idx="795">
                  <v>30051</v>
                </pt>
                <pt idx="796">
                  <v>30058</v>
                </pt>
                <pt idx="797">
                  <v>30065</v>
                </pt>
                <pt idx="798">
                  <v>30072</v>
                </pt>
                <pt idx="799">
                  <v>30079</v>
                </pt>
                <pt idx="800">
                  <v>30086</v>
                </pt>
                <pt idx="801">
                  <v>30093</v>
                </pt>
                <pt idx="802">
                  <v>30100</v>
                </pt>
                <pt idx="803">
                  <v>30107</v>
                </pt>
                <pt idx="804">
                  <v>30114</v>
                </pt>
                <pt idx="805">
                  <v>30121</v>
                </pt>
                <pt idx="806">
                  <v>30128</v>
                </pt>
                <pt idx="807">
                  <v>30135</v>
                </pt>
                <pt idx="808">
                  <v>30142</v>
                </pt>
                <pt idx="809">
                  <v>30149</v>
                </pt>
                <pt idx="810">
                  <v>30156</v>
                </pt>
                <pt idx="811">
                  <v>30163</v>
                </pt>
                <pt idx="812">
                  <v>30170</v>
                </pt>
                <pt idx="813">
                  <v>30177</v>
                </pt>
                <pt idx="814">
                  <v>30184</v>
                </pt>
                <pt idx="815">
                  <v>30191</v>
                </pt>
                <pt idx="816">
                  <v>30198</v>
                </pt>
                <pt idx="817">
                  <v>30205</v>
                </pt>
                <pt idx="818">
                  <v>30212</v>
                </pt>
                <pt idx="819">
                  <v>30219</v>
                </pt>
                <pt idx="820">
                  <v>30226</v>
                </pt>
                <pt idx="821">
                  <v>30233</v>
                </pt>
                <pt idx="822">
                  <v>30240</v>
                </pt>
                <pt idx="823">
                  <v>30247</v>
                </pt>
                <pt idx="824">
                  <v>30254</v>
                </pt>
                <pt idx="825">
                  <v>30261</v>
                </pt>
                <pt idx="826">
                  <v>30268</v>
                </pt>
                <pt idx="827">
                  <v>30275</v>
                </pt>
                <pt idx="828">
                  <v>30282</v>
                </pt>
                <pt idx="829">
                  <v>30289</v>
                </pt>
                <pt idx="830">
                  <v>30296</v>
                </pt>
                <pt idx="831">
                  <v>30303</v>
                </pt>
                <pt idx="832">
                  <v>30310</v>
                </pt>
                <pt idx="833">
                  <v>30317</v>
                </pt>
                <pt idx="834">
                  <v>30324</v>
                </pt>
                <pt idx="835">
                  <v>30331</v>
                </pt>
                <pt idx="836">
                  <v>30338</v>
                </pt>
                <pt idx="837">
                  <v>30345</v>
                </pt>
                <pt idx="838">
                  <v>30352</v>
                </pt>
                <pt idx="839">
                  <v>30359</v>
                </pt>
                <pt idx="840">
                  <v>30366</v>
                </pt>
                <pt idx="841">
                  <v>30373</v>
                </pt>
                <pt idx="842">
                  <v>30380</v>
                </pt>
                <pt idx="843">
                  <v>30387</v>
                </pt>
                <pt idx="844">
                  <v>30394</v>
                </pt>
                <pt idx="845">
                  <v>30401</v>
                </pt>
                <pt idx="846">
                  <v>30408</v>
                </pt>
                <pt idx="847">
                  <v>30415</v>
                </pt>
                <pt idx="848">
                  <v>30422</v>
                </pt>
                <pt idx="849">
                  <v>30429</v>
                </pt>
                <pt idx="850">
                  <v>30436</v>
                </pt>
                <pt idx="851">
                  <v>30443</v>
                </pt>
                <pt idx="852">
                  <v>30450</v>
                </pt>
                <pt idx="853">
                  <v>30457</v>
                </pt>
                <pt idx="854">
                  <v>30464</v>
                </pt>
                <pt idx="855">
                  <v>30471</v>
                </pt>
                <pt idx="856">
                  <v>30478</v>
                </pt>
                <pt idx="857">
                  <v>30485</v>
                </pt>
                <pt idx="858">
                  <v>30492</v>
                </pt>
                <pt idx="859">
                  <v>30499</v>
                </pt>
                <pt idx="860">
                  <v>30506</v>
                </pt>
                <pt idx="861">
                  <v>30513</v>
                </pt>
                <pt idx="862">
                  <v>30520</v>
                </pt>
                <pt idx="863">
                  <v>30527</v>
                </pt>
                <pt idx="864">
                  <v>30534</v>
                </pt>
                <pt idx="865">
                  <v>30541</v>
                </pt>
                <pt idx="866">
                  <v>30548</v>
                </pt>
                <pt idx="867">
                  <v>30555</v>
                </pt>
                <pt idx="868">
                  <v>30562</v>
                </pt>
                <pt idx="869">
                  <v>30569</v>
                </pt>
                <pt idx="870">
                  <v>30576</v>
                </pt>
                <pt idx="871">
                  <v>30583</v>
                </pt>
                <pt idx="872">
                  <v>30590</v>
                </pt>
                <pt idx="873">
                  <v>30597</v>
                </pt>
                <pt idx="874">
                  <v>30604</v>
                </pt>
                <pt idx="875">
                  <v>30611</v>
                </pt>
                <pt idx="876">
                  <v>30618</v>
                </pt>
                <pt idx="877">
                  <v>30625</v>
                </pt>
                <pt idx="878">
                  <v>30632</v>
                </pt>
                <pt idx="879">
                  <v>30639</v>
                </pt>
                <pt idx="880">
                  <v>30646</v>
                </pt>
                <pt idx="881">
                  <v>30653</v>
                </pt>
                <pt idx="882">
                  <v>30660</v>
                </pt>
                <pt idx="883">
                  <v>30667</v>
                </pt>
                <pt idx="884">
                  <v>30674</v>
                </pt>
                <pt idx="885">
                  <v>30681</v>
                </pt>
                <pt idx="886">
                  <v>30688</v>
                </pt>
                <pt idx="887">
                  <v>30695</v>
                </pt>
                <pt idx="888">
                  <v>30702</v>
                </pt>
                <pt idx="889">
                  <v>30709</v>
                </pt>
                <pt idx="890">
                  <v>30716</v>
                </pt>
                <pt idx="891">
                  <v>30723</v>
                </pt>
                <pt idx="892">
                  <v>30730</v>
                </pt>
                <pt idx="893">
                  <v>30737</v>
                </pt>
                <pt idx="894">
                  <v>30744</v>
                </pt>
                <pt idx="895">
                  <v>30751</v>
                </pt>
                <pt idx="896">
                  <v>30758</v>
                </pt>
                <pt idx="897">
                  <v>30765</v>
                </pt>
                <pt idx="898">
                  <v>30772</v>
                </pt>
                <pt idx="899">
                  <v>30779</v>
                </pt>
                <pt idx="900">
                  <v>30786</v>
                </pt>
                <pt idx="901">
                  <v>30793</v>
                </pt>
                <pt idx="902">
                  <v>30800</v>
                </pt>
                <pt idx="903">
                  <v>30807</v>
                </pt>
                <pt idx="904">
                  <v>30814</v>
                </pt>
                <pt idx="905">
                  <v>30821</v>
                </pt>
                <pt idx="906">
                  <v>30828</v>
                </pt>
                <pt idx="907">
                  <v>30835</v>
                </pt>
                <pt idx="908">
                  <v>30842</v>
                </pt>
                <pt idx="909">
                  <v>30849</v>
                </pt>
                <pt idx="910">
                  <v>30856</v>
                </pt>
                <pt idx="911">
                  <v>30863</v>
                </pt>
                <pt idx="912">
                  <v>30870</v>
                </pt>
                <pt idx="913">
                  <v>30877</v>
                </pt>
                <pt idx="914">
                  <v>30884</v>
                </pt>
                <pt idx="915">
                  <v>30891</v>
                </pt>
                <pt idx="916">
                  <v>30898</v>
                </pt>
                <pt idx="917">
                  <v>30905</v>
                </pt>
                <pt idx="918">
                  <v>30912</v>
                </pt>
                <pt idx="919">
                  <v>30919</v>
                </pt>
                <pt idx="920">
                  <v>30926</v>
                </pt>
                <pt idx="921">
                  <v>30933</v>
                </pt>
                <pt idx="922">
                  <v>30940</v>
                </pt>
                <pt idx="923">
                  <v>30947</v>
                </pt>
                <pt idx="924">
                  <v>30954</v>
                </pt>
                <pt idx="925">
                  <v>30961</v>
                </pt>
                <pt idx="926">
                  <v>30968</v>
                </pt>
                <pt idx="927">
                  <v>30975</v>
                </pt>
                <pt idx="928">
                  <v>30982</v>
                </pt>
                <pt idx="929">
                  <v>30989</v>
                </pt>
                <pt idx="930">
                  <v>30996</v>
                </pt>
                <pt idx="931">
                  <v>31003</v>
                </pt>
                <pt idx="932">
                  <v>31010</v>
                </pt>
                <pt idx="933">
                  <v>31017</v>
                </pt>
                <pt idx="934">
                  <v>31024</v>
                </pt>
                <pt idx="935">
                  <v>31031</v>
                </pt>
                <pt idx="936">
                  <v>31038</v>
                </pt>
                <pt idx="937">
                  <v>31045</v>
                </pt>
                <pt idx="938">
                  <v>31052</v>
                </pt>
                <pt idx="939">
                  <v>31059</v>
                </pt>
                <pt idx="940">
                  <v>31066</v>
                </pt>
                <pt idx="941">
                  <v>31073</v>
                </pt>
                <pt idx="942">
                  <v>31080</v>
                </pt>
                <pt idx="943">
                  <v>31087</v>
                </pt>
                <pt idx="944">
                  <v>31094</v>
                </pt>
                <pt idx="945">
                  <v>31101</v>
                </pt>
                <pt idx="946">
                  <v>31108</v>
                </pt>
                <pt idx="947">
                  <v>31115</v>
                </pt>
                <pt idx="948">
                  <v>31122</v>
                </pt>
                <pt idx="949">
                  <v>31129</v>
                </pt>
                <pt idx="950">
                  <v>31136</v>
                </pt>
                <pt idx="951">
                  <v>31143</v>
                </pt>
                <pt idx="952">
                  <v>31150</v>
                </pt>
                <pt idx="953">
                  <v>31157</v>
                </pt>
                <pt idx="954">
                  <v>31164</v>
                </pt>
                <pt idx="955">
                  <v>31171</v>
                </pt>
                <pt idx="956">
                  <v>31178</v>
                </pt>
                <pt idx="957">
                  <v>31185</v>
                </pt>
                <pt idx="958">
                  <v>31192</v>
                </pt>
                <pt idx="959">
                  <v>31199</v>
                </pt>
                <pt idx="960">
                  <v>31206</v>
                </pt>
                <pt idx="961">
                  <v>31213</v>
                </pt>
                <pt idx="962">
                  <v>31220</v>
                </pt>
                <pt idx="963">
                  <v>31227</v>
                </pt>
                <pt idx="964">
                  <v>31234</v>
                </pt>
                <pt idx="965">
                  <v>31241</v>
                </pt>
                <pt idx="966">
                  <v>31248</v>
                </pt>
                <pt idx="967">
                  <v>31255</v>
                </pt>
                <pt idx="968">
                  <v>31262</v>
                </pt>
                <pt idx="969">
                  <v>31269</v>
                </pt>
                <pt idx="970">
                  <v>31276</v>
                </pt>
                <pt idx="971">
                  <v>31283</v>
                </pt>
                <pt idx="972">
                  <v>31290</v>
                </pt>
                <pt idx="973">
                  <v>31297</v>
                </pt>
                <pt idx="974">
                  <v>31304</v>
                </pt>
                <pt idx="975">
                  <v>31311</v>
                </pt>
                <pt idx="976">
                  <v>31318</v>
                </pt>
                <pt idx="977">
                  <v>31325</v>
                </pt>
                <pt idx="978">
                  <v>31332</v>
                </pt>
                <pt idx="979">
                  <v>31339</v>
                </pt>
                <pt idx="980">
                  <v>31346</v>
                </pt>
                <pt idx="981">
                  <v>31353</v>
                </pt>
                <pt idx="982">
                  <v>31360</v>
                </pt>
                <pt idx="983">
                  <v>31367</v>
                </pt>
                <pt idx="984">
                  <v>31374</v>
                </pt>
                <pt idx="985">
                  <v>31381</v>
                </pt>
                <pt idx="986">
                  <v>31388</v>
                </pt>
                <pt idx="987">
                  <v>31395</v>
                </pt>
                <pt idx="988">
                  <v>31402</v>
                </pt>
                <pt idx="989">
                  <v>31409</v>
                </pt>
                <pt idx="990">
                  <v>31416</v>
                </pt>
                <pt idx="991">
                  <v>31423</v>
                </pt>
                <pt idx="992">
                  <v>31430</v>
                </pt>
                <pt idx="993">
                  <v>31437</v>
                </pt>
                <pt idx="994">
                  <v>31444</v>
                </pt>
                <pt idx="995">
                  <v>31451</v>
                </pt>
                <pt idx="996">
                  <v>31458</v>
                </pt>
                <pt idx="997">
                  <v>31465</v>
                </pt>
                <pt idx="998">
                  <v>31472</v>
                </pt>
                <pt idx="999">
                  <v>31479</v>
                </pt>
                <pt idx="1000">
                  <v>31486</v>
                </pt>
                <pt idx="1001">
                  <v>31493</v>
                </pt>
                <pt idx="1002">
                  <v>31500</v>
                </pt>
                <pt idx="1003">
                  <v>31507</v>
                </pt>
                <pt idx="1004">
                  <v>31514</v>
                </pt>
                <pt idx="1005">
                  <v>31521</v>
                </pt>
                <pt idx="1006">
                  <v>31528</v>
                </pt>
                <pt idx="1007">
                  <v>31535</v>
                </pt>
                <pt idx="1008">
                  <v>31542</v>
                </pt>
                <pt idx="1009">
                  <v>31549</v>
                </pt>
                <pt idx="1010">
                  <v>31556</v>
                </pt>
                <pt idx="1011">
                  <v>31563</v>
                </pt>
                <pt idx="1012">
                  <v>31570</v>
                </pt>
                <pt idx="1013">
                  <v>31577</v>
                </pt>
                <pt idx="1014">
                  <v>31584</v>
                </pt>
                <pt idx="1015">
                  <v>31591</v>
                </pt>
                <pt idx="1016">
                  <v>31598</v>
                </pt>
                <pt idx="1017">
                  <v>31605</v>
                </pt>
                <pt idx="1018">
                  <v>31612</v>
                </pt>
                <pt idx="1019">
                  <v>31619</v>
                </pt>
                <pt idx="1020">
                  <v>31626</v>
                </pt>
                <pt idx="1021">
                  <v>31633</v>
                </pt>
                <pt idx="1022">
                  <v>31640</v>
                </pt>
                <pt idx="1023">
                  <v>31647</v>
                </pt>
                <pt idx="1024">
                  <v>31654</v>
                </pt>
                <pt idx="1025">
                  <v>31661</v>
                </pt>
                <pt idx="1026">
                  <v>31668</v>
                </pt>
                <pt idx="1027">
                  <v>31675</v>
                </pt>
                <pt idx="1028">
                  <v>31682</v>
                </pt>
                <pt idx="1029">
                  <v>31689</v>
                </pt>
                <pt idx="1030">
                  <v>31696</v>
                </pt>
                <pt idx="1031">
                  <v>31703</v>
                </pt>
                <pt idx="1032">
                  <v>31710</v>
                </pt>
                <pt idx="1033">
                  <v>31717</v>
                </pt>
                <pt idx="1034">
                  <v>31724</v>
                </pt>
                <pt idx="1035">
                  <v>31731</v>
                </pt>
                <pt idx="1036">
                  <v>31738</v>
                </pt>
                <pt idx="1037">
                  <v>31745</v>
                </pt>
                <pt idx="1038">
                  <v>31752</v>
                </pt>
                <pt idx="1039">
                  <v>31759</v>
                </pt>
                <pt idx="1040">
                  <v>31766</v>
                </pt>
                <pt idx="1041">
                  <v>31773</v>
                </pt>
                <pt idx="1042">
                  <v>31780</v>
                </pt>
                <pt idx="1043">
                  <v>31787</v>
                </pt>
                <pt idx="1044">
                  <v>31794</v>
                </pt>
                <pt idx="1045">
                  <v>31801</v>
                </pt>
                <pt idx="1046">
                  <v>31808</v>
                </pt>
                <pt idx="1047">
                  <v>31815</v>
                </pt>
                <pt idx="1048">
                  <v>31822</v>
                </pt>
                <pt idx="1049">
                  <v>31829</v>
                </pt>
                <pt idx="1050">
                  <v>31836</v>
                </pt>
                <pt idx="1051">
                  <v>31843</v>
                </pt>
                <pt idx="1052">
                  <v>31850</v>
                </pt>
                <pt idx="1053">
                  <v>31857</v>
                </pt>
                <pt idx="1054">
                  <v>31864</v>
                </pt>
                <pt idx="1055">
                  <v>31871</v>
                </pt>
                <pt idx="1056">
                  <v>31878</v>
                </pt>
                <pt idx="1057">
                  <v>31885</v>
                </pt>
                <pt idx="1058">
                  <v>31892</v>
                </pt>
                <pt idx="1059">
                  <v>31899</v>
                </pt>
                <pt idx="1060">
                  <v>31906</v>
                </pt>
                <pt idx="1061">
                  <v>31913</v>
                </pt>
                <pt idx="1062">
                  <v>31920</v>
                </pt>
                <pt idx="1063">
                  <v>31927</v>
                </pt>
                <pt idx="1064">
                  <v>31934</v>
                </pt>
                <pt idx="1065">
                  <v>31941</v>
                </pt>
                <pt idx="1066">
                  <v>31948</v>
                </pt>
                <pt idx="1067">
                  <v>31955</v>
                </pt>
                <pt idx="1068">
                  <v>31962</v>
                </pt>
                <pt idx="1069">
                  <v>31969</v>
                </pt>
                <pt idx="1070">
                  <v>31976</v>
                </pt>
                <pt idx="1071">
                  <v>31983</v>
                </pt>
                <pt idx="1072">
                  <v>31990</v>
                </pt>
                <pt idx="1073">
                  <v>31997</v>
                </pt>
                <pt idx="1074">
                  <v>32004</v>
                </pt>
                <pt idx="1075">
                  <v>32011</v>
                </pt>
                <pt idx="1076">
                  <v>32018</v>
                </pt>
                <pt idx="1077">
                  <v>32025</v>
                </pt>
                <pt idx="1078">
                  <v>32032</v>
                </pt>
                <pt idx="1079">
                  <v>32039</v>
                </pt>
                <pt idx="1080">
                  <v>32046</v>
                </pt>
                <pt idx="1081">
                  <v>32053</v>
                </pt>
                <pt idx="1082">
                  <v>32060</v>
                </pt>
                <pt idx="1083">
                  <v>32067</v>
                </pt>
                <pt idx="1084">
                  <v>32074</v>
                </pt>
                <pt idx="1085">
                  <v>32081</v>
                </pt>
                <pt idx="1086">
                  <v>32088</v>
                </pt>
                <pt idx="1087">
                  <v>32095</v>
                </pt>
                <pt idx="1088">
                  <v>32102</v>
                </pt>
                <pt idx="1089">
                  <v>32109</v>
                </pt>
                <pt idx="1090">
                  <v>32116</v>
                </pt>
                <pt idx="1091">
                  <v>32123</v>
                </pt>
                <pt idx="1092">
                  <v>32130</v>
                </pt>
                <pt idx="1093">
                  <v>32137</v>
                </pt>
                <pt idx="1094">
                  <v>32144</v>
                </pt>
                <pt idx="1095">
                  <v>32151</v>
                </pt>
                <pt idx="1096">
                  <v>32158</v>
                </pt>
                <pt idx="1097">
                  <v>32165</v>
                </pt>
                <pt idx="1098">
                  <v>32172</v>
                </pt>
                <pt idx="1099">
                  <v>32179</v>
                </pt>
                <pt idx="1100">
                  <v>32186</v>
                </pt>
                <pt idx="1101">
                  <v>32193</v>
                </pt>
                <pt idx="1102">
                  <v>32200</v>
                </pt>
                <pt idx="1103">
                  <v>32207</v>
                </pt>
                <pt idx="1104">
                  <v>32214</v>
                </pt>
                <pt idx="1105">
                  <v>32221</v>
                </pt>
                <pt idx="1106">
                  <v>32228</v>
                </pt>
                <pt idx="1107">
                  <v>32235</v>
                </pt>
                <pt idx="1108">
                  <v>32242</v>
                </pt>
                <pt idx="1109">
                  <v>32249</v>
                </pt>
                <pt idx="1110">
                  <v>32256</v>
                </pt>
                <pt idx="1111">
                  <v>32263</v>
                </pt>
                <pt idx="1112">
                  <v>32270</v>
                </pt>
                <pt idx="1113">
                  <v>32277</v>
                </pt>
                <pt idx="1114">
                  <v>32284</v>
                </pt>
                <pt idx="1115">
                  <v>32291</v>
                </pt>
                <pt idx="1116">
                  <v>32298</v>
                </pt>
                <pt idx="1117">
                  <v>32305</v>
                </pt>
                <pt idx="1118">
                  <v>32312</v>
                </pt>
                <pt idx="1119">
                  <v>32319</v>
                </pt>
                <pt idx="1120">
                  <v>32326</v>
                </pt>
                <pt idx="1121">
                  <v>32333</v>
                </pt>
                <pt idx="1122">
                  <v>32340</v>
                </pt>
                <pt idx="1123">
                  <v>32347</v>
                </pt>
                <pt idx="1124">
                  <v>32354</v>
                </pt>
                <pt idx="1125">
                  <v>32361</v>
                </pt>
                <pt idx="1126">
                  <v>32368</v>
                </pt>
                <pt idx="1127">
                  <v>32375</v>
                </pt>
                <pt idx="1128">
                  <v>32382</v>
                </pt>
                <pt idx="1129">
                  <v>32389</v>
                </pt>
                <pt idx="1130">
                  <v>32396</v>
                </pt>
                <pt idx="1131">
                  <v>32403</v>
                </pt>
                <pt idx="1132">
                  <v>32410</v>
                </pt>
                <pt idx="1133">
                  <v>32417</v>
                </pt>
                <pt idx="1134">
                  <v>32424</v>
                </pt>
                <pt idx="1135">
                  <v>32431</v>
                </pt>
                <pt idx="1136">
                  <v>32438</v>
                </pt>
                <pt idx="1137">
                  <v>32445</v>
                </pt>
                <pt idx="1138">
                  <v>32452</v>
                </pt>
                <pt idx="1139">
                  <v>32459</v>
                </pt>
                <pt idx="1140">
                  <v>32466</v>
                </pt>
                <pt idx="1141">
                  <v>32473</v>
                </pt>
                <pt idx="1142">
                  <v>32480</v>
                </pt>
                <pt idx="1143">
                  <v>32487</v>
                </pt>
                <pt idx="1144">
                  <v>32494</v>
                </pt>
                <pt idx="1145">
                  <v>32501</v>
                </pt>
                <pt idx="1146">
                  <v>32508</v>
                </pt>
                <pt idx="1147">
                  <v>32515</v>
                </pt>
                <pt idx="1148">
                  <v>32522</v>
                </pt>
                <pt idx="1149">
                  <v>32529</v>
                </pt>
                <pt idx="1150">
                  <v>32536</v>
                </pt>
                <pt idx="1151">
                  <v>32543</v>
                </pt>
                <pt idx="1152">
                  <v>32550</v>
                </pt>
                <pt idx="1153">
                  <v>32557</v>
                </pt>
                <pt idx="1154">
                  <v>32564</v>
                </pt>
                <pt idx="1155">
                  <v>32571</v>
                </pt>
                <pt idx="1156">
                  <v>32578</v>
                </pt>
                <pt idx="1157">
                  <v>32585</v>
                </pt>
                <pt idx="1158">
                  <v>32592</v>
                </pt>
                <pt idx="1159">
                  <v>32599</v>
                </pt>
                <pt idx="1160">
                  <v>32606</v>
                </pt>
                <pt idx="1161">
                  <v>32613</v>
                </pt>
                <pt idx="1162">
                  <v>32620</v>
                </pt>
                <pt idx="1163">
                  <v>32627</v>
                </pt>
                <pt idx="1164">
                  <v>32634</v>
                </pt>
                <pt idx="1165">
                  <v>32641</v>
                </pt>
                <pt idx="1166">
                  <v>32648</v>
                </pt>
                <pt idx="1167">
                  <v>32655</v>
                </pt>
                <pt idx="1168">
                  <v>32662</v>
                </pt>
                <pt idx="1169">
                  <v>32669</v>
                </pt>
                <pt idx="1170">
                  <v>32676</v>
                </pt>
                <pt idx="1171">
                  <v>32683</v>
                </pt>
                <pt idx="1172">
                  <v>32690</v>
                </pt>
                <pt idx="1173">
                  <v>32697</v>
                </pt>
                <pt idx="1174">
                  <v>32704</v>
                </pt>
                <pt idx="1175">
                  <v>32711</v>
                </pt>
                <pt idx="1176">
                  <v>32718</v>
                </pt>
                <pt idx="1177">
                  <v>32725</v>
                </pt>
                <pt idx="1178">
                  <v>32732</v>
                </pt>
                <pt idx="1179">
                  <v>32739</v>
                </pt>
                <pt idx="1180">
                  <v>32746</v>
                </pt>
                <pt idx="1181">
                  <v>32753</v>
                </pt>
                <pt idx="1182">
                  <v>32760</v>
                </pt>
                <pt idx="1183">
                  <v>32767</v>
                </pt>
                <pt idx="1184">
                  <v>32774</v>
                </pt>
                <pt idx="1185">
                  <v>32781</v>
                </pt>
                <pt idx="1186">
                  <v>32788</v>
                </pt>
                <pt idx="1187">
                  <v>32795</v>
                </pt>
                <pt idx="1188">
                  <v>32802</v>
                </pt>
                <pt idx="1189">
                  <v>32809</v>
                </pt>
                <pt idx="1190">
                  <v>32816</v>
                </pt>
                <pt idx="1191">
                  <v>32823</v>
                </pt>
                <pt idx="1192">
                  <v>32830</v>
                </pt>
                <pt idx="1193">
                  <v>32837</v>
                </pt>
                <pt idx="1194">
                  <v>32844</v>
                </pt>
                <pt idx="1195">
                  <v>32851</v>
                </pt>
                <pt idx="1196">
                  <v>32858</v>
                </pt>
                <pt idx="1197">
                  <v>32865</v>
                </pt>
                <pt idx="1198">
                  <v>32872</v>
                </pt>
                <pt idx="1199">
                  <v>32879</v>
                </pt>
                <pt idx="1200">
                  <v>32886</v>
                </pt>
                <pt idx="1201">
                  <v>32893</v>
                </pt>
                <pt idx="1202">
                  <v>32900</v>
                </pt>
                <pt idx="1203">
                  <v>32907</v>
                </pt>
                <pt idx="1204">
                  <v>32914</v>
                </pt>
                <pt idx="1205">
                  <v>32921</v>
                </pt>
                <pt idx="1206">
                  <v>32928</v>
                </pt>
                <pt idx="1207">
                  <v>32935</v>
                </pt>
                <pt idx="1208">
                  <v>32942</v>
                </pt>
                <pt idx="1209">
                  <v>32949</v>
                </pt>
                <pt idx="1210">
                  <v>32956</v>
                </pt>
                <pt idx="1211">
                  <v>32963</v>
                </pt>
                <pt idx="1212">
                  <v>32970</v>
                </pt>
                <pt idx="1213">
                  <v>32977</v>
                </pt>
                <pt idx="1214">
                  <v>32984</v>
                </pt>
                <pt idx="1215">
                  <v>32991</v>
                </pt>
                <pt idx="1216">
                  <v>32998</v>
                </pt>
                <pt idx="1217">
                  <v>33005</v>
                </pt>
                <pt idx="1218">
                  <v>33012</v>
                </pt>
                <pt idx="1219">
                  <v>33019</v>
                </pt>
                <pt idx="1220">
                  <v>33026</v>
                </pt>
                <pt idx="1221">
                  <v>33033</v>
                </pt>
                <pt idx="1222">
                  <v>33040</v>
                </pt>
                <pt idx="1223">
                  <v>33047</v>
                </pt>
                <pt idx="1224">
                  <v>33054</v>
                </pt>
                <pt idx="1225">
                  <v>33061</v>
                </pt>
                <pt idx="1226">
                  <v>33068</v>
                </pt>
                <pt idx="1227">
                  <v>33075</v>
                </pt>
                <pt idx="1228">
                  <v>33082</v>
                </pt>
                <pt idx="1229">
                  <v>33089</v>
                </pt>
                <pt idx="1230">
                  <v>33096</v>
                </pt>
                <pt idx="1231">
                  <v>33103</v>
                </pt>
                <pt idx="1232">
                  <v>33110</v>
                </pt>
                <pt idx="1233">
                  <v>33117</v>
                </pt>
                <pt idx="1234">
                  <v>33124</v>
                </pt>
                <pt idx="1235">
                  <v>33131</v>
                </pt>
                <pt idx="1236">
                  <v>33138</v>
                </pt>
                <pt idx="1237">
                  <v>33145</v>
                </pt>
                <pt idx="1238">
                  <v>33152</v>
                </pt>
                <pt idx="1239">
                  <v>33159</v>
                </pt>
                <pt idx="1240">
                  <v>33166</v>
                </pt>
                <pt idx="1241">
                  <v>33173</v>
                </pt>
                <pt idx="1242">
                  <v>33180</v>
                </pt>
                <pt idx="1243">
                  <v>33187</v>
                </pt>
                <pt idx="1244">
                  <v>33194</v>
                </pt>
                <pt idx="1245">
                  <v>33201</v>
                </pt>
                <pt idx="1246">
                  <v>33208</v>
                </pt>
                <pt idx="1247">
                  <v>33215</v>
                </pt>
                <pt idx="1248">
                  <v>33222</v>
                </pt>
                <pt idx="1249">
                  <v>33229</v>
                </pt>
                <pt idx="1250">
                  <v>33236</v>
                </pt>
                <pt idx="1251">
                  <v>33243</v>
                </pt>
                <pt idx="1252">
                  <v>33250</v>
                </pt>
                <pt idx="1253">
                  <v>33257</v>
                </pt>
                <pt idx="1254">
                  <v>33264</v>
                </pt>
                <pt idx="1255">
                  <v>33271</v>
                </pt>
                <pt idx="1256">
                  <v>33278</v>
                </pt>
                <pt idx="1257">
                  <v>33285</v>
                </pt>
                <pt idx="1258">
                  <v>33292</v>
                </pt>
                <pt idx="1259">
                  <v>33299</v>
                </pt>
                <pt idx="1260">
                  <v>33306</v>
                </pt>
                <pt idx="1261">
                  <v>33313</v>
                </pt>
                <pt idx="1262">
                  <v>33320</v>
                </pt>
                <pt idx="1263">
                  <v>33327</v>
                </pt>
                <pt idx="1264">
                  <v>33334</v>
                </pt>
                <pt idx="1265">
                  <v>33341</v>
                </pt>
                <pt idx="1266">
                  <v>33348</v>
                </pt>
                <pt idx="1267">
                  <v>33355</v>
                </pt>
                <pt idx="1268">
                  <v>33362</v>
                </pt>
                <pt idx="1269">
                  <v>33369</v>
                </pt>
                <pt idx="1270">
                  <v>33376</v>
                </pt>
                <pt idx="1271">
                  <v>33383</v>
                </pt>
                <pt idx="1272">
                  <v>33390</v>
                </pt>
                <pt idx="1273">
                  <v>33397</v>
                </pt>
                <pt idx="1274">
                  <v>33404</v>
                </pt>
                <pt idx="1275">
                  <v>33411</v>
                </pt>
                <pt idx="1276">
                  <v>33418</v>
                </pt>
                <pt idx="1277">
                  <v>33425</v>
                </pt>
                <pt idx="1278">
                  <v>33432</v>
                </pt>
                <pt idx="1279">
                  <v>33439</v>
                </pt>
                <pt idx="1280">
                  <v>33446</v>
                </pt>
                <pt idx="1281">
                  <v>33453</v>
                </pt>
                <pt idx="1282">
                  <v>33460</v>
                </pt>
                <pt idx="1283">
                  <v>33467</v>
                </pt>
                <pt idx="1284">
                  <v>33474</v>
                </pt>
                <pt idx="1285">
                  <v>33481</v>
                </pt>
                <pt idx="1286">
                  <v>33488</v>
                </pt>
                <pt idx="1287">
                  <v>33495</v>
                </pt>
                <pt idx="1288">
                  <v>33502</v>
                </pt>
                <pt idx="1289">
                  <v>33509</v>
                </pt>
                <pt idx="1290">
                  <v>33516</v>
                </pt>
                <pt idx="1291">
                  <v>33523</v>
                </pt>
                <pt idx="1292">
                  <v>33530</v>
                </pt>
                <pt idx="1293">
                  <v>33537</v>
                </pt>
                <pt idx="1294">
                  <v>33544</v>
                </pt>
                <pt idx="1295">
                  <v>33551</v>
                </pt>
                <pt idx="1296">
                  <v>33558</v>
                </pt>
                <pt idx="1297">
                  <v>33565</v>
                </pt>
                <pt idx="1298">
                  <v>33572</v>
                </pt>
                <pt idx="1299">
                  <v>33579</v>
                </pt>
                <pt idx="1300">
                  <v>33586</v>
                </pt>
                <pt idx="1301">
                  <v>33593</v>
                </pt>
                <pt idx="1302">
                  <v>33600</v>
                </pt>
                <pt idx="1303">
                  <v>33607</v>
                </pt>
                <pt idx="1304">
                  <v>33614</v>
                </pt>
                <pt idx="1305">
                  <v>33621</v>
                </pt>
                <pt idx="1306">
                  <v>33628</v>
                </pt>
                <pt idx="1307">
                  <v>33635</v>
                </pt>
                <pt idx="1308">
                  <v>33642</v>
                </pt>
                <pt idx="1309">
                  <v>33649</v>
                </pt>
                <pt idx="1310">
                  <v>33656</v>
                </pt>
                <pt idx="1311">
                  <v>33663</v>
                </pt>
                <pt idx="1312">
                  <v>33670</v>
                </pt>
                <pt idx="1313">
                  <v>33677</v>
                </pt>
                <pt idx="1314">
                  <v>33684</v>
                </pt>
                <pt idx="1315">
                  <v>33691</v>
                </pt>
                <pt idx="1316">
                  <v>33698</v>
                </pt>
                <pt idx="1317">
                  <v>33705</v>
                </pt>
                <pt idx="1318">
                  <v>33712</v>
                </pt>
                <pt idx="1319">
                  <v>33719</v>
                </pt>
                <pt idx="1320">
                  <v>33726</v>
                </pt>
                <pt idx="1321">
                  <v>33733</v>
                </pt>
                <pt idx="1322">
                  <v>33740</v>
                </pt>
                <pt idx="1323">
                  <v>33747</v>
                </pt>
                <pt idx="1324">
                  <v>33754</v>
                </pt>
                <pt idx="1325">
                  <v>33761</v>
                </pt>
                <pt idx="1326">
                  <v>33768</v>
                </pt>
                <pt idx="1327">
                  <v>33775</v>
                </pt>
                <pt idx="1328">
                  <v>33782</v>
                </pt>
                <pt idx="1329">
                  <v>33789</v>
                </pt>
                <pt idx="1330">
                  <v>33796</v>
                </pt>
                <pt idx="1331">
                  <v>33803</v>
                </pt>
                <pt idx="1332">
                  <v>33810</v>
                </pt>
                <pt idx="1333">
                  <v>33817</v>
                </pt>
                <pt idx="1334">
                  <v>33824</v>
                </pt>
                <pt idx="1335">
                  <v>33831</v>
                </pt>
                <pt idx="1336">
                  <v>33838</v>
                </pt>
                <pt idx="1337">
                  <v>33845</v>
                </pt>
                <pt idx="1338">
                  <v>33852</v>
                </pt>
                <pt idx="1339">
                  <v>33859</v>
                </pt>
                <pt idx="1340">
                  <v>33866</v>
                </pt>
                <pt idx="1341">
                  <v>33873</v>
                </pt>
                <pt idx="1342">
                  <v>33880</v>
                </pt>
                <pt idx="1343">
                  <v>33887</v>
                </pt>
                <pt idx="1344">
                  <v>33894</v>
                </pt>
                <pt idx="1345">
                  <v>33901</v>
                </pt>
                <pt idx="1346">
                  <v>33908</v>
                </pt>
                <pt idx="1347">
                  <v>33915</v>
                </pt>
                <pt idx="1348">
                  <v>33922</v>
                </pt>
                <pt idx="1349">
                  <v>33929</v>
                </pt>
                <pt idx="1350">
                  <v>33936</v>
                </pt>
                <pt idx="1351">
                  <v>33943</v>
                </pt>
                <pt idx="1352">
                  <v>33950</v>
                </pt>
                <pt idx="1353">
                  <v>33957</v>
                </pt>
                <pt idx="1354">
                  <v>33964</v>
                </pt>
                <pt idx="1355">
                  <v>33971</v>
                </pt>
                <pt idx="1356">
                  <v>33978</v>
                </pt>
                <pt idx="1357">
                  <v>33985</v>
                </pt>
                <pt idx="1358">
                  <v>33992</v>
                </pt>
                <pt idx="1359">
                  <v>33999</v>
                </pt>
                <pt idx="1360">
                  <v>34006</v>
                </pt>
                <pt idx="1361">
                  <v>34013</v>
                </pt>
                <pt idx="1362">
                  <v>34020</v>
                </pt>
                <pt idx="1363">
                  <v>34027</v>
                </pt>
                <pt idx="1364">
                  <v>34034</v>
                </pt>
                <pt idx="1365">
                  <v>34041</v>
                </pt>
                <pt idx="1366">
                  <v>34048</v>
                </pt>
                <pt idx="1367">
                  <v>34055</v>
                </pt>
                <pt idx="1368">
                  <v>34062</v>
                </pt>
                <pt idx="1369">
                  <v>34069</v>
                </pt>
                <pt idx="1370">
                  <v>34076</v>
                </pt>
                <pt idx="1371">
                  <v>34083</v>
                </pt>
                <pt idx="1372">
                  <v>34090</v>
                </pt>
                <pt idx="1373">
                  <v>34097</v>
                </pt>
                <pt idx="1374">
                  <v>34104</v>
                </pt>
                <pt idx="1375">
                  <v>34111</v>
                </pt>
                <pt idx="1376">
                  <v>34118</v>
                </pt>
                <pt idx="1377">
                  <v>34125</v>
                </pt>
                <pt idx="1378">
                  <v>34132</v>
                </pt>
                <pt idx="1379">
                  <v>34139</v>
                </pt>
                <pt idx="1380">
                  <v>34146</v>
                </pt>
                <pt idx="1381">
                  <v>34153</v>
                </pt>
                <pt idx="1382">
                  <v>34160</v>
                </pt>
                <pt idx="1383">
                  <v>34167</v>
                </pt>
                <pt idx="1384">
                  <v>34174</v>
                </pt>
                <pt idx="1385">
                  <v>34181</v>
                </pt>
                <pt idx="1386">
                  <v>34188</v>
                </pt>
                <pt idx="1387">
                  <v>34195</v>
                </pt>
                <pt idx="1388">
                  <v>34202</v>
                </pt>
                <pt idx="1389">
                  <v>34209</v>
                </pt>
                <pt idx="1390">
                  <v>34216</v>
                </pt>
                <pt idx="1391">
                  <v>34223</v>
                </pt>
                <pt idx="1392">
                  <v>34230</v>
                </pt>
                <pt idx="1393">
                  <v>34237</v>
                </pt>
                <pt idx="1394">
                  <v>34244</v>
                </pt>
                <pt idx="1395">
                  <v>34251</v>
                </pt>
                <pt idx="1396">
                  <v>34258</v>
                </pt>
                <pt idx="1397">
                  <v>34265</v>
                </pt>
                <pt idx="1398">
                  <v>34272</v>
                </pt>
                <pt idx="1399">
                  <v>34279</v>
                </pt>
                <pt idx="1400">
                  <v>34286</v>
                </pt>
                <pt idx="1401">
                  <v>34293</v>
                </pt>
                <pt idx="1402">
                  <v>34300</v>
                </pt>
                <pt idx="1403">
                  <v>34307</v>
                </pt>
                <pt idx="1404">
                  <v>34314</v>
                </pt>
                <pt idx="1405">
                  <v>34321</v>
                </pt>
                <pt idx="1406">
                  <v>34328</v>
                </pt>
                <pt idx="1407">
                  <v>34335</v>
                </pt>
                <pt idx="1408">
                  <v>34342</v>
                </pt>
                <pt idx="1409">
                  <v>34349</v>
                </pt>
                <pt idx="1410">
                  <v>34356</v>
                </pt>
                <pt idx="1411">
                  <v>34363</v>
                </pt>
                <pt idx="1412">
                  <v>34370</v>
                </pt>
                <pt idx="1413">
                  <v>34377</v>
                </pt>
                <pt idx="1414">
                  <v>34384</v>
                </pt>
                <pt idx="1415">
                  <v>34391</v>
                </pt>
                <pt idx="1416">
                  <v>34398</v>
                </pt>
                <pt idx="1417">
                  <v>34405</v>
                </pt>
                <pt idx="1418">
                  <v>34412</v>
                </pt>
                <pt idx="1419">
                  <v>34419</v>
                </pt>
                <pt idx="1420">
                  <v>34426</v>
                </pt>
                <pt idx="1421">
                  <v>34433</v>
                </pt>
                <pt idx="1422">
                  <v>34440</v>
                </pt>
                <pt idx="1423">
                  <v>34447</v>
                </pt>
                <pt idx="1424">
                  <v>34454</v>
                </pt>
                <pt idx="1425">
                  <v>34461</v>
                </pt>
                <pt idx="1426">
                  <v>34468</v>
                </pt>
                <pt idx="1427">
                  <v>34475</v>
                </pt>
                <pt idx="1428">
                  <v>34482</v>
                </pt>
                <pt idx="1429">
                  <v>34489</v>
                </pt>
                <pt idx="1430">
                  <v>34496</v>
                </pt>
                <pt idx="1431">
                  <v>34503</v>
                </pt>
                <pt idx="1432">
                  <v>34510</v>
                </pt>
                <pt idx="1433">
                  <v>34517</v>
                </pt>
                <pt idx="1434">
                  <v>34524</v>
                </pt>
                <pt idx="1435">
                  <v>34531</v>
                </pt>
                <pt idx="1436">
                  <v>34538</v>
                </pt>
                <pt idx="1437">
                  <v>34545</v>
                </pt>
                <pt idx="1438">
                  <v>34552</v>
                </pt>
                <pt idx="1439">
                  <v>34559</v>
                </pt>
                <pt idx="1440">
                  <v>34566</v>
                </pt>
                <pt idx="1441">
                  <v>34573</v>
                </pt>
                <pt idx="1442">
                  <v>34580</v>
                </pt>
                <pt idx="1443">
                  <v>34587</v>
                </pt>
                <pt idx="1444">
                  <v>34594</v>
                </pt>
                <pt idx="1445">
                  <v>34601</v>
                </pt>
                <pt idx="1446">
                  <v>34608</v>
                </pt>
                <pt idx="1447">
                  <v>34615</v>
                </pt>
                <pt idx="1448">
                  <v>34622</v>
                </pt>
                <pt idx="1449">
                  <v>34629</v>
                </pt>
                <pt idx="1450">
                  <v>34636</v>
                </pt>
                <pt idx="1451">
                  <v>34643</v>
                </pt>
                <pt idx="1452">
                  <v>34650</v>
                </pt>
                <pt idx="1453">
                  <v>34657</v>
                </pt>
                <pt idx="1454">
                  <v>34664</v>
                </pt>
                <pt idx="1455">
                  <v>34671</v>
                </pt>
                <pt idx="1456">
                  <v>34678</v>
                </pt>
                <pt idx="1457">
                  <v>34685</v>
                </pt>
                <pt idx="1458">
                  <v>34692</v>
                </pt>
                <pt idx="1459">
                  <v>34699</v>
                </pt>
                <pt idx="1460">
                  <v>34706</v>
                </pt>
                <pt idx="1461">
                  <v>34713</v>
                </pt>
                <pt idx="1462">
                  <v>34720</v>
                </pt>
                <pt idx="1463">
                  <v>34727</v>
                </pt>
                <pt idx="1464">
                  <v>34734</v>
                </pt>
                <pt idx="1465">
                  <v>34741</v>
                </pt>
                <pt idx="1466">
                  <v>34748</v>
                </pt>
                <pt idx="1467">
                  <v>34755</v>
                </pt>
                <pt idx="1468">
                  <v>34762</v>
                </pt>
                <pt idx="1469">
                  <v>34769</v>
                </pt>
                <pt idx="1470">
                  <v>34776</v>
                </pt>
                <pt idx="1471">
                  <v>34783</v>
                </pt>
                <pt idx="1472">
                  <v>34790</v>
                </pt>
                <pt idx="1473">
                  <v>34797</v>
                </pt>
                <pt idx="1474">
                  <v>34804</v>
                </pt>
                <pt idx="1475">
                  <v>34811</v>
                </pt>
                <pt idx="1476">
                  <v>34818</v>
                </pt>
                <pt idx="1477">
                  <v>34825</v>
                </pt>
                <pt idx="1478">
                  <v>34832</v>
                </pt>
                <pt idx="1479">
                  <v>34839</v>
                </pt>
                <pt idx="1480">
                  <v>34846</v>
                </pt>
                <pt idx="1481">
                  <v>34853</v>
                </pt>
                <pt idx="1482">
                  <v>34860</v>
                </pt>
                <pt idx="1483">
                  <v>34867</v>
                </pt>
                <pt idx="1484">
                  <v>34874</v>
                </pt>
                <pt idx="1485">
                  <v>34881</v>
                </pt>
                <pt idx="1486">
                  <v>34888</v>
                </pt>
                <pt idx="1487">
                  <v>34895</v>
                </pt>
                <pt idx="1488">
                  <v>34902</v>
                </pt>
                <pt idx="1489">
                  <v>34909</v>
                </pt>
                <pt idx="1490">
                  <v>34916</v>
                </pt>
                <pt idx="1491">
                  <v>34923</v>
                </pt>
                <pt idx="1492">
                  <v>34930</v>
                </pt>
                <pt idx="1493">
                  <v>34937</v>
                </pt>
                <pt idx="1494">
                  <v>34944</v>
                </pt>
                <pt idx="1495">
                  <v>34951</v>
                </pt>
                <pt idx="1496">
                  <v>34958</v>
                </pt>
                <pt idx="1497">
                  <v>34965</v>
                </pt>
                <pt idx="1498">
                  <v>34972</v>
                </pt>
                <pt idx="1499">
                  <v>34979</v>
                </pt>
                <pt idx="1500">
                  <v>34986</v>
                </pt>
                <pt idx="1501">
                  <v>34993</v>
                </pt>
                <pt idx="1502">
                  <v>35000</v>
                </pt>
                <pt idx="1503">
                  <v>35007</v>
                </pt>
                <pt idx="1504">
                  <v>35014</v>
                </pt>
                <pt idx="1505">
                  <v>35021</v>
                </pt>
                <pt idx="1506">
                  <v>35028</v>
                </pt>
                <pt idx="1507">
                  <v>35035</v>
                </pt>
                <pt idx="1508">
                  <v>35042</v>
                </pt>
                <pt idx="1509">
                  <v>35049</v>
                </pt>
                <pt idx="1510">
                  <v>35056</v>
                </pt>
                <pt idx="1511">
                  <v>35063</v>
                </pt>
                <pt idx="1512">
                  <v>35070</v>
                </pt>
                <pt idx="1513">
                  <v>35077</v>
                </pt>
                <pt idx="1514">
                  <v>35084</v>
                </pt>
                <pt idx="1515">
                  <v>35091</v>
                </pt>
                <pt idx="1516">
                  <v>35098</v>
                </pt>
                <pt idx="1517">
                  <v>35105</v>
                </pt>
                <pt idx="1518">
                  <v>35112</v>
                </pt>
                <pt idx="1519">
                  <v>35119</v>
                </pt>
                <pt idx="1520">
                  <v>35126</v>
                </pt>
                <pt idx="1521">
                  <v>35133</v>
                </pt>
                <pt idx="1522">
                  <v>35140</v>
                </pt>
                <pt idx="1523">
                  <v>35147</v>
                </pt>
                <pt idx="1524">
                  <v>35154</v>
                </pt>
                <pt idx="1525">
                  <v>35161</v>
                </pt>
                <pt idx="1526">
                  <v>35168</v>
                </pt>
                <pt idx="1527">
                  <v>35175</v>
                </pt>
                <pt idx="1528">
                  <v>35182</v>
                </pt>
                <pt idx="1529">
                  <v>35189</v>
                </pt>
                <pt idx="1530">
                  <v>35196</v>
                </pt>
                <pt idx="1531">
                  <v>35203</v>
                </pt>
                <pt idx="1532">
                  <v>35210</v>
                </pt>
                <pt idx="1533">
                  <v>35217</v>
                </pt>
                <pt idx="1534">
                  <v>35224</v>
                </pt>
                <pt idx="1535">
                  <v>35231</v>
                </pt>
                <pt idx="1536">
                  <v>35238</v>
                </pt>
                <pt idx="1537">
                  <v>35245</v>
                </pt>
                <pt idx="1538">
                  <v>35252</v>
                </pt>
                <pt idx="1539">
                  <v>35259</v>
                </pt>
                <pt idx="1540">
                  <v>35266</v>
                </pt>
                <pt idx="1541">
                  <v>35273</v>
                </pt>
                <pt idx="1542">
                  <v>35280</v>
                </pt>
                <pt idx="1543">
                  <v>35287</v>
                </pt>
                <pt idx="1544">
                  <v>35294</v>
                </pt>
                <pt idx="1545">
                  <v>35301</v>
                </pt>
                <pt idx="1546">
                  <v>35308</v>
                </pt>
                <pt idx="1547">
                  <v>35315</v>
                </pt>
                <pt idx="1548">
                  <v>35322</v>
                </pt>
                <pt idx="1549">
                  <v>35329</v>
                </pt>
                <pt idx="1550">
                  <v>35336</v>
                </pt>
                <pt idx="1551">
                  <v>35343</v>
                </pt>
                <pt idx="1552">
                  <v>35350</v>
                </pt>
                <pt idx="1553">
                  <v>35357</v>
                </pt>
                <pt idx="1554">
                  <v>35364</v>
                </pt>
                <pt idx="1555">
                  <v>35371</v>
                </pt>
                <pt idx="1556">
                  <v>35378</v>
                </pt>
                <pt idx="1557">
                  <v>35385</v>
                </pt>
                <pt idx="1558">
                  <v>35392</v>
                </pt>
                <pt idx="1559">
                  <v>35399</v>
                </pt>
                <pt idx="1560">
                  <v>35406</v>
                </pt>
                <pt idx="1561">
                  <v>35413</v>
                </pt>
                <pt idx="1562">
                  <v>35420</v>
                </pt>
                <pt idx="1563">
                  <v>35427</v>
                </pt>
                <pt idx="1564">
                  <v>35434</v>
                </pt>
                <pt idx="1565">
                  <v>35441</v>
                </pt>
                <pt idx="1566">
                  <v>35448</v>
                </pt>
                <pt idx="1567">
                  <v>35455</v>
                </pt>
                <pt idx="1568">
                  <v>35462</v>
                </pt>
                <pt idx="1569">
                  <v>35469</v>
                </pt>
                <pt idx="1570">
                  <v>35476</v>
                </pt>
                <pt idx="1571">
                  <v>35483</v>
                </pt>
                <pt idx="1572">
                  <v>35490</v>
                </pt>
                <pt idx="1573">
                  <v>35497</v>
                </pt>
                <pt idx="1574">
                  <v>35504</v>
                </pt>
                <pt idx="1575">
                  <v>35511</v>
                </pt>
                <pt idx="1576">
                  <v>35518</v>
                </pt>
                <pt idx="1577">
                  <v>35525</v>
                </pt>
                <pt idx="1578">
                  <v>35532</v>
                </pt>
                <pt idx="1579">
                  <v>35539</v>
                </pt>
                <pt idx="1580">
                  <v>35546</v>
                </pt>
                <pt idx="1581">
                  <v>35553</v>
                </pt>
                <pt idx="1582">
                  <v>35560</v>
                </pt>
                <pt idx="1583">
                  <v>35567</v>
                </pt>
                <pt idx="1584">
                  <v>35574</v>
                </pt>
                <pt idx="1585">
                  <v>35581</v>
                </pt>
                <pt idx="1586">
                  <v>35588</v>
                </pt>
                <pt idx="1587">
                  <v>35595</v>
                </pt>
                <pt idx="1588">
                  <v>35602</v>
                </pt>
                <pt idx="1589">
                  <v>35609</v>
                </pt>
                <pt idx="1590">
                  <v>35616</v>
                </pt>
                <pt idx="1591">
                  <v>35623</v>
                </pt>
                <pt idx="1592">
                  <v>35630</v>
                </pt>
                <pt idx="1593">
                  <v>35637</v>
                </pt>
                <pt idx="1594">
                  <v>35644</v>
                </pt>
                <pt idx="1595">
                  <v>35651</v>
                </pt>
                <pt idx="1596">
                  <v>35658</v>
                </pt>
                <pt idx="1597">
                  <v>35665</v>
                </pt>
                <pt idx="1598">
                  <v>35672</v>
                </pt>
                <pt idx="1599">
                  <v>35679</v>
                </pt>
                <pt idx="1600">
                  <v>35686</v>
                </pt>
                <pt idx="1601">
                  <v>35693</v>
                </pt>
                <pt idx="1602">
                  <v>35700</v>
                </pt>
                <pt idx="1603">
                  <v>35707</v>
                </pt>
                <pt idx="1604">
                  <v>35714</v>
                </pt>
                <pt idx="1605">
                  <v>35721</v>
                </pt>
                <pt idx="1606">
                  <v>35728</v>
                </pt>
                <pt idx="1607">
                  <v>35735</v>
                </pt>
                <pt idx="1608">
                  <v>35742</v>
                </pt>
                <pt idx="1609">
                  <v>35749</v>
                </pt>
                <pt idx="1610">
                  <v>35756</v>
                </pt>
                <pt idx="1611">
                  <v>35763</v>
                </pt>
                <pt idx="1612">
                  <v>35770</v>
                </pt>
                <pt idx="1613">
                  <v>35777</v>
                </pt>
                <pt idx="1614">
                  <v>35784</v>
                </pt>
                <pt idx="1615">
                  <v>35791</v>
                </pt>
                <pt idx="1616">
                  <v>35798</v>
                </pt>
                <pt idx="1617">
                  <v>35805</v>
                </pt>
                <pt idx="1618">
                  <v>35812</v>
                </pt>
                <pt idx="1619">
                  <v>35819</v>
                </pt>
                <pt idx="1620">
                  <v>35826</v>
                </pt>
                <pt idx="1621">
                  <v>35833</v>
                </pt>
                <pt idx="1622">
                  <v>35840</v>
                </pt>
                <pt idx="1623">
                  <v>35847</v>
                </pt>
                <pt idx="1624">
                  <v>35854</v>
                </pt>
                <pt idx="1625">
                  <v>35861</v>
                </pt>
                <pt idx="1626">
                  <v>35868</v>
                </pt>
                <pt idx="1627">
                  <v>35875</v>
                </pt>
                <pt idx="1628">
                  <v>35882</v>
                </pt>
                <pt idx="1629">
                  <v>35889</v>
                </pt>
                <pt idx="1630">
                  <v>35896</v>
                </pt>
                <pt idx="1631">
                  <v>35903</v>
                </pt>
                <pt idx="1632">
                  <v>35910</v>
                </pt>
                <pt idx="1633">
                  <v>35917</v>
                </pt>
                <pt idx="1634">
                  <v>35924</v>
                </pt>
                <pt idx="1635">
                  <v>35931</v>
                </pt>
                <pt idx="1636">
                  <v>35938</v>
                </pt>
                <pt idx="1637">
                  <v>35945</v>
                </pt>
                <pt idx="1638">
                  <v>35952</v>
                </pt>
                <pt idx="1639">
                  <v>35959</v>
                </pt>
                <pt idx="1640">
                  <v>35966</v>
                </pt>
                <pt idx="1641">
                  <v>35973</v>
                </pt>
                <pt idx="1642">
                  <v>35980</v>
                </pt>
                <pt idx="1643">
                  <v>35987</v>
                </pt>
                <pt idx="1644">
                  <v>35994</v>
                </pt>
                <pt idx="1645">
                  <v>36001</v>
                </pt>
                <pt idx="1646">
                  <v>36008</v>
                </pt>
                <pt idx="1647">
                  <v>36015</v>
                </pt>
                <pt idx="1648">
                  <v>36022</v>
                </pt>
                <pt idx="1649">
                  <v>36029</v>
                </pt>
                <pt idx="1650">
                  <v>36036</v>
                </pt>
                <pt idx="1651">
                  <v>36043</v>
                </pt>
                <pt idx="1652">
                  <v>36050</v>
                </pt>
                <pt idx="1653">
                  <v>36057</v>
                </pt>
                <pt idx="1654">
                  <v>36064</v>
                </pt>
                <pt idx="1655">
                  <v>36071</v>
                </pt>
                <pt idx="1656">
                  <v>36078</v>
                </pt>
                <pt idx="1657">
                  <v>36085</v>
                </pt>
                <pt idx="1658">
                  <v>36092</v>
                </pt>
                <pt idx="1659">
                  <v>36099</v>
                </pt>
                <pt idx="1660">
                  <v>36106</v>
                </pt>
                <pt idx="1661">
                  <v>36113</v>
                </pt>
                <pt idx="1662">
                  <v>36120</v>
                </pt>
                <pt idx="1663">
                  <v>36127</v>
                </pt>
                <pt idx="1664">
                  <v>36134</v>
                </pt>
                <pt idx="1665">
                  <v>36141</v>
                </pt>
                <pt idx="1666">
                  <v>36148</v>
                </pt>
                <pt idx="1667">
                  <v>36155</v>
                </pt>
                <pt idx="1668">
                  <v>36162</v>
                </pt>
                <pt idx="1669">
                  <v>36169</v>
                </pt>
                <pt idx="1670">
                  <v>36176</v>
                </pt>
                <pt idx="1671">
                  <v>36183</v>
                </pt>
                <pt idx="1672">
                  <v>36190</v>
                </pt>
                <pt idx="1673">
                  <v>36197</v>
                </pt>
                <pt idx="1674">
                  <v>36204</v>
                </pt>
                <pt idx="1675">
                  <v>36211</v>
                </pt>
                <pt idx="1676">
                  <v>36218</v>
                </pt>
                <pt idx="1677">
                  <v>36225</v>
                </pt>
                <pt idx="1678">
                  <v>36232</v>
                </pt>
                <pt idx="1679">
                  <v>36239</v>
                </pt>
                <pt idx="1680">
                  <v>36246</v>
                </pt>
                <pt idx="1681">
                  <v>36253</v>
                </pt>
                <pt idx="1682">
                  <v>36260</v>
                </pt>
                <pt idx="1683">
                  <v>36267</v>
                </pt>
                <pt idx="1684">
                  <v>36274</v>
                </pt>
                <pt idx="1685">
                  <v>36281</v>
                </pt>
                <pt idx="1686">
                  <v>36288</v>
                </pt>
                <pt idx="1687">
                  <v>36295</v>
                </pt>
                <pt idx="1688">
                  <v>36302</v>
                </pt>
                <pt idx="1689">
                  <v>36309</v>
                </pt>
                <pt idx="1690">
                  <v>36316</v>
                </pt>
                <pt idx="1691">
                  <v>36323</v>
                </pt>
                <pt idx="1692">
                  <v>36330</v>
                </pt>
                <pt idx="1693">
                  <v>36337</v>
                </pt>
                <pt idx="1694">
                  <v>36344</v>
                </pt>
                <pt idx="1695">
                  <v>36351</v>
                </pt>
                <pt idx="1696">
                  <v>36358</v>
                </pt>
                <pt idx="1697">
                  <v>36365</v>
                </pt>
                <pt idx="1698">
                  <v>36372</v>
                </pt>
                <pt idx="1699">
                  <v>36379</v>
                </pt>
                <pt idx="1700">
                  <v>36386</v>
                </pt>
                <pt idx="1701">
                  <v>36393</v>
                </pt>
                <pt idx="1702">
                  <v>36400</v>
                </pt>
                <pt idx="1703">
                  <v>36407</v>
                </pt>
                <pt idx="1704">
                  <v>36414</v>
                </pt>
                <pt idx="1705">
                  <v>36421</v>
                </pt>
                <pt idx="1706">
                  <v>36428</v>
                </pt>
                <pt idx="1707">
                  <v>36435</v>
                </pt>
                <pt idx="1708">
                  <v>36442</v>
                </pt>
                <pt idx="1709">
                  <v>36449</v>
                </pt>
                <pt idx="1710">
                  <v>36456</v>
                </pt>
                <pt idx="1711">
                  <v>36463</v>
                </pt>
                <pt idx="1712">
                  <v>36470</v>
                </pt>
                <pt idx="1713">
                  <v>36477</v>
                </pt>
                <pt idx="1714">
                  <v>36484</v>
                </pt>
                <pt idx="1715">
                  <v>36491</v>
                </pt>
                <pt idx="1716">
                  <v>36498</v>
                </pt>
                <pt idx="1717">
                  <v>36505</v>
                </pt>
                <pt idx="1718">
                  <v>36512</v>
                </pt>
                <pt idx="1719">
                  <v>36519</v>
                </pt>
                <pt idx="1720">
                  <v>36526</v>
                </pt>
                <pt idx="1721">
                  <v>36533</v>
                </pt>
                <pt idx="1722">
                  <v>36540</v>
                </pt>
                <pt idx="1723">
                  <v>36547</v>
                </pt>
                <pt idx="1724">
                  <v>36554</v>
                </pt>
                <pt idx="1725">
                  <v>36561</v>
                </pt>
                <pt idx="1726">
                  <v>36568</v>
                </pt>
                <pt idx="1727">
                  <v>36575</v>
                </pt>
                <pt idx="1728">
                  <v>36582</v>
                </pt>
                <pt idx="1729">
                  <v>36589</v>
                </pt>
                <pt idx="1730">
                  <v>36596</v>
                </pt>
                <pt idx="1731">
                  <v>36603</v>
                </pt>
                <pt idx="1732">
                  <v>36610</v>
                </pt>
                <pt idx="1733">
                  <v>36617</v>
                </pt>
                <pt idx="1734">
                  <v>36624</v>
                </pt>
                <pt idx="1735">
                  <v>36631</v>
                </pt>
                <pt idx="1736">
                  <v>36638</v>
                </pt>
                <pt idx="1737">
                  <v>36645</v>
                </pt>
                <pt idx="1738">
                  <v>36652</v>
                </pt>
                <pt idx="1739">
                  <v>36659</v>
                </pt>
                <pt idx="1740">
                  <v>36666</v>
                </pt>
                <pt idx="1741">
                  <v>36673</v>
                </pt>
                <pt idx="1742">
                  <v>36680</v>
                </pt>
                <pt idx="1743">
                  <v>36687</v>
                </pt>
                <pt idx="1744">
                  <v>36694</v>
                </pt>
                <pt idx="1745">
                  <v>36701</v>
                </pt>
                <pt idx="1746">
                  <v>36708</v>
                </pt>
                <pt idx="1747">
                  <v>36715</v>
                </pt>
                <pt idx="1748">
                  <v>36722</v>
                </pt>
                <pt idx="1749">
                  <v>36729</v>
                </pt>
                <pt idx="1750">
                  <v>36736</v>
                </pt>
                <pt idx="1751">
                  <v>36743</v>
                </pt>
                <pt idx="1752">
                  <v>36750</v>
                </pt>
                <pt idx="1753">
                  <v>36757</v>
                </pt>
                <pt idx="1754">
                  <v>36764</v>
                </pt>
                <pt idx="1755">
                  <v>36771</v>
                </pt>
                <pt idx="1756">
                  <v>36778</v>
                </pt>
                <pt idx="1757">
                  <v>36785</v>
                </pt>
                <pt idx="1758">
                  <v>36792</v>
                </pt>
                <pt idx="1759">
                  <v>36799</v>
                </pt>
                <pt idx="1760">
                  <v>36806</v>
                </pt>
                <pt idx="1761">
                  <v>36813</v>
                </pt>
                <pt idx="1762">
                  <v>36820</v>
                </pt>
                <pt idx="1763">
                  <v>36827</v>
                </pt>
                <pt idx="1764">
                  <v>36834</v>
                </pt>
                <pt idx="1765">
                  <v>36841</v>
                </pt>
                <pt idx="1766">
                  <v>36848</v>
                </pt>
                <pt idx="1767">
                  <v>36855</v>
                </pt>
                <pt idx="1768">
                  <v>36862</v>
                </pt>
                <pt idx="1769">
                  <v>36869</v>
                </pt>
                <pt idx="1770">
                  <v>36876</v>
                </pt>
                <pt idx="1771">
                  <v>36883</v>
                </pt>
                <pt idx="1772">
                  <v>36890</v>
                </pt>
                <pt idx="1773">
                  <v>36897</v>
                </pt>
                <pt idx="1774">
                  <v>36904</v>
                </pt>
                <pt idx="1775">
                  <v>36911</v>
                </pt>
                <pt idx="1776">
                  <v>36918</v>
                </pt>
                <pt idx="1777">
                  <v>36925</v>
                </pt>
                <pt idx="1778">
                  <v>36932</v>
                </pt>
                <pt idx="1779">
                  <v>36939</v>
                </pt>
                <pt idx="1780">
                  <v>36946</v>
                </pt>
                <pt idx="1781">
                  <v>36953</v>
                </pt>
                <pt idx="1782">
                  <v>36960</v>
                </pt>
                <pt idx="1783">
                  <v>36967</v>
                </pt>
                <pt idx="1784">
                  <v>36974</v>
                </pt>
                <pt idx="1785">
                  <v>36981</v>
                </pt>
                <pt idx="1786">
                  <v>36988</v>
                </pt>
                <pt idx="1787">
                  <v>36995</v>
                </pt>
                <pt idx="1788">
                  <v>37002</v>
                </pt>
                <pt idx="1789">
                  <v>37009</v>
                </pt>
                <pt idx="1790">
                  <v>37016</v>
                </pt>
                <pt idx="1791">
                  <v>37023</v>
                </pt>
                <pt idx="1792">
                  <v>37030</v>
                </pt>
                <pt idx="1793">
                  <v>37037</v>
                </pt>
                <pt idx="1794">
                  <v>37044</v>
                </pt>
                <pt idx="1795">
                  <v>37051</v>
                </pt>
                <pt idx="1796">
                  <v>37058</v>
                </pt>
                <pt idx="1797">
                  <v>37065</v>
                </pt>
                <pt idx="1798">
                  <v>37072</v>
                </pt>
                <pt idx="1799">
                  <v>37079</v>
                </pt>
                <pt idx="1800">
                  <v>37086</v>
                </pt>
                <pt idx="1801">
                  <v>37093</v>
                </pt>
                <pt idx="1802">
                  <v>37100</v>
                </pt>
                <pt idx="1803">
                  <v>37107</v>
                </pt>
                <pt idx="1804">
                  <v>37114</v>
                </pt>
                <pt idx="1805">
                  <v>37121</v>
                </pt>
                <pt idx="1806">
                  <v>37128</v>
                </pt>
                <pt idx="1807">
                  <v>37135</v>
                </pt>
                <pt idx="1808">
                  <v>37142</v>
                </pt>
                <pt idx="1809">
                  <v>37149</v>
                </pt>
                <pt idx="1810">
                  <v>37156</v>
                </pt>
                <pt idx="1811">
                  <v>37163</v>
                </pt>
                <pt idx="1812">
                  <v>37170</v>
                </pt>
                <pt idx="1813">
                  <v>37177</v>
                </pt>
                <pt idx="1814">
                  <v>37184</v>
                </pt>
                <pt idx="1815">
                  <v>37191</v>
                </pt>
                <pt idx="1816">
                  <v>37198</v>
                </pt>
                <pt idx="1817">
                  <v>37205</v>
                </pt>
                <pt idx="1818">
                  <v>37212</v>
                </pt>
                <pt idx="1819">
                  <v>37219</v>
                </pt>
                <pt idx="1820">
                  <v>37226</v>
                </pt>
                <pt idx="1821">
                  <v>37233</v>
                </pt>
                <pt idx="1822">
                  <v>37240</v>
                </pt>
                <pt idx="1823">
                  <v>37247</v>
                </pt>
                <pt idx="1824">
                  <v>37254</v>
                </pt>
                <pt idx="1825">
                  <v>37261</v>
                </pt>
                <pt idx="1826">
                  <v>37268</v>
                </pt>
                <pt idx="1827">
                  <v>37275</v>
                </pt>
                <pt idx="1828">
                  <v>37282</v>
                </pt>
                <pt idx="1829">
                  <v>37289</v>
                </pt>
                <pt idx="1830">
                  <v>37296</v>
                </pt>
                <pt idx="1831">
                  <v>37303</v>
                </pt>
                <pt idx="1832">
                  <v>37310</v>
                </pt>
                <pt idx="1833">
                  <v>37317</v>
                </pt>
                <pt idx="1834">
                  <v>37324</v>
                </pt>
                <pt idx="1835">
                  <v>37331</v>
                </pt>
                <pt idx="1836">
                  <v>37338</v>
                </pt>
                <pt idx="1837">
                  <v>37345</v>
                </pt>
                <pt idx="1838">
                  <v>37352</v>
                </pt>
                <pt idx="1839">
                  <v>37359</v>
                </pt>
                <pt idx="1840">
                  <v>37366</v>
                </pt>
                <pt idx="1841">
                  <v>37373</v>
                </pt>
                <pt idx="1842">
                  <v>37380</v>
                </pt>
                <pt idx="1843">
                  <v>37387</v>
                </pt>
                <pt idx="1844">
                  <v>37394</v>
                </pt>
                <pt idx="1845">
                  <v>37401</v>
                </pt>
                <pt idx="1846">
                  <v>37408</v>
                </pt>
                <pt idx="1847">
                  <v>37415</v>
                </pt>
                <pt idx="1848">
                  <v>37422</v>
                </pt>
                <pt idx="1849">
                  <v>37429</v>
                </pt>
                <pt idx="1850">
                  <v>37436</v>
                </pt>
                <pt idx="1851">
                  <v>37443</v>
                </pt>
                <pt idx="1852">
                  <v>37450</v>
                </pt>
                <pt idx="1853">
                  <v>37457</v>
                </pt>
                <pt idx="1854">
                  <v>37464</v>
                </pt>
                <pt idx="1855">
                  <v>37471</v>
                </pt>
                <pt idx="1856">
                  <v>37478</v>
                </pt>
                <pt idx="1857">
                  <v>37485</v>
                </pt>
                <pt idx="1858">
                  <v>37492</v>
                </pt>
                <pt idx="1859">
                  <v>37499</v>
                </pt>
                <pt idx="1860">
                  <v>37506</v>
                </pt>
                <pt idx="1861">
                  <v>37513</v>
                </pt>
                <pt idx="1862">
                  <v>37520</v>
                </pt>
                <pt idx="1863">
                  <v>37527</v>
                </pt>
                <pt idx="1864">
                  <v>37534</v>
                </pt>
                <pt idx="1865">
                  <v>37541</v>
                </pt>
                <pt idx="1866">
                  <v>37548</v>
                </pt>
                <pt idx="1867">
                  <v>37555</v>
                </pt>
                <pt idx="1868">
                  <v>37562</v>
                </pt>
                <pt idx="1869">
                  <v>37569</v>
                </pt>
                <pt idx="1870">
                  <v>37576</v>
                </pt>
                <pt idx="1871">
                  <v>37583</v>
                </pt>
                <pt idx="1872">
                  <v>37590</v>
                </pt>
                <pt idx="1873">
                  <v>37597</v>
                </pt>
                <pt idx="1874">
                  <v>37604</v>
                </pt>
                <pt idx="1875">
                  <v>37611</v>
                </pt>
                <pt idx="1876">
                  <v>37618</v>
                </pt>
                <pt idx="1877">
                  <v>37625</v>
                </pt>
                <pt idx="1878">
                  <v>37632</v>
                </pt>
                <pt idx="1879">
                  <v>37639</v>
                </pt>
                <pt idx="1880">
                  <v>37646</v>
                </pt>
                <pt idx="1881">
                  <v>37653</v>
                </pt>
                <pt idx="1882">
                  <v>37660</v>
                </pt>
                <pt idx="1883">
                  <v>37667</v>
                </pt>
                <pt idx="1884">
                  <v>37674</v>
                </pt>
                <pt idx="1885">
                  <v>37681</v>
                </pt>
                <pt idx="1886">
                  <v>37688</v>
                </pt>
                <pt idx="1887">
                  <v>37695</v>
                </pt>
                <pt idx="1888">
                  <v>37702</v>
                </pt>
                <pt idx="1889">
                  <v>37709</v>
                </pt>
                <pt idx="1890">
                  <v>37716</v>
                </pt>
                <pt idx="1891">
                  <v>37723</v>
                </pt>
                <pt idx="1892">
                  <v>37730</v>
                </pt>
                <pt idx="1893">
                  <v>37737</v>
                </pt>
                <pt idx="1894">
                  <v>37744</v>
                </pt>
                <pt idx="1895">
                  <v>37751</v>
                </pt>
                <pt idx="1896">
                  <v>37758</v>
                </pt>
                <pt idx="1897">
                  <v>37765</v>
                </pt>
                <pt idx="1898">
                  <v>37772</v>
                </pt>
                <pt idx="1899">
                  <v>37779</v>
                </pt>
                <pt idx="1900">
                  <v>37786</v>
                </pt>
                <pt idx="1901">
                  <v>37793</v>
                </pt>
                <pt idx="1902">
                  <v>37800</v>
                </pt>
                <pt idx="1903">
                  <v>37807</v>
                </pt>
                <pt idx="1904">
                  <v>37814</v>
                </pt>
                <pt idx="1905">
                  <v>37821</v>
                </pt>
                <pt idx="1906">
                  <v>37828</v>
                </pt>
                <pt idx="1907">
                  <v>37835</v>
                </pt>
                <pt idx="1908">
                  <v>37842</v>
                </pt>
                <pt idx="1909">
                  <v>37849</v>
                </pt>
                <pt idx="1910">
                  <v>37856</v>
                </pt>
                <pt idx="1911">
                  <v>37863</v>
                </pt>
                <pt idx="1912">
                  <v>37870</v>
                </pt>
                <pt idx="1913">
                  <v>37877</v>
                </pt>
                <pt idx="1914">
                  <v>37884</v>
                </pt>
                <pt idx="1915">
                  <v>37891</v>
                </pt>
                <pt idx="1916">
                  <v>37898</v>
                </pt>
                <pt idx="1917">
                  <v>37905</v>
                </pt>
                <pt idx="1918">
                  <v>37912</v>
                </pt>
                <pt idx="1919">
                  <v>37919</v>
                </pt>
                <pt idx="1920">
                  <v>37926</v>
                </pt>
                <pt idx="1921">
                  <v>37933</v>
                </pt>
                <pt idx="1922">
                  <v>37940</v>
                </pt>
                <pt idx="1923">
                  <v>37947</v>
                </pt>
                <pt idx="1924">
                  <v>37954</v>
                </pt>
                <pt idx="1925">
                  <v>37961</v>
                </pt>
                <pt idx="1926">
                  <v>37968</v>
                </pt>
                <pt idx="1927">
                  <v>37975</v>
                </pt>
                <pt idx="1928">
                  <v>37982</v>
                </pt>
                <pt idx="1929">
                  <v>37989</v>
                </pt>
                <pt idx="1930">
                  <v>37996</v>
                </pt>
                <pt idx="1931">
                  <v>38003</v>
                </pt>
                <pt idx="1932">
                  <v>38010</v>
                </pt>
                <pt idx="1933">
                  <v>38017</v>
                </pt>
                <pt idx="1934">
                  <v>38024</v>
                </pt>
                <pt idx="1935">
                  <v>38031</v>
                </pt>
                <pt idx="1936">
                  <v>38038</v>
                </pt>
                <pt idx="1937">
                  <v>38045</v>
                </pt>
                <pt idx="1938">
                  <v>38052</v>
                </pt>
                <pt idx="1939">
                  <v>38059</v>
                </pt>
                <pt idx="1940">
                  <v>38066</v>
                </pt>
                <pt idx="1941">
                  <v>38073</v>
                </pt>
                <pt idx="1942">
                  <v>38080</v>
                </pt>
                <pt idx="1943">
                  <v>38087</v>
                </pt>
                <pt idx="1944">
                  <v>38094</v>
                </pt>
                <pt idx="1945">
                  <v>38101</v>
                </pt>
                <pt idx="1946">
                  <v>38108</v>
                </pt>
                <pt idx="1947">
                  <v>38115</v>
                </pt>
                <pt idx="1948">
                  <v>38122</v>
                </pt>
                <pt idx="1949">
                  <v>38129</v>
                </pt>
                <pt idx="1950">
                  <v>38136</v>
                </pt>
                <pt idx="1951">
                  <v>38143</v>
                </pt>
                <pt idx="1952">
                  <v>38150</v>
                </pt>
                <pt idx="1953">
                  <v>38157</v>
                </pt>
                <pt idx="1954">
                  <v>38164</v>
                </pt>
                <pt idx="1955">
                  <v>38171</v>
                </pt>
                <pt idx="1956">
                  <v>38178</v>
                </pt>
                <pt idx="1957">
                  <v>38185</v>
                </pt>
                <pt idx="1958">
                  <v>38192</v>
                </pt>
                <pt idx="1959">
                  <v>38199</v>
                </pt>
                <pt idx="1960">
                  <v>38206</v>
                </pt>
                <pt idx="1961">
                  <v>38213</v>
                </pt>
                <pt idx="1962">
                  <v>38220</v>
                </pt>
                <pt idx="1963">
                  <v>38227</v>
                </pt>
                <pt idx="1964">
                  <v>38234</v>
                </pt>
                <pt idx="1965">
                  <v>38241</v>
                </pt>
                <pt idx="1966">
                  <v>38248</v>
                </pt>
                <pt idx="1967">
                  <v>38255</v>
                </pt>
                <pt idx="1968">
                  <v>38262</v>
                </pt>
                <pt idx="1969">
                  <v>38269</v>
                </pt>
                <pt idx="1970">
                  <v>38276</v>
                </pt>
                <pt idx="1971">
                  <v>38283</v>
                </pt>
                <pt idx="1972">
                  <v>38290</v>
                </pt>
                <pt idx="1973">
                  <v>38297</v>
                </pt>
                <pt idx="1974">
                  <v>38304</v>
                </pt>
                <pt idx="1975">
                  <v>38311</v>
                </pt>
                <pt idx="1976">
                  <v>38318</v>
                </pt>
                <pt idx="1977">
                  <v>38325</v>
                </pt>
                <pt idx="1978">
                  <v>38332</v>
                </pt>
                <pt idx="1979">
                  <v>38339</v>
                </pt>
                <pt idx="1980">
                  <v>38346</v>
                </pt>
                <pt idx="1981">
                  <v>38353</v>
                </pt>
                <pt idx="1982">
                  <v>38360</v>
                </pt>
                <pt idx="1983">
                  <v>38367</v>
                </pt>
                <pt idx="1984">
                  <v>38374</v>
                </pt>
                <pt idx="1985">
                  <v>38381</v>
                </pt>
                <pt idx="1986">
                  <v>38388</v>
                </pt>
                <pt idx="1987">
                  <v>38395</v>
                </pt>
                <pt idx="1988">
                  <v>38402</v>
                </pt>
                <pt idx="1989">
                  <v>38409</v>
                </pt>
                <pt idx="1990">
                  <v>38416</v>
                </pt>
                <pt idx="1991">
                  <v>38423</v>
                </pt>
                <pt idx="1992">
                  <v>38430</v>
                </pt>
                <pt idx="1993">
                  <v>38437</v>
                </pt>
                <pt idx="1994">
                  <v>38444</v>
                </pt>
                <pt idx="1995">
                  <v>38451</v>
                </pt>
                <pt idx="1996">
                  <v>38458</v>
                </pt>
                <pt idx="1997">
                  <v>38465</v>
                </pt>
                <pt idx="1998">
                  <v>38472</v>
                </pt>
                <pt idx="1999">
                  <v>38479</v>
                </pt>
                <pt idx="2000">
                  <v>38486</v>
                </pt>
                <pt idx="2001">
                  <v>38493</v>
                </pt>
                <pt idx="2002">
                  <v>38500</v>
                </pt>
                <pt idx="2003">
                  <v>38507</v>
                </pt>
                <pt idx="2004">
                  <v>38514</v>
                </pt>
                <pt idx="2005">
                  <v>38521</v>
                </pt>
                <pt idx="2006">
                  <v>38528</v>
                </pt>
                <pt idx="2007">
                  <v>38535</v>
                </pt>
                <pt idx="2008">
                  <v>38542</v>
                </pt>
                <pt idx="2009">
                  <v>38549</v>
                </pt>
                <pt idx="2010">
                  <v>38556</v>
                </pt>
                <pt idx="2011">
                  <v>38563</v>
                </pt>
                <pt idx="2012">
                  <v>38570</v>
                </pt>
                <pt idx="2013">
                  <v>38577</v>
                </pt>
                <pt idx="2014">
                  <v>38584</v>
                </pt>
                <pt idx="2015">
                  <v>38591</v>
                </pt>
                <pt idx="2016">
                  <v>38598</v>
                </pt>
                <pt idx="2017">
                  <v>38605</v>
                </pt>
                <pt idx="2018">
                  <v>38612</v>
                </pt>
                <pt idx="2019">
                  <v>38619</v>
                </pt>
                <pt idx="2020">
                  <v>38626</v>
                </pt>
                <pt idx="2021">
                  <v>38633</v>
                </pt>
                <pt idx="2022">
                  <v>38640</v>
                </pt>
                <pt idx="2023">
                  <v>38647</v>
                </pt>
                <pt idx="2024">
                  <v>38654</v>
                </pt>
                <pt idx="2025">
                  <v>38661</v>
                </pt>
                <pt idx="2026">
                  <v>38668</v>
                </pt>
                <pt idx="2027">
                  <v>38675</v>
                </pt>
                <pt idx="2028">
                  <v>38682</v>
                </pt>
                <pt idx="2029">
                  <v>38689</v>
                </pt>
                <pt idx="2030">
                  <v>38696</v>
                </pt>
                <pt idx="2031">
                  <v>38703</v>
                </pt>
                <pt idx="2032">
                  <v>38710</v>
                </pt>
                <pt idx="2033">
                  <v>38717</v>
                </pt>
                <pt idx="2034">
                  <v>38724</v>
                </pt>
                <pt idx="2035">
                  <v>38731</v>
                </pt>
                <pt idx="2036">
                  <v>38738</v>
                </pt>
                <pt idx="2037">
                  <v>38745</v>
                </pt>
                <pt idx="2038">
                  <v>38752</v>
                </pt>
                <pt idx="2039">
                  <v>38759</v>
                </pt>
                <pt idx="2040">
                  <v>38766</v>
                </pt>
                <pt idx="2041">
                  <v>38773</v>
                </pt>
                <pt idx="2042">
                  <v>38780</v>
                </pt>
                <pt idx="2043">
                  <v>38787</v>
                </pt>
                <pt idx="2044">
                  <v>38794</v>
                </pt>
                <pt idx="2045">
                  <v>38801</v>
                </pt>
                <pt idx="2046">
                  <v>38808</v>
                </pt>
                <pt idx="2047">
                  <v>38815</v>
                </pt>
                <pt idx="2048">
                  <v>38822</v>
                </pt>
                <pt idx="2049">
                  <v>38829</v>
                </pt>
                <pt idx="2050">
                  <v>38836</v>
                </pt>
                <pt idx="2051">
                  <v>38843</v>
                </pt>
                <pt idx="2052">
                  <v>38850</v>
                </pt>
                <pt idx="2053">
                  <v>38857</v>
                </pt>
                <pt idx="2054">
                  <v>38864</v>
                </pt>
                <pt idx="2055">
                  <v>38871</v>
                </pt>
                <pt idx="2056">
                  <v>38878</v>
                </pt>
                <pt idx="2057">
                  <v>38885</v>
                </pt>
                <pt idx="2058">
                  <v>38892</v>
                </pt>
                <pt idx="2059">
                  <v>38899</v>
                </pt>
                <pt idx="2060">
                  <v>38906</v>
                </pt>
                <pt idx="2061">
                  <v>38913</v>
                </pt>
                <pt idx="2062">
                  <v>38920</v>
                </pt>
                <pt idx="2063">
                  <v>38927</v>
                </pt>
                <pt idx="2064">
                  <v>38934</v>
                </pt>
                <pt idx="2065">
                  <v>38941</v>
                </pt>
                <pt idx="2066">
                  <v>38948</v>
                </pt>
                <pt idx="2067">
                  <v>38955</v>
                </pt>
                <pt idx="2068">
                  <v>38962</v>
                </pt>
                <pt idx="2069">
                  <v>38969</v>
                </pt>
                <pt idx="2070">
                  <v>38976</v>
                </pt>
                <pt idx="2071">
                  <v>38983</v>
                </pt>
                <pt idx="2072">
                  <v>38990</v>
                </pt>
                <pt idx="2073">
                  <v>38997</v>
                </pt>
                <pt idx="2074">
                  <v>39004</v>
                </pt>
                <pt idx="2075">
                  <v>39011</v>
                </pt>
                <pt idx="2076">
                  <v>39018</v>
                </pt>
                <pt idx="2077">
                  <v>39025</v>
                </pt>
                <pt idx="2078">
                  <v>39032</v>
                </pt>
                <pt idx="2079">
                  <v>39039</v>
                </pt>
                <pt idx="2080">
                  <v>39046</v>
                </pt>
                <pt idx="2081">
                  <v>39053</v>
                </pt>
                <pt idx="2082">
                  <v>39060</v>
                </pt>
                <pt idx="2083">
                  <v>39067</v>
                </pt>
                <pt idx="2084">
                  <v>39074</v>
                </pt>
                <pt idx="2085">
                  <v>39081</v>
                </pt>
                <pt idx="2086">
                  <v>39088</v>
                </pt>
                <pt idx="2087">
                  <v>39095</v>
                </pt>
                <pt idx="2088">
                  <v>39102</v>
                </pt>
                <pt idx="2089">
                  <v>39109</v>
                </pt>
                <pt idx="2090">
                  <v>39116</v>
                </pt>
                <pt idx="2091">
                  <v>39123</v>
                </pt>
                <pt idx="2092">
                  <v>39130</v>
                </pt>
                <pt idx="2093">
                  <v>39137</v>
                </pt>
                <pt idx="2094">
                  <v>39144</v>
                </pt>
                <pt idx="2095">
                  <v>39151</v>
                </pt>
                <pt idx="2096">
                  <v>39158</v>
                </pt>
                <pt idx="2097">
                  <v>39165</v>
                </pt>
                <pt idx="2098">
                  <v>39172</v>
                </pt>
                <pt idx="2099">
                  <v>39179</v>
                </pt>
                <pt idx="2100">
                  <v>39186</v>
                </pt>
                <pt idx="2101">
                  <v>39193</v>
                </pt>
                <pt idx="2102">
                  <v>39200</v>
                </pt>
                <pt idx="2103">
                  <v>39207</v>
                </pt>
                <pt idx="2104">
                  <v>39214</v>
                </pt>
                <pt idx="2105">
                  <v>39221</v>
                </pt>
                <pt idx="2106">
                  <v>39228</v>
                </pt>
                <pt idx="2107">
                  <v>39235</v>
                </pt>
                <pt idx="2108">
                  <v>39242</v>
                </pt>
                <pt idx="2109">
                  <v>39249</v>
                </pt>
                <pt idx="2110">
                  <v>39256</v>
                </pt>
                <pt idx="2111">
                  <v>39263</v>
                </pt>
                <pt idx="2112">
                  <v>39270</v>
                </pt>
                <pt idx="2113">
                  <v>39277</v>
                </pt>
                <pt idx="2114">
                  <v>39284</v>
                </pt>
                <pt idx="2115">
                  <v>39291</v>
                </pt>
                <pt idx="2116">
                  <v>39298</v>
                </pt>
                <pt idx="2117">
                  <v>39305</v>
                </pt>
                <pt idx="2118">
                  <v>39312</v>
                </pt>
                <pt idx="2119">
                  <v>39319</v>
                </pt>
                <pt idx="2120">
                  <v>39326</v>
                </pt>
                <pt idx="2121">
                  <v>39333</v>
                </pt>
                <pt idx="2122">
                  <v>39340</v>
                </pt>
                <pt idx="2123">
                  <v>39347</v>
                </pt>
                <pt idx="2124">
                  <v>39354</v>
                </pt>
                <pt idx="2125">
                  <v>39361</v>
                </pt>
                <pt idx="2126">
                  <v>39368</v>
                </pt>
                <pt idx="2127">
                  <v>39375</v>
                </pt>
                <pt idx="2128">
                  <v>39382</v>
                </pt>
                <pt idx="2129">
                  <v>39389</v>
                </pt>
                <pt idx="2130">
                  <v>39396</v>
                </pt>
                <pt idx="2131">
                  <v>39403</v>
                </pt>
                <pt idx="2132">
                  <v>39410</v>
                </pt>
                <pt idx="2133">
                  <v>39417</v>
                </pt>
                <pt idx="2134">
                  <v>39424</v>
                </pt>
                <pt idx="2135">
                  <v>39431</v>
                </pt>
                <pt idx="2136">
                  <v>39438</v>
                </pt>
                <pt idx="2137">
                  <v>39445</v>
                </pt>
                <pt idx="2138">
                  <v>39452</v>
                </pt>
                <pt idx="2139">
                  <v>39459</v>
                </pt>
                <pt idx="2140">
                  <v>39466</v>
                </pt>
                <pt idx="2141">
                  <v>39473</v>
                </pt>
                <pt idx="2142">
                  <v>39480</v>
                </pt>
                <pt idx="2143">
                  <v>39487</v>
                </pt>
                <pt idx="2144">
                  <v>39494</v>
                </pt>
                <pt idx="2145">
                  <v>39501</v>
                </pt>
                <pt idx="2146">
                  <v>39508</v>
                </pt>
                <pt idx="2147">
                  <v>39515</v>
                </pt>
                <pt idx="2148">
                  <v>39522</v>
                </pt>
                <pt idx="2149">
                  <v>39529</v>
                </pt>
                <pt idx="2150">
                  <v>39536</v>
                </pt>
                <pt idx="2151">
                  <v>39543</v>
                </pt>
                <pt idx="2152">
                  <v>39550</v>
                </pt>
                <pt idx="2153">
                  <v>39557</v>
                </pt>
                <pt idx="2154">
                  <v>39564</v>
                </pt>
                <pt idx="2155">
                  <v>39571</v>
                </pt>
                <pt idx="2156">
                  <v>39578</v>
                </pt>
                <pt idx="2157">
                  <v>39585</v>
                </pt>
                <pt idx="2158">
                  <v>39592</v>
                </pt>
                <pt idx="2159">
                  <v>39599</v>
                </pt>
                <pt idx="2160">
                  <v>39606</v>
                </pt>
                <pt idx="2161">
                  <v>39613</v>
                </pt>
                <pt idx="2162">
                  <v>39620</v>
                </pt>
                <pt idx="2163">
                  <v>39627</v>
                </pt>
                <pt idx="2164">
                  <v>39634</v>
                </pt>
                <pt idx="2165">
                  <v>39641</v>
                </pt>
                <pt idx="2166">
                  <v>39648</v>
                </pt>
                <pt idx="2167">
                  <v>39655</v>
                </pt>
                <pt idx="2168">
                  <v>39662</v>
                </pt>
                <pt idx="2169">
                  <v>39669</v>
                </pt>
                <pt idx="2170">
                  <v>39676</v>
                </pt>
                <pt idx="2171">
                  <v>39683</v>
                </pt>
                <pt idx="2172">
                  <v>39690</v>
                </pt>
                <pt idx="2173">
                  <v>39697</v>
                </pt>
                <pt idx="2174">
                  <v>39704</v>
                </pt>
                <pt idx="2175">
                  <v>39711</v>
                </pt>
                <pt idx="2176">
                  <v>39718</v>
                </pt>
                <pt idx="2177">
                  <v>39725</v>
                </pt>
                <pt idx="2178">
                  <v>39732</v>
                </pt>
                <pt idx="2179">
                  <v>39739</v>
                </pt>
                <pt idx="2180">
                  <v>39746</v>
                </pt>
                <pt idx="2181">
                  <v>39753</v>
                </pt>
                <pt idx="2182">
                  <v>39760</v>
                </pt>
                <pt idx="2183">
                  <v>39767</v>
                </pt>
                <pt idx="2184">
                  <v>39774</v>
                </pt>
                <pt idx="2185">
                  <v>39781</v>
                </pt>
                <pt idx="2186">
                  <v>39788</v>
                </pt>
                <pt idx="2187">
                  <v>39795</v>
                </pt>
                <pt idx="2188">
                  <v>39802</v>
                </pt>
                <pt idx="2189">
                  <v>39809</v>
                </pt>
                <pt idx="2190">
                  <v>39816</v>
                </pt>
                <pt idx="2191">
                  <v>39823</v>
                </pt>
                <pt idx="2192">
                  <v>39830</v>
                </pt>
                <pt idx="2193">
                  <v>39837</v>
                </pt>
                <pt idx="2194">
                  <v>39844</v>
                </pt>
                <pt idx="2195">
                  <v>39851</v>
                </pt>
                <pt idx="2196">
                  <v>39858</v>
                </pt>
                <pt idx="2197">
                  <v>39865</v>
                </pt>
                <pt idx="2198">
                  <v>39872</v>
                </pt>
                <pt idx="2199">
                  <v>39879</v>
                </pt>
                <pt idx="2200">
                  <v>39886</v>
                </pt>
                <pt idx="2201">
                  <v>39893</v>
                </pt>
                <pt idx="2202">
                  <v>39900</v>
                </pt>
                <pt idx="2203">
                  <v>39907</v>
                </pt>
                <pt idx="2204">
                  <v>39914</v>
                </pt>
                <pt idx="2205">
                  <v>39921</v>
                </pt>
                <pt idx="2206">
                  <v>39928</v>
                </pt>
                <pt idx="2207">
                  <v>39935</v>
                </pt>
                <pt idx="2208">
                  <v>39942</v>
                </pt>
                <pt idx="2209">
                  <v>39949</v>
                </pt>
                <pt idx="2210">
                  <v>39956</v>
                </pt>
                <pt idx="2211">
                  <v>39963</v>
                </pt>
                <pt idx="2212">
                  <v>39970</v>
                </pt>
                <pt idx="2213">
                  <v>39977</v>
                </pt>
                <pt idx="2214">
                  <v>39984</v>
                </pt>
                <pt idx="2215">
                  <v>39991</v>
                </pt>
                <pt idx="2216">
                  <v>39998</v>
                </pt>
                <pt idx="2217">
                  <v>40005</v>
                </pt>
                <pt idx="2218">
                  <v>40012</v>
                </pt>
                <pt idx="2219">
                  <v>40019</v>
                </pt>
                <pt idx="2220">
                  <v>40026</v>
                </pt>
                <pt idx="2221">
                  <v>40033</v>
                </pt>
                <pt idx="2222">
                  <v>40040</v>
                </pt>
                <pt idx="2223">
                  <v>40047</v>
                </pt>
                <pt idx="2224">
                  <v>40054</v>
                </pt>
                <pt idx="2225">
                  <v>40061</v>
                </pt>
                <pt idx="2226">
                  <v>40068</v>
                </pt>
                <pt idx="2227">
                  <v>40075</v>
                </pt>
                <pt idx="2228">
                  <v>40082</v>
                </pt>
                <pt idx="2229">
                  <v>40089</v>
                </pt>
                <pt idx="2230">
                  <v>40096</v>
                </pt>
                <pt idx="2231">
                  <v>40103</v>
                </pt>
                <pt idx="2232">
                  <v>40110</v>
                </pt>
                <pt idx="2233">
                  <v>40117</v>
                </pt>
                <pt idx="2234">
                  <v>40124</v>
                </pt>
                <pt idx="2235">
                  <v>40131</v>
                </pt>
                <pt idx="2236">
                  <v>40138</v>
                </pt>
                <pt idx="2237">
                  <v>40145</v>
                </pt>
                <pt idx="2238">
                  <v>40152</v>
                </pt>
                <pt idx="2239">
                  <v>40159</v>
                </pt>
                <pt idx="2240">
                  <v>40166</v>
                </pt>
                <pt idx="2241">
                  <v>40173</v>
                </pt>
                <pt idx="2242">
                  <v>40180</v>
                </pt>
                <pt idx="2243">
                  <v>40187</v>
                </pt>
                <pt idx="2244">
                  <v>40194</v>
                </pt>
                <pt idx="2245">
                  <v>40201</v>
                </pt>
                <pt idx="2246">
                  <v>40208</v>
                </pt>
                <pt idx="2247">
                  <v>40215</v>
                </pt>
                <pt idx="2248">
                  <v>40222</v>
                </pt>
                <pt idx="2249">
                  <v>40229</v>
                </pt>
                <pt idx="2250">
                  <v>40236</v>
                </pt>
                <pt idx="2251">
                  <v>40243</v>
                </pt>
                <pt idx="2252">
                  <v>40250</v>
                </pt>
                <pt idx="2253">
                  <v>40257</v>
                </pt>
                <pt idx="2254">
                  <v>40264</v>
                </pt>
                <pt idx="2255">
                  <v>40271</v>
                </pt>
                <pt idx="2256">
                  <v>40278</v>
                </pt>
                <pt idx="2257">
                  <v>40285</v>
                </pt>
                <pt idx="2258">
                  <v>40292</v>
                </pt>
                <pt idx="2259">
                  <v>40299</v>
                </pt>
                <pt idx="2260">
                  <v>40306</v>
                </pt>
                <pt idx="2261">
                  <v>40313</v>
                </pt>
                <pt idx="2262">
                  <v>40320</v>
                </pt>
                <pt idx="2263">
                  <v>40327</v>
                </pt>
                <pt idx="2264">
                  <v>40334</v>
                </pt>
                <pt idx="2265">
                  <v>40341</v>
                </pt>
                <pt idx="2266">
                  <v>40348</v>
                </pt>
                <pt idx="2267">
                  <v>40355</v>
                </pt>
                <pt idx="2268">
                  <v>40362</v>
                </pt>
                <pt idx="2269">
                  <v>40369</v>
                </pt>
                <pt idx="2270">
                  <v>40376</v>
                </pt>
                <pt idx="2271">
                  <v>40383</v>
                </pt>
                <pt idx="2272">
                  <v>40390</v>
                </pt>
                <pt idx="2273">
                  <v>40397</v>
                </pt>
                <pt idx="2274">
                  <v>40404</v>
                </pt>
                <pt idx="2275">
                  <v>40411</v>
                </pt>
                <pt idx="2276">
                  <v>40418</v>
                </pt>
                <pt idx="2277">
                  <v>40425</v>
                </pt>
                <pt idx="2278">
                  <v>40432</v>
                </pt>
                <pt idx="2279">
                  <v>40439</v>
                </pt>
                <pt idx="2280">
                  <v>40446</v>
                </pt>
                <pt idx="2281">
                  <v>40453</v>
                </pt>
                <pt idx="2282">
                  <v>40460</v>
                </pt>
                <pt idx="2283">
                  <v>40467</v>
                </pt>
                <pt idx="2284">
                  <v>40474</v>
                </pt>
                <pt idx="2285">
                  <v>40481</v>
                </pt>
                <pt idx="2286">
                  <v>40488</v>
                </pt>
                <pt idx="2287">
                  <v>40495</v>
                </pt>
                <pt idx="2288">
                  <v>40502</v>
                </pt>
                <pt idx="2289">
                  <v>40509</v>
                </pt>
                <pt idx="2290">
                  <v>40516</v>
                </pt>
                <pt idx="2291">
                  <v>40523</v>
                </pt>
                <pt idx="2292">
                  <v>40530</v>
                </pt>
                <pt idx="2293">
                  <v>40537</v>
                </pt>
                <pt idx="2294">
                  <v>40544</v>
                </pt>
                <pt idx="2295">
                  <v>40551</v>
                </pt>
                <pt idx="2296">
                  <v>40558</v>
                </pt>
                <pt idx="2297">
                  <v>40565</v>
                </pt>
                <pt idx="2298">
                  <v>40572</v>
                </pt>
                <pt idx="2299">
                  <v>40579</v>
                </pt>
                <pt idx="2300">
                  <v>40586</v>
                </pt>
                <pt idx="2301">
                  <v>40593</v>
                </pt>
                <pt idx="2302">
                  <v>40600</v>
                </pt>
                <pt idx="2303">
                  <v>40607</v>
                </pt>
                <pt idx="2304">
                  <v>40614</v>
                </pt>
                <pt idx="2305">
                  <v>40621</v>
                </pt>
                <pt idx="2306">
                  <v>40628</v>
                </pt>
                <pt idx="2307">
                  <v>40635</v>
                </pt>
                <pt idx="2308">
                  <v>40642</v>
                </pt>
                <pt idx="2309">
                  <v>40649</v>
                </pt>
                <pt idx="2310">
                  <v>40656</v>
                </pt>
                <pt idx="2311">
                  <v>40663</v>
                </pt>
                <pt idx="2312">
                  <v>40670</v>
                </pt>
                <pt idx="2313">
                  <v>40677</v>
                </pt>
                <pt idx="2314">
                  <v>40684</v>
                </pt>
                <pt idx="2315">
                  <v>40691</v>
                </pt>
                <pt idx="2316">
                  <v>40698</v>
                </pt>
                <pt idx="2317">
                  <v>40705</v>
                </pt>
                <pt idx="2318">
                  <v>40712</v>
                </pt>
                <pt idx="2319">
                  <v>40719</v>
                </pt>
                <pt idx="2320">
                  <v>40726</v>
                </pt>
                <pt idx="2321">
                  <v>40733</v>
                </pt>
                <pt idx="2322">
                  <v>40740</v>
                </pt>
                <pt idx="2323">
                  <v>40747</v>
                </pt>
                <pt idx="2324">
                  <v>40754</v>
                </pt>
                <pt idx="2325">
                  <v>40761</v>
                </pt>
                <pt idx="2326">
                  <v>40768</v>
                </pt>
                <pt idx="2327">
                  <v>40775</v>
                </pt>
                <pt idx="2328">
                  <v>40782</v>
                </pt>
                <pt idx="2329">
                  <v>40789</v>
                </pt>
                <pt idx="2330">
                  <v>40796</v>
                </pt>
                <pt idx="2331">
                  <v>40803</v>
                </pt>
                <pt idx="2332">
                  <v>40810</v>
                </pt>
                <pt idx="2333">
                  <v>40817</v>
                </pt>
                <pt idx="2334">
                  <v>40824</v>
                </pt>
                <pt idx="2335">
                  <v>40831</v>
                </pt>
                <pt idx="2336">
                  <v>40838</v>
                </pt>
                <pt idx="2337">
                  <v>40845</v>
                </pt>
                <pt idx="2338">
                  <v>40852</v>
                </pt>
                <pt idx="2339">
                  <v>40859</v>
                </pt>
                <pt idx="2340">
                  <v>40866</v>
                </pt>
                <pt idx="2341">
                  <v>40873</v>
                </pt>
                <pt idx="2342">
                  <v>40880</v>
                </pt>
                <pt idx="2343">
                  <v>40887</v>
                </pt>
                <pt idx="2344">
                  <v>40894</v>
                </pt>
                <pt idx="2345">
                  <v>40901</v>
                </pt>
                <pt idx="2346">
                  <v>40908</v>
                </pt>
                <pt idx="2347">
                  <v>40915</v>
                </pt>
                <pt idx="2348">
                  <v>40922</v>
                </pt>
                <pt idx="2349">
                  <v>40929</v>
                </pt>
                <pt idx="2350">
                  <v>40936</v>
                </pt>
                <pt idx="2351">
                  <v>40943</v>
                </pt>
                <pt idx="2352">
                  <v>40950</v>
                </pt>
                <pt idx="2353">
                  <v>40957</v>
                </pt>
                <pt idx="2354">
                  <v>40964</v>
                </pt>
                <pt idx="2355">
                  <v>40971</v>
                </pt>
                <pt idx="2356">
                  <v>40978</v>
                </pt>
                <pt idx="2357">
                  <v>40985</v>
                </pt>
                <pt idx="2358">
                  <v>40992</v>
                </pt>
                <pt idx="2359">
                  <v>40999</v>
                </pt>
                <pt idx="2360">
                  <v>41006</v>
                </pt>
                <pt idx="2361">
                  <v>41013</v>
                </pt>
                <pt idx="2362">
                  <v>41020</v>
                </pt>
                <pt idx="2363">
                  <v>41027</v>
                </pt>
                <pt idx="2364">
                  <v>41034</v>
                </pt>
                <pt idx="2365">
                  <v>41041</v>
                </pt>
                <pt idx="2366">
                  <v>41048</v>
                </pt>
                <pt idx="2367">
                  <v>41055</v>
                </pt>
                <pt idx="2368">
                  <v>41062</v>
                </pt>
                <pt idx="2369">
                  <v>41069</v>
                </pt>
                <pt idx="2370">
                  <v>41076</v>
                </pt>
                <pt idx="2371">
                  <v>41083</v>
                </pt>
                <pt idx="2372">
                  <v>41090</v>
                </pt>
                <pt idx="2373">
                  <v>41097</v>
                </pt>
                <pt idx="2374">
                  <v>41104</v>
                </pt>
                <pt idx="2375">
                  <v>41111</v>
                </pt>
                <pt idx="2376">
                  <v>41118</v>
                </pt>
                <pt idx="2377">
                  <v>41125</v>
                </pt>
                <pt idx="2378">
                  <v>41132</v>
                </pt>
                <pt idx="2379">
                  <v>41139</v>
                </pt>
                <pt idx="2380">
                  <v>41146</v>
                </pt>
                <pt idx="2381">
                  <v>41153</v>
                </pt>
                <pt idx="2382">
                  <v>41160</v>
                </pt>
                <pt idx="2383">
                  <v>41167</v>
                </pt>
                <pt idx="2384">
                  <v>41174</v>
                </pt>
                <pt idx="2385">
                  <v>41181</v>
                </pt>
                <pt idx="2386">
                  <v>41188</v>
                </pt>
                <pt idx="2387">
                  <v>41195</v>
                </pt>
                <pt idx="2388">
                  <v>41202</v>
                </pt>
                <pt idx="2389">
                  <v>41209</v>
                </pt>
                <pt idx="2390">
                  <v>41216</v>
                </pt>
                <pt idx="2391">
                  <v>41223</v>
                </pt>
                <pt idx="2392">
                  <v>41230</v>
                </pt>
                <pt idx="2393">
                  <v>41237</v>
                </pt>
                <pt idx="2394">
                  <v>41244</v>
                </pt>
                <pt idx="2395">
                  <v>41251</v>
                </pt>
                <pt idx="2396">
                  <v>41258</v>
                </pt>
                <pt idx="2397">
                  <v>41265</v>
                </pt>
                <pt idx="2398">
                  <v>41272</v>
                </pt>
                <pt idx="2399">
                  <v>41279</v>
                </pt>
                <pt idx="2400">
                  <v>41286</v>
                </pt>
                <pt idx="2401">
                  <v>41293</v>
                </pt>
                <pt idx="2402">
                  <v>41300</v>
                </pt>
                <pt idx="2403">
                  <v>41307</v>
                </pt>
                <pt idx="2404">
                  <v>41314</v>
                </pt>
                <pt idx="2405">
                  <v>41321</v>
                </pt>
                <pt idx="2406">
                  <v>41328</v>
                </pt>
                <pt idx="2407">
                  <v>41335</v>
                </pt>
                <pt idx="2408">
                  <v>41342</v>
                </pt>
                <pt idx="2409">
                  <v>41349</v>
                </pt>
                <pt idx="2410">
                  <v>41356</v>
                </pt>
                <pt idx="2411">
                  <v>41363</v>
                </pt>
                <pt idx="2412">
                  <v>41370</v>
                </pt>
                <pt idx="2413">
                  <v>41377</v>
                </pt>
                <pt idx="2414">
                  <v>41384</v>
                </pt>
                <pt idx="2415">
                  <v>41391</v>
                </pt>
                <pt idx="2416">
                  <v>41398</v>
                </pt>
                <pt idx="2417">
                  <v>41405</v>
                </pt>
                <pt idx="2418">
                  <v>41412</v>
                </pt>
                <pt idx="2419">
                  <v>41419</v>
                </pt>
                <pt idx="2420">
                  <v>41426</v>
                </pt>
                <pt idx="2421">
                  <v>41433</v>
                </pt>
                <pt idx="2422">
                  <v>41440</v>
                </pt>
                <pt idx="2423">
                  <v>41447</v>
                </pt>
                <pt idx="2424">
                  <v>41454</v>
                </pt>
                <pt idx="2425">
                  <v>41461</v>
                </pt>
                <pt idx="2426">
                  <v>41468</v>
                </pt>
                <pt idx="2427">
                  <v>41475</v>
                </pt>
                <pt idx="2428">
                  <v>41482</v>
                </pt>
                <pt idx="2429">
                  <v>41489</v>
                </pt>
                <pt idx="2430">
                  <v>41496</v>
                </pt>
                <pt idx="2431">
                  <v>41503</v>
                </pt>
                <pt idx="2432">
                  <v>41510</v>
                </pt>
                <pt idx="2433">
                  <v>41517</v>
                </pt>
                <pt idx="2434">
                  <v>41524</v>
                </pt>
                <pt idx="2435">
                  <v>41531</v>
                </pt>
                <pt idx="2436">
                  <v>41538</v>
                </pt>
                <pt idx="2437">
                  <v>41545</v>
                </pt>
                <pt idx="2438">
                  <v>41552</v>
                </pt>
                <pt idx="2439">
                  <v>41559</v>
                </pt>
                <pt idx="2440">
                  <v>41566</v>
                </pt>
                <pt idx="2441">
                  <v>41573</v>
                </pt>
                <pt idx="2442">
                  <v>41580</v>
                </pt>
                <pt idx="2443">
                  <v>41587</v>
                </pt>
                <pt idx="2444">
                  <v>41594</v>
                </pt>
                <pt idx="2445">
                  <v>41601</v>
                </pt>
                <pt idx="2446">
                  <v>41608</v>
                </pt>
                <pt idx="2447">
                  <v>41615</v>
                </pt>
                <pt idx="2448">
                  <v>41622</v>
                </pt>
                <pt idx="2449">
                  <v>41629</v>
                </pt>
                <pt idx="2450">
                  <v>41636</v>
                </pt>
                <pt idx="2451">
                  <v>41643</v>
                </pt>
                <pt idx="2452">
                  <v>41650</v>
                </pt>
                <pt idx="2453">
                  <v>41657</v>
                </pt>
                <pt idx="2454">
                  <v>41664</v>
                </pt>
                <pt idx="2455">
                  <v>41671</v>
                </pt>
                <pt idx="2456">
                  <v>41678</v>
                </pt>
                <pt idx="2457">
                  <v>41685</v>
                </pt>
                <pt idx="2458">
                  <v>41692</v>
                </pt>
                <pt idx="2459">
                  <v>41699</v>
                </pt>
                <pt idx="2460">
                  <v>41706</v>
                </pt>
                <pt idx="2461">
                  <v>41713</v>
                </pt>
                <pt idx="2462">
                  <v>41720</v>
                </pt>
                <pt idx="2463">
                  <v>41727</v>
                </pt>
                <pt idx="2464">
                  <v>41734</v>
                </pt>
                <pt idx="2465">
                  <v>41741</v>
                </pt>
                <pt idx="2466">
                  <v>41748</v>
                </pt>
                <pt idx="2467">
                  <v>41755</v>
                </pt>
                <pt idx="2468">
                  <v>41762</v>
                </pt>
                <pt idx="2469">
                  <v>41769</v>
                </pt>
                <pt idx="2470">
                  <v>41776</v>
                </pt>
                <pt idx="2471">
                  <v>41783</v>
                </pt>
                <pt idx="2472">
                  <v>41790</v>
                </pt>
                <pt idx="2473">
                  <v>41797</v>
                </pt>
                <pt idx="2474">
                  <v>41804</v>
                </pt>
                <pt idx="2475">
                  <v>41811</v>
                </pt>
                <pt idx="2476">
                  <v>41818</v>
                </pt>
                <pt idx="2477">
                  <v>41825</v>
                </pt>
                <pt idx="2478">
                  <v>41832</v>
                </pt>
                <pt idx="2479">
                  <v>41839</v>
                </pt>
                <pt idx="2480">
                  <v>41846</v>
                </pt>
                <pt idx="2481">
                  <v>41853</v>
                </pt>
                <pt idx="2482">
                  <v>41860</v>
                </pt>
                <pt idx="2483">
                  <v>41867</v>
                </pt>
                <pt idx="2484">
                  <v>41874</v>
                </pt>
                <pt idx="2485">
                  <v>41881</v>
                </pt>
                <pt idx="2486">
                  <v>41888</v>
                </pt>
                <pt idx="2487">
                  <v>41895</v>
                </pt>
                <pt idx="2488">
                  <v>41902</v>
                </pt>
                <pt idx="2489">
                  <v>41909</v>
                </pt>
                <pt idx="2490">
                  <v>41916</v>
                </pt>
                <pt idx="2491">
                  <v>41923</v>
                </pt>
                <pt idx="2492">
                  <v>41930</v>
                </pt>
                <pt idx="2493">
                  <v>41937</v>
                </pt>
                <pt idx="2494">
                  <v>41944</v>
                </pt>
                <pt idx="2495">
                  <v>41951</v>
                </pt>
                <pt idx="2496">
                  <v>41958</v>
                </pt>
                <pt idx="2497">
                  <v>41965</v>
                </pt>
                <pt idx="2498">
                  <v>41972</v>
                </pt>
                <pt idx="2499">
                  <v>41979</v>
                </pt>
                <pt idx="2500">
                  <v>41986</v>
                </pt>
                <pt idx="2501">
                  <v>41993</v>
                </pt>
                <pt idx="2502">
                  <v>42000</v>
                </pt>
                <pt idx="2503">
                  <v>42007</v>
                </pt>
                <pt idx="2504">
                  <v>42014</v>
                </pt>
                <pt idx="2505">
                  <v>42021</v>
                </pt>
                <pt idx="2506">
                  <v>42028</v>
                </pt>
                <pt idx="2507">
                  <v>42035</v>
                </pt>
                <pt idx="2508">
                  <v>42042</v>
                </pt>
                <pt idx="2509">
                  <v>42049</v>
                </pt>
                <pt idx="2510">
                  <v>42056</v>
                </pt>
                <pt idx="2511">
                  <v>42063</v>
                </pt>
                <pt idx="2512">
                  <v>42070</v>
                </pt>
                <pt idx="2513">
                  <v>42077</v>
                </pt>
                <pt idx="2514">
                  <v>42084</v>
                </pt>
                <pt idx="2515">
                  <v>42091</v>
                </pt>
                <pt idx="2516">
                  <v>42098</v>
                </pt>
                <pt idx="2517">
                  <v>42105</v>
                </pt>
                <pt idx="2518">
                  <v>42112</v>
                </pt>
                <pt idx="2519">
                  <v>42119</v>
                </pt>
                <pt idx="2520">
                  <v>42126</v>
                </pt>
                <pt idx="2521">
                  <v>42133</v>
                </pt>
                <pt idx="2522">
                  <v>42140</v>
                </pt>
                <pt idx="2523">
                  <v>42147</v>
                </pt>
                <pt idx="2524">
                  <v>42154</v>
                </pt>
                <pt idx="2525">
                  <v>42161</v>
                </pt>
                <pt idx="2526">
                  <v>42168</v>
                </pt>
                <pt idx="2527">
                  <v>42175</v>
                </pt>
                <pt idx="2528">
                  <v>42182</v>
                </pt>
                <pt idx="2529">
                  <v>42189</v>
                </pt>
                <pt idx="2530">
                  <v>42196</v>
                </pt>
                <pt idx="2531">
                  <v>42203</v>
                </pt>
                <pt idx="2532">
                  <v>42210</v>
                </pt>
                <pt idx="2533">
                  <v>42217</v>
                </pt>
                <pt idx="2534">
                  <v>42224</v>
                </pt>
                <pt idx="2535">
                  <v>42231</v>
                </pt>
                <pt idx="2536">
                  <v>42238</v>
                </pt>
                <pt idx="2537">
                  <v>42245</v>
                </pt>
                <pt idx="2538">
                  <v>42252</v>
                </pt>
                <pt idx="2539">
                  <v>42259</v>
                </pt>
                <pt idx="2540">
                  <v>42266</v>
                </pt>
                <pt idx="2541">
                  <v>42273</v>
                </pt>
                <pt idx="2542">
                  <v>42280</v>
                </pt>
                <pt idx="2543">
                  <v>42287</v>
                </pt>
                <pt idx="2544">
                  <v>42294</v>
                </pt>
                <pt idx="2545">
                  <v>42301</v>
                </pt>
                <pt idx="2546">
                  <v>42308</v>
                </pt>
                <pt idx="2547">
                  <v>42315</v>
                </pt>
                <pt idx="2548">
                  <v>42322</v>
                </pt>
                <pt idx="2549">
                  <v>42329</v>
                </pt>
                <pt idx="2550">
                  <v>42336</v>
                </pt>
                <pt idx="2551">
                  <v>42343</v>
                </pt>
                <pt idx="2552">
                  <v>42350</v>
                </pt>
                <pt idx="2553">
                  <v>42357</v>
                </pt>
                <pt idx="2554">
                  <v>42364</v>
                </pt>
                <pt idx="2555">
                  <v>42371</v>
                </pt>
                <pt idx="2556">
                  <v>42378</v>
                </pt>
                <pt idx="2557">
                  <v>42385</v>
                </pt>
                <pt idx="2558">
                  <v>42392</v>
                </pt>
                <pt idx="2559">
                  <v>42399</v>
                </pt>
                <pt idx="2560">
                  <v>42406</v>
                </pt>
                <pt idx="2561">
                  <v>42413</v>
                </pt>
                <pt idx="2562">
                  <v>42420</v>
                </pt>
                <pt idx="2563">
                  <v>42427</v>
                </pt>
                <pt idx="2564">
                  <v>42434</v>
                </pt>
                <pt idx="2565">
                  <v>42441</v>
                </pt>
                <pt idx="2566">
                  <v>42448</v>
                </pt>
                <pt idx="2567">
                  <v>42455</v>
                </pt>
                <pt idx="2568">
                  <v>42462</v>
                </pt>
                <pt idx="2569">
                  <v>42469</v>
                </pt>
                <pt idx="2570">
                  <v>42476</v>
                </pt>
                <pt idx="2571">
                  <v>42483</v>
                </pt>
                <pt idx="2572">
                  <v>42490</v>
                </pt>
                <pt idx="2573">
                  <v>42497</v>
                </pt>
                <pt idx="2574">
                  <v>42504</v>
                </pt>
                <pt idx="2575">
                  <v>42511</v>
                </pt>
                <pt idx="2576">
                  <v>42518</v>
                </pt>
                <pt idx="2577">
                  <v>42525</v>
                </pt>
                <pt idx="2578">
                  <v>42532</v>
                </pt>
                <pt idx="2579">
                  <v>42539</v>
                </pt>
                <pt idx="2580">
                  <v>42546</v>
                </pt>
                <pt idx="2581">
                  <v>42553</v>
                </pt>
                <pt idx="2582">
                  <v>42560</v>
                </pt>
                <pt idx="2583">
                  <v>42567</v>
                </pt>
                <pt idx="2584">
                  <v>42574</v>
                </pt>
                <pt idx="2585">
                  <v>42581</v>
                </pt>
                <pt idx="2586">
                  <v>42588</v>
                </pt>
                <pt idx="2587">
                  <v>42595</v>
                </pt>
                <pt idx="2588">
                  <v>42602</v>
                </pt>
                <pt idx="2589">
                  <v>42609</v>
                </pt>
                <pt idx="2590">
                  <v>42616</v>
                </pt>
                <pt idx="2591">
                  <v>42623</v>
                </pt>
                <pt idx="2592">
                  <v>42630</v>
                </pt>
                <pt idx="2593">
                  <v>42637</v>
                </pt>
                <pt idx="2594">
                  <v>42644</v>
                </pt>
                <pt idx="2595">
                  <v>42651</v>
                </pt>
                <pt idx="2596">
                  <v>42658</v>
                </pt>
                <pt idx="2597">
                  <v>42665</v>
                </pt>
                <pt idx="2598">
                  <v>42672</v>
                </pt>
                <pt idx="2599">
                  <v>42679</v>
                </pt>
                <pt idx="2600">
                  <v>42686</v>
                </pt>
                <pt idx="2601">
                  <v>42693</v>
                </pt>
                <pt idx="2602">
                  <v>42700</v>
                </pt>
                <pt idx="2603">
                  <v>42707</v>
                </pt>
                <pt idx="2604">
                  <v>42714</v>
                </pt>
                <pt idx="2605">
                  <v>42721</v>
                </pt>
                <pt idx="2606">
                  <v>42728</v>
                </pt>
                <pt idx="2607">
                  <v>42735</v>
                </pt>
                <pt idx="2608">
                  <v>42742</v>
                </pt>
                <pt idx="2609">
                  <v>42749</v>
                </pt>
                <pt idx="2610">
                  <v>42756</v>
                </pt>
                <pt idx="2611">
                  <v>42763</v>
                </pt>
                <pt idx="2612">
                  <v>42770</v>
                </pt>
                <pt idx="2613">
                  <v>42777</v>
                </pt>
                <pt idx="2614">
                  <v>42784</v>
                </pt>
                <pt idx="2615">
                  <v>42791</v>
                </pt>
                <pt idx="2616">
                  <v>42798</v>
                </pt>
                <pt idx="2617">
                  <v>42805</v>
                </pt>
                <pt idx="2618">
                  <v>42812</v>
                </pt>
                <pt idx="2619">
                  <v>42819</v>
                </pt>
                <pt idx="2620">
                  <v>42826</v>
                </pt>
                <pt idx="2621">
                  <v>42833</v>
                </pt>
                <pt idx="2622">
                  <v>42840</v>
                </pt>
                <pt idx="2623">
                  <v>42847</v>
                </pt>
                <pt idx="2624">
                  <v>42854</v>
                </pt>
                <pt idx="2625">
                  <v>42861</v>
                </pt>
                <pt idx="2626">
                  <v>42868</v>
                </pt>
                <pt idx="2627">
                  <v>42875</v>
                </pt>
                <pt idx="2628">
                  <v>42882</v>
                </pt>
                <pt idx="2629">
                  <v>42889</v>
                </pt>
                <pt idx="2630">
                  <v>42896</v>
                </pt>
                <pt idx="2631">
                  <v>42903</v>
                </pt>
                <pt idx="2632">
                  <v>42910</v>
                </pt>
                <pt idx="2633">
                  <v>42917</v>
                </pt>
                <pt idx="2634">
                  <v>42924</v>
                </pt>
                <pt idx="2635">
                  <v>42931</v>
                </pt>
                <pt idx="2636">
                  <v>42938</v>
                </pt>
                <pt idx="2637">
                  <v>42945</v>
                </pt>
                <pt idx="2638">
                  <v>42952</v>
                </pt>
                <pt idx="2639">
                  <v>42959</v>
                </pt>
                <pt idx="2640">
                  <v>42966</v>
                </pt>
                <pt idx="2641">
                  <v>42973</v>
                </pt>
                <pt idx="2642">
                  <v>42980</v>
                </pt>
                <pt idx="2643">
                  <v>42987</v>
                </pt>
                <pt idx="2644">
                  <v>42994</v>
                </pt>
                <pt idx="2645">
                  <v>43001</v>
                </pt>
                <pt idx="2646">
                  <v>43008</v>
                </pt>
                <pt idx="2647">
                  <v>43015</v>
                </pt>
                <pt idx="2648">
                  <v>43022</v>
                </pt>
                <pt idx="2649">
                  <v>43029</v>
                </pt>
                <pt idx="2650">
                  <v>43036</v>
                </pt>
                <pt idx="2651">
                  <v>43043</v>
                </pt>
                <pt idx="2652">
                  <v>43050</v>
                </pt>
                <pt idx="2653">
                  <v>43057</v>
                </pt>
                <pt idx="2654">
                  <v>43064</v>
                </pt>
                <pt idx="2655">
                  <v>43071</v>
                </pt>
                <pt idx="2656">
                  <v>43078</v>
                </pt>
                <pt idx="2657">
                  <v>43085</v>
                </pt>
                <pt idx="2658">
                  <v>43092</v>
                </pt>
                <pt idx="2659">
                  <v>43099</v>
                </pt>
                <pt idx="2660">
                  <v>43106</v>
                </pt>
                <pt idx="2661">
                  <v>43113</v>
                </pt>
                <pt idx="2662">
                  <v>43120</v>
                </pt>
                <pt idx="2663">
                  <v>43127</v>
                </pt>
                <pt idx="2664">
                  <v>43134</v>
                </pt>
                <pt idx="2665">
                  <v>43141</v>
                </pt>
                <pt idx="2666">
                  <v>43148</v>
                </pt>
                <pt idx="2667">
                  <v>43155</v>
                </pt>
                <pt idx="2668">
                  <v>43162</v>
                </pt>
                <pt idx="2669">
                  <v>43169</v>
                </pt>
                <pt idx="2670">
                  <v>43176</v>
                </pt>
                <pt idx="2671">
                  <v>43183</v>
                </pt>
                <pt idx="2672">
                  <v>43190</v>
                </pt>
                <pt idx="2673">
                  <v>43197</v>
                </pt>
                <pt idx="2674">
                  <v>43204</v>
                </pt>
                <pt idx="2675">
                  <v>43211</v>
                </pt>
                <pt idx="2676">
                  <v>43218</v>
                </pt>
                <pt idx="2677">
                  <v>43225</v>
                </pt>
                <pt idx="2678">
                  <v>43232</v>
                </pt>
                <pt idx="2679">
                  <v>43239</v>
                </pt>
                <pt idx="2680">
                  <v>43246</v>
                </pt>
                <pt idx="2681">
                  <v>43253</v>
                </pt>
                <pt idx="2682">
                  <v>43260</v>
                </pt>
                <pt idx="2683">
                  <v>43267</v>
                </pt>
                <pt idx="2684">
                  <v>43274</v>
                </pt>
                <pt idx="2685">
                  <v>43281</v>
                </pt>
                <pt idx="2686">
                  <v>43288</v>
                </pt>
                <pt idx="2687">
                  <v>43295</v>
                </pt>
                <pt idx="2688">
                  <v>43302</v>
                </pt>
                <pt idx="2689">
                  <v>43309</v>
                </pt>
                <pt idx="2690">
                  <v>43316</v>
                </pt>
                <pt idx="2691">
                  <v>43323</v>
                </pt>
                <pt idx="2692">
                  <v>43330</v>
                </pt>
                <pt idx="2693">
                  <v>43337</v>
                </pt>
                <pt idx="2694">
                  <v>43344</v>
                </pt>
                <pt idx="2695">
                  <v>43351</v>
                </pt>
                <pt idx="2696">
                  <v>43358</v>
                </pt>
                <pt idx="2697">
                  <v>43365</v>
                </pt>
                <pt idx="2698">
                  <v>43372</v>
                </pt>
                <pt idx="2699">
                  <v>43379</v>
                </pt>
                <pt idx="2700">
                  <v>43386</v>
                </pt>
                <pt idx="2701">
                  <v>43393</v>
                </pt>
                <pt idx="2702">
                  <v>43400</v>
                </pt>
                <pt idx="2703">
                  <v>43407</v>
                </pt>
                <pt idx="2704">
                  <v>43414</v>
                </pt>
                <pt idx="2705">
                  <v>43421</v>
                </pt>
                <pt idx="2706">
                  <v>43428</v>
                </pt>
                <pt idx="2707">
                  <v>43435</v>
                </pt>
                <pt idx="2708">
                  <v>43442</v>
                </pt>
                <pt idx="2709">
                  <v>43449</v>
                </pt>
                <pt idx="2710">
                  <v>43456</v>
                </pt>
                <pt idx="2711">
                  <v>43463</v>
                </pt>
                <pt idx="2712">
                  <v>43470</v>
                </pt>
                <pt idx="2713">
                  <v>43477</v>
                </pt>
                <pt idx="2714">
                  <v>43484</v>
                </pt>
                <pt idx="2715">
                  <v>43491</v>
                </pt>
                <pt idx="2716">
                  <v>43498</v>
                </pt>
                <pt idx="2717">
                  <v>43505</v>
                </pt>
                <pt idx="2718">
                  <v>43512</v>
                </pt>
                <pt idx="2719">
                  <v>43519</v>
                </pt>
                <pt idx="2720">
                  <v>43526</v>
                </pt>
                <pt idx="2721">
                  <v>43533</v>
                </pt>
                <pt idx="2722">
                  <v>43540</v>
                </pt>
                <pt idx="2723">
                  <v>43547</v>
                </pt>
                <pt idx="2724">
                  <v>43554</v>
                </pt>
                <pt idx="2725">
                  <v>43561</v>
                </pt>
                <pt idx="2726">
                  <v>43568</v>
                </pt>
                <pt idx="2727">
                  <v>43575</v>
                </pt>
                <pt idx="2728">
                  <v>43582</v>
                </pt>
                <pt idx="2729">
                  <v>43589</v>
                </pt>
                <pt idx="2730">
                  <v>43596</v>
                </pt>
                <pt idx="2731">
                  <v>43603</v>
                </pt>
                <pt idx="2732">
                  <v>43610</v>
                </pt>
                <pt idx="2733">
                  <v>43617</v>
                </pt>
                <pt idx="2734">
                  <v>43624</v>
                </pt>
                <pt idx="2735">
                  <v>43631</v>
                </pt>
                <pt idx="2736">
                  <v>43638</v>
                </pt>
                <pt idx="2737">
                  <v>43645</v>
                </pt>
                <pt idx="2738">
                  <v>43652</v>
                </pt>
                <pt idx="2739">
                  <v>43659</v>
                </pt>
                <pt idx="2740">
                  <v>43666</v>
                </pt>
                <pt idx="2741">
                  <v>43673</v>
                </pt>
                <pt idx="2742">
                  <v>43680</v>
                </pt>
                <pt idx="2743">
                  <v>43687</v>
                </pt>
                <pt idx="2744">
                  <v>43694</v>
                </pt>
                <pt idx="2745">
                  <v>43701</v>
                </pt>
                <pt idx="2746">
                  <v>43708</v>
                </pt>
                <pt idx="2747">
                  <v>43715</v>
                </pt>
                <pt idx="2748">
                  <v>43722</v>
                </pt>
                <pt idx="2749">
                  <v>43729</v>
                </pt>
                <pt idx="2750">
                  <v>43736</v>
                </pt>
                <pt idx="2751">
                  <v>43743</v>
                </pt>
                <pt idx="2752">
                  <v>43750</v>
                </pt>
                <pt idx="2753">
                  <v>43757</v>
                </pt>
                <pt idx="2754">
                  <v>43764</v>
                </pt>
                <pt idx="2755">
                  <v>43771</v>
                </pt>
                <pt idx="2756">
                  <v>43778</v>
                </pt>
                <pt idx="2757">
                  <v>43785</v>
                </pt>
                <pt idx="2758">
                  <v>43792</v>
                </pt>
                <pt idx="2759">
                  <v>43799</v>
                </pt>
                <pt idx="2760">
                  <v>43806</v>
                </pt>
                <pt idx="2761">
                  <v>43813</v>
                </pt>
                <pt idx="2762">
                  <v>43820</v>
                </pt>
                <pt idx="2763">
                  <v>43827</v>
                </pt>
                <pt idx="2764">
                  <v>43834</v>
                </pt>
                <pt idx="2765">
                  <v>43841</v>
                </pt>
                <pt idx="2766">
                  <v>43848</v>
                </pt>
                <pt idx="2767">
                  <v>43855</v>
                </pt>
                <pt idx="2768">
                  <v>43862</v>
                </pt>
                <pt idx="2769">
                  <v>43869</v>
                </pt>
                <pt idx="2770">
                  <v>43876</v>
                </pt>
                <pt idx="2771">
                  <v>43883</v>
                </pt>
                <pt idx="2772">
                  <v>43890</v>
                </pt>
                <pt idx="2773">
                  <v>43897</v>
                </pt>
                <pt idx="2774">
                  <v>43904</v>
                </pt>
                <pt idx="2775">
                  <v>43911</v>
                </pt>
                <pt idx="2776">
                  <v>43918</v>
                </pt>
                <pt idx="2777">
                  <v>43925</v>
                </pt>
                <pt idx="2778">
                  <v>43932</v>
                </pt>
                <pt idx="2779">
                  <v>43939</v>
                </pt>
                <pt idx="2780">
                  <v>43946</v>
                </pt>
                <pt idx="2781">
                  <v>43953</v>
                </pt>
                <pt idx="2782">
                  <v>43960</v>
                </pt>
                <pt idx="2783">
                  <v>43967</v>
                </pt>
                <pt idx="2784">
                  <v>43974</v>
                </pt>
                <pt idx="2785">
                  <v>43981</v>
                </pt>
                <pt idx="2786">
                  <v>43988</v>
                </pt>
                <pt idx="2787">
                  <v>43995</v>
                </pt>
                <pt idx="2788">
                  <v>44002</v>
                </pt>
                <pt idx="2789">
                  <v>44009</v>
                </pt>
                <pt idx="2790">
                  <v>44016</v>
                </pt>
                <pt idx="2791">
                  <v>44023</v>
                </pt>
                <pt idx="2792">
                  <v>44030</v>
                </pt>
                <pt idx="2793">
                  <v>44037</v>
                </pt>
                <pt idx="2794">
                  <v>44044</v>
                </pt>
                <pt idx="2795">
                  <v>44051</v>
                </pt>
                <pt idx="2796">
                  <v>44058</v>
                </pt>
                <pt idx="2797">
                  <v>44065</v>
                </pt>
                <pt idx="2798">
                  <v>44072</v>
                </pt>
                <pt idx="2799">
                  <v>44079</v>
                </pt>
                <pt idx="2800">
                  <v>44086</v>
                </pt>
                <pt idx="2801">
                  <v>44093</v>
                </pt>
                <pt idx="2802">
                  <v>44100</v>
                </pt>
                <pt idx="2803">
                  <v>44107</v>
                </pt>
                <pt idx="2804">
                  <v>44114</v>
                </pt>
                <pt idx="2805">
                  <v>44121</v>
                </pt>
                <pt idx="2806">
                  <v>44128</v>
                </pt>
                <pt idx="2807">
                  <v>44135</v>
                </pt>
                <pt idx="2808">
                  <v>44142</v>
                </pt>
                <pt idx="2809">
                  <v>44149</v>
                </pt>
                <pt idx="2810">
                  <v>44156</v>
                </pt>
                <pt idx="2811">
                  <v>44163</v>
                </pt>
                <pt idx="2812">
                  <v>44170</v>
                </pt>
                <pt idx="2813">
                  <v>44177</v>
                </pt>
                <pt idx="2814">
                  <v>44184</v>
                </pt>
                <pt idx="2815">
                  <v>44191</v>
                </pt>
                <pt idx="2816">
                  <v>44198</v>
                </pt>
                <pt idx="2817">
                  <v>44205</v>
                </pt>
                <pt idx="2818">
                  <v>44212</v>
                </pt>
                <pt idx="2819">
                  <v>44219</v>
                </pt>
                <pt idx="2820">
                  <v>44226</v>
                </pt>
                <pt idx="2821">
                  <v>44233</v>
                </pt>
                <pt idx="2822">
                  <v>44240</v>
                </pt>
                <pt idx="2823">
                  <v>44247</v>
                </pt>
                <pt idx="2824">
                  <v>44254</v>
                </pt>
                <pt idx="2825">
                  <v>44261</v>
                </pt>
                <pt idx="2826">
                  <v>44268</v>
                </pt>
                <pt idx="2827">
                  <v>44275</v>
                </pt>
                <pt idx="2828">
                  <v>44282</v>
                </pt>
                <pt idx="2829">
                  <v>44289</v>
                </pt>
                <pt idx="2830">
                  <v>44296</v>
                </pt>
                <pt idx="2831">
                  <v>44303</v>
                </pt>
                <pt idx="2832">
                  <v>44310</v>
                </pt>
                <pt idx="2833">
                  <v>44317</v>
                </pt>
                <pt idx="2834">
                  <v>44324</v>
                </pt>
                <pt idx="2835">
                  <v>44331</v>
                </pt>
                <pt idx="2836">
                  <v>44338</v>
                </pt>
                <pt idx="2837">
                  <v>44345</v>
                </pt>
                <pt idx="2838">
                  <v>44352</v>
                </pt>
                <pt idx="2839">
                  <v>44359</v>
                </pt>
                <pt idx="2840">
                  <v>44366</v>
                </pt>
                <pt idx="2841">
                  <v>44373</v>
                </pt>
                <pt idx="2842">
                  <v>44380</v>
                </pt>
                <pt idx="2843">
                  <v>44387</v>
                </pt>
                <pt idx="2844">
                  <v>44394</v>
                </pt>
                <pt idx="2845">
                  <v>44401</v>
                </pt>
                <pt idx="2846">
                  <v>44408</v>
                </pt>
                <pt idx="2847">
                  <v>44415</v>
                </pt>
                <pt idx="2848">
                  <v>44422</v>
                </pt>
                <pt idx="2849">
                  <v>44429</v>
                </pt>
                <pt idx="2850">
                  <v>44436</v>
                </pt>
                <pt idx="2851">
                  <v>44443</v>
                </pt>
                <pt idx="2852">
                  <v>44450</v>
                </pt>
                <pt idx="2853">
                  <v>44457</v>
                </pt>
                <pt idx="2854">
                  <v>44464</v>
                </pt>
                <pt idx="2855">
                  <v>44471</v>
                </pt>
                <pt idx="2856">
                  <v>44478</v>
                </pt>
                <pt idx="2857">
                  <v>44485</v>
                </pt>
                <pt idx="2858">
                  <v>44492</v>
                </pt>
                <pt idx="2859">
                  <v>44499</v>
                </pt>
                <pt idx="2860">
                  <v>44506</v>
                </pt>
                <pt idx="2861">
                  <v>44513</v>
                </pt>
                <pt idx="2862">
                  <v>44520</v>
                </pt>
                <pt idx="2863">
                  <v>44527</v>
                </pt>
                <pt idx="2864">
                  <v>44534</v>
                </pt>
                <pt idx="2865">
                  <v>44541</v>
                </pt>
                <pt idx="2866">
                  <v>44548</v>
                </pt>
                <pt idx="2867">
                  <v>44555</v>
                </pt>
                <pt idx="2868">
                  <v>44562</v>
                </pt>
                <pt idx="2869">
                  <v>44569</v>
                </pt>
                <pt idx="2870">
                  <v>44576</v>
                </pt>
                <pt idx="2871">
                  <v>44583</v>
                </pt>
                <pt idx="2872">
                  <v>44590</v>
                </pt>
                <pt idx="2873">
                  <v>44597</v>
                </pt>
                <pt idx="2874">
                  <v>44604</v>
                </pt>
              </numCache>
            </numRef>
          </cat>
          <val>
            <numRef>
              <f>Claims!$B$5:$B$2917</f>
              <numCache>
                <formatCode>#,##0</formatCode>
                <ptCount val="2913"/>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pt idx="2791">
                  <v>1398000</v>
                </pt>
                <pt idx="2792">
                  <v>1479000</v>
                </pt>
                <pt idx="2793">
                  <v>1398000</v>
                </pt>
                <pt idx="2794">
                  <v>1262000</v>
                </pt>
                <pt idx="2795">
                  <v>1043000</v>
                </pt>
                <pt idx="2796">
                  <v>883000</v>
                </pt>
                <pt idx="2797">
                  <v>920000</v>
                </pt>
                <pt idx="2798">
                  <v>872000</v>
                </pt>
                <pt idx="2799">
                  <v>875000</v>
                </pt>
                <pt idx="2800">
                  <v>881000</v>
                </pt>
                <pt idx="2801">
                  <v>860000</v>
                </pt>
                <pt idx="2802">
                  <v>860000</v>
                </pt>
                <pt idx="2803">
                  <v>803000</v>
                </pt>
                <pt idx="2804">
                  <v>782000</v>
                </pt>
                <pt idx="2805">
                  <v>833000</v>
                </pt>
                <pt idx="2806">
                  <v>798000</v>
                </pt>
                <pt idx="2807">
                  <v>768000</v>
                </pt>
                <pt idx="2808">
                  <v>765000</v>
                </pt>
                <pt idx="2809">
                  <v>728000</v>
                </pt>
                <pt idx="2810">
                  <v>732000</v>
                </pt>
                <pt idx="2811">
                  <v>762000</v>
                </pt>
                <pt idx="2812">
                  <v>719000</v>
                </pt>
                <pt idx="2813">
                  <v>853000</v>
                </pt>
                <pt idx="2814">
                  <v>873000</v>
                </pt>
                <pt idx="2815">
                  <v>803000</v>
                </pt>
                <pt idx="2816">
                  <v>763000</v>
                </pt>
                <pt idx="2817">
                  <v>781000</v>
                </pt>
                <pt idx="2818">
                  <v>904000</v>
                </pt>
                <pt idx="2819">
                  <v>886000</v>
                </pt>
                <pt idx="2820">
                  <v>836000</v>
                </pt>
                <pt idx="2821">
                  <v>837000</v>
                </pt>
                <pt idx="2822">
                  <v>863000</v>
                </pt>
                <pt idx="2823">
                  <v>847000</v>
                </pt>
                <pt idx="2824">
                  <v>747000</v>
                </pt>
                <pt idx="2825">
                  <v>761000</v>
                </pt>
                <pt idx="2826">
                  <v>734000</v>
                </pt>
                <pt idx="2827">
                  <v>765000</v>
                </pt>
                <pt idx="2828">
                  <v>658000</v>
                </pt>
                <pt idx="2829">
                  <v>729000</v>
                </pt>
                <pt idx="2830">
                  <v>742000</v>
                </pt>
                <pt idx="2831">
                  <v>586000</v>
                </pt>
                <pt idx="2832">
                  <v>566000</v>
                </pt>
                <pt idx="2833">
                  <v>590000</v>
                </pt>
                <pt idx="2834">
                  <v>507000</v>
                </pt>
                <pt idx="2835">
                  <v>478000</v>
                </pt>
                <pt idx="2836">
                  <v>444000</v>
                </pt>
                <pt idx="2837">
                  <v>405000</v>
                </pt>
                <pt idx="2838">
                  <v>388000</v>
                </pt>
                <pt idx="2839">
                  <v>374000</v>
                </pt>
                <pt idx="2840">
                  <v>418000</v>
                </pt>
                <pt idx="2841">
                  <v>416000</v>
                </pt>
                <pt idx="2842">
                  <v>368000</v>
                </pt>
                <pt idx="2843">
                  <v>386000</v>
                </pt>
                <pt idx="2844">
                  <v>368000</v>
                </pt>
                <pt idx="2845">
                  <v>424000</v>
                </pt>
                <pt idx="2846">
                  <v>399000</v>
                </pt>
                <pt idx="2847">
                  <v>387000</v>
                </pt>
                <pt idx="2848">
                  <v>377000</v>
                </pt>
                <pt idx="2849">
                  <v>349000</v>
                </pt>
                <pt idx="2850">
                  <v>354000</v>
                </pt>
                <pt idx="2851">
                  <v>345000</v>
                </pt>
                <pt idx="2852">
                  <v>312000</v>
                </pt>
                <pt idx="2853">
                  <v>335000</v>
                </pt>
                <pt idx="2854">
                  <v>351000</v>
                </pt>
                <pt idx="2855">
                  <v>364000</v>
                </pt>
                <pt idx="2856">
                  <v>329000</v>
                </pt>
                <pt idx="2857">
                  <v>296000</v>
                </pt>
                <pt idx="2858">
                  <v>291000</v>
                </pt>
                <pt idx="2859">
                  <v>283000</v>
                </pt>
                <pt idx="2860">
                  <v>271000</v>
                </pt>
                <pt idx="2861">
                  <v>269000</v>
                </pt>
                <pt idx="2862">
                  <v>270000</v>
                </pt>
                <pt idx="2863">
                  <v>194000</v>
                </pt>
                <pt idx="2864">
                  <v>227000</v>
                </pt>
                <pt idx="2865">
                  <v>188000</v>
                </pt>
                <pt idx="2866">
                  <v>206000</v>
                </pt>
                <pt idx="2867">
                  <v>206000</v>
                </pt>
                <pt idx="2868">
                  <v>200000</v>
                </pt>
                <pt idx="2869">
                  <v>207000</v>
                </pt>
                <pt idx="2870">
                  <v>231000</v>
                </pt>
                <pt idx="2871">
                  <v>286000</v>
                </pt>
                <pt idx="2872">
                  <v>261000</v>
                </pt>
                <pt idx="2873">
                  <v>238000</v>
                </pt>
                <pt idx="2874">
                  <v>223000</v>
                </pt>
                <pt idx="2875">
                  <v>248000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56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NFP!$A$300:$A$1026</f>
              <numCache>
                <formatCode>yyyy\-mm\-dd</formatCode>
                <ptCount val="727"/>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numCache>
            </numRef>
          </cat>
          <val>
            <numRef>
              <f>NFP!$C$300:$C$1026</f>
              <numCache>
                <formatCode>0</formatCode>
                <ptCount val="727"/>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pt idx="704">
                  <v>379</v>
                </pt>
                <pt idx="705">
                  <v>546</v>
                </pt>
                <pt idx="706">
                  <v>210</v>
                </pt>
                <pt idx="707">
                  <v>340</v>
                </pt>
                <pt idx="708">
                  <v>678</v>
                </pt>
              </numCache>
            </numRef>
          </val>
          <smooth val="0"/>
        </ser>
        <dLbls>
          <showLegendKey val="0"/>
          <showVal val="0"/>
          <showCatName val="0"/>
          <showSerName val="0"/>
          <showPercent val="0"/>
          <showBubbleSize val="0"/>
        </dLbls>
        <smooth val="0"/>
        <axId val="1034261896"/>
        <axId val="1034262288"/>
      </lineChart>
      <dateAx>
        <axId val="1034261896"/>
        <scaling>
          <orientation val="minMax"/>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NFP!$A$800:$A$1026</f>
              <numCache>
                <formatCode>yyyy\-mm\-dd</formatCode>
                <ptCount val="227"/>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numCache>
            </numRef>
          </cat>
          <val>
            <numRef>
              <f>NFP!$C$800:$C$1026</f>
              <numCache>
                <formatCode>0</formatCode>
                <ptCount val="227"/>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pt idx="204">
                  <v>379</v>
                </pt>
                <pt idx="205">
                  <v>546</v>
                </pt>
                <pt idx="206">
                  <v>210</v>
                </pt>
                <pt idx="207">
                  <v>340</v>
                </pt>
                <pt idx="208">
                  <v>678</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NFP!$A$13:$A$1026</f>
              <numCache>
                <formatCode>yyyy\-mm\-dd</formatCode>
                <ptCount val="1014"/>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numCache>
            </numRef>
          </cat>
          <val>
            <numRef>
              <f>NFP!$C$13:$C$1026</f>
              <numCache>
                <formatCode>0</formatCode>
                <ptCount val="1014"/>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numCache>
            </numRef>
          </val>
        </ser>
        <dLbls>
          <showLegendKey val="0"/>
          <showVal val="0"/>
          <showCatName val="0"/>
          <showSerName val="0"/>
          <showPercent val="0"/>
          <showBubbleSize val="0"/>
        </dLbls>
        <gapWidth val="150"/>
        <axId val="827929136"/>
        <axId val="827929792"/>
      </barChart>
      <dateAx>
        <axId val="82792913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NFP!$A$13:$A$1026</f>
              <numCache>
                <formatCode>yyyy\-mm\-dd</formatCode>
                <ptCount val="1014"/>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numCache>
            </numRef>
          </cat>
          <val>
            <numRef>
              <f>NFP!$C$13:$C$1026</f>
              <numCache>
                <formatCode>0</formatCode>
                <ptCount val="1014"/>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numCache>
            </numRef>
          </val>
          <smooth val="0"/>
        </ser>
        <dLbls>
          <showLegendKey val="0"/>
          <showVal val="0"/>
          <showCatName val="0"/>
          <showSerName val="0"/>
          <showPercent val="0"/>
          <showBubbleSize val="0"/>
        </dLbls>
        <smooth val="0"/>
        <axId val="1046199384"/>
        <axId val="1018478600"/>
      </lineChart>
      <dateAx>
        <axId val="1046199384"/>
        <scaling>
          <orientation val="minMax"/>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ADP!$B$6:$B$255</f>
              <numCache>
                <formatCode>0.00</formatCode>
                <ptCount val="250"/>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ADP!$C$6:$C$255</f>
              <numCache>
                <formatCode>0.00</formatCode>
                <ptCount val="250"/>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197</v>
                </pt>
                <pt idx="188">
                  <v>183</v>
                </pt>
                <pt idx="189">
                  <v>139</v>
                </pt>
                <pt idx="190">
                  <v>220</v>
                </pt>
                <pt idx="191">
                  <v>141</v>
                </pt>
                <pt idx="192">
                  <v>211</v>
                </pt>
                <pt idx="193">
                  <v>228</v>
                </pt>
                <pt idx="194">
                  <v>190</v>
                </pt>
                <pt idx="195">
                  <v>42</v>
                </pt>
                <pt idx="196">
                  <v>249</v>
                </pt>
                <pt idx="197">
                  <v>196</v>
                </pt>
                <pt idx="198">
                  <v>179</v>
                </pt>
                <pt idx="199">
                  <v>81</v>
                </pt>
                <pt idx="200">
                  <v>378</v>
                </pt>
                <pt idx="201">
                  <v>195</v>
                </pt>
                <pt idx="202">
                  <v>153</v>
                </pt>
                <pt idx="203">
                  <v>270</v>
                </pt>
                <pt idx="204">
                  <v>214</v>
                </pt>
                <pt idx="205">
                  <v>149</v>
                </pt>
                <pt idx="206">
                  <v>229</v>
                </pt>
                <pt idx="207">
                  <v>105</v>
                </pt>
                <pt idx="208">
                  <v>212</v>
                </pt>
                <pt idx="209">
                  <v>92</v>
                </pt>
                <pt idx="210">
                  <v>240</v>
                </pt>
                <pt idx="211">
                  <v>237</v>
                </pt>
                <pt idx="212">
                  <v>-50</v>
                </pt>
                <pt idx="213">
                  <v>168</v>
                </pt>
                <pt idx="214">
                  <v>219</v>
                </pt>
                <pt idx="215">
                  <v>63</v>
                </pt>
                <pt idx="216">
                  <v>175</v>
                </pt>
                <pt idx="217">
                  <v>193</v>
                </pt>
                <pt idx="218">
                  <v>195</v>
                </pt>
                <pt idx="219">
                  <v>221</v>
                </pt>
                <pt idx="220">
                  <v>195</v>
                </pt>
                <pt idx="221">
                  <v>234</v>
                </pt>
                <pt idx="222">
                  <v>161</v>
                </pt>
                <pt idx="223">
                  <v>315</v>
                </pt>
                <pt idx="224">
                  <v>289</v>
                </pt>
                <pt idx="225">
                  <v>-1683</v>
                </pt>
                <pt idx="226">
                  <v>-20679</v>
                </pt>
                <pt idx="227">
                  <v>2833</v>
                </pt>
                <pt idx="228">
                  <v>4846</v>
                </pt>
                <pt idx="229">
                  <v>1726</v>
                </pt>
                <pt idx="230">
                  <v>1583</v>
                </pt>
                <pt idx="231">
                  <v>716</v>
                </pt>
                <pt idx="232">
                  <v>680</v>
                </pt>
                <pt idx="233">
                  <v>264</v>
                </pt>
                <pt idx="234">
                  <v>-306</v>
                </pt>
                <pt idx="235">
                  <v>233</v>
                </pt>
                <pt idx="236">
                  <v>536</v>
                </pt>
                <pt idx="237">
                  <v>785</v>
                </pt>
                <pt idx="238">
                  <v>269</v>
                </pt>
                <pt idx="239">
                  <v>614</v>
                </pt>
                <pt idx="240">
                  <v>962</v>
                </pt>
                <pt idx="241">
                  <v>1091</v>
                </pt>
                <pt idx="242">
                  <v>483</v>
                </pt>
                <pt idx="243">
                  <v>379</v>
                </pt>
                <pt idx="244">
                  <v>546</v>
                </pt>
                <pt idx="245">
                  <v>210</v>
                </pt>
                <pt idx="246">
                  <v>340</v>
                </pt>
                <pt idx="247">
                  <v>678</v>
                </pt>
                <pt idx="248">
                  <v>678</v>
                </pt>
                <pt idx="249">
                  <v>678</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 Type="http://schemas.openxmlformats.org/officeDocument/2006/relationships/chart" Target="/xl/charts/chart9.xml" Id="rId5"/><Relationship Type="http://schemas.openxmlformats.org/officeDocument/2006/relationships/chart" Target="/xl/charts/chart10.xml" Id="rId6"/></Relationships>
</file>

<file path=xl/drawings/_rels/drawing5.xml.rels><Relationships xmlns="http://schemas.openxmlformats.org/package/2006/relationships"><Relationship Type="http://schemas.openxmlformats.org/officeDocument/2006/relationships/chart" Target="/xl/charts/chart11.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200025</colOff>
      <row>960</row>
      <rowOff>20108</rowOff>
    </from>
    <to>
      <col>18</col>
      <colOff>92075</colOff>
      <row>981</row>
      <rowOff>10583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214840</colOff>
      <row>982</row>
      <rowOff>21167</rowOff>
    </from>
    <to>
      <col>18</col>
      <colOff>127000</colOff>
      <row>1006</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5</col>
      <colOff>99399</colOff>
      <row>2855</row>
      <rowOff>74977</rowOff>
    </from>
    <to>
      <col>14</col>
      <colOff>299425</colOff>
      <row>2875</row>
      <rowOff>65453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205154</colOff>
      <row>230</row>
      <rowOff>132860</rowOff>
    </from>
    <to>
      <col>14</col>
      <colOff>290880</colOff>
      <row>253</row>
      <rowOff>47135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08" headerRowCount="1" totalsRowShown="0" headerRowDxfId="21" dataDxfId="20">
  <autoFilter ref="A11:F1008"/>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55" headerRowCount="1" totalsRowShown="0" headerRowDxfId="6" dataDxfId="5">
  <autoFilter ref="A5:C255"/>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zoomScale="140" zoomScaleNormal="140" workbookViewId="0">
      <selection activeCell="L243" sqref="L243"/>
    </sheetView>
  </sheetViews>
  <sheetFormatPr baseColWidth="10" defaultColWidth="9.1640625" defaultRowHeight="15"/>
  <cols>
    <col width="14.5" customWidth="1" style="63" min="1" max="1"/>
    <col width="12.83203125" customWidth="1" style="63" min="2" max="10"/>
    <col width="3.6640625" customWidth="1" style="63" min="11" max="13"/>
    <col width="14" customWidth="1" style="63" min="14" max="15"/>
    <col width="11" customWidth="1" style="63" min="16" max="19"/>
    <col width="9.1640625" customWidth="1" style="63" min="20" max="37"/>
    <col width="9.1640625" customWidth="1" style="63" min="38" max="16384"/>
  </cols>
  <sheetData>
    <row r="1">
      <c r="B1" s="72" t="n"/>
    </row>
    <row r="2" ht="16" customHeight="1" s="49" thickBot="1">
      <c r="B2" s="73" t="n"/>
      <c r="C2" s="73" t="n"/>
      <c r="D2" s="73" t="n"/>
      <c r="E2" s="73" t="n"/>
      <c r="F2" s="73" t="n"/>
      <c r="G2" s="73" t="n"/>
      <c r="H2" s="73" t="n"/>
      <c r="I2" s="73" t="n"/>
      <c r="J2" s="73" t="n"/>
    </row>
    <row r="3" ht="16" customHeight="1" s="49" thickBot="1">
      <c r="B3" s="74" t="inlineStr">
        <is>
          <t>Job Market</t>
        </is>
      </c>
      <c r="C3" s="75" t="n"/>
      <c r="D3" s="75" t="n"/>
      <c r="E3" s="75" t="n"/>
      <c r="F3" s="75" t="n"/>
      <c r="G3" s="75" t="n"/>
      <c r="H3" s="75" t="n"/>
      <c r="I3" s="75" t="n"/>
      <c r="J3" s="76" t="n"/>
    </row>
    <row r="5">
      <c r="B5" s="64" t="inlineStr">
        <is>
          <t>Definition</t>
        </is>
      </c>
      <c r="C5" s="65" t="n"/>
      <c r="D5" s="65" t="n"/>
      <c r="E5" s="65" t="n"/>
      <c r="F5" s="65" t="n"/>
      <c r="G5" s="65" t="n"/>
      <c r="H5" s="65" t="n"/>
      <c r="I5" s="65" t="n"/>
      <c r="J5" s="66" t="n"/>
    </row>
    <row r="7" ht="237.75" customHeight="1" s="49">
      <c r="B7" s="62"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64" t="inlineStr">
        <is>
          <t>Process / TO DO LIST</t>
        </is>
      </c>
      <c r="C9" s="65" t="n"/>
      <c r="D9" s="65" t="n"/>
      <c r="E9" s="65" t="n"/>
      <c r="F9" s="65" t="n"/>
      <c r="G9" s="65" t="n"/>
      <c r="H9" s="65" t="n"/>
      <c r="I9" s="65" t="n"/>
      <c r="J9" s="66" t="n"/>
      <c r="N9" s="64" t="inlineStr">
        <is>
          <t>Summary</t>
        </is>
      </c>
      <c r="O9" s="65" t="n"/>
      <c r="P9" s="65" t="n"/>
      <c r="Q9" s="65" t="n"/>
      <c r="R9" s="65" t="n"/>
      <c r="S9" s="66" t="n"/>
    </row>
    <row r="11">
      <c r="B11" s="64" t="inlineStr">
        <is>
          <t>TO DO LIST</t>
        </is>
      </c>
      <c r="C11" s="65" t="n"/>
      <c r="D11" s="65" t="n"/>
      <c r="E11" s="65" t="n"/>
      <c r="F11" s="66" t="n"/>
      <c r="G11" s="64" t="inlineStr">
        <is>
          <t>Comments</t>
        </is>
      </c>
      <c r="H11" s="65" t="n"/>
      <c r="I11" s="65" t="n"/>
      <c r="J11" s="66" t="n"/>
    </row>
    <row r="13" ht="16" customHeight="1" s="49" thickBot="1">
      <c r="B13" s="63" t="inlineStr">
        <is>
          <t>Database</t>
        </is>
      </c>
      <c r="G13" s="63" t="inlineStr">
        <is>
          <t>U.S. Job Market</t>
        </is>
      </c>
    </row>
    <row r="14">
      <c r="B14" s="63" t="inlineStr">
        <is>
          <t>Create data on Fred</t>
        </is>
      </c>
      <c r="G14" s="63" t="n"/>
      <c r="P14" s="36" t="n">
        <v>44470</v>
      </c>
      <c r="Q14" s="37">
        <f>DATE(YEAR(P14),MONTH(P14)-1,DAY(P14))</f>
        <v/>
      </c>
      <c r="R14" s="38" t="n"/>
    </row>
    <row r="15" ht="16" customHeight="1" s="49" thickBot="1">
      <c r="B15" s="63" t="inlineStr">
        <is>
          <t>https://research.stlouisfed.org/useraccount/datalists</t>
        </is>
      </c>
      <c r="G15" s="63" t="n"/>
      <c r="P15" s="39" t="inlineStr">
        <is>
          <t>Last</t>
        </is>
      </c>
      <c r="Q15" s="39" t="inlineStr">
        <is>
          <t>Last</t>
        </is>
      </c>
      <c r="R15" s="40" t="inlineStr">
        <is>
          <t>Var.</t>
        </is>
      </c>
    </row>
    <row r="16">
      <c r="B16" s="4" t="inlineStr">
        <is>
          <t>CIVPART</t>
        </is>
      </c>
      <c r="G16" s="63" t="inlineStr">
        <is>
          <t>Civilian Labor Force Participation Rate</t>
        </is>
      </c>
      <c r="N16" s="67" t="inlineStr">
        <is>
          <t>NFP</t>
        </is>
      </c>
      <c r="O16" s="68" t="n"/>
      <c r="P16" s="41">
        <f>VLOOKUP($P$14,Database!A:D,MATCH(Note!S16,Database!A1:D1,),)</f>
        <v/>
      </c>
      <c r="Q16" s="41">
        <f>VLOOKUP($Q$14,Database!A:D,MATCH(Note!S16,Database!A1:D1,),)</f>
        <v/>
      </c>
      <c r="R16" s="44">
        <f>P16-Q16</f>
        <v/>
      </c>
      <c r="S16" s="42" t="inlineStr">
        <is>
          <t>PAYEMS</t>
        </is>
      </c>
    </row>
    <row r="17">
      <c r="B17" s="4" t="inlineStr">
        <is>
          <t>PAYEMS</t>
        </is>
      </c>
      <c r="G17" s="63" t="inlineStr">
        <is>
          <t>All Employees: Total Nonfarm Payrolls</t>
        </is>
      </c>
      <c r="N17" s="69" t="inlineStr">
        <is>
          <t>Unemployment Rate</t>
        </is>
      </c>
      <c r="O17" s="66"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3" t="inlineStr">
        <is>
          <t>Civilian Unemployment Rate</t>
        </is>
      </c>
      <c r="N18" s="70" t="inlineStr">
        <is>
          <t>Participation Rate</t>
        </is>
      </c>
      <c r="O18" s="71" t="n"/>
      <c r="P18" s="52">
        <f>VLOOKUP($P$14,Database!A:D,MATCH(Note!S18,Database!A1:D1,),)</f>
        <v/>
      </c>
      <c r="Q18" s="52">
        <f>VLOOKUP($Q$14,Database!A:D,MATCH(Note!S18,Database!A1:D1,),)</f>
        <v/>
      </c>
      <c r="R18" s="53">
        <f>P18-Q18</f>
        <v/>
      </c>
      <c r="S18" s="45" t="inlineStr">
        <is>
          <t>CIVPART</t>
        </is>
      </c>
    </row>
    <row r="19">
      <c r="B19" s="4" t="inlineStr">
        <is>
          <t>CCSA</t>
        </is>
      </c>
      <c r="G19" s="63" t="inlineStr">
        <is>
          <t>Continued Claims (Insured Unemployment)</t>
        </is>
      </c>
    </row>
    <row r="20">
      <c r="B20" s="2" t="inlineStr">
        <is>
          <t>ICSA</t>
        </is>
      </c>
      <c r="G20" s="63" t="inlineStr">
        <is>
          <t>Initial Claims</t>
        </is>
      </c>
    </row>
    <row r="21">
      <c r="B21" s="63" t="inlineStr">
        <is>
          <t>Copy Monthly in Database A:C</t>
        </is>
      </c>
      <c r="G21" s="63" t="n"/>
    </row>
    <row r="22">
      <c r="B22" s="63" t="inlineStr">
        <is>
          <t>Copy Weekly, Ending Saturday in Database F:H</t>
        </is>
      </c>
    </row>
    <row r="24" ht="33" customHeight="1" s="49">
      <c r="B24" s="62" t="inlineStr">
        <is>
          <t>https://data.oecd.org/unemp/harmonised-unemployment-rate-hur.htm#indicator-chart</t>
        </is>
      </c>
      <c r="G24" s="63" t="inlineStr">
        <is>
          <t>World Job data</t>
        </is>
      </c>
    </row>
    <row r="25">
      <c r="B25" s="63" t="inlineStr">
        <is>
          <t>Table</t>
        </is>
      </c>
    </row>
    <row r="26">
      <c r="B26" s="63" t="inlineStr">
        <is>
          <t>monthly</t>
        </is>
      </c>
    </row>
    <row r="27">
      <c r="B27" s="63" t="inlineStr">
        <is>
          <t>from beginning</t>
        </is>
      </c>
    </row>
    <row r="28">
      <c r="B28" s="63" t="inlineStr">
        <is>
          <t>download</t>
        </is>
      </c>
      <c r="G28" s="63" t="n"/>
    </row>
    <row r="30">
      <c r="B30" t="inlineStr">
        <is>
          <t>https://tradingeconomics.com/country-list/unemployment-rate</t>
        </is>
      </c>
      <c r="G30" s="63" t="inlineStr">
        <is>
          <t>Other data</t>
        </is>
      </c>
    </row>
    <row r="31">
      <c r="G31" s="63" t="n"/>
    </row>
    <row r="32">
      <c r="B32" s="34" t="n"/>
    </row>
    <row r="33" ht="30" customHeight="1" s="49">
      <c r="B33" s="62" t="n"/>
    </row>
    <row r="34">
      <c r="B34" s="35" t="n"/>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999"/>
  <sheetViews>
    <sheetView zoomScale="160" zoomScaleNormal="160" workbookViewId="0">
      <pane ySplit="1" topLeftCell="A982"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145612</v>
      </c>
      <c r="D938" t="n">
        <v>4.7</v>
      </c>
    </row>
    <row r="939">
      <c r="A939" s="78" t="n">
        <v>42767</v>
      </c>
      <c r="B939" t="n">
        <v>62.8</v>
      </c>
      <c r="C939" t="n">
        <v>145795</v>
      </c>
      <c r="D939" t="n">
        <v>4.6</v>
      </c>
    </row>
    <row r="940">
      <c r="A940" s="78" t="n">
        <v>42795</v>
      </c>
      <c r="B940" t="n">
        <v>63</v>
      </c>
      <c r="C940" t="n">
        <v>145934</v>
      </c>
      <c r="D940" t="n">
        <v>4.4</v>
      </c>
    </row>
    <row r="941">
      <c r="A941" s="78" t="n">
        <v>42826</v>
      </c>
      <c r="B941" t="n">
        <v>63</v>
      </c>
      <c r="C941" t="n">
        <v>146154</v>
      </c>
      <c r="D941" t="n">
        <v>4.5</v>
      </c>
    </row>
    <row r="942">
      <c r="A942" s="78" t="n">
        <v>42856</v>
      </c>
      <c r="B942" t="n">
        <v>62.8</v>
      </c>
      <c r="C942" t="n">
        <v>146295</v>
      </c>
      <c r="D942" t="n">
        <v>4.4</v>
      </c>
    </row>
    <row r="943">
      <c r="A943" s="78" t="n">
        <v>42887</v>
      </c>
      <c r="B943" t="n">
        <v>62.8</v>
      </c>
      <c r="C943" t="n">
        <v>146506</v>
      </c>
      <c r="D943" t="n">
        <v>4.3</v>
      </c>
    </row>
    <row r="944">
      <c r="A944" s="78" t="n">
        <v>42917</v>
      </c>
      <c r="B944" t="n">
        <v>62.9</v>
      </c>
      <c r="C944" t="n">
        <v>146734</v>
      </c>
      <c r="D944" t="n">
        <v>4.3</v>
      </c>
    </row>
    <row r="945">
      <c r="A945" s="78" t="n">
        <v>42948</v>
      </c>
      <c r="B945" t="n">
        <v>62.9</v>
      </c>
      <c r="C945" t="n">
        <v>146924</v>
      </c>
      <c r="D945" t="n">
        <v>4.4</v>
      </c>
    </row>
    <row r="946">
      <c r="A946" s="78" t="n">
        <v>42979</v>
      </c>
      <c r="B946" t="n">
        <v>63</v>
      </c>
      <c r="C946" t="n">
        <v>146966</v>
      </c>
      <c r="D946" t="n">
        <v>4.2</v>
      </c>
    </row>
    <row r="947">
      <c r="A947" s="78" t="n">
        <v>43009</v>
      </c>
      <c r="B947" t="n">
        <v>62.7</v>
      </c>
      <c r="C947" t="n">
        <v>147215</v>
      </c>
      <c r="D947" t="n">
        <v>4.1</v>
      </c>
    </row>
    <row r="948">
      <c r="A948" s="78" t="n">
        <v>43040</v>
      </c>
      <c r="B948" t="n">
        <v>62.7</v>
      </c>
      <c r="C948" t="n">
        <v>147411</v>
      </c>
      <c r="D948" t="n">
        <v>4.2</v>
      </c>
    </row>
    <row r="949">
      <c r="A949" s="78" t="n">
        <v>43070</v>
      </c>
      <c r="B949" t="n">
        <v>62.7</v>
      </c>
      <c r="C949" t="n">
        <v>147590</v>
      </c>
      <c r="D949" t="n">
        <v>4.1</v>
      </c>
    </row>
    <row r="950">
      <c r="A950" s="78" t="n">
        <v>43101</v>
      </c>
      <c r="B950" t="n">
        <v>62.7</v>
      </c>
      <c r="C950" t="n">
        <v>147671</v>
      </c>
      <c r="D950" t="n">
        <v>4</v>
      </c>
    </row>
    <row r="951">
      <c r="A951" s="78" t="n">
        <v>43132</v>
      </c>
      <c r="B951" t="n">
        <v>63</v>
      </c>
      <c r="C951" t="n">
        <v>148049</v>
      </c>
      <c r="D951" t="n">
        <v>4.1</v>
      </c>
    </row>
    <row r="952">
      <c r="A952" s="78" t="n">
        <v>43160</v>
      </c>
      <c r="B952" t="n">
        <v>62.9</v>
      </c>
      <c r="C952" t="n">
        <v>148244</v>
      </c>
      <c r="D952" t="n">
        <v>4</v>
      </c>
    </row>
    <row r="953">
      <c r="A953" s="78" t="n">
        <v>43191</v>
      </c>
      <c r="B953" t="n">
        <v>62.9</v>
      </c>
      <c r="C953" t="n">
        <v>148397</v>
      </c>
      <c r="D953" t="n">
        <v>4</v>
      </c>
    </row>
    <row r="954">
      <c r="A954" s="78" t="n">
        <v>43221</v>
      </c>
      <c r="B954" t="n">
        <v>62.9</v>
      </c>
      <c r="C954" t="n">
        <v>148667</v>
      </c>
      <c r="D954" t="n">
        <v>3.8</v>
      </c>
    </row>
    <row r="955">
      <c r="A955" s="78" t="n">
        <v>43252</v>
      </c>
      <c r="B955" t="n">
        <v>63</v>
      </c>
      <c r="C955" t="n">
        <v>148881</v>
      </c>
      <c r="D955" t="n">
        <v>4</v>
      </c>
    </row>
    <row r="956">
      <c r="A956" s="78" t="n">
        <v>43282</v>
      </c>
      <c r="B956" t="n">
        <v>63</v>
      </c>
      <c r="C956" t="n">
        <v>149030</v>
      </c>
      <c r="D956" t="n">
        <v>3.8</v>
      </c>
    </row>
    <row r="957">
      <c r="A957" s="78" t="n">
        <v>43313</v>
      </c>
      <c r="B957" t="n">
        <v>62.7</v>
      </c>
      <c r="C957" t="n">
        <v>149259</v>
      </c>
      <c r="D957" t="n">
        <v>3.8</v>
      </c>
    </row>
    <row r="958">
      <c r="A958" s="78" t="n">
        <v>43344</v>
      </c>
      <c r="B958" t="n">
        <v>62.7</v>
      </c>
      <c r="C958" t="n">
        <v>149364</v>
      </c>
      <c r="D958" t="n">
        <v>3.7</v>
      </c>
    </row>
    <row r="959">
      <c r="A959" s="78" t="n">
        <v>43374</v>
      </c>
      <c r="B959" t="n">
        <v>62.8</v>
      </c>
      <c r="C959" t="n">
        <v>149576</v>
      </c>
      <c r="D959" t="n">
        <v>3.8</v>
      </c>
    </row>
    <row r="960">
      <c r="A960" s="78" t="n">
        <v>43405</v>
      </c>
      <c r="B960" t="n">
        <v>62.9</v>
      </c>
      <c r="C960" t="n">
        <v>149668</v>
      </c>
      <c r="D960" t="n">
        <v>3.8</v>
      </c>
    </row>
    <row r="961">
      <c r="A961" s="78" t="n">
        <v>43435</v>
      </c>
      <c r="B961" t="n">
        <v>63</v>
      </c>
      <c r="C961" t="n">
        <v>149908</v>
      </c>
      <c r="D961" t="n">
        <v>3.9</v>
      </c>
    </row>
    <row r="962">
      <c r="A962" s="78" t="n">
        <v>43466</v>
      </c>
      <c r="B962" t="n">
        <v>63.1</v>
      </c>
      <c r="C962" t="n">
        <v>150145</v>
      </c>
      <c r="D962" t="n">
        <v>4</v>
      </c>
    </row>
    <row r="963">
      <c r="A963" s="78" t="n">
        <v>43497</v>
      </c>
      <c r="B963" t="n">
        <v>63.1</v>
      </c>
      <c r="C963" t="n">
        <v>150095</v>
      </c>
      <c r="D963" t="n">
        <v>3.8</v>
      </c>
    </row>
    <row r="964">
      <c r="A964" s="78" t="n">
        <v>43525</v>
      </c>
      <c r="B964" t="n">
        <v>63.1</v>
      </c>
      <c r="C964" t="n">
        <v>150263</v>
      </c>
      <c r="D964" t="n">
        <v>3.8</v>
      </c>
    </row>
    <row r="965">
      <c r="A965" s="78" t="n">
        <v>43556</v>
      </c>
      <c r="B965" t="n">
        <v>62.9</v>
      </c>
      <c r="C965" t="n">
        <v>150482</v>
      </c>
      <c r="D965" t="n">
        <v>3.7</v>
      </c>
    </row>
    <row r="966">
      <c r="A966" s="78" t="n">
        <v>43586</v>
      </c>
      <c r="B966" t="n">
        <v>62.9</v>
      </c>
      <c r="C966" t="n">
        <v>150545</v>
      </c>
      <c r="D966" t="n">
        <v>3.7</v>
      </c>
    </row>
    <row r="967">
      <c r="A967" s="78" t="n">
        <v>43617</v>
      </c>
      <c r="B967" t="n">
        <v>62.9</v>
      </c>
      <c r="C967" t="n">
        <v>150720</v>
      </c>
      <c r="D967" t="n">
        <v>3.6</v>
      </c>
    </row>
    <row r="968">
      <c r="A968" s="78" t="n">
        <v>43647</v>
      </c>
      <c r="B968" t="n">
        <v>63.1</v>
      </c>
      <c r="C968" t="n">
        <v>150913</v>
      </c>
      <c r="D968" t="n">
        <v>3.6</v>
      </c>
    </row>
    <row r="969">
      <c r="A969" s="78" t="n">
        <v>43678</v>
      </c>
      <c r="B969" t="n">
        <v>63.2</v>
      </c>
      <c r="C969" t="n">
        <v>151108</v>
      </c>
      <c r="D969" t="n">
        <v>3.7</v>
      </c>
    </row>
    <row r="970">
      <c r="A970" s="78" t="n">
        <v>43709</v>
      </c>
      <c r="B970" t="n">
        <v>63.1</v>
      </c>
      <c r="C970" t="n">
        <v>151329</v>
      </c>
      <c r="D970" t="n">
        <v>3.5</v>
      </c>
    </row>
    <row r="971">
      <c r="A971" s="78" t="n">
        <v>43739</v>
      </c>
      <c r="B971" t="n">
        <v>63.2</v>
      </c>
      <c r="C971" t="n">
        <v>151524</v>
      </c>
      <c r="D971" t="n">
        <v>3.6</v>
      </c>
    </row>
    <row r="972">
      <c r="A972" s="78" t="n">
        <v>43770</v>
      </c>
      <c r="B972" t="n">
        <v>63.2</v>
      </c>
      <c r="C972" t="n">
        <v>151758</v>
      </c>
      <c r="D972" t="n">
        <v>3.6</v>
      </c>
    </row>
    <row r="973">
      <c r="A973" s="78" t="n">
        <v>43800</v>
      </c>
      <c r="B973" t="n">
        <v>63.3</v>
      </c>
      <c r="C973" t="n">
        <v>151919</v>
      </c>
      <c r="D973" t="n">
        <v>3.6</v>
      </c>
    </row>
    <row r="974">
      <c r="A974" s="78" t="n">
        <v>43831</v>
      </c>
      <c r="B974" t="n">
        <v>63.4</v>
      </c>
      <c r="C974" t="n">
        <v>152234</v>
      </c>
      <c r="D974" t="n">
        <v>3.5</v>
      </c>
    </row>
    <row r="975">
      <c r="A975" s="78" t="n">
        <v>43862</v>
      </c>
      <c r="B975" t="n">
        <v>63.3</v>
      </c>
      <c r="C975" t="n">
        <v>152523</v>
      </c>
      <c r="D975" t="n">
        <v>3.5</v>
      </c>
    </row>
    <row r="976">
      <c r="A976" s="78" t="n">
        <v>43891</v>
      </c>
      <c r="B976" t="n">
        <v>62.6</v>
      </c>
      <c r="C976" t="n">
        <v>150840</v>
      </c>
      <c r="D976" t="n">
        <v>4.4</v>
      </c>
    </row>
    <row r="977">
      <c r="A977" s="78" t="n">
        <v>43922</v>
      </c>
      <c r="B977" t="n">
        <v>60.2</v>
      </c>
      <c r="C977" t="n">
        <v>130161</v>
      </c>
      <c r="D977" t="n">
        <v>14.8</v>
      </c>
    </row>
    <row r="978">
      <c r="A978" s="78" t="n">
        <v>43952</v>
      </c>
      <c r="B978" t="n">
        <v>60.8</v>
      </c>
      <c r="C978" t="n">
        <v>132994</v>
      </c>
      <c r="D978" t="n">
        <v>13.3</v>
      </c>
    </row>
    <row r="979">
      <c r="A979" s="78" t="n">
        <v>43983</v>
      </c>
      <c r="B979" t="n">
        <v>61.4</v>
      </c>
      <c r="C979" t="n">
        <v>137840</v>
      </c>
      <c r="D979" t="n">
        <v>11.1</v>
      </c>
    </row>
    <row r="980">
      <c r="A980" s="78" t="n">
        <v>44013</v>
      </c>
      <c r="B980" t="n">
        <v>61.5</v>
      </c>
      <c r="C980" t="n">
        <v>139566</v>
      </c>
      <c r="D980" t="n">
        <v>10.2</v>
      </c>
    </row>
    <row r="981">
      <c r="A981" s="78" t="n">
        <v>44044</v>
      </c>
      <c r="B981" t="n">
        <v>61.7</v>
      </c>
      <c r="C981" t="n">
        <v>141149</v>
      </c>
      <c r="D981" t="n">
        <v>8.4</v>
      </c>
    </row>
    <row r="982">
      <c r="A982" s="78" t="n">
        <v>44075</v>
      </c>
      <c r="B982" t="n">
        <v>61.4</v>
      </c>
      <c r="C982" t="n">
        <v>141865</v>
      </c>
      <c r="D982" t="n">
        <v>7.8</v>
      </c>
    </row>
    <row r="983">
      <c r="A983" s="78" t="n">
        <v>44105</v>
      </c>
      <c r="B983" t="n">
        <v>61.6</v>
      </c>
      <c r="C983" t="n">
        <v>142545</v>
      </c>
      <c r="D983" t="n">
        <v>6.9</v>
      </c>
    </row>
    <row r="984">
      <c r="A984" s="78" t="n">
        <v>44136</v>
      </c>
      <c r="B984" t="n">
        <v>61.5</v>
      </c>
      <c r="C984" t="n">
        <v>142809</v>
      </c>
      <c r="D984" t="n">
        <v>6.7</v>
      </c>
    </row>
    <row r="985">
      <c r="A985" s="78" t="n">
        <v>44166</v>
      </c>
      <c r="B985" t="n">
        <v>61.5</v>
      </c>
      <c r="C985" t="n">
        <v>142503</v>
      </c>
      <c r="D985" t="n">
        <v>6.7</v>
      </c>
    </row>
    <row r="986">
      <c r="A986" s="78" t="n">
        <v>44197</v>
      </c>
      <c r="B986" t="n">
        <v>61.4</v>
      </c>
      <c r="C986" t="n">
        <v>142736</v>
      </c>
      <c r="D986" t="n">
        <v>6.3</v>
      </c>
    </row>
    <row r="987">
      <c r="A987" s="78" t="n">
        <v>44228</v>
      </c>
      <c r="B987" t="n">
        <v>61.4</v>
      </c>
      <c r="C987" t="n">
        <v>143272</v>
      </c>
      <c r="D987" t="n">
        <v>6.2</v>
      </c>
    </row>
    <row r="988">
      <c r="A988" s="78" t="n">
        <v>44256</v>
      </c>
      <c r="B988" t="n">
        <v>61.5</v>
      </c>
      <c r="C988" t="n">
        <v>144057</v>
      </c>
      <c r="D988" t="n">
        <v>6</v>
      </c>
    </row>
    <row r="989">
      <c r="A989" s="78" t="n">
        <v>44287</v>
      </c>
      <c r="B989" t="n">
        <v>61.7</v>
      </c>
      <c r="C989" t="n">
        <v>144326</v>
      </c>
      <c r="D989" t="n">
        <v>6.1</v>
      </c>
    </row>
    <row r="990">
      <c r="A990" s="78" t="n">
        <v>44317</v>
      </c>
      <c r="B990" t="n">
        <v>61.6</v>
      </c>
      <c r="C990" t="n">
        <v>144940</v>
      </c>
      <c r="D990" t="n">
        <v>5.8</v>
      </c>
    </row>
    <row r="991">
      <c r="A991" s="78" t="n">
        <v>44348</v>
      </c>
      <c r="B991" t="n">
        <v>61.6</v>
      </c>
      <c r="C991" t="n">
        <v>145902</v>
      </c>
      <c r="D991" t="n">
        <v>5.9</v>
      </c>
    </row>
    <row r="992">
      <c r="A992" s="78" t="n">
        <v>44378</v>
      </c>
      <c r="B992" t="n">
        <v>61.7</v>
      </c>
      <c r="C992" t="n">
        <v>146993</v>
      </c>
      <c r="D992" t="n">
        <v>5.4</v>
      </c>
    </row>
    <row r="993">
      <c r="A993" s="78" t="n">
        <v>44409</v>
      </c>
      <c r="B993" t="n">
        <v>61.7</v>
      </c>
      <c r="C993" t="n">
        <v>147476</v>
      </c>
      <c r="D993" t="n">
        <v>5.2</v>
      </c>
    </row>
    <row r="994">
      <c r="A994" s="78" t="n">
        <v>44440</v>
      </c>
      <c r="B994" t="n">
        <v>61.6</v>
      </c>
      <c r="C994" t="n">
        <v>147855</v>
      </c>
      <c r="D994" t="n">
        <v>4.8</v>
      </c>
    </row>
    <row r="995">
      <c r="A995" s="78" t="n">
        <v>44470</v>
      </c>
      <c r="B995" t="n">
        <v>61.6</v>
      </c>
      <c r="C995" t="n">
        <v>148401</v>
      </c>
      <c r="D995" t="n">
        <v>4.6</v>
      </c>
    </row>
    <row r="996">
      <c r="A996" s="78" t="n">
        <v>44501</v>
      </c>
      <c r="B996" t="n">
        <v>61.8</v>
      </c>
      <c r="C996" t="n">
        <v>148611</v>
      </c>
      <c r="D996" t="n">
        <v>4.2</v>
      </c>
    </row>
    <row r="997">
      <c r="A997" s="78" t="n">
        <v>44531</v>
      </c>
      <c r="B997" t="n">
        <v>61.9</v>
      </c>
      <c r="C997" t="n">
        <v>148951</v>
      </c>
      <c r="D997" t="n">
        <v>3.9</v>
      </c>
    </row>
    <row r="998">
      <c r="A998" s="78" t="n">
        <v>44562</v>
      </c>
      <c r="B998" t="n">
        <v>62.2</v>
      </c>
      <c r="C998" t="n">
        <v>149629</v>
      </c>
      <c r="D998" t="n">
        <v>4</v>
      </c>
    </row>
    <row r="999">
      <c r="A999" s="78" t="n">
        <v>44593</v>
      </c>
      <c r="B999" t="n">
        <v>62.3</v>
      </c>
      <c r="C999" t="n">
        <v>150399</v>
      </c>
      <c r="D999" t="n">
        <v>3.8</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82"/>
  <sheetViews>
    <sheetView zoomScale="170" zoomScaleNormal="170" workbookViewId="0">
      <pane ySplit="1" topLeftCell="A2858"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18"/>
    <col width="8.83203125" customWidth="1" style="49" min="19"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2020000</v>
      </c>
      <c r="C2611" t="n">
        <v>243000</v>
      </c>
    </row>
    <row r="2612">
      <c r="A2612" s="78" t="n">
        <v>42749</v>
      </c>
      <c r="B2612" t="n">
        <v>2060000</v>
      </c>
      <c r="C2612" t="n">
        <v>244000</v>
      </c>
    </row>
    <row r="2613">
      <c r="A2613" s="78" t="n">
        <v>42756</v>
      </c>
      <c r="B2613" t="n">
        <v>2030000</v>
      </c>
      <c r="C2613" t="n">
        <v>254000</v>
      </c>
    </row>
    <row r="2614">
      <c r="A2614" s="78" t="n">
        <v>42763</v>
      </c>
      <c r="B2614" t="n">
        <v>2045000</v>
      </c>
      <c r="C2614" t="n">
        <v>245000</v>
      </c>
    </row>
    <row r="2615">
      <c r="A2615" s="78" t="n">
        <v>42770</v>
      </c>
      <c r="B2615" t="n">
        <v>2030000</v>
      </c>
      <c r="C2615" t="n">
        <v>237000</v>
      </c>
    </row>
    <row r="2616">
      <c r="A2616" s="78" t="n">
        <v>42777</v>
      </c>
      <c r="B2616" t="n">
        <v>2049000</v>
      </c>
      <c r="C2616" t="n">
        <v>243000</v>
      </c>
    </row>
    <row r="2617">
      <c r="A2617" s="78" t="n">
        <v>42784</v>
      </c>
      <c r="B2617" t="n">
        <v>2009000</v>
      </c>
      <c r="C2617" t="n">
        <v>248000</v>
      </c>
    </row>
    <row r="2618">
      <c r="A2618" s="78" t="n">
        <v>42791</v>
      </c>
      <c r="B2618" t="n">
        <v>2040000</v>
      </c>
      <c r="C2618" t="n">
        <v>231000</v>
      </c>
    </row>
    <row r="2619">
      <c r="A2619" s="78" t="n">
        <v>42798</v>
      </c>
      <c r="B2619" t="n">
        <v>2005000</v>
      </c>
      <c r="C2619" t="n">
        <v>246000</v>
      </c>
    </row>
    <row r="2620">
      <c r="A2620" s="78" t="n">
        <v>42805</v>
      </c>
      <c r="B2620" t="n">
        <v>1984000</v>
      </c>
      <c r="C2620" t="n">
        <v>244000</v>
      </c>
    </row>
    <row r="2621">
      <c r="A2621" s="78" t="n">
        <v>42812</v>
      </c>
      <c r="B2621" t="n">
        <v>1993000</v>
      </c>
      <c r="C2621" t="n">
        <v>255000</v>
      </c>
    </row>
    <row r="2622">
      <c r="A2622" s="78" t="n">
        <v>42819</v>
      </c>
      <c r="B2622" t="n">
        <v>2011000</v>
      </c>
      <c r="C2622" t="n">
        <v>256000</v>
      </c>
    </row>
    <row r="2623">
      <c r="A2623" s="78" t="n">
        <v>42826</v>
      </c>
      <c r="B2623" t="n">
        <v>1982000</v>
      </c>
      <c r="C2623" t="n">
        <v>237000</v>
      </c>
    </row>
    <row r="2624">
      <c r="A2624" s="78" t="n">
        <v>42833</v>
      </c>
      <c r="B2624" t="n">
        <v>1970000</v>
      </c>
      <c r="C2624" t="n">
        <v>238000</v>
      </c>
    </row>
    <row r="2625">
      <c r="A2625" s="78" t="n">
        <v>42840</v>
      </c>
      <c r="B2625" t="n">
        <v>1973000</v>
      </c>
      <c r="C2625" t="n">
        <v>242000</v>
      </c>
    </row>
    <row r="2626">
      <c r="A2626" s="78" t="n">
        <v>42847</v>
      </c>
      <c r="B2626" t="n">
        <v>1984000</v>
      </c>
      <c r="C2626" t="n">
        <v>252000</v>
      </c>
    </row>
    <row r="2627">
      <c r="A2627" s="78" t="n">
        <v>42854</v>
      </c>
      <c r="B2627" t="n">
        <v>1925000</v>
      </c>
      <c r="C2627" t="n">
        <v>241000</v>
      </c>
    </row>
    <row r="2628">
      <c r="A2628" s="78" t="n">
        <v>42861</v>
      </c>
      <c r="B2628" t="n">
        <v>1935000</v>
      </c>
      <c r="C2628" t="n">
        <v>237000</v>
      </c>
    </row>
    <row r="2629">
      <c r="A2629" s="78" t="n">
        <v>42868</v>
      </c>
      <c r="B2629" t="n">
        <v>1935000</v>
      </c>
      <c r="C2629" t="n">
        <v>237000</v>
      </c>
    </row>
    <row r="2630">
      <c r="A2630" s="78" t="n">
        <v>42875</v>
      </c>
      <c r="B2630" t="n">
        <v>1944000</v>
      </c>
      <c r="C2630" t="n">
        <v>234000</v>
      </c>
    </row>
    <row r="2631">
      <c r="A2631" s="78" t="n">
        <v>42882</v>
      </c>
      <c r="B2631" t="n">
        <v>1935000</v>
      </c>
      <c r="C2631" t="n">
        <v>251000</v>
      </c>
    </row>
    <row r="2632">
      <c r="A2632" s="78" t="n">
        <v>42889</v>
      </c>
      <c r="B2632" t="n">
        <v>1955000</v>
      </c>
      <c r="C2632" t="n">
        <v>244000</v>
      </c>
    </row>
    <row r="2633">
      <c r="A2633" s="78" t="n">
        <v>42896</v>
      </c>
      <c r="B2633" t="n">
        <v>1953000</v>
      </c>
      <c r="C2633" t="n">
        <v>237000</v>
      </c>
    </row>
    <row r="2634">
      <c r="A2634" s="78" t="n">
        <v>42903</v>
      </c>
      <c r="B2634" t="n">
        <v>1956000</v>
      </c>
      <c r="C2634" t="n">
        <v>243000</v>
      </c>
    </row>
    <row r="2635">
      <c r="A2635" s="78" t="n">
        <v>42910</v>
      </c>
      <c r="B2635" t="n">
        <v>1966000</v>
      </c>
      <c r="C2635" t="n">
        <v>237000</v>
      </c>
    </row>
    <row r="2636">
      <c r="A2636" s="78" t="n">
        <v>42917</v>
      </c>
      <c r="B2636" t="n">
        <v>1941000</v>
      </c>
      <c r="C2636" t="n">
        <v>247000</v>
      </c>
    </row>
    <row r="2637">
      <c r="A2637" s="78" t="n">
        <v>42924</v>
      </c>
      <c r="B2637" t="n">
        <v>1965000</v>
      </c>
      <c r="C2637" t="n">
        <v>243000</v>
      </c>
    </row>
    <row r="2638">
      <c r="A2638" s="78" t="n">
        <v>42931</v>
      </c>
      <c r="B2638" t="n">
        <v>1964000</v>
      </c>
      <c r="C2638" t="n">
        <v>241000</v>
      </c>
    </row>
    <row r="2639">
      <c r="A2639" s="78" t="n">
        <v>42938</v>
      </c>
      <c r="B2639" t="n">
        <v>1961000</v>
      </c>
      <c r="C2639" t="n">
        <v>245000</v>
      </c>
    </row>
    <row r="2640">
      <c r="A2640" s="78" t="n">
        <v>42945</v>
      </c>
      <c r="B2640" t="n">
        <v>1946000</v>
      </c>
      <c r="C2640" t="n">
        <v>242000</v>
      </c>
    </row>
    <row r="2641">
      <c r="A2641" s="78" t="n">
        <v>42952</v>
      </c>
      <c r="B2641" t="n">
        <v>1948000</v>
      </c>
      <c r="C2641" t="n">
        <v>245000</v>
      </c>
    </row>
    <row r="2642">
      <c r="A2642" s="78" t="n">
        <v>42959</v>
      </c>
      <c r="B2642" t="n">
        <v>1952000</v>
      </c>
      <c r="C2642" t="n">
        <v>236000</v>
      </c>
    </row>
    <row r="2643">
      <c r="A2643" s="78" t="n">
        <v>42966</v>
      </c>
      <c r="B2643" t="n">
        <v>1949000</v>
      </c>
      <c r="C2643" t="n">
        <v>240000</v>
      </c>
    </row>
    <row r="2644">
      <c r="A2644" s="78" t="n">
        <v>42973</v>
      </c>
      <c r="B2644" t="n">
        <v>1951000</v>
      </c>
      <c r="C2644" t="n">
        <v>238000</v>
      </c>
    </row>
    <row r="2645">
      <c r="A2645" s="78" t="n">
        <v>42980</v>
      </c>
      <c r="B2645" t="n">
        <v>1951000</v>
      </c>
      <c r="C2645" t="n">
        <v>298000</v>
      </c>
    </row>
    <row r="2646">
      <c r="A2646" s="78" t="n">
        <v>42987</v>
      </c>
      <c r="B2646" t="n">
        <v>1990000</v>
      </c>
      <c r="C2646" t="n">
        <v>274000</v>
      </c>
    </row>
    <row r="2647">
      <c r="A2647" s="78" t="n">
        <v>42994</v>
      </c>
      <c r="B2647" t="n">
        <v>1941000</v>
      </c>
      <c r="C2647" t="n">
        <v>259000</v>
      </c>
    </row>
    <row r="2648">
      <c r="A2648" s="78" t="n">
        <v>43001</v>
      </c>
      <c r="B2648" t="n">
        <v>1932000</v>
      </c>
      <c r="C2648" t="n">
        <v>262000</v>
      </c>
    </row>
    <row r="2649">
      <c r="A2649" s="78" t="n">
        <v>43008</v>
      </c>
      <c r="B2649" t="n">
        <v>1928000</v>
      </c>
      <c r="C2649" t="n">
        <v>254000</v>
      </c>
    </row>
    <row r="2650">
      <c r="A2650" s="78" t="n">
        <v>43015</v>
      </c>
      <c r="B2650" t="n">
        <v>1922000</v>
      </c>
      <c r="C2650" t="n">
        <v>245000</v>
      </c>
    </row>
    <row r="2651">
      <c r="A2651" s="78" t="n">
        <v>43022</v>
      </c>
      <c r="B2651" t="n">
        <v>1923000</v>
      </c>
      <c r="C2651" t="n">
        <v>230000</v>
      </c>
    </row>
    <row r="2652">
      <c r="A2652" s="78" t="n">
        <v>43029</v>
      </c>
      <c r="B2652" t="n">
        <v>1917000</v>
      </c>
      <c r="C2652" t="n">
        <v>235000</v>
      </c>
    </row>
    <row r="2653">
      <c r="A2653" s="78" t="n">
        <v>43036</v>
      </c>
      <c r="B2653" t="n">
        <v>1927000</v>
      </c>
      <c r="C2653" t="n">
        <v>235000</v>
      </c>
    </row>
    <row r="2654">
      <c r="A2654" s="78" t="n">
        <v>43043</v>
      </c>
      <c r="B2654" t="n">
        <v>1926000</v>
      </c>
      <c r="C2654" t="n">
        <v>239000</v>
      </c>
    </row>
    <row r="2655">
      <c r="A2655" s="78" t="n">
        <v>43050</v>
      </c>
      <c r="B2655" t="n">
        <v>1914000</v>
      </c>
      <c r="C2655" t="n">
        <v>247000</v>
      </c>
    </row>
    <row r="2656">
      <c r="A2656" s="78" t="n">
        <v>43057</v>
      </c>
      <c r="B2656" t="n">
        <v>1922000</v>
      </c>
      <c r="C2656" t="n">
        <v>235000</v>
      </c>
    </row>
    <row r="2657">
      <c r="A2657" s="78" t="n">
        <v>43064</v>
      </c>
      <c r="B2657" t="n">
        <v>1940000</v>
      </c>
      <c r="C2657" t="n">
        <v>233000</v>
      </c>
    </row>
    <row r="2658">
      <c r="A2658" s="78" t="n">
        <v>43071</v>
      </c>
      <c r="B2658" t="n">
        <v>1892000</v>
      </c>
      <c r="C2658" t="n">
        <v>230000</v>
      </c>
    </row>
    <row r="2659">
      <c r="A2659" s="78" t="n">
        <v>43078</v>
      </c>
      <c r="B2659" t="n">
        <v>1926000</v>
      </c>
      <c r="C2659" t="n">
        <v>226000</v>
      </c>
    </row>
    <row r="2660">
      <c r="A2660" s="78" t="n">
        <v>43085</v>
      </c>
      <c r="B2660" t="n">
        <v>1928000</v>
      </c>
      <c r="C2660" t="n">
        <v>239000</v>
      </c>
    </row>
    <row r="2661">
      <c r="A2661" s="78" t="n">
        <v>43092</v>
      </c>
      <c r="B2661" t="n">
        <v>1908000</v>
      </c>
      <c r="C2661" t="n">
        <v>243000</v>
      </c>
    </row>
    <row r="2662">
      <c r="A2662" s="78" t="n">
        <v>43099</v>
      </c>
      <c r="B2662" t="n">
        <v>1862000</v>
      </c>
      <c r="C2662" t="n">
        <v>241000</v>
      </c>
    </row>
    <row r="2663">
      <c r="A2663" s="78" t="n">
        <v>43106</v>
      </c>
      <c r="B2663" t="n">
        <v>1919000</v>
      </c>
      <c r="C2663" t="n">
        <v>249000</v>
      </c>
    </row>
    <row r="2664">
      <c r="A2664" s="78" t="n">
        <v>43113</v>
      </c>
      <c r="B2664" t="n">
        <v>1908000</v>
      </c>
      <c r="C2664" t="n">
        <v>228000</v>
      </c>
    </row>
    <row r="2665">
      <c r="A2665" s="78" t="n">
        <v>43120</v>
      </c>
      <c r="B2665" t="n">
        <v>1921000</v>
      </c>
      <c r="C2665" t="n">
        <v>233000</v>
      </c>
    </row>
    <row r="2666">
      <c r="A2666" s="78" t="n">
        <v>43127</v>
      </c>
      <c r="B2666" t="n">
        <v>1899000</v>
      </c>
      <c r="C2666" t="n">
        <v>227000</v>
      </c>
    </row>
    <row r="2667">
      <c r="A2667" s="78" t="n">
        <v>43134</v>
      </c>
      <c r="B2667" t="n">
        <v>1900000</v>
      </c>
      <c r="C2667" t="n">
        <v>224000</v>
      </c>
    </row>
    <row r="2668">
      <c r="A2668" s="78" t="n">
        <v>43141</v>
      </c>
      <c r="B2668" t="n">
        <v>1865000</v>
      </c>
      <c r="C2668" t="n">
        <v>227000</v>
      </c>
    </row>
    <row r="2669">
      <c r="A2669" s="78" t="n">
        <v>43148</v>
      </c>
      <c r="B2669" t="n">
        <v>1879000</v>
      </c>
      <c r="C2669" t="n">
        <v>220000</v>
      </c>
    </row>
    <row r="2670">
      <c r="A2670" s="78" t="n">
        <v>43155</v>
      </c>
      <c r="B2670" t="n">
        <v>1854000</v>
      </c>
      <c r="C2670" t="n">
        <v>215000</v>
      </c>
    </row>
    <row r="2671">
      <c r="A2671" s="78" t="n">
        <v>43162</v>
      </c>
      <c r="B2671" t="n">
        <v>1853000</v>
      </c>
      <c r="C2671" t="n">
        <v>226000</v>
      </c>
    </row>
    <row r="2672">
      <c r="A2672" s="78" t="n">
        <v>43169</v>
      </c>
      <c r="B2672" t="n">
        <v>1833000</v>
      </c>
      <c r="C2672" t="n">
        <v>223000</v>
      </c>
    </row>
    <row r="2673">
      <c r="A2673" s="78" t="n">
        <v>43176</v>
      </c>
      <c r="B2673" t="n">
        <v>1821000</v>
      </c>
      <c r="C2673" t="n">
        <v>224000</v>
      </c>
    </row>
    <row r="2674">
      <c r="A2674" s="78" t="n">
        <v>43183</v>
      </c>
      <c r="B2674" t="n">
        <v>1805000</v>
      </c>
      <c r="C2674" t="n">
        <v>220000</v>
      </c>
    </row>
    <row r="2675">
      <c r="A2675" s="78" t="n">
        <v>43190</v>
      </c>
      <c r="B2675" t="n">
        <v>1835000</v>
      </c>
      <c r="C2675" t="n">
        <v>235000</v>
      </c>
    </row>
    <row r="2676">
      <c r="A2676" s="78" t="n">
        <v>43197</v>
      </c>
      <c r="B2676" t="n">
        <v>1856000</v>
      </c>
      <c r="C2676" t="n">
        <v>235000</v>
      </c>
    </row>
    <row r="2677">
      <c r="A2677" s="78" t="n">
        <v>43204</v>
      </c>
      <c r="B2677" t="n">
        <v>1815000</v>
      </c>
      <c r="C2677" t="n">
        <v>235000</v>
      </c>
    </row>
    <row r="2678">
      <c r="A2678" s="78" t="n">
        <v>43211</v>
      </c>
      <c r="B2678" t="n">
        <v>1769000</v>
      </c>
      <c r="C2678" t="n">
        <v>208000</v>
      </c>
    </row>
    <row r="2679">
      <c r="A2679" s="78" t="n">
        <v>43218</v>
      </c>
      <c r="B2679" t="n">
        <v>1780000</v>
      </c>
      <c r="C2679" t="n">
        <v>212000</v>
      </c>
    </row>
    <row r="2680">
      <c r="A2680" s="78" t="n">
        <v>43225</v>
      </c>
      <c r="B2680" t="n">
        <v>1734000</v>
      </c>
      <c r="C2680" t="n">
        <v>210000</v>
      </c>
    </row>
    <row r="2681">
      <c r="A2681" s="78" t="n">
        <v>43232</v>
      </c>
      <c r="B2681" t="n">
        <v>1742000</v>
      </c>
      <c r="C2681" t="n">
        <v>224000</v>
      </c>
    </row>
    <row r="2682">
      <c r="A2682" s="78" t="n">
        <v>43239</v>
      </c>
      <c r="B2682" t="n">
        <v>1739000</v>
      </c>
      <c r="C2682" t="n">
        <v>230000</v>
      </c>
    </row>
    <row r="2683">
      <c r="A2683" s="78" t="n">
        <v>43246</v>
      </c>
      <c r="B2683" t="n">
        <v>1742000</v>
      </c>
      <c r="C2683" t="n">
        <v>221000</v>
      </c>
    </row>
    <row r="2684">
      <c r="A2684" s="78" t="n">
        <v>43253</v>
      </c>
      <c r="B2684" t="n">
        <v>1714000</v>
      </c>
      <c r="C2684" t="n">
        <v>221000</v>
      </c>
    </row>
    <row r="2685">
      <c r="A2685" s="78" t="n">
        <v>43260</v>
      </c>
      <c r="B2685" t="n">
        <v>1736000</v>
      </c>
      <c r="C2685" t="n">
        <v>218000</v>
      </c>
    </row>
    <row r="2686">
      <c r="A2686" s="78" t="n">
        <v>43267</v>
      </c>
      <c r="B2686" t="n">
        <v>1716000</v>
      </c>
      <c r="C2686" t="n">
        <v>220000</v>
      </c>
    </row>
    <row r="2687">
      <c r="A2687" s="78" t="n">
        <v>43274</v>
      </c>
      <c r="B2687" t="n">
        <v>1740000</v>
      </c>
      <c r="C2687" t="n">
        <v>220000</v>
      </c>
    </row>
    <row r="2688">
      <c r="A2688" s="78" t="n">
        <v>43281</v>
      </c>
      <c r="B2688" t="n">
        <v>1734000</v>
      </c>
      <c r="C2688" t="n">
        <v>229000</v>
      </c>
    </row>
    <row r="2689">
      <c r="A2689" s="78" t="n">
        <v>43288</v>
      </c>
      <c r="B2689" t="n">
        <v>1750000</v>
      </c>
      <c r="C2689" t="n">
        <v>229000</v>
      </c>
    </row>
    <row r="2690">
      <c r="A2690" s="78" t="n">
        <v>43295</v>
      </c>
      <c r="B2690" t="n">
        <v>1747000</v>
      </c>
      <c r="C2690" t="n">
        <v>212000</v>
      </c>
    </row>
    <row r="2691">
      <c r="A2691" s="78" t="n">
        <v>43302</v>
      </c>
      <c r="B2691" t="n">
        <v>1726000</v>
      </c>
      <c r="C2691" t="n">
        <v>220000</v>
      </c>
    </row>
    <row r="2692">
      <c r="A2692" s="78" t="n">
        <v>43309</v>
      </c>
      <c r="B2692" t="n">
        <v>1753000</v>
      </c>
      <c r="C2692" t="n">
        <v>218000</v>
      </c>
    </row>
    <row r="2693">
      <c r="A2693" s="78" t="n">
        <v>43316</v>
      </c>
      <c r="B2693" t="n">
        <v>1722000</v>
      </c>
      <c r="C2693" t="n">
        <v>217000</v>
      </c>
    </row>
    <row r="2694">
      <c r="A2694" s="78" t="n">
        <v>43323</v>
      </c>
      <c r="B2694" t="n">
        <v>1729000</v>
      </c>
      <c r="C2694" t="n">
        <v>212000</v>
      </c>
    </row>
    <row r="2695">
      <c r="A2695" s="78" t="n">
        <v>43330</v>
      </c>
      <c r="B2695" t="n">
        <v>1713000</v>
      </c>
      <c r="C2695" t="n">
        <v>215000</v>
      </c>
    </row>
    <row r="2696">
      <c r="A2696" s="78" t="n">
        <v>43337</v>
      </c>
      <c r="B2696" t="n">
        <v>1717000</v>
      </c>
      <c r="C2696" t="n">
        <v>214000</v>
      </c>
    </row>
    <row r="2697">
      <c r="A2697" s="78" t="n">
        <v>43344</v>
      </c>
      <c r="B2697" t="n">
        <v>1710000</v>
      </c>
      <c r="C2697" t="n">
        <v>209000</v>
      </c>
    </row>
    <row r="2698">
      <c r="A2698" s="78" t="n">
        <v>43351</v>
      </c>
      <c r="B2698" t="n">
        <v>1670000</v>
      </c>
      <c r="C2698" t="n">
        <v>210000</v>
      </c>
    </row>
    <row r="2699">
      <c r="A2699" s="78" t="n">
        <v>43358</v>
      </c>
      <c r="B2699" t="n">
        <v>1690000</v>
      </c>
      <c r="C2699" t="n">
        <v>212000</v>
      </c>
    </row>
    <row r="2700">
      <c r="A2700" s="78" t="n">
        <v>43365</v>
      </c>
      <c r="B2700" t="n">
        <v>1675000</v>
      </c>
      <c r="C2700" t="n">
        <v>212000</v>
      </c>
    </row>
    <row r="2701">
      <c r="A2701" s="78" t="n">
        <v>43372</v>
      </c>
      <c r="B2701" t="n">
        <v>1670000</v>
      </c>
      <c r="C2701" t="n">
        <v>216000</v>
      </c>
    </row>
    <row r="2702">
      <c r="A2702" s="78" t="n">
        <v>43379</v>
      </c>
      <c r="B2702" t="n">
        <v>1664000</v>
      </c>
      <c r="C2702" t="n">
        <v>212000</v>
      </c>
    </row>
    <row r="2703">
      <c r="A2703" s="78" t="n">
        <v>43386</v>
      </c>
      <c r="B2703" t="n">
        <v>1656000</v>
      </c>
      <c r="C2703" t="n">
        <v>212000</v>
      </c>
    </row>
    <row r="2704">
      <c r="A2704" s="78" t="n">
        <v>43393</v>
      </c>
      <c r="B2704" t="n">
        <v>1657000</v>
      </c>
      <c r="C2704" t="n">
        <v>219000</v>
      </c>
    </row>
    <row r="2705">
      <c r="A2705" s="78" t="n">
        <v>43400</v>
      </c>
      <c r="B2705" t="n">
        <v>1651000</v>
      </c>
      <c r="C2705" t="n">
        <v>216000</v>
      </c>
    </row>
    <row r="2706">
      <c r="A2706" s="78" t="n">
        <v>43407</v>
      </c>
      <c r="B2706" t="n">
        <v>1663000</v>
      </c>
      <c r="C2706" t="n">
        <v>216000</v>
      </c>
    </row>
    <row r="2707">
      <c r="A2707" s="78" t="n">
        <v>43414</v>
      </c>
      <c r="B2707" t="n">
        <v>1671000</v>
      </c>
      <c r="C2707" t="n">
        <v>217000</v>
      </c>
    </row>
    <row r="2708">
      <c r="A2708" s="78" t="n">
        <v>43421</v>
      </c>
      <c r="B2708" t="n">
        <v>1726000</v>
      </c>
      <c r="C2708" t="n">
        <v>220000</v>
      </c>
    </row>
    <row r="2709">
      <c r="A2709" s="78" t="n">
        <v>43428</v>
      </c>
      <c r="B2709" t="n">
        <v>1664000</v>
      </c>
      <c r="C2709" t="n">
        <v>230000</v>
      </c>
    </row>
    <row r="2710">
      <c r="A2710" s="78" t="n">
        <v>43435</v>
      </c>
      <c r="B2710" t="n">
        <v>1663000</v>
      </c>
      <c r="C2710" t="n">
        <v>225000</v>
      </c>
    </row>
    <row r="2711">
      <c r="A2711" s="78" t="n">
        <v>43442</v>
      </c>
      <c r="B2711" t="n">
        <v>1703000</v>
      </c>
      <c r="C2711" t="n">
        <v>203000</v>
      </c>
    </row>
    <row r="2712">
      <c r="A2712" s="78" t="n">
        <v>43449</v>
      </c>
      <c r="B2712" t="n">
        <v>1697000</v>
      </c>
      <c r="C2712" t="n">
        <v>214000</v>
      </c>
    </row>
    <row r="2713">
      <c r="A2713" s="78" t="n">
        <v>43456</v>
      </c>
      <c r="B2713" t="n">
        <v>1723000</v>
      </c>
      <c r="C2713" t="n">
        <v>220000</v>
      </c>
    </row>
    <row r="2714">
      <c r="A2714" s="78" t="n">
        <v>43463</v>
      </c>
      <c r="B2714" t="n">
        <v>1697000</v>
      </c>
      <c r="C2714" t="n">
        <v>226000</v>
      </c>
    </row>
    <row r="2715">
      <c r="A2715" s="78" t="n">
        <v>43470</v>
      </c>
      <c r="B2715" t="n">
        <v>1713000</v>
      </c>
      <c r="C2715" t="n">
        <v>218000</v>
      </c>
    </row>
    <row r="2716">
      <c r="A2716" s="78" t="n">
        <v>43477</v>
      </c>
      <c r="B2716" t="n">
        <v>1709000</v>
      </c>
      <c r="C2716" t="n">
        <v>215000</v>
      </c>
    </row>
    <row r="2717">
      <c r="A2717" s="78" t="n">
        <v>43484</v>
      </c>
      <c r="B2717" t="n">
        <v>1740000</v>
      </c>
      <c r="C2717" t="n">
        <v>211000</v>
      </c>
    </row>
    <row r="2718">
      <c r="A2718" s="78" t="n">
        <v>43491</v>
      </c>
      <c r="B2718" t="n">
        <v>1717000</v>
      </c>
      <c r="C2718" t="n">
        <v>236000</v>
      </c>
    </row>
    <row r="2719">
      <c r="A2719" s="78" t="n">
        <v>43498</v>
      </c>
      <c r="B2719" t="n">
        <v>1743000</v>
      </c>
      <c r="C2719" t="n">
        <v>233000</v>
      </c>
    </row>
    <row r="2720">
      <c r="A2720" s="78" t="n">
        <v>43505</v>
      </c>
      <c r="B2720" t="n">
        <v>1723000</v>
      </c>
      <c r="C2720" t="n">
        <v>232000</v>
      </c>
    </row>
    <row r="2721">
      <c r="A2721" s="78" t="n">
        <v>43512</v>
      </c>
      <c r="B2721" t="n">
        <v>1758000</v>
      </c>
      <c r="C2721" t="n">
        <v>218000</v>
      </c>
    </row>
    <row r="2722">
      <c r="A2722" s="78" t="n">
        <v>43519</v>
      </c>
      <c r="B2722" t="n">
        <v>1747000</v>
      </c>
      <c r="C2722" t="n">
        <v>223000</v>
      </c>
    </row>
    <row r="2723">
      <c r="A2723" s="78" t="n">
        <v>43526</v>
      </c>
      <c r="B2723" t="n">
        <v>1748000</v>
      </c>
      <c r="C2723" t="n">
        <v>220000</v>
      </c>
    </row>
    <row r="2724">
      <c r="A2724" s="78" t="n">
        <v>43533</v>
      </c>
      <c r="B2724" t="n">
        <v>1745000</v>
      </c>
      <c r="C2724" t="n">
        <v>225000</v>
      </c>
    </row>
    <row r="2725">
      <c r="A2725" s="78" t="n">
        <v>43540</v>
      </c>
      <c r="B2725" t="n">
        <v>1719000</v>
      </c>
      <c r="C2725" t="n">
        <v>218000</v>
      </c>
    </row>
    <row r="2726">
      <c r="A2726" s="78" t="n">
        <v>43547</v>
      </c>
      <c r="B2726" t="n">
        <v>1710000</v>
      </c>
      <c r="C2726" t="n">
        <v>215000</v>
      </c>
    </row>
    <row r="2727">
      <c r="A2727" s="78" t="n">
        <v>43554</v>
      </c>
      <c r="B2727" t="n">
        <v>1692000</v>
      </c>
      <c r="C2727" t="n">
        <v>211000</v>
      </c>
    </row>
    <row r="2728">
      <c r="A2728" s="78" t="n">
        <v>43561</v>
      </c>
      <c r="B2728" t="n">
        <v>1659000</v>
      </c>
      <c r="C2728" t="n">
        <v>203000</v>
      </c>
    </row>
    <row r="2729">
      <c r="A2729" s="78" t="n">
        <v>43568</v>
      </c>
      <c r="B2729" t="n">
        <v>1649000</v>
      </c>
      <c r="C2729" t="n">
        <v>203000</v>
      </c>
    </row>
    <row r="2730">
      <c r="A2730" s="78" t="n">
        <v>43575</v>
      </c>
      <c r="B2730" t="n">
        <v>1671000</v>
      </c>
      <c r="C2730" t="n">
        <v>224000</v>
      </c>
    </row>
    <row r="2731">
      <c r="A2731" s="78" t="n">
        <v>43582</v>
      </c>
      <c r="B2731" t="n">
        <v>1675000</v>
      </c>
      <c r="C2731" t="n">
        <v>230000</v>
      </c>
    </row>
    <row r="2732">
      <c r="A2732" s="78" t="n">
        <v>43589</v>
      </c>
      <c r="B2732" t="n">
        <v>1667000</v>
      </c>
      <c r="C2732" t="n">
        <v>225000</v>
      </c>
    </row>
    <row r="2733">
      <c r="A2733" s="78" t="n">
        <v>43596</v>
      </c>
      <c r="B2733" t="n">
        <v>1676000</v>
      </c>
      <c r="C2733" t="n">
        <v>216000</v>
      </c>
    </row>
    <row r="2734">
      <c r="A2734" s="78" t="n">
        <v>43603</v>
      </c>
      <c r="B2734" t="n">
        <v>1666000</v>
      </c>
      <c r="C2734" t="n">
        <v>213000</v>
      </c>
    </row>
    <row r="2735">
      <c r="A2735" s="78" t="n">
        <v>43610</v>
      </c>
      <c r="B2735" t="n">
        <v>1687000</v>
      </c>
      <c r="C2735" t="n">
        <v>218000</v>
      </c>
    </row>
    <row r="2736">
      <c r="A2736" s="78" t="n">
        <v>43617</v>
      </c>
      <c r="B2736" t="n">
        <v>1692000</v>
      </c>
      <c r="C2736" t="n">
        <v>220000</v>
      </c>
    </row>
    <row r="2737">
      <c r="A2737" s="78" t="n">
        <v>43624</v>
      </c>
      <c r="B2737" t="n">
        <v>1668000</v>
      </c>
      <c r="C2737" t="n">
        <v>220000</v>
      </c>
    </row>
    <row r="2738">
      <c r="A2738" s="78" t="n">
        <v>43631</v>
      </c>
      <c r="B2738" t="n">
        <v>1689000</v>
      </c>
      <c r="C2738" t="n">
        <v>219000</v>
      </c>
    </row>
    <row r="2739">
      <c r="A2739" s="78" t="n">
        <v>43638</v>
      </c>
      <c r="B2739" t="n">
        <v>1689000</v>
      </c>
      <c r="C2739" t="n">
        <v>224000</v>
      </c>
    </row>
    <row r="2740">
      <c r="A2740" s="78" t="n">
        <v>43645</v>
      </c>
      <c r="B2740" t="n">
        <v>1712000</v>
      </c>
      <c r="C2740" t="n">
        <v>223000</v>
      </c>
    </row>
    <row r="2741">
      <c r="A2741" s="78" t="n">
        <v>43652</v>
      </c>
      <c r="B2741" t="n">
        <v>1688000</v>
      </c>
      <c r="C2741" t="n">
        <v>205000</v>
      </c>
    </row>
    <row r="2742">
      <c r="A2742" s="78" t="n">
        <v>43659</v>
      </c>
      <c r="B2742" t="n">
        <v>1679000</v>
      </c>
      <c r="C2742" t="n">
        <v>217000</v>
      </c>
    </row>
    <row r="2743">
      <c r="A2743" s="78" t="n">
        <v>43666</v>
      </c>
      <c r="B2743" t="n">
        <v>1692000</v>
      </c>
      <c r="C2743" t="n">
        <v>210000</v>
      </c>
    </row>
    <row r="2744">
      <c r="A2744" s="78" t="n">
        <v>43673</v>
      </c>
      <c r="B2744" t="n">
        <v>1689000</v>
      </c>
      <c r="C2744" t="n">
        <v>216000</v>
      </c>
    </row>
    <row r="2745">
      <c r="A2745" s="78" t="n">
        <v>43680</v>
      </c>
      <c r="B2745" t="n">
        <v>1714000</v>
      </c>
      <c r="C2745" t="n">
        <v>214000</v>
      </c>
    </row>
    <row r="2746">
      <c r="A2746" s="78" t="n">
        <v>43687</v>
      </c>
      <c r="B2746" t="n">
        <v>1682000</v>
      </c>
      <c r="C2746" t="n">
        <v>218000</v>
      </c>
    </row>
    <row r="2747">
      <c r="A2747" s="78" t="n">
        <v>43694</v>
      </c>
      <c r="B2747" t="n">
        <v>1697000</v>
      </c>
      <c r="C2747" t="n">
        <v>214000</v>
      </c>
    </row>
    <row r="2748">
      <c r="A2748" s="78" t="n">
        <v>43701</v>
      </c>
      <c r="B2748" t="n">
        <v>1678000</v>
      </c>
      <c r="C2748" t="n">
        <v>215000</v>
      </c>
    </row>
    <row r="2749">
      <c r="A2749" s="78" t="n">
        <v>43708</v>
      </c>
      <c r="B2749" t="n">
        <v>1679000</v>
      </c>
      <c r="C2749" t="n">
        <v>218000</v>
      </c>
    </row>
    <row r="2750">
      <c r="A2750" s="78" t="n">
        <v>43715</v>
      </c>
      <c r="B2750" t="n">
        <v>1673000</v>
      </c>
      <c r="C2750" t="n">
        <v>208000</v>
      </c>
    </row>
    <row r="2751">
      <c r="A2751" s="78" t="n">
        <v>43722</v>
      </c>
      <c r="B2751" t="n">
        <v>1668000</v>
      </c>
      <c r="C2751" t="n">
        <v>211000</v>
      </c>
    </row>
    <row r="2752">
      <c r="A2752" s="78" t="n">
        <v>43729</v>
      </c>
      <c r="B2752" t="n">
        <v>1665000</v>
      </c>
      <c r="C2752" t="n">
        <v>215000</v>
      </c>
    </row>
    <row r="2753">
      <c r="A2753" s="78" t="n">
        <v>43736</v>
      </c>
      <c r="B2753" t="n">
        <v>1696000</v>
      </c>
      <c r="C2753" t="n">
        <v>217000</v>
      </c>
    </row>
    <row r="2754">
      <c r="A2754" s="78" t="n">
        <v>43743</v>
      </c>
      <c r="B2754" t="n">
        <v>1687000</v>
      </c>
      <c r="C2754" t="n">
        <v>212000</v>
      </c>
    </row>
    <row r="2755">
      <c r="A2755" s="78" t="n">
        <v>43750</v>
      </c>
      <c r="B2755" t="n">
        <v>1693000</v>
      </c>
      <c r="C2755" t="n">
        <v>217000</v>
      </c>
    </row>
    <row r="2756">
      <c r="A2756" s="78" t="n">
        <v>43757</v>
      </c>
      <c r="B2756" t="n">
        <v>1694000</v>
      </c>
      <c r="C2756" t="n">
        <v>212000</v>
      </c>
    </row>
    <row r="2757">
      <c r="A2757" s="78" t="n">
        <v>43764</v>
      </c>
      <c r="B2757" t="n">
        <v>1695000</v>
      </c>
      <c r="C2757" t="n">
        <v>216000</v>
      </c>
    </row>
    <row r="2758">
      <c r="A2758" s="78" t="n">
        <v>43771</v>
      </c>
      <c r="B2758" t="n">
        <v>1692000</v>
      </c>
      <c r="C2758" t="n">
        <v>211000</v>
      </c>
    </row>
    <row r="2759">
      <c r="A2759" s="78" t="n">
        <v>43778</v>
      </c>
      <c r="B2759" t="n">
        <v>1695000</v>
      </c>
      <c r="C2759" t="n">
        <v>222000</v>
      </c>
    </row>
    <row r="2760">
      <c r="A2760" s="78" t="n">
        <v>43785</v>
      </c>
      <c r="B2760" t="n">
        <v>1678000</v>
      </c>
      <c r="C2760" t="n">
        <v>221000</v>
      </c>
    </row>
    <row r="2761">
      <c r="A2761" s="78" t="n">
        <v>43792</v>
      </c>
      <c r="B2761" t="n">
        <v>1699000</v>
      </c>
      <c r="C2761" t="n">
        <v>215000</v>
      </c>
    </row>
    <row r="2762">
      <c r="A2762" s="78" t="n">
        <v>43799</v>
      </c>
      <c r="B2762" t="n">
        <v>1705000</v>
      </c>
      <c r="C2762" t="n">
        <v>219000</v>
      </c>
    </row>
    <row r="2763">
      <c r="A2763" s="78" t="n">
        <v>43806</v>
      </c>
      <c r="B2763" t="n">
        <v>1726000</v>
      </c>
      <c r="C2763" t="n">
        <v>238000</v>
      </c>
    </row>
    <row r="2764">
      <c r="A2764" s="78" t="n">
        <v>43813</v>
      </c>
      <c r="B2764" t="n">
        <v>1718000</v>
      </c>
      <c r="C2764" t="n">
        <v>227000</v>
      </c>
    </row>
    <row r="2765">
      <c r="A2765" s="78" t="n">
        <v>43820</v>
      </c>
      <c r="B2765" t="n">
        <v>1725000</v>
      </c>
      <c r="C2765" t="n">
        <v>218000</v>
      </c>
    </row>
    <row r="2766">
      <c r="A2766" s="78" t="n">
        <v>43827</v>
      </c>
      <c r="B2766" t="n">
        <v>1779000</v>
      </c>
      <c r="C2766" t="n">
        <v>218000</v>
      </c>
    </row>
    <row r="2767">
      <c r="A2767" s="78" t="n">
        <v>43834</v>
      </c>
      <c r="B2767" t="n">
        <v>1766000</v>
      </c>
      <c r="C2767" t="n">
        <v>210000</v>
      </c>
    </row>
    <row r="2768">
      <c r="A2768" s="78" t="n">
        <v>43841</v>
      </c>
      <c r="B2768" t="n">
        <v>1739000</v>
      </c>
      <c r="C2768" t="n">
        <v>206000</v>
      </c>
    </row>
    <row r="2769">
      <c r="A2769" s="78" t="n">
        <v>43848</v>
      </c>
      <c r="B2769" t="n">
        <v>1709000</v>
      </c>
      <c r="C2769" t="n">
        <v>219000</v>
      </c>
    </row>
    <row r="2770">
      <c r="A2770" s="78" t="n">
        <v>43855</v>
      </c>
      <c r="B2770" t="n">
        <v>1752000</v>
      </c>
      <c r="C2770" t="n">
        <v>210000</v>
      </c>
    </row>
    <row r="2771">
      <c r="A2771" s="78" t="n">
        <v>43862</v>
      </c>
      <c r="B2771" t="n">
        <v>1698000</v>
      </c>
      <c r="C2771" t="n">
        <v>205000</v>
      </c>
    </row>
    <row r="2772">
      <c r="A2772" s="78" t="n">
        <v>43869</v>
      </c>
      <c r="B2772" t="n">
        <v>1734000</v>
      </c>
      <c r="C2772" t="n">
        <v>207000</v>
      </c>
    </row>
    <row r="2773">
      <c r="A2773" s="78" t="n">
        <v>43876</v>
      </c>
      <c r="B2773" t="n">
        <v>1705000</v>
      </c>
      <c r="C2773" t="n">
        <v>215000</v>
      </c>
    </row>
    <row r="2774">
      <c r="A2774" s="78" t="n">
        <v>43883</v>
      </c>
      <c r="B2774" t="n">
        <v>1730000</v>
      </c>
      <c r="C2774" t="n">
        <v>218000</v>
      </c>
    </row>
    <row r="2775">
      <c r="A2775" s="78" t="n">
        <v>43890</v>
      </c>
      <c r="B2775" t="n">
        <v>1708000</v>
      </c>
      <c r="C2775" t="n">
        <v>216000</v>
      </c>
    </row>
    <row r="2776">
      <c r="A2776" s="78" t="n">
        <v>43897</v>
      </c>
      <c r="B2776" t="n">
        <v>1715000</v>
      </c>
      <c r="C2776" t="n">
        <v>212000</v>
      </c>
    </row>
    <row r="2777">
      <c r="A2777" s="78" t="n">
        <v>43904</v>
      </c>
      <c r="B2777" t="n">
        <v>1770000</v>
      </c>
      <c r="C2777" t="n">
        <v>256000</v>
      </c>
    </row>
    <row r="2778">
      <c r="A2778" s="78" t="n">
        <v>43911</v>
      </c>
      <c r="B2778" t="n">
        <v>3094000</v>
      </c>
      <c r="C2778" t="n">
        <v>2923000</v>
      </c>
    </row>
    <row r="2779">
      <c r="A2779" s="78" t="n">
        <v>43918</v>
      </c>
      <c r="B2779" t="n">
        <v>7868000</v>
      </c>
      <c r="C2779" t="n">
        <v>5985000</v>
      </c>
    </row>
    <row r="2780">
      <c r="A2780" s="78" t="n">
        <v>43925</v>
      </c>
      <c r="B2780" t="n">
        <v>12261000</v>
      </c>
      <c r="C2780" t="n">
        <v>6149000</v>
      </c>
    </row>
    <row r="2781">
      <c r="A2781" s="78" t="n">
        <v>43932</v>
      </c>
      <c r="B2781" t="n">
        <v>16070000</v>
      </c>
      <c r="C2781" t="n">
        <v>4869000</v>
      </c>
    </row>
    <row r="2782">
      <c r="A2782" s="78" t="n">
        <v>43939</v>
      </c>
      <c r="B2782" t="n">
        <v>17656000</v>
      </c>
      <c r="C2782" t="n">
        <v>4202000</v>
      </c>
    </row>
    <row r="2783">
      <c r="A2783" s="78" t="n">
        <v>43946</v>
      </c>
      <c r="B2783" t="n">
        <v>21664000</v>
      </c>
      <c r="C2783" t="n">
        <v>3451000</v>
      </c>
    </row>
    <row r="2784">
      <c r="A2784" s="78" t="n">
        <v>43953</v>
      </c>
      <c r="B2784" t="n">
        <v>20823000</v>
      </c>
      <c r="C2784" t="n">
        <v>2784000</v>
      </c>
    </row>
    <row r="2785">
      <c r="A2785" s="78" t="n">
        <v>43960</v>
      </c>
      <c r="B2785" t="n">
        <v>23128000</v>
      </c>
      <c r="C2785" t="n">
        <v>2315000</v>
      </c>
    </row>
    <row r="2786">
      <c r="A2786" s="78" t="n">
        <v>43967</v>
      </c>
      <c r="B2786" t="n">
        <v>19181000</v>
      </c>
      <c r="C2786" t="n">
        <v>2149000</v>
      </c>
    </row>
    <row r="2787">
      <c r="A2787" s="78" t="n">
        <v>43974</v>
      </c>
      <c r="B2787" t="n">
        <v>19396000</v>
      </c>
      <c r="C2787" t="n">
        <v>1887000</v>
      </c>
    </row>
    <row r="2788">
      <c r="A2788" s="78" t="n">
        <v>43981</v>
      </c>
      <c r="B2788" t="n">
        <v>19287000</v>
      </c>
      <c r="C2788" t="n">
        <v>1605000</v>
      </c>
    </row>
    <row r="2789">
      <c r="A2789" s="78" t="n">
        <v>43988</v>
      </c>
      <c r="B2789" t="n">
        <v>18927000</v>
      </c>
      <c r="C2789" t="n">
        <v>1537000</v>
      </c>
    </row>
    <row r="2790">
      <c r="A2790" s="78" t="n">
        <v>43995</v>
      </c>
      <c r="B2790" t="n">
        <v>17993000</v>
      </c>
      <c r="C2790" t="n">
        <v>1472000</v>
      </c>
    </row>
    <row r="2791">
      <c r="A2791" s="78" t="n">
        <v>44002</v>
      </c>
      <c r="B2791" t="n">
        <v>17713000</v>
      </c>
      <c r="C2791" t="n">
        <v>1460000</v>
      </c>
    </row>
    <row r="2792">
      <c r="A2792" s="78" t="n">
        <v>44009</v>
      </c>
      <c r="B2792" t="n">
        <v>16780000</v>
      </c>
      <c r="C2792" t="n">
        <v>1436000</v>
      </c>
    </row>
    <row r="2793">
      <c r="A2793" s="78" t="n">
        <v>44016</v>
      </c>
      <c r="B2793" t="n">
        <v>17413000</v>
      </c>
      <c r="C2793" t="n">
        <v>1398000</v>
      </c>
    </row>
    <row r="2794">
      <c r="A2794" s="78" t="n">
        <v>44023</v>
      </c>
      <c r="B2794" t="n">
        <v>16385000</v>
      </c>
      <c r="C2794" t="n">
        <v>1479000</v>
      </c>
    </row>
    <row r="2795">
      <c r="A2795" s="78" t="n">
        <v>44030</v>
      </c>
      <c r="B2795" t="n">
        <v>16913000</v>
      </c>
      <c r="C2795" t="n">
        <v>1398000</v>
      </c>
    </row>
    <row r="2796">
      <c r="A2796" s="78" t="n">
        <v>44037</v>
      </c>
      <c r="B2796" t="n">
        <v>15964000</v>
      </c>
      <c r="C2796" t="n">
        <v>1262000</v>
      </c>
    </row>
    <row r="2797">
      <c r="A2797" s="78" t="n">
        <v>44044</v>
      </c>
      <c r="B2797" t="n">
        <v>15303000</v>
      </c>
      <c r="C2797" t="n">
        <v>1043000</v>
      </c>
    </row>
    <row r="2798">
      <c r="A2798" s="78" t="n">
        <v>44051</v>
      </c>
      <c r="B2798" t="n">
        <v>14217000</v>
      </c>
      <c r="C2798" t="n">
        <v>883000</v>
      </c>
    </row>
    <row r="2799">
      <c r="A2799" s="78" t="n">
        <v>44058</v>
      </c>
      <c r="B2799" t="n">
        <v>13948000</v>
      </c>
      <c r="C2799" t="n">
        <v>920000</v>
      </c>
    </row>
    <row r="2800">
      <c r="A2800" s="78" t="n">
        <v>44065</v>
      </c>
      <c r="B2800" t="n">
        <v>13246000</v>
      </c>
      <c r="C2800" t="n">
        <v>872000</v>
      </c>
    </row>
    <row r="2801">
      <c r="A2801" s="78" t="n">
        <v>44072</v>
      </c>
      <c r="B2801" t="n">
        <v>13528000</v>
      </c>
      <c r="C2801" t="n">
        <v>875000</v>
      </c>
    </row>
    <row r="2802">
      <c r="A2802" s="78" t="n">
        <v>44079</v>
      </c>
      <c r="B2802" t="n">
        <v>12755000</v>
      </c>
      <c r="C2802" t="n">
        <v>881000</v>
      </c>
    </row>
    <row r="2803">
      <c r="A2803" s="78" t="n">
        <v>44086</v>
      </c>
      <c r="B2803" t="n">
        <v>12706000</v>
      </c>
      <c r="C2803" t="n">
        <v>860000</v>
      </c>
    </row>
    <row r="2804">
      <c r="A2804" s="78" t="n">
        <v>44093</v>
      </c>
      <c r="B2804" t="n">
        <v>11381000</v>
      </c>
      <c r="C2804" t="n">
        <v>860000</v>
      </c>
    </row>
    <row r="2805">
      <c r="A2805" s="78" t="n">
        <v>44100</v>
      </c>
      <c r="B2805" t="n">
        <v>10477000</v>
      </c>
      <c r="C2805" t="n">
        <v>803000</v>
      </c>
    </row>
    <row r="2806">
      <c r="A2806" s="78" t="n">
        <v>44107</v>
      </c>
      <c r="B2806" t="n">
        <v>9259000</v>
      </c>
      <c r="C2806" t="n">
        <v>782000</v>
      </c>
    </row>
    <row r="2807">
      <c r="A2807" s="78" t="n">
        <v>44114</v>
      </c>
      <c r="B2807" t="n">
        <v>8384000</v>
      </c>
      <c r="C2807" t="n">
        <v>833000</v>
      </c>
    </row>
    <row r="2808">
      <c r="A2808" s="78" t="n">
        <v>44121</v>
      </c>
      <c r="B2808" t="n">
        <v>7699000</v>
      </c>
      <c r="C2808" t="n">
        <v>798000</v>
      </c>
    </row>
    <row r="2809">
      <c r="A2809" s="78" t="n">
        <v>44128</v>
      </c>
      <c r="B2809" t="n">
        <v>7076000</v>
      </c>
      <c r="C2809" t="n">
        <v>768000</v>
      </c>
    </row>
    <row r="2810">
      <c r="A2810" s="78" t="n">
        <v>44135</v>
      </c>
      <c r="B2810" t="n">
        <v>6724000</v>
      </c>
      <c r="C2810" t="n">
        <v>765000</v>
      </c>
    </row>
    <row r="2811">
      <c r="A2811" s="78" t="n">
        <v>44142</v>
      </c>
      <c r="B2811" t="n">
        <v>6389000</v>
      </c>
      <c r="C2811" t="n">
        <v>728000</v>
      </c>
    </row>
    <row r="2812">
      <c r="A2812" s="78" t="n">
        <v>44149</v>
      </c>
      <c r="B2812" t="n">
        <v>6138000</v>
      </c>
      <c r="C2812" t="n">
        <v>732000</v>
      </c>
    </row>
    <row r="2813">
      <c r="A2813" s="78" t="n">
        <v>44156</v>
      </c>
      <c r="B2813" t="n">
        <v>5606000</v>
      </c>
      <c r="C2813" t="n">
        <v>762000</v>
      </c>
    </row>
    <row r="2814">
      <c r="A2814" s="78" t="n">
        <v>44163</v>
      </c>
      <c r="B2814" t="n">
        <v>5829000</v>
      </c>
      <c r="C2814" t="n">
        <v>719000</v>
      </c>
    </row>
    <row r="2815">
      <c r="A2815" s="78" t="n">
        <v>44170</v>
      </c>
      <c r="B2815" t="n">
        <v>5614000</v>
      </c>
      <c r="C2815" t="n">
        <v>853000</v>
      </c>
    </row>
    <row r="2816">
      <c r="A2816" s="78" t="n">
        <v>44177</v>
      </c>
      <c r="B2816" t="n">
        <v>5433000</v>
      </c>
      <c r="C2816" t="n">
        <v>873000</v>
      </c>
    </row>
    <row r="2817">
      <c r="A2817" s="78" t="n">
        <v>44184</v>
      </c>
      <c r="B2817" t="n">
        <v>5311000</v>
      </c>
      <c r="C2817" t="n">
        <v>803000</v>
      </c>
    </row>
    <row r="2818">
      <c r="A2818" s="78" t="n">
        <v>44191</v>
      </c>
      <c r="B2818" t="n">
        <v>5180000</v>
      </c>
      <c r="C2818" t="n">
        <v>763000</v>
      </c>
    </row>
    <row r="2819">
      <c r="A2819" s="78" t="n">
        <v>44198</v>
      </c>
      <c r="B2819" t="n">
        <v>5240000</v>
      </c>
      <c r="C2819" t="n">
        <v>781000</v>
      </c>
    </row>
    <row r="2820">
      <c r="A2820" s="78" t="n">
        <v>44205</v>
      </c>
      <c r="B2820" t="n">
        <v>5061000</v>
      </c>
      <c r="C2820" t="n">
        <v>904000</v>
      </c>
    </row>
    <row r="2821">
      <c r="A2821" s="78" t="n">
        <v>44212</v>
      </c>
      <c r="B2821" t="n">
        <v>4878000</v>
      </c>
      <c r="C2821" t="n">
        <v>886000</v>
      </c>
    </row>
    <row r="2822">
      <c r="A2822" s="78" t="n">
        <v>44219</v>
      </c>
      <c r="B2822" t="n">
        <v>4791000</v>
      </c>
      <c r="C2822" t="n">
        <v>836000</v>
      </c>
    </row>
    <row r="2823">
      <c r="A2823" s="78" t="n">
        <v>44226</v>
      </c>
      <c r="B2823" t="n">
        <v>4655000</v>
      </c>
      <c r="C2823" t="n">
        <v>837000</v>
      </c>
    </row>
    <row r="2824">
      <c r="A2824" s="78" t="n">
        <v>44233</v>
      </c>
      <c r="B2824" t="n">
        <v>4592000</v>
      </c>
      <c r="C2824" t="n">
        <v>863000</v>
      </c>
    </row>
    <row r="2825">
      <c r="A2825" s="78" t="n">
        <v>44240</v>
      </c>
      <c r="B2825" t="n">
        <v>4469000</v>
      </c>
      <c r="C2825" t="n">
        <v>847000</v>
      </c>
    </row>
    <row r="2826">
      <c r="A2826" s="78" t="n">
        <v>44247</v>
      </c>
      <c r="B2826" t="n">
        <v>4383000</v>
      </c>
      <c r="C2826" t="n">
        <v>747000</v>
      </c>
    </row>
    <row r="2827">
      <c r="A2827" s="78" t="n">
        <v>44254</v>
      </c>
      <c r="B2827" t="n">
        <v>4157000</v>
      </c>
      <c r="C2827" t="n">
        <v>761000</v>
      </c>
    </row>
    <row r="2828">
      <c r="A2828" s="78" t="n">
        <v>44261</v>
      </c>
      <c r="B2828" t="n">
        <v>4123000</v>
      </c>
      <c r="C2828" t="n">
        <v>734000</v>
      </c>
    </row>
    <row r="2829">
      <c r="A2829" s="78" t="n">
        <v>44268</v>
      </c>
      <c r="B2829" t="n">
        <v>3841000</v>
      </c>
      <c r="C2829" t="n">
        <v>765000</v>
      </c>
    </row>
    <row r="2830">
      <c r="A2830" s="78" t="n">
        <v>44275</v>
      </c>
      <c r="B2830" t="n">
        <v>3753000</v>
      </c>
      <c r="C2830" t="n">
        <v>658000</v>
      </c>
    </row>
    <row r="2831">
      <c r="A2831" s="78" t="n">
        <v>44282</v>
      </c>
      <c r="B2831" t="n">
        <v>3717000</v>
      </c>
      <c r="C2831" t="n">
        <v>729000</v>
      </c>
    </row>
    <row r="2832">
      <c r="A2832" s="78" t="n">
        <v>44289</v>
      </c>
      <c r="B2832" t="n">
        <v>3708000</v>
      </c>
      <c r="C2832" t="n">
        <v>742000</v>
      </c>
    </row>
    <row r="2833">
      <c r="A2833" s="78" t="n">
        <v>44296</v>
      </c>
      <c r="B2833" t="n">
        <v>3652000</v>
      </c>
      <c r="C2833" t="n">
        <v>586000</v>
      </c>
    </row>
    <row r="2834">
      <c r="A2834" s="78" t="n">
        <v>44303</v>
      </c>
      <c r="B2834" t="n">
        <v>3653000</v>
      </c>
      <c r="C2834" t="n">
        <v>566000</v>
      </c>
    </row>
    <row r="2835">
      <c r="A2835" s="78" t="n">
        <v>44310</v>
      </c>
      <c r="B2835" t="n">
        <v>3680000</v>
      </c>
      <c r="C2835" t="n">
        <v>590000</v>
      </c>
    </row>
    <row r="2836">
      <c r="A2836" s="78" t="n">
        <v>44317</v>
      </c>
      <c r="B2836" t="n">
        <v>3640000</v>
      </c>
      <c r="C2836" t="n">
        <v>507000</v>
      </c>
    </row>
    <row r="2837">
      <c r="A2837" s="78" t="n">
        <v>44324</v>
      </c>
      <c r="B2837" t="n">
        <v>3738000</v>
      </c>
      <c r="C2837" t="n">
        <v>478000</v>
      </c>
    </row>
    <row r="2838">
      <c r="A2838" s="78" t="n">
        <v>44331</v>
      </c>
      <c r="B2838" t="n">
        <v>3611000</v>
      </c>
      <c r="C2838" t="n">
        <v>444000</v>
      </c>
    </row>
    <row r="2839">
      <c r="A2839" s="78" t="n">
        <v>44338</v>
      </c>
      <c r="B2839" t="n">
        <v>3769000</v>
      </c>
      <c r="C2839" t="n">
        <v>405000</v>
      </c>
    </row>
    <row r="2840">
      <c r="A2840" s="78" t="n">
        <v>44345</v>
      </c>
      <c r="B2840" t="n">
        <v>3517000</v>
      </c>
      <c r="C2840" t="n">
        <v>388000</v>
      </c>
    </row>
    <row r="2841">
      <c r="A2841" s="78" t="n">
        <v>44352</v>
      </c>
      <c r="B2841" t="n">
        <v>3528000</v>
      </c>
      <c r="C2841" t="n">
        <v>374000</v>
      </c>
    </row>
    <row r="2842">
      <c r="A2842" s="78" t="n">
        <v>44359</v>
      </c>
      <c r="B2842" t="n">
        <v>3412000</v>
      </c>
      <c r="C2842" t="n">
        <v>418000</v>
      </c>
    </row>
    <row r="2843">
      <c r="A2843" s="78" t="n">
        <v>44366</v>
      </c>
      <c r="B2843" t="n">
        <v>3484000</v>
      </c>
      <c r="C2843" t="n">
        <v>416000</v>
      </c>
    </row>
    <row r="2844">
      <c r="A2844" s="78" t="n">
        <v>44373</v>
      </c>
      <c r="B2844" t="n">
        <v>3367000</v>
      </c>
      <c r="C2844" t="n">
        <v>368000</v>
      </c>
    </row>
    <row r="2845">
      <c r="A2845" s="78" t="n">
        <v>44380</v>
      </c>
      <c r="B2845" t="n">
        <v>3265000</v>
      </c>
      <c r="C2845" t="n">
        <v>386000</v>
      </c>
    </row>
    <row r="2846">
      <c r="A2846" s="78" t="n">
        <v>44387</v>
      </c>
      <c r="B2846" t="n">
        <v>3262000</v>
      </c>
      <c r="C2846" t="n">
        <v>368000</v>
      </c>
    </row>
    <row r="2847">
      <c r="A2847" s="78" t="n">
        <v>44394</v>
      </c>
      <c r="B2847" t="n">
        <v>3296000</v>
      </c>
      <c r="C2847" t="n">
        <v>424000</v>
      </c>
    </row>
    <row r="2848">
      <c r="A2848" s="78" t="n">
        <v>44401</v>
      </c>
      <c r="B2848" t="n">
        <v>2980000</v>
      </c>
      <c r="C2848" t="n">
        <v>399000</v>
      </c>
    </row>
    <row r="2849">
      <c r="A2849" s="78" t="n">
        <v>44408</v>
      </c>
      <c r="B2849" t="n">
        <v>2899000</v>
      </c>
      <c r="C2849" t="n">
        <v>387000</v>
      </c>
    </row>
    <row r="2850">
      <c r="A2850" s="78" t="n">
        <v>44415</v>
      </c>
      <c r="B2850" t="n">
        <v>2865000</v>
      </c>
      <c r="C2850" t="n">
        <v>377000</v>
      </c>
    </row>
    <row r="2851">
      <c r="A2851" s="78" t="n">
        <v>44422</v>
      </c>
      <c r="B2851" t="n">
        <v>2908000</v>
      </c>
      <c r="C2851" t="n">
        <v>349000</v>
      </c>
    </row>
    <row r="2852">
      <c r="A2852" s="78" t="n">
        <v>44429</v>
      </c>
      <c r="B2852" t="n">
        <v>2805000</v>
      </c>
      <c r="C2852" t="n">
        <v>354000</v>
      </c>
    </row>
    <row r="2853">
      <c r="A2853" s="78" t="n">
        <v>44436</v>
      </c>
      <c r="B2853" t="n">
        <v>2852000</v>
      </c>
      <c r="C2853" t="n">
        <v>345000</v>
      </c>
    </row>
    <row r="2854">
      <c r="A2854" s="78" t="n">
        <v>44443</v>
      </c>
      <c r="B2854" t="n">
        <v>2715000</v>
      </c>
      <c r="C2854" t="n">
        <v>312000</v>
      </c>
    </row>
    <row r="2855">
      <c r="A2855" s="78" t="n">
        <v>44450</v>
      </c>
      <c r="B2855" t="n">
        <v>2820000</v>
      </c>
      <c r="C2855" t="n">
        <v>335000</v>
      </c>
    </row>
    <row r="2856">
      <c r="A2856" s="78" t="n">
        <v>44457</v>
      </c>
      <c r="B2856" t="n">
        <v>2811000</v>
      </c>
      <c r="C2856" t="n">
        <v>351000</v>
      </c>
    </row>
    <row r="2857">
      <c r="A2857" s="78" t="n">
        <v>44464</v>
      </c>
      <c r="B2857" t="n">
        <v>2727000</v>
      </c>
      <c r="C2857" t="n">
        <v>364000</v>
      </c>
    </row>
    <row r="2858">
      <c r="A2858" s="78" t="n">
        <v>44471</v>
      </c>
      <c r="B2858" t="n">
        <v>2603000</v>
      </c>
      <c r="C2858" t="n">
        <v>329000</v>
      </c>
    </row>
    <row r="2859">
      <c r="A2859" s="78" t="n">
        <v>44478</v>
      </c>
      <c r="B2859" t="n">
        <v>2480000</v>
      </c>
      <c r="C2859" t="n">
        <v>296000</v>
      </c>
    </row>
    <row r="2860">
      <c r="A2860" s="78" t="n">
        <v>44485</v>
      </c>
      <c r="B2860" t="n">
        <v>2239000</v>
      </c>
      <c r="C2860" t="n">
        <v>291000</v>
      </c>
    </row>
    <row r="2861">
      <c r="A2861" s="78" t="n">
        <v>44492</v>
      </c>
      <c r="B2861" t="n">
        <v>2101000</v>
      </c>
      <c r="C2861" t="n">
        <v>283000</v>
      </c>
    </row>
    <row r="2862">
      <c r="A2862" s="78" t="n">
        <v>44499</v>
      </c>
      <c r="B2862" t="n">
        <v>2209000</v>
      </c>
      <c r="C2862" t="n">
        <v>271000</v>
      </c>
    </row>
    <row r="2863">
      <c r="A2863" s="78" t="n">
        <v>44506</v>
      </c>
      <c r="B2863" t="n">
        <v>2109000</v>
      </c>
      <c r="C2863" t="n">
        <v>269000</v>
      </c>
    </row>
    <row r="2864">
      <c r="A2864" s="78" t="n">
        <v>44513</v>
      </c>
      <c r="B2864" t="n">
        <v>2055000</v>
      </c>
      <c r="C2864" t="n">
        <v>270000</v>
      </c>
    </row>
    <row r="2865">
      <c r="A2865" s="78" t="n">
        <v>44520</v>
      </c>
      <c r="B2865" t="n">
        <v>1954000</v>
      </c>
      <c r="C2865" t="n">
        <v>194000</v>
      </c>
    </row>
    <row r="2866">
      <c r="A2866" s="78" t="n">
        <v>44527</v>
      </c>
      <c r="B2866" t="n">
        <v>1999000</v>
      </c>
      <c r="C2866" t="n">
        <v>227000</v>
      </c>
    </row>
    <row r="2867">
      <c r="A2867" s="78" t="n">
        <v>44534</v>
      </c>
      <c r="B2867" t="n">
        <v>1845000</v>
      </c>
      <c r="C2867" t="n">
        <v>188000</v>
      </c>
    </row>
    <row r="2868">
      <c r="A2868" s="78" t="n">
        <v>44541</v>
      </c>
      <c r="B2868" t="n">
        <v>1856000</v>
      </c>
      <c r="C2868" t="n">
        <v>206000</v>
      </c>
    </row>
    <row r="2869">
      <c r="A2869" s="78" t="n">
        <v>44548</v>
      </c>
      <c r="B2869" t="n">
        <v>1718000</v>
      </c>
      <c r="C2869" t="n">
        <v>206000</v>
      </c>
    </row>
    <row r="2870">
      <c r="A2870" s="78" t="n">
        <v>44555</v>
      </c>
      <c r="B2870" t="n">
        <v>1753000</v>
      </c>
      <c r="C2870" t="n">
        <v>200000</v>
      </c>
    </row>
    <row r="2871">
      <c r="A2871" s="78" t="n">
        <v>44562</v>
      </c>
      <c r="B2871" t="n">
        <v>1551000</v>
      </c>
      <c r="C2871" t="n">
        <v>207000</v>
      </c>
    </row>
    <row r="2872">
      <c r="A2872" s="78" t="n">
        <v>44569</v>
      </c>
      <c r="B2872" t="n">
        <v>1635000</v>
      </c>
      <c r="C2872" t="n">
        <v>231000</v>
      </c>
    </row>
    <row r="2873">
      <c r="A2873" s="78" t="n">
        <v>44576</v>
      </c>
      <c r="B2873" t="n">
        <v>1672000</v>
      </c>
      <c r="C2873" t="n">
        <v>286000</v>
      </c>
    </row>
    <row r="2874">
      <c r="A2874" s="78" t="n">
        <v>44583</v>
      </c>
      <c r="B2874" t="n">
        <v>1628000</v>
      </c>
      <c r="C2874" t="n">
        <v>261000</v>
      </c>
    </row>
    <row r="2875">
      <c r="A2875" s="78" t="n">
        <v>44590</v>
      </c>
      <c r="B2875" t="n">
        <v>1621000</v>
      </c>
      <c r="C2875" t="n">
        <v>238000</v>
      </c>
    </row>
    <row r="2876">
      <c r="A2876" s="78" t="n">
        <v>44597</v>
      </c>
      <c r="B2876" t="n">
        <v>1593000</v>
      </c>
      <c r="C2876" t="n">
        <v>223000</v>
      </c>
    </row>
    <row r="2877">
      <c r="A2877" s="78" t="n">
        <v>44604</v>
      </c>
      <c r="B2877" t="n">
        <v>1476000</v>
      </c>
      <c r="C2877" t="n">
        <v>248000</v>
      </c>
    </row>
    <row r="2878">
      <c r="A2878" s="78" t="n">
        <v>44611</v>
      </c>
      <c r="B2878" t="n">
        <v>1476000</v>
      </c>
      <c r="C2878" t="n">
        <v>232000</v>
      </c>
    </row>
    <row r="2879">
      <c r="A2879" s="78" t="n">
        <v>44618</v>
      </c>
      <c r="B2879" t="n">
        <v>1494000</v>
      </c>
      <c r="C2879" t="n">
        <v>215000</v>
      </c>
    </row>
    <row r="2880">
      <c r="A2880" s="78" t="n">
        <v>44625</v>
      </c>
      <c r="B2880" t="n">
        <v>1419000</v>
      </c>
      <c r="C2880" t="n">
        <v>227000</v>
      </c>
    </row>
    <row r="2881">
      <c r="A2881" s="78" t="n">
        <v>44632</v>
      </c>
      <c r="B2881" t="n">
        <v>1350000</v>
      </c>
      <c r="C2881" t="n">
        <v>214000</v>
      </c>
    </row>
    <row r="2882">
      <c r="A2882" s="78" t="n">
        <v>44639</v>
      </c>
      <c r="C2882" t="n">
        <v>187000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1"/>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17"/>
    <col width="8.83203125" customWidth="1" style="49" min="18"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24"/>
    <col width="9.1640625" customWidth="1" style="49" min="25"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7.3</v>
      </c>
      <c r="X264" t="n">
        <v>2</v>
      </c>
      <c r="AL264" t="n">
        <v>7.8</v>
      </c>
    </row>
    <row r="265">
      <c r="A265" s="78" t="n">
        <v>28095</v>
      </c>
      <c r="E265" t="n">
        <v>7.4</v>
      </c>
      <c r="X265" t="n">
        <v>1.8</v>
      </c>
      <c r="AL265" t="n">
        <v>7.8</v>
      </c>
    </row>
    <row r="266">
      <c r="A266" s="78" t="n">
        <v>28126</v>
      </c>
      <c r="E266" t="n">
        <v>7.6</v>
      </c>
      <c r="X266" t="n">
        <v>1.9</v>
      </c>
      <c r="AL266" t="n">
        <v>7.5</v>
      </c>
    </row>
    <row r="267">
      <c r="A267" s="78" t="n">
        <v>28157</v>
      </c>
      <c r="E267" t="n">
        <v>7.8</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7.9</v>
      </c>
      <c r="X271" t="n">
        <v>2.1</v>
      </c>
      <c r="AL271" t="n">
        <v>7.2</v>
      </c>
    </row>
    <row r="272">
      <c r="A272" s="78" t="n">
        <v>28307</v>
      </c>
      <c r="E272" t="n">
        <v>8.199999999999999</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8.300000000000001</v>
      </c>
      <c r="X275" t="n">
        <v>1.9</v>
      </c>
      <c r="AL275" t="n">
        <v>6.8</v>
      </c>
    </row>
    <row r="276">
      <c r="A276" s="78" t="n">
        <v>28430</v>
      </c>
      <c r="E276" t="n">
        <v>8.4</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6.644867</v>
      </c>
      <c r="E279" t="n">
        <v>8.300000000000001</v>
      </c>
      <c r="X279" t="n">
        <v>2.2</v>
      </c>
      <c r="AL279" t="n">
        <v>6.3</v>
      </c>
    </row>
    <row r="280">
      <c r="A280" s="78" t="n">
        <v>28550</v>
      </c>
      <c r="B280" t="n">
        <v>6.302329</v>
      </c>
      <c r="E280" t="n">
        <v>8.5</v>
      </c>
      <c r="X280" t="n">
        <v>2.2</v>
      </c>
      <c r="AL280" t="n">
        <v>6.3</v>
      </c>
    </row>
    <row r="281">
      <c r="A281" s="78" t="n">
        <v>28581</v>
      </c>
      <c r="B281" t="n">
        <v>6.267148</v>
      </c>
      <c r="E281" t="n">
        <v>8.4</v>
      </c>
      <c r="X281" t="n">
        <v>2.2</v>
      </c>
      <c r="AL281" t="n">
        <v>6.1</v>
      </c>
    </row>
    <row r="282">
      <c r="A282" s="78" t="n">
        <v>28611</v>
      </c>
      <c r="B282" t="n">
        <v>6.209167</v>
      </c>
      <c r="E282" t="n">
        <v>8.6</v>
      </c>
      <c r="X282" t="n">
        <v>2.3</v>
      </c>
      <c r="AL282" t="n">
        <v>6</v>
      </c>
    </row>
    <row r="283">
      <c r="A283" s="78" t="n">
        <v>28642</v>
      </c>
      <c r="B283" t="n">
        <v>6.303327</v>
      </c>
      <c r="E283" t="n">
        <v>8.4</v>
      </c>
      <c r="X283" t="n">
        <v>2.3</v>
      </c>
      <c r="AL283" t="n">
        <v>5.9</v>
      </c>
    </row>
    <row r="284">
      <c r="A284" s="78" t="n">
        <v>28672</v>
      </c>
      <c r="B284" t="n">
        <v>6.222891</v>
      </c>
      <c r="E284" t="n">
        <v>8.5</v>
      </c>
      <c r="X284" t="n">
        <v>2.2</v>
      </c>
      <c r="AL284" t="n">
        <v>6.2</v>
      </c>
    </row>
    <row r="285">
      <c r="A285" s="78" t="n">
        <v>28703</v>
      </c>
      <c r="B285" t="n">
        <v>6.490117</v>
      </c>
      <c r="E285" t="n">
        <v>8.5</v>
      </c>
      <c r="X285" t="n">
        <v>2.3</v>
      </c>
      <c r="AL285" t="n">
        <v>5.9</v>
      </c>
    </row>
    <row r="286">
      <c r="A286" s="78" t="n">
        <v>28734</v>
      </c>
      <c r="B286" t="n">
        <v>6.255816</v>
      </c>
      <c r="E286" t="n">
        <v>8.4</v>
      </c>
      <c r="X286" t="n">
        <v>2.4</v>
      </c>
      <c r="AL286" t="n">
        <v>6</v>
      </c>
    </row>
    <row r="287">
      <c r="A287" s="78" t="n">
        <v>28764</v>
      </c>
      <c r="B287" t="n">
        <v>6.163075</v>
      </c>
      <c r="E287" t="n">
        <v>8.1</v>
      </c>
      <c r="X287" t="n">
        <v>2.2</v>
      </c>
      <c r="AL287" t="n">
        <v>5.8</v>
      </c>
    </row>
    <row r="288">
      <c r="A288" s="78" t="n">
        <v>28795</v>
      </c>
      <c r="B288" t="n">
        <v>6.330316</v>
      </c>
      <c r="E288" t="n">
        <v>8.199999999999999</v>
      </c>
      <c r="X288" t="n">
        <v>2.2</v>
      </c>
      <c r="AL288" t="n">
        <v>5.9</v>
      </c>
    </row>
    <row r="289">
      <c r="A289" s="78" t="n">
        <v>28825</v>
      </c>
      <c r="B289" t="n">
        <v>6.404912</v>
      </c>
      <c r="E289" t="n">
        <v>8.300000000000001</v>
      </c>
      <c r="X289" t="n">
        <v>2.2</v>
      </c>
      <c r="AL289" t="n">
        <v>6</v>
      </c>
    </row>
    <row r="290">
      <c r="A290" s="78" t="n">
        <v>28856</v>
      </c>
      <c r="B290" t="n">
        <v>6.370493</v>
      </c>
      <c r="E290" t="n">
        <v>8.1</v>
      </c>
      <c r="X290" t="n">
        <v>2.2</v>
      </c>
      <c r="AL290" t="n">
        <v>5.9</v>
      </c>
    </row>
    <row r="291">
      <c r="A291" s="78" t="n">
        <v>28887</v>
      </c>
      <c r="B291" t="n">
        <v>6.257102</v>
      </c>
      <c r="E291" t="n">
        <v>8</v>
      </c>
      <c r="X291" t="n">
        <v>2</v>
      </c>
      <c r="AL291" t="n">
        <v>5.9</v>
      </c>
    </row>
    <row r="292">
      <c r="A292" s="78" t="n">
        <v>28915</v>
      </c>
      <c r="B292" t="n">
        <v>6.302608</v>
      </c>
      <c r="E292" t="n">
        <v>7.9</v>
      </c>
      <c r="X292" t="n">
        <v>2.1</v>
      </c>
      <c r="AL292" t="n">
        <v>5.8</v>
      </c>
    </row>
    <row r="293">
      <c r="A293" s="78" t="n">
        <v>28946</v>
      </c>
      <c r="B293" t="n">
        <v>6.497991</v>
      </c>
      <c r="E293" t="n">
        <v>7.9</v>
      </c>
      <c r="X293" t="n">
        <v>2.1</v>
      </c>
      <c r="AL293" t="n">
        <v>5.8</v>
      </c>
    </row>
    <row r="294">
      <c r="A294" s="78" t="n">
        <v>28976</v>
      </c>
      <c r="B294" t="n">
        <v>6.20331</v>
      </c>
      <c r="E294" t="n">
        <v>7.6</v>
      </c>
      <c r="X294" t="n">
        <v>2</v>
      </c>
      <c r="AL294" t="n">
        <v>5.6</v>
      </c>
    </row>
    <row r="295">
      <c r="A295" s="78" t="n">
        <v>29007</v>
      </c>
      <c r="B295" t="n">
        <v>6.250967</v>
      </c>
      <c r="E295" t="n">
        <v>7.4</v>
      </c>
      <c r="X295" t="n">
        <v>2</v>
      </c>
      <c r="AL295" t="n">
        <v>5.7</v>
      </c>
    </row>
    <row r="296">
      <c r="A296" s="78" t="n">
        <v>29037</v>
      </c>
      <c r="B296" t="n">
        <v>6.274221</v>
      </c>
      <c r="E296" t="n">
        <v>7.1</v>
      </c>
      <c r="X296" t="n">
        <v>2.2</v>
      </c>
      <c r="AL296" t="n">
        <v>5.7</v>
      </c>
    </row>
    <row r="297">
      <c r="A297" s="78" t="n">
        <v>29068</v>
      </c>
      <c r="B297" t="n">
        <v>6.11784</v>
      </c>
      <c r="E297" t="n">
        <v>7.1</v>
      </c>
      <c r="X297" t="n">
        <v>2.2</v>
      </c>
      <c r="AL297" t="n">
        <v>6</v>
      </c>
    </row>
    <row r="298">
      <c r="A298" s="78" t="n">
        <v>29099</v>
      </c>
      <c r="B298" t="n">
        <v>6.232357</v>
      </c>
      <c r="E298" t="n">
        <v>7</v>
      </c>
      <c r="X298" t="n">
        <v>2</v>
      </c>
      <c r="AL298" t="n">
        <v>5.9</v>
      </c>
    </row>
    <row r="299">
      <c r="A299" s="78" t="n">
        <v>29129</v>
      </c>
      <c r="B299" t="n">
        <v>6.383507</v>
      </c>
      <c r="E299" t="n">
        <v>7.3</v>
      </c>
      <c r="X299" t="n">
        <v>2.1</v>
      </c>
      <c r="AL299" t="n">
        <v>6</v>
      </c>
    </row>
    <row r="300">
      <c r="A300" s="78" t="n">
        <v>29160</v>
      </c>
      <c r="B300" t="n">
        <v>6.044292</v>
      </c>
      <c r="E300" t="n">
        <v>7.2</v>
      </c>
      <c r="X300" t="n">
        <v>2.1</v>
      </c>
      <c r="AL300" t="n">
        <v>5.9</v>
      </c>
    </row>
    <row r="301">
      <c r="A301" s="78" t="n">
        <v>29190</v>
      </c>
      <c r="B301" t="n">
        <v>6.119713</v>
      </c>
      <c r="E301" t="n">
        <v>7.2</v>
      </c>
      <c r="X301" t="n">
        <v>2</v>
      </c>
      <c r="AL301" t="n">
        <v>6</v>
      </c>
    </row>
    <row r="302">
      <c r="A302" s="78" t="n">
        <v>29221</v>
      </c>
      <c r="B302" t="n">
        <v>6.146189</v>
      </c>
      <c r="E302" t="n">
        <v>7.5</v>
      </c>
      <c r="X302" t="n">
        <v>1.9</v>
      </c>
      <c r="AL302" t="n">
        <v>6.3</v>
      </c>
    </row>
    <row r="303">
      <c r="A303" s="78" t="n">
        <v>29252</v>
      </c>
      <c r="B303" t="n">
        <v>5.998692</v>
      </c>
      <c r="E303" t="n">
        <v>7.6</v>
      </c>
      <c r="X303" t="n">
        <v>1.9</v>
      </c>
      <c r="AL303" t="n">
        <v>6.3</v>
      </c>
    </row>
    <row r="304">
      <c r="A304" s="78" t="n">
        <v>29281</v>
      </c>
      <c r="B304" t="n">
        <v>5.936146</v>
      </c>
      <c r="E304" t="n">
        <v>7.6</v>
      </c>
      <c r="X304" t="n">
        <v>1.9</v>
      </c>
      <c r="AL304" t="n">
        <v>6.3</v>
      </c>
    </row>
    <row r="305">
      <c r="A305" s="78" t="n">
        <v>29312</v>
      </c>
      <c r="B305" t="n">
        <v>6.114644</v>
      </c>
      <c r="E305" t="n">
        <v>7.6</v>
      </c>
      <c r="X305" t="n">
        <v>2</v>
      </c>
      <c r="AL305" t="n">
        <v>6.9</v>
      </c>
    </row>
    <row r="306">
      <c r="A306" s="78" t="n">
        <v>29342</v>
      </c>
      <c r="B306" t="n">
        <v>6.245418</v>
      </c>
      <c r="E306" t="n">
        <v>7.8</v>
      </c>
      <c r="X306" t="n">
        <v>2</v>
      </c>
      <c r="AL306" t="n">
        <v>7.5</v>
      </c>
    </row>
    <row r="307">
      <c r="A307" s="78" t="n">
        <v>29373</v>
      </c>
      <c r="B307" t="n">
        <v>6.322504</v>
      </c>
      <c r="E307" t="n">
        <v>7.8</v>
      </c>
      <c r="X307" t="n">
        <v>1.9</v>
      </c>
      <c r="AL307" t="n">
        <v>7.6</v>
      </c>
    </row>
    <row r="308">
      <c r="A308" s="78" t="n">
        <v>29403</v>
      </c>
      <c r="B308" t="n">
        <v>6.077494</v>
      </c>
      <c r="E308" t="n">
        <v>7.6</v>
      </c>
      <c r="X308" t="n">
        <v>2</v>
      </c>
      <c r="AL308" t="n">
        <v>7.8</v>
      </c>
    </row>
    <row r="309">
      <c r="A309" s="78" t="n">
        <v>29434</v>
      </c>
      <c r="B309" t="n">
        <v>6.176674</v>
      </c>
      <c r="E309" t="n">
        <v>7.6</v>
      </c>
      <c r="X309" t="n">
        <v>2.1</v>
      </c>
      <c r="AL309" t="n">
        <v>7.7</v>
      </c>
    </row>
    <row r="310">
      <c r="A310" s="78" t="n">
        <v>29465</v>
      </c>
      <c r="B310" t="n">
        <v>6.140678</v>
      </c>
      <c r="E310" t="n">
        <v>7.4</v>
      </c>
      <c r="X310" t="n">
        <v>2</v>
      </c>
      <c r="AL310" t="n">
        <v>7.5</v>
      </c>
    </row>
    <row r="311">
      <c r="A311" s="78" t="n">
        <v>29495</v>
      </c>
      <c r="B311" t="n">
        <v>6.054791</v>
      </c>
      <c r="E311" t="n">
        <v>7.3</v>
      </c>
      <c r="X311" t="n">
        <v>2.1</v>
      </c>
      <c r="AL311" t="n">
        <v>7.5</v>
      </c>
    </row>
    <row r="312">
      <c r="A312" s="78" t="n">
        <v>29526</v>
      </c>
      <c r="B312" t="n">
        <v>5.84972</v>
      </c>
      <c r="E312" t="n">
        <v>7.2</v>
      </c>
      <c r="X312" t="n">
        <v>2.2</v>
      </c>
      <c r="AL312" t="n">
        <v>7.5</v>
      </c>
    </row>
    <row r="313">
      <c r="A313" s="78" t="n">
        <v>29556</v>
      </c>
      <c r="B313" t="n">
        <v>6.050725</v>
      </c>
      <c r="E313" t="n">
        <v>7.2</v>
      </c>
      <c r="X313" t="n">
        <v>2.2</v>
      </c>
      <c r="AL313" t="n">
        <v>7.2</v>
      </c>
    </row>
    <row r="314">
      <c r="A314" s="78" t="n">
        <v>29587</v>
      </c>
      <c r="B314" t="n">
        <v>5.916251</v>
      </c>
      <c r="E314" t="n">
        <v>7.4</v>
      </c>
      <c r="X314" t="n">
        <v>2.1</v>
      </c>
      <c r="AL314" t="n">
        <v>7.5</v>
      </c>
    </row>
    <row r="315">
      <c r="A315" s="78" t="n">
        <v>29618</v>
      </c>
      <c r="B315" t="n">
        <v>5.616568</v>
      </c>
      <c r="E315" t="n">
        <v>7.3</v>
      </c>
      <c r="X315" t="n">
        <v>2.3</v>
      </c>
      <c r="AL315" t="n">
        <v>7.4</v>
      </c>
    </row>
    <row r="316">
      <c r="A316" s="78" t="n">
        <v>29646</v>
      </c>
      <c r="B316" t="n">
        <v>5.745607</v>
      </c>
      <c r="E316" t="n">
        <v>7.5</v>
      </c>
      <c r="X316" t="n">
        <v>2.2</v>
      </c>
      <c r="AL316" t="n">
        <v>7.4</v>
      </c>
    </row>
    <row r="317">
      <c r="A317" s="78" t="n">
        <v>29677</v>
      </c>
      <c r="B317" t="n">
        <v>5.554529</v>
      </c>
      <c r="E317" t="n">
        <v>7.1</v>
      </c>
      <c r="X317" t="n">
        <v>2.2</v>
      </c>
      <c r="AL317" t="n">
        <v>7.2</v>
      </c>
    </row>
    <row r="318">
      <c r="A318" s="78" t="n">
        <v>29707</v>
      </c>
      <c r="B318" t="n">
        <v>5.58832</v>
      </c>
      <c r="E318" t="n">
        <v>7.2</v>
      </c>
      <c r="X318" t="n">
        <v>2.3</v>
      </c>
      <c r="AL318" t="n">
        <v>7.5</v>
      </c>
    </row>
    <row r="319">
      <c r="A319" s="78" t="n">
        <v>29738</v>
      </c>
      <c r="B319" t="n">
        <v>5.373744</v>
      </c>
      <c r="E319" t="n">
        <v>7.3</v>
      </c>
      <c r="X319" t="n">
        <v>2.3</v>
      </c>
      <c r="AL319" t="n">
        <v>7.5</v>
      </c>
    </row>
    <row r="320">
      <c r="A320" s="78" t="n">
        <v>29768</v>
      </c>
      <c r="B320" t="n">
        <v>5.827485</v>
      </c>
      <c r="E320" t="n">
        <v>7.2</v>
      </c>
      <c r="X320" t="n">
        <v>2.2</v>
      </c>
      <c r="AL320" t="n">
        <v>7.2</v>
      </c>
    </row>
    <row r="321">
      <c r="A321" s="78" t="n">
        <v>29799</v>
      </c>
      <c r="B321" t="n">
        <v>5.845825</v>
      </c>
      <c r="E321" t="n">
        <v>7</v>
      </c>
      <c r="X321" t="n">
        <v>2.1</v>
      </c>
      <c r="AL321" t="n">
        <v>7.4</v>
      </c>
    </row>
    <row r="322">
      <c r="A322" s="78" t="n">
        <v>29830</v>
      </c>
      <c r="B322" t="n">
        <v>5.811767</v>
      </c>
      <c r="E322" t="n">
        <v>8.199999999999999</v>
      </c>
      <c r="X322" t="n">
        <v>2.2</v>
      </c>
      <c r="AL322" t="n">
        <v>7.6</v>
      </c>
    </row>
    <row r="323">
      <c r="A323" s="78" t="n">
        <v>29860</v>
      </c>
      <c r="B323" t="n">
        <v>5.872079</v>
      </c>
      <c r="E323" t="n">
        <v>8.300000000000001</v>
      </c>
      <c r="X323" t="n">
        <v>2.2</v>
      </c>
      <c r="AL323" t="n">
        <v>7.9</v>
      </c>
    </row>
    <row r="324">
      <c r="A324" s="78" t="n">
        <v>29891</v>
      </c>
      <c r="B324" t="n">
        <v>5.994548</v>
      </c>
      <c r="E324" t="n">
        <v>8.300000000000001</v>
      </c>
      <c r="X324" t="n">
        <v>2.2</v>
      </c>
      <c r="AL324" t="n">
        <v>8.300000000000001</v>
      </c>
    </row>
    <row r="325">
      <c r="A325" s="78" t="n">
        <v>29921</v>
      </c>
      <c r="B325" t="n">
        <v>6.026475</v>
      </c>
      <c r="E325" t="n">
        <v>8.699999999999999</v>
      </c>
      <c r="X325" t="n">
        <v>2.2</v>
      </c>
      <c r="AL325" t="n">
        <v>8.5</v>
      </c>
    </row>
    <row r="326">
      <c r="A326" s="78" t="n">
        <v>29952</v>
      </c>
      <c r="B326" t="n">
        <v>5.982417</v>
      </c>
      <c r="E326" t="n">
        <v>8.6</v>
      </c>
      <c r="X326" t="n">
        <v>2.2</v>
      </c>
      <c r="AL326" t="n">
        <v>8.6</v>
      </c>
    </row>
    <row r="327">
      <c r="A327" s="78" t="n">
        <v>29983</v>
      </c>
      <c r="B327" t="n">
        <v>6.308355</v>
      </c>
      <c r="E327" t="n">
        <v>8.9</v>
      </c>
      <c r="X327" t="n">
        <v>2.2</v>
      </c>
      <c r="AL327" t="n">
        <v>8.9</v>
      </c>
    </row>
    <row r="328">
      <c r="A328" s="78" t="n">
        <v>30011</v>
      </c>
      <c r="B328" t="n">
        <v>6.322474</v>
      </c>
      <c r="E328" t="n">
        <v>9.300000000000001</v>
      </c>
      <c r="X328" t="n">
        <v>2.3</v>
      </c>
      <c r="AL328" t="n">
        <v>9</v>
      </c>
    </row>
    <row r="329">
      <c r="A329" s="78" t="n">
        <v>30042</v>
      </c>
      <c r="B329" t="n">
        <v>6.333239</v>
      </c>
      <c r="E329" t="n">
        <v>9.800000000000001</v>
      </c>
      <c r="X329" t="n">
        <v>2.3</v>
      </c>
      <c r="AL329" t="n">
        <v>9.300000000000001</v>
      </c>
    </row>
    <row r="330">
      <c r="A330" s="78" t="n">
        <v>30072</v>
      </c>
      <c r="B330" t="n">
        <v>6.592115</v>
      </c>
      <c r="E330" t="n">
        <v>10.4</v>
      </c>
      <c r="X330" t="n">
        <v>2.3</v>
      </c>
      <c r="AL330" t="n">
        <v>9.4</v>
      </c>
    </row>
    <row r="331">
      <c r="A331" s="78" t="n">
        <v>30103</v>
      </c>
      <c r="B331" t="n">
        <v>6.766427</v>
      </c>
      <c r="E331" t="n">
        <v>11.1</v>
      </c>
      <c r="X331" t="n">
        <v>2.4</v>
      </c>
      <c r="AL331" t="n">
        <v>9.6</v>
      </c>
    </row>
    <row r="332">
      <c r="A332" s="78" t="n">
        <v>30133</v>
      </c>
      <c r="B332" t="n">
        <v>6.883143</v>
      </c>
      <c r="E332" t="n">
        <v>12</v>
      </c>
      <c r="X332" t="n">
        <v>2.4</v>
      </c>
      <c r="AL332" t="n">
        <v>9.800000000000001</v>
      </c>
    </row>
    <row r="333">
      <c r="A333" s="78" t="n">
        <v>30164</v>
      </c>
      <c r="B333" t="n">
        <v>7.011209</v>
      </c>
      <c r="E333" t="n">
        <v>12.1</v>
      </c>
      <c r="X333" t="n">
        <v>2.3</v>
      </c>
      <c r="AL333" t="n">
        <v>9.800000000000001</v>
      </c>
    </row>
    <row r="334">
      <c r="A334" s="78" t="n">
        <v>30195</v>
      </c>
      <c r="B334" t="n">
        <v>7.429191</v>
      </c>
      <c r="E334" t="n">
        <v>12.4</v>
      </c>
      <c r="X334" t="n">
        <v>2.4</v>
      </c>
      <c r="AL334" t="n">
        <v>10.1</v>
      </c>
    </row>
    <row r="335">
      <c r="A335" s="78" t="n">
        <v>30225</v>
      </c>
      <c r="B335" t="n">
        <v>8.294352999999999</v>
      </c>
      <c r="E335" t="n">
        <v>12.9</v>
      </c>
      <c r="X335" t="n">
        <v>2.5</v>
      </c>
      <c r="AL335" t="n">
        <v>10.4</v>
      </c>
    </row>
    <row r="336">
      <c r="A336" s="78" t="n">
        <v>30256</v>
      </c>
      <c r="B336" t="n">
        <v>8.678758999999999</v>
      </c>
      <c r="E336" t="n">
        <v>12.9</v>
      </c>
      <c r="X336" t="n">
        <v>2.4</v>
      </c>
      <c r="AL336" t="n">
        <v>10.8</v>
      </c>
    </row>
    <row r="337">
      <c r="A337" s="78" t="n">
        <v>30286</v>
      </c>
      <c r="B337" t="n">
        <v>9.401317000000001</v>
      </c>
      <c r="E337" t="n">
        <v>13</v>
      </c>
      <c r="X337" t="n">
        <v>2.5</v>
      </c>
      <c r="AL337" t="n">
        <v>10.8</v>
      </c>
    </row>
    <row r="338">
      <c r="A338" s="78" t="n">
        <v>30317</v>
      </c>
      <c r="B338" t="n">
        <v>9.299678</v>
      </c>
      <c r="D338" t="n">
        <v>10.4</v>
      </c>
      <c r="E338" t="n">
        <v>12.6</v>
      </c>
      <c r="J338" t="n">
        <v>8.1</v>
      </c>
      <c r="O338" t="n">
        <v>8.300000000000001</v>
      </c>
      <c r="Q338" t="n">
        <v>10.7</v>
      </c>
      <c r="T338" t="n">
        <v>12.9</v>
      </c>
      <c r="W338" t="n">
        <v>6.9</v>
      </c>
      <c r="X338" t="n">
        <v>2.7</v>
      </c>
      <c r="Z338" t="n">
        <v>3.3</v>
      </c>
      <c r="AC338" t="n">
        <v>9.5</v>
      </c>
      <c r="AG338" t="n">
        <v>8.1</v>
      </c>
      <c r="AJ338" t="n">
        <v>3.4</v>
      </c>
      <c r="AL338" t="n">
        <v>10.4</v>
      </c>
    </row>
    <row r="339">
      <c r="A339" s="78" t="n">
        <v>30348</v>
      </c>
      <c r="B339" t="n">
        <v>9.658428000000001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9.950566</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10.15167</v>
      </c>
      <c r="D341" t="n">
        <v>10.6</v>
      </c>
      <c r="E341" t="n">
        <v>12.5</v>
      </c>
      <c r="J341" t="n">
        <v>8.4</v>
      </c>
      <c r="O341" t="n">
        <v>8.300000000000001</v>
      </c>
      <c r="Q341" t="n">
        <v>11</v>
      </c>
      <c r="T341" t="n">
        <v>13.5</v>
      </c>
      <c r="W341" t="n">
        <v>7.2</v>
      </c>
      <c r="X341" t="n">
        <v>2.7</v>
      </c>
      <c r="Z341" t="n">
        <v>3.3</v>
      </c>
      <c r="AC341" t="n">
        <v>9.5</v>
      </c>
      <c r="AG341" t="n">
        <v>8.5</v>
      </c>
      <c r="AJ341" t="n">
        <v>3.4</v>
      </c>
      <c r="AL341" t="n">
        <v>10.2</v>
      </c>
    </row>
    <row r="342">
      <c r="A342" s="78" t="n">
        <v>30437</v>
      </c>
      <c r="B342" t="n">
        <v>10.32214</v>
      </c>
      <c r="D342" t="n">
        <v>10.7</v>
      </c>
      <c r="E342" t="n">
        <v>12.5</v>
      </c>
      <c r="J342" t="n">
        <v>8.4</v>
      </c>
      <c r="O342" t="n">
        <v>8.5</v>
      </c>
      <c r="Q342" t="n">
        <v>10.9</v>
      </c>
      <c r="T342" t="n">
        <v>13.7</v>
      </c>
      <c r="W342" t="n">
        <v>7.3</v>
      </c>
      <c r="X342" t="n">
        <v>2.7</v>
      </c>
      <c r="Z342" t="n">
        <v>3.5</v>
      </c>
      <c r="AC342" t="n">
        <v>9.5</v>
      </c>
      <c r="AG342" t="n">
        <v>8.800000000000001</v>
      </c>
      <c r="AJ342" t="n">
        <v>3.7</v>
      </c>
      <c r="AL342" t="n">
        <v>10.1</v>
      </c>
    </row>
    <row r="343">
      <c r="A343" s="78" t="n">
        <v>30468</v>
      </c>
      <c r="B343" t="n">
        <v>10.2024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10.5218</v>
      </c>
      <c r="D344" t="n">
        <v>10.8</v>
      </c>
      <c r="E344" t="n">
        <v>12.1</v>
      </c>
      <c r="J344" t="n">
        <v>8.5</v>
      </c>
      <c r="O344" t="n">
        <v>8.9</v>
      </c>
      <c r="Q344" t="n">
        <v>10.9</v>
      </c>
      <c r="T344" t="n">
        <v>14</v>
      </c>
      <c r="W344" t="n">
        <v>7.4</v>
      </c>
      <c r="X344" t="n">
        <v>2.6</v>
      </c>
      <c r="Z344" t="n">
        <v>3.6</v>
      </c>
      <c r="AC344" t="n">
        <v>9.5</v>
      </c>
      <c r="AG344" t="n">
        <v>9.199999999999999</v>
      </c>
      <c r="AJ344" t="n">
        <v>3.7</v>
      </c>
      <c r="AL344" t="n">
        <v>9.4</v>
      </c>
    </row>
    <row r="345">
      <c r="A345" s="78" t="n">
        <v>30529</v>
      </c>
      <c r="B345" t="n">
        <v>10.21849</v>
      </c>
      <c r="D345" t="n">
        <v>10.8</v>
      </c>
      <c r="E345" t="n">
        <v>11.8</v>
      </c>
      <c r="J345" t="n">
        <v>8.5</v>
      </c>
      <c r="O345" t="n">
        <v>9</v>
      </c>
      <c r="Q345" t="n">
        <v>10.9</v>
      </c>
      <c r="T345" t="n">
        <v>14.1</v>
      </c>
      <c r="W345" t="n">
        <v>7.4</v>
      </c>
      <c r="X345" t="n">
        <v>2.8</v>
      </c>
      <c r="Z345" t="n">
        <v>3.7</v>
      </c>
      <c r="AC345" t="n">
        <v>9.5</v>
      </c>
      <c r="AG345" t="n">
        <v>9.4</v>
      </c>
      <c r="AJ345" t="n">
        <v>3.8</v>
      </c>
      <c r="AL345" t="n">
        <v>9.5</v>
      </c>
    </row>
    <row r="346">
      <c r="A346" s="78" t="n">
        <v>30560</v>
      </c>
      <c r="B346" t="n">
        <v>10.3374</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10.00716</v>
      </c>
      <c r="D347" t="n">
        <v>11</v>
      </c>
      <c r="E347" t="n">
        <v>11.2</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9.65347</v>
      </c>
      <c r="D348" t="n">
        <v>11</v>
      </c>
      <c r="E348" t="n">
        <v>11.1</v>
      </c>
      <c r="J348" t="n">
        <v>8.4</v>
      </c>
      <c r="O348" t="n">
        <v>9.4</v>
      </c>
      <c r="Q348" t="n">
        <v>10.8</v>
      </c>
      <c r="T348" t="n">
        <v>14.6</v>
      </c>
      <c r="W348" t="n">
        <v>7.7</v>
      </c>
      <c r="X348" t="n">
        <v>2.6</v>
      </c>
      <c r="Z348" t="n">
        <v>3.4</v>
      </c>
      <c r="AC348" t="n">
        <v>9.5</v>
      </c>
      <c r="AG348" t="n">
        <v>9.300000000000001</v>
      </c>
      <c r="AJ348" t="n">
        <v>3.7</v>
      </c>
      <c r="AL348" t="n">
        <v>8.5</v>
      </c>
    </row>
    <row r="349">
      <c r="A349" s="78" t="n">
        <v>30651</v>
      </c>
      <c r="B349" t="n">
        <v>9.456554000000001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9.497960000000001</v>
      </c>
      <c r="D350" t="n">
        <v>10.9</v>
      </c>
      <c r="E350" t="n">
        <v>11.2</v>
      </c>
      <c r="J350" t="n">
        <v>8.300000000000001</v>
      </c>
      <c r="O350" t="n">
        <v>9.6</v>
      </c>
      <c r="Q350" t="n">
        <v>10.7</v>
      </c>
      <c r="T350" t="n">
        <v>14.9</v>
      </c>
      <c r="W350" t="n">
        <v>7.9</v>
      </c>
      <c r="X350" t="n">
        <v>2.7</v>
      </c>
      <c r="Z350" t="n">
        <v>3.3</v>
      </c>
      <c r="AC350" t="n">
        <v>9.5</v>
      </c>
      <c r="AG350" t="n">
        <v>9.4</v>
      </c>
      <c r="AJ350" t="n">
        <v>3.7</v>
      </c>
      <c r="AL350" t="n">
        <v>8</v>
      </c>
    </row>
    <row r="351">
      <c r="A351" s="78" t="n">
        <v>30713</v>
      </c>
      <c r="B351" t="n">
        <v>9.38538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9.207489000000001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9.370096</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8.93572</v>
      </c>
      <c r="D354" t="n">
        <v>10.8</v>
      </c>
      <c r="E354" t="n">
        <v>11.8</v>
      </c>
      <c r="J354" t="n">
        <v>8</v>
      </c>
      <c r="O354" t="n">
        <v>9.9</v>
      </c>
      <c r="Q354" t="n">
        <v>10.7</v>
      </c>
      <c r="T354" t="n">
        <v>15.4</v>
      </c>
      <c r="W354" t="n">
        <v>7.8</v>
      </c>
      <c r="X354" t="n">
        <v>2.7</v>
      </c>
      <c r="Z354" t="n">
        <v>2.9</v>
      </c>
      <c r="AC354" t="n">
        <v>9.4</v>
      </c>
      <c r="AG354" t="n">
        <v>9.5</v>
      </c>
      <c r="AJ354" t="n">
        <v>3.3</v>
      </c>
      <c r="AL354" t="n">
        <v>7.4</v>
      </c>
    </row>
    <row r="355">
      <c r="A355" s="78" t="n">
        <v>30834</v>
      </c>
      <c r="B355" t="n">
        <v>9.094374</v>
      </c>
      <c r="D355" t="n">
        <v>10.8</v>
      </c>
      <c r="E355" t="n">
        <v>11.2</v>
      </c>
      <c r="J355" t="n">
        <v>8</v>
      </c>
      <c r="O355" t="n">
        <v>10</v>
      </c>
      <c r="Q355" t="n">
        <v>10.8</v>
      </c>
      <c r="T355" t="n">
        <v>15.4</v>
      </c>
      <c r="W355" t="n">
        <v>7.8</v>
      </c>
      <c r="X355" t="n">
        <v>2.8</v>
      </c>
      <c r="Z355" t="n">
        <v>2.9</v>
      </c>
      <c r="AC355" t="n">
        <v>9.300000000000001</v>
      </c>
      <c r="AG355" t="n">
        <v>9.6</v>
      </c>
      <c r="AJ355" t="n">
        <v>3.2</v>
      </c>
      <c r="AL355" t="n">
        <v>7.2</v>
      </c>
    </row>
    <row r="356">
      <c r="A356" s="78" t="n">
        <v>30864</v>
      </c>
      <c r="B356" t="n">
        <v>8.919109000000001</v>
      </c>
      <c r="D356" t="n">
        <v>10.8</v>
      </c>
      <c r="E356" t="n">
        <v>11</v>
      </c>
      <c r="J356" t="n">
        <v>7.9</v>
      </c>
      <c r="O356" t="n">
        <v>10.1</v>
      </c>
      <c r="Q356" t="n">
        <v>10.9</v>
      </c>
      <c r="T356" t="n">
        <v>15.5</v>
      </c>
      <c r="W356" t="n">
        <v>7.8</v>
      </c>
      <c r="X356" t="n">
        <v>2.8</v>
      </c>
      <c r="Z356" t="n">
        <v>3</v>
      </c>
      <c r="AC356" t="n">
        <v>9.300000000000001</v>
      </c>
      <c r="AG356" t="n">
        <v>9.6</v>
      </c>
      <c r="AJ356" t="n">
        <v>3.3</v>
      </c>
      <c r="AL356" t="n">
        <v>7.5</v>
      </c>
    </row>
    <row r="357">
      <c r="A357" s="78" t="n">
        <v>30895</v>
      </c>
      <c r="B357" t="n">
        <v>8.828099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8.734541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8.694673999999999</v>
      </c>
      <c r="D359" t="n">
        <v>10.8</v>
      </c>
      <c r="E359" t="n">
        <v>11.4</v>
      </c>
      <c r="J359" t="n">
        <v>7.7</v>
      </c>
      <c r="O359" t="n">
        <v>10.4</v>
      </c>
      <c r="Q359" t="n">
        <v>11</v>
      </c>
      <c r="T359" t="n">
        <v>15.8</v>
      </c>
      <c r="W359" t="n">
        <v>7.8</v>
      </c>
      <c r="X359" t="n">
        <v>2.7</v>
      </c>
      <c r="Z359" t="n">
        <v>3</v>
      </c>
      <c r="AC359" t="n">
        <v>9.1</v>
      </c>
      <c r="AG359" t="n">
        <v>9.800000000000001</v>
      </c>
      <c r="AJ359" t="n">
        <v>3.3</v>
      </c>
      <c r="AL359" t="n">
        <v>7.4</v>
      </c>
    </row>
    <row r="360">
      <c r="A360" s="78" t="n">
        <v>30987</v>
      </c>
      <c r="B360" t="n">
        <v>8.678521</v>
      </c>
      <c r="D360" t="n">
        <v>10.8</v>
      </c>
      <c r="E360" t="n">
        <v>11.5</v>
      </c>
      <c r="J360" t="n">
        <v>7.6</v>
      </c>
      <c r="O360" t="n">
        <v>10.4</v>
      </c>
      <c r="Q360" t="n">
        <v>11.1</v>
      </c>
      <c r="T360" t="n">
        <v>16</v>
      </c>
      <c r="W360" t="n">
        <v>7.8</v>
      </c>
      <c r="X360" t="n">
        <v>2.7</v>
      </c>
      <c r="Z360" t="n">
        <v>3</v>
      </c>
      <c r="AC360" t="n">
        <v>9</v>
      </c>
      <c r="AG360" t="n">
        <v>9.9</v>
      </c>
      <c r="AJ360" t="n">
        <v>3</v>
      </c>
      <c r="AL360" t="n">
        <v>7.2</v>
      </c>
    </row>
    <row r="361">
      <c r="A361" s="78" t="n">
        <v>31017</v>
      </c>
      <c r="B361" t="n">
        <v>8.51868</v>
      </c>
      <c r="D361" t="n">
        <v>10.7</v>
      </c>
      <c r="E361" t="n">
        <v>11</v>
      </c>
      <c r="J361" t="n">
        <v>7.4</v>
      </c>
      <c r="O361" t="n">
        <v>10.5</v>
      </c>
      <c r="Q361" t="n">
        <v>11.1</v>
      </c>
      <c r="T361" t="n">
        <v>16.1</v>
      </c>
      <c r="W361" t="n">
        <v>7.9</v>
      </c>
      <c r="X361" t="n">
        <v>2.6</v>
      </c>
      <c r="Z361" t="n">
        <v>2.8</v>
      </c>
      <c r="AC361" t="n">
        <v>9</v>
      </c>
      <c r="AG361" t="n">
        <v>9.800000000000001</v>
      </c>
      <c r="AJ361" t="n">
        <v>2.9</v>
      </c>
      <c r="AL361" t="n">
        <v>7.3</v>
      </c>
    </row>
    <row r="362">
      <c r="A362" s="78" t="n">
        <v>31048</v>
      </c>
      <c r="B362" t="n">
        <v>8.549894</v>
      </c>
      <c r="D362" t="n">
        <v>10.6</v>
      </c>
      <c r="E362" t="n">
        <v>10.8</v>
      </c>
      <c r="J362" t="n">
        <v>7.4</v>
      </c>
      <c r="O362" t="n">
        <v>10.4</v>
      </c>
      <c r="Q362" t="n">
        <v>11.2</v>
      </c>
      <c r="T362" t="n">
        <v>16.3</v>
      </c>
      <c r="W362" t="n">
        <v>8</v>
      </c>
      <c r="X362" t="n">
        <v>2.5</v>
      </c>
      <c r="Z362" t="n">
        <v>2.8</v>
      </c>
      <c r="AC362" t="n">
        <v>8.9</v>
      </c>
      <c r="AG362" t="n">
        <v>9.6</v>
      </c>
      <c r="AJ362" t="n">
        <v>3.1</v>
      </c>
      <c r="AL362" t="n">
        <v>7.3</v>
      </c>
    </row>
    <row r="363">
      <c r="A363" s="78" t="n">
        <v>31079</v>
      </c>
      <c r="B363" t="n">
        <v>8.389163999999999</v>
      </c>
      <c r="D363" t="n">
        <v>10.6</v>
      </c>
      <c r="E363" t="n">
        <v>10.9</v>
      </c>
      <c r="J363" t="n">
        <v>7.3</v>
      </c>
      <c r="O363" t="n">
        <v>10.4</v>
      </c>
      <c r="Q363" t="n">
        <v>11.2</v>
      </c>
      <c r="T363" t="n">
        <v>16.6</v>
      </c>
      <c r="W363" t="n">
        <v>8</v>
      </c>
      <c r="X363" t="n">
        <v>2.6</v>
      </c>
      <c r="Z363" t="n">
        <v>2.8</v>
      </c>
      <c r="AC363" t="n">
        <v>8.800000000000001</v>
      </c>
      <c r="AG363" t="n">
        <v>9.6</v>
      </c>
      <c r="AJ363" t="n">
        <v>2.9</v>
      </c>
      <c r="AL363" t="n">
        <v>7.2</v>
      </c>
    </row>
    <row r="364">
      <c r="A364" s="78" t="n">
        <v>31107</v>
      </c>
      <c r="B364" t="n">
        <v>8.664764999999999</v>
      </c>
      <c r="D364" t="n">
        <v>10.4</v>
      </c>
      <c r="E364" t="n">
        <v>11.1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8.40245</v>
      </c>
      <c r="D365" t="n">
        <v>10.2</v>
      </c>
      <c r="E365" t="n">
        <v>10.9</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8.375187</v>
      </c>
      <c r="D366" t="n">
        <v>10.1</v>
      </c>
      <c r="E366" t="n">
        <v>10.7</v>
      </c>
      <c r="J366" t="n">
        <v>7</v>
      </c>
      <c r="O366" t="n">
        <v>10.4</v>
      </c>
      <c r="Q366" t="n">
        <v>11.3</v>
      </c>
      <c r="T366" t="n">
        <v>16.7</v>
      </c>
      <c r="W366" t="n">
        <v>8</v>
      </c>
      <c r="X366" t="n">
        <v>2.6</v>
      </c>
      <c r="Z366" t="n">
        <v>3</v>
      </c>
      <c r="AC366" t="n">
        <v>8.6</v>
      </c>
      <c r="AG366" t="n">
        <v>9.800000000000001</v>
      </c>
      <c r="AJ366" t="n">
        <v>3</v>
      </c>
      <c r="AL366" t="n">
        <v>7.2</v>
      </c>
    </row>
    <row r="367">
      <c r="A367" s="78" t="n">
        <v>31199</v>
      </c>
      <c r="B367" t="n">
        <v>8.569357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8.309718999999999</v>
      </c>
      <c r="D368" t="n">
        <v>9.9</v>
      </c>
      <c r="E368" t="n">
        <v>10.5</v>
      </c>
      <c r="J368" t="n">
        <v>6.6</v>
      </c>
      <c r="O368" t="n">
        <v>10.4</v>
      </c>
      <c r="Q368" t="n">
        <v>11.2</v>
      </c>
      <c r="T368" t="n">
        <v>16.9</v>
      </c>
      <c r="W368" t="n">
        <v>8.199999999999999</v>
      </c>
      <c r="X368" t="n">
        <v>2.6</v>
      </c>
      <c r="Z368" t="n">
        <v>3</v>
      </c>
      <c r="AC368" t="n">
        <v>8.4</v>
      </c>
      <c r="AG368" t="n">
        <v>9.9</v>
      </c>
      <c r="AJ368" t="n">
        <v>2.8</v>
      </c>
      <c r="AL368" t="n">
        <v>7.4</v>
      </c>
    </row>
    <row r="369">
      <c r="A369" s="78" t="n">
        <v>31260</v>
      </c>
      <c r="B369" t="n">
        <v>8.155189</v>
      </c>
      <c r="D369" t="n">
        <v>9.9</v>
      </c>
      <c r="E369" t="n">
        <v>10.5</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8.057086</v>
      </c>
      <c r="D370" t="n">
        <v>9.9</v>
      </c>
      <c r="E370" t="n">
        <v>10.4</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7.84792</v>
      </c>
      <c r="D371" t="n">
        <v>9.9</v>
      </c>
      <c r="E371" t="n">
        <v>10.5</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7.949905</v>
      </c>
      <c r="D372" t="n">
        <v>9.9</v>
      </c>
      <c r="E372" t="n">
        <v>10.4</v>
      </c>
      <c r="J372" t="n">
        <v>5.8</v>
      </c>
      <c r="O372" t="n">
        <v>10.5</v>
      </c>
      <c r="Q372" t="n">
        <v>11.1</v>
      </c>
      <c r="T372" t="n">
        <v>16.9</v>
      </c>
      <c r="W372" t="n">
        <v>8.4</v>
      </c>
      <c r="X372" t="n">
        <v>2.8</v>
      </c>
      <c r="Z372" t="n">
        <v>2.8</v>
      </c>
      <c r="AC372" t="n">
        <v>8.1</v>
      </c>
      <c r="AG372" t="n">
        <v>10</v>
      </c>
      <c r="AJ372" t="n">
        <v>2.7</v>
      </c>
      <c r="AL372" t="n">
        <v>7</v>
      </c>
    </row>
    <row r="373">
      <c r="A373" s="78" t="n">
        <v>31382</v>
      </c>
      <c r="B373" t="n">
        <v>7.783872</v>
      </c>
      <c r="D373" t="n">
        <v>10</v>
      </c>
      <c r="E373" t="n">
        <v>10.2</v>
      </c>
      <c r="J373" t="n">
        <v>5.6</v>
      </c>
      <c r="O373" t="n">
        <v>10.5</v>
      </c>
      <c r="Q373" t="n">
        <v>11.2</v>
      </c>
      <c r="T373" t="n">
        <v>17</v>
      </c>
      <c r="W373" t="n">
        <v>8.5</v>
      </c>
      <c r="X373" t="n">
        <v>2.8</v>
      </c>
      <c r="Z373" t="n">
        <v>2.8</v>
      </c>
      <c r="AC373" t="n">
        <v>8</v>
      </c>
      <c r="AG373" t="n">
        <v>10.1</v>
      </c>
      <c r="AJ373" t="n">
        <v>2.8</v>
      </c>
      <c r="AL373" t="n">
        <v>7</v>
      </c>
    </row>
    <row r="374">
      <c r="A374" s="78" t="n">
        <v>31413</v>
      </c>
      <c r="B374" t="n">
        <v>7.804641</v>
      </c>
      <c r="D374" t="n">
        <v>10.1</v>
      </c>
      <c r="E374" t="n">
        <v>10</v>
      </c>
      <c r="G374" t="n">
        <v>14.48463</v>
      </c>
      <c r="J374" t="n">
        <v>5.4</v>
      </c>
      <c r="O374" t="n">
        <v>10.4</v>
      </c>
      <c r="Q374" t="n">
        <v>11.2</v>
      </c>
      <c r="T374" t="n">
        <v>16.9</v>
      </c>
      <c r="W374" t="n">
        <v>8.5</v>
      </c>
      <c r="X374" t="n">
        <v>2.7</v>
      </c>
      <c r="Z374" t="n">
        <v>2.8</v>
      </c>
      <c r="AC374" t="n">
        <v>7.9</v>
      </c>
      <c r="AG374" t="n">
        <v>10.1</v>
      </c>
      <c r="AJ374" t="n">
        <v>2.7</v>
      </c>
      <c r="AL374" t="n">
        <v>6.7</v>
      </c>
    </row>
    <row r="375">
      <c r="A375" s="78" t="n">
        <v>31444</v>
      </c>
      <c r="B375" t="n">
        <v>8.002862</v>
      </c>
      <c r="D375" t="n">
        <v>10.1</v>
      </c>
      <c r="E375" t="n">
        <v>10</v>
      </c>
      <c r="G375" t="n">
        <v>13.88292</v>
      </c>
      <c r="J375" t="n">
        <v>5.2</v>
      </c>
      <c r="O375" t="n">
        <v>10.3</v>
      </c>
      <c r="Q375" t="n">
        <v>11.1</v>
      </c>
      <c r="T375" t="n">
        <v>16.8</v>
      </c>
      <c r="W375" t="n">
        <v>8.6</v>
      </c>
      <c r="X375" t="n">
        <v>2.6</v>
      </c>
      <c r="Z375" t="n">
        <v>2.8</v>
      </c>
      <c r="AC375" t="n">
        <v>7.8</v>
      </c>
      <c r="AG375" t="n">
        <v>10.1</v>
      </c>
      <c r="AJ375" t="n">
        <v>2.9</v>
      </c>
      <c r="AL375" t="n">
        <v>7.2</v>
      </c>
    </row>
    <row r="376">
      <c r="A376" s="78" t="n">
        <v>31472</v>
      </c>
      <c r="B376" t="n">
        <v>7.926477</v>
      </c>
      <c r="D376" t="n">
        <v>10.1</v>
      </c>
      <c r="E376" t="n">
        <v>9.9</v>
      </c>
      <c r="G376" t="n">
        <v>13.09178</v>
      </c>
      <c r="J376" t="n">
        <v>5.1</v>
      </c>
      <c r="O376" t="n">
        <v>10.4</v>
      </c>
      <c r="Q376" t="n">
        <v>11.2</v>
      </c>
      <c r="T376" t="n">
        <v>16.8</v>
      </c>
      <c r="W376" t="n">
        <v>8.6</v>
      </c>
      <c r="X376" t="n">
        <v>2.7</v>
      </c>
      <c r="Z376" t="n">
        <v>2.7</v>
      </c>
      <c r="AC376" t="n">
        <v>7.8</v>
      </c>
      <c r="AG376" t="n">
        <v>10.1</v>
      </c>
      <c r="AJ376" t="n">
        <v>2.9</v>
      </c>
      <c r="AL376" t="n">
        <v>7.2</v>
      </c>
    </row>
    <row r="377">
      <c r="A377" s="78" t="n">
        <v>31503</v>
      </c>
      <c r="B377" t="n">
        <v>7.900908</v>
      </c>
      <c r="D377" t="n">
        <v>10.1</v>
      </c>
      <c r="E377" t="n">
        <v>9.800000000000001</v>
      </c>
      <c r="G377" t="n">
        <v>12.48515</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7.845691</v>
      </c>
      <c r="D378" t="n">
        <v>10.1</v>
      </c>
      <c r="E378" t="n">
        <v>9.699999999999999</v>
      </c>
      <c r="G378" t="n">
        <v>12.01439</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7.651785</v>
      </c>
      <c r="D379" t="n">
        <v>10.1</v>
      </c>
      <c r="E379" t="n">
        <v>9.699999999999999</v>
      </c>
      <c r="G379" t="n">
        <v>11.55909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8.110531</v>
      </c>
      <c r="D380" t="n">
        <v>10</v>
      </c>
      <c r="E380" t="n">
        <v>9.6</v>
      </c>
      <c r="G380" t="n">
        <v>11.2784</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8.238811</v>
      </c>
      <c r="D381" t="n">
        <v>9.9</v>
      </c>
      <c r="E381" t="n">
        <v>9.6</v>
      </c>
      <c r="G381" t="n">
        <v>11.30918</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8.337732000000001</v>
      </c>
      <c r="D382" t="n">
        <v>9.9</v>
      </c>
      <c r="E382" t="n">
        <v>9.6</v>
      </c>
      <c r="G382" t="n">
        <v>11.29553</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8.309134</v>
      </c>
      <c r="D383" t="n">
        <v>10</v>
      </c>
      <c r="E383" t="n">
        <v>9.5</v>
      </c>
      <c r="G383" t="n">
        <v>11.50413</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8.318424</v>
      </c>
      <c r="D384" t="n">
        <v>10.1</v>
      </c>
      <c r="E384" t="n">
        <v>9.4</v>
      </c>
      <c r="G384" t="n">
        <v>11.23174</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8.362515</v>
      </c>
      <c r="D385" t="n">
        <v>10.1</v>
      </c>
      <c r="E385" t="n">
        <v>9.5</v>
      </c>
      <c r="G385" t="n">
        <v>11.018</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8.185757000000001</v>
      </c>
      <c r="D386" t="n">
        <v>10.1</v>
      </c>
      <c r="E386" t="n">
        <v>9.5</v>
      </c>
      <c r="G386" t="n">
        <v>10.99699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8.211022</v>
      </c>
      <c r="D387" t="n">
        <v>10</v>
      </c>
      <c r="E387" t="n">
        <v>9.5</v>
      </c>
      <c r="G387" t="n">
        <v>11.05762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8.434282</v>
      </c>
      <c r="D388" t="n">
        <v>10</v>
      </c>
      <c r="E388" t="n">
        <v>9.5</v>
      </c>
      <c r="G388" t="n">
        <v>11.19658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8.300402999999999</v>
      </c>
      <c r="D389" t="n">
        <v>10</v>
      </c>
      <c r="E389" t="n">
        <v>9.199999999999999</v>
      </c>
      <c r="G389" t="n">
        <v>11.31653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8.200932999999999</v>
      </c>
      <c r="D390" t="n">
        <v>9.9</v>
      </c>
      <c r="E390" t="n">
        <v>8.9</v>
      </c>
      <c r="G390" t="n">
        <v>11.40097</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8.007296999999999</v>
      </c>
      <c r="D391" t="n">
        <v>9.9</v>
      </c>
      <c r="E391" t="n">
        <v>8.9</v>
      </c>
      <c r="G391" t="n">
        <v>11.42261</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8.075734000000001</v>
      </c>
      <c r="D392" t="n">
        <v>9.800000000000001</v>
      </c>
      <c r="E392" t="n">
        <v>8.699999999999999</v>
      </c>
      <c r="G392" t="n">
        <v>11.09474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8.105145</v>
      </c>
      <c r="D393" t="n">
        <v>9.699999999999999</v>
      </c>
      <c r="E393" t="n">
        <v>8.6</v>
      </c>
      <c r="G393" t="n">
        <v>10.89211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7.754948</v>
      </c>
      <c r="D394" t="n">
        <v>9.6</v>
      </c>
      <c r="E394" t="n">
        <v>8.5</v>
      </c>
      <c r="G394" t="n">
        <v>10.82978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8.085400999999999</v>
      </c>
      <c r="D395" t="n">
        <v>9.6</v>
      </c>
      <c r="E395" t="n">
        <v>8.300000000000001</v>
      </c>
      <c r="G395" t="n">
        <v>10.24201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7.930709</v>
      </c>
      <c r="D396" t="n">
        <v>9.6</v>
      </c>
      <c r="E396" t="n">
        <v>8.1</v>
      </c>
      <c r="G396" t="n">
        <v>10.36048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7.727547</v>
      </c>
      <c r="D397" t="n">
        <v>9.5</v>
      </c>
      <c r="E397" t="n">
        <v>8</v>
      </c>
      <c r="G397" t="n">
        <v>10.1994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7.63027</v>
      </c>
      <c r="D398" t="n">
        <v>9.5</v>
      </c>
      <c r="E398" t="n">
        <v>8</v>
      </c>
      <c r="G398" t="n">
        <v>10.67433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7.417001</v>
      </c>
      <c r="D399" t="n">
        <v>9.4</v>
      </c>
      <c r="E399" t="n">
        <v>7.8</v>
      </c>
      <c r="G399" t="n">
        <v>10.46031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7.503083</v>
      </c>
      <c r="D400" t="n">
        <v>9.300000000000001</v>
      </c>
      <c r="E400" t="n">
        <v>7.8</v>
      </c>
      <c r="G400" t="n">
        <v>10.58368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7.913194</v>
      </c>
      <c r="D401" t="n">
        <v>9.199999999999999</v>
      </c>
      <c r="E401" t="n">
        <v>7.7</v>
      </c>
      <c r="G401" t="n">
        <v>10.31353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7.450668</v>
      </c>
      <c r="D402" t="n">
        <v>9.1</v>
      </c>
      <c r="E402" t="n">
        <v>7.8</v>
      </c>
      <c r="G402" t="n">
        <v>10.28181</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7.583986</v>
      </c>
      <c r="D403" t="n">
        <v>8.9</v>
      </c>
      <c r="E403" t="n">
        <v>7.6</v>
      </c>
      <c r="G403" t="n">
        <v>10.01806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6.756271</v>
      </c>
      <c r="D404" t="n">
        <v>8.800000000000001</v>
      </c>
      <c r="E404" t="n">
        <v>7.8</v>
      </c>
      <c r="G404" t="n">
        <v>9.858439000000001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7.068423</v>
      </c>
      <c r="D405" t="n">
        <v>8.699999999999999</v>
      </c>
      <c r="E405" t="n">
        <v>7.9</v>
      </c>
      <c r="G405" t="n">
        <v>9.651161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6.934225</v>
      </c>
      <c r="D406" t="n">
        <v>8.5</v>
      </c>
      <c r="E406" t="n">
        <v>7.9</v>
      </c>
      <c r="G406" t="n">
        <v>9.188929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6.817611</v>
      </c>
      <c r="D407" t="n">
        <v>8.300000000000001</v>
      </c>
      <c r="E407" t="n">
        <v>7.7</v>
      </c>
      <c r="G407" t="n">
        <v>8.884088</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6.612473</v>
      </c>
      <c r="D408" t="n">
        <v>8.199999999999999</v>
      </c>
      <c r="E408" t="n">
        <v>7.7</v>
      </c>
      <c r="G408" t="n">
        <v>8.60314</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6.83211</v>
      </c>
      <c r="D409" t="n">
        <v>8.1</v>
      </c>
      <c r="E409" t="n">
        <v>7.5</v>
      </c>
      <c r="G409" t="n">
        <v>8.316151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6.806937</v>
      </c>
      <c r="D410" t="n">
        <v>7.9</v>
      </c>
      <c r="E410" t="n">
        <v>7.5</v>
      </c>
      <c r="G410" t="n">
        <v>8.171818</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6.638079</v>
      </c>
      <c r="D411" t="n">
        <v>7.8</v>
      </c>
      <c r="E411" t="n">
        <v>7.6</v>
      </c>
      <c r="G411" t="n">
        <v>8.199218999999999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6.343192</v>
      </c>
      <c r="D412" t="n">
        <v>7.7</v>
      </c>
      <c r="E412" t="n">
        <v>7.5</v>
      </c>
      <c r="G412" t="n">
        <v>8.297116000000001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6.200236</v>
      </c>
      <c r="D413" t="n">
        <v>7.6</v>
      </c>
      <c r="E413" t="n">
        <v>7.8</v>
      </c>
      <c r="G413" t="n">
        <v>8.413126</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6.279634</v>
      </c>
      <c r="D414" t="n">
        <v>7.5</v>
      </c>
      <c r="E414" t="n">
        <v>7.7</v>
      </c>
      <c r="G414" t="n">
        <v>8.218049000000001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6.011333</v>
      </c>
      <c r="D415" t="n">
        <v>7.4</v>
      </c>
      <c r="E415" t="n">
        <v>7.5</v>
      </c>
      <c r="G415" t="n">
        <v>7.825565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6.039479</v>
      </c>
      <c r="D416" t="n">
        <v>7.3</v>
      </c>
      <c r="E416" t="n">
        <v>7.6</v>
      </c>
      <c r="G416" t="n">
        <v>7.734952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5.944443</v>
      </c>
      <c r="D417" t="n">
        <v>7.2</v>
      </c>
      <c r="E417" t="n">
        <v>7.4</v>
      </c>
      <c r="G417" t="n">
        <v>7.523926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6.031066</v>
      </c>
      <c r="D418" t="n">
        <v>7.1</v>
      </c>
      <c r="E418" t="n">
        <v>7.3</v>
      </c>
      <c r="G418" t="n">
        <v>7.774278</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5.924278</v>
      </c>
      <c r="D419" t="n">
        <v>7</v>
      </c>
      <c r="E419" t="n">
        <v>7.3</v>
      </c>
      <c r="G419" t="n">
        <v>7.664906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5.786608</v>
      </c>
      <c r="D420" t="n">
        <v>7</v>
      </c>
      <c r="E420" t="n">
        <v>7.5</v>
      </c>
      <c r="G420" t="n">
        <v>7.68962</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5.847773</v>
      </c>
      <c r="D421" t="n">
        <v>6.9</v>
      </c>
      <c r="E421" t="n">
        <v>7.7</v>
      </c>
      <c r="G421" t="n">
        <v>7.409795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6.112361</v>
      </c>
      <c r="D422" t="n">
        <v>6.8</v>
      </c>
      <c r="E422" t="n">
        <v>7.9</v>
      </c>
      <c r="G422" t="n">
        <v>7.314618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6.392068</v>
      </c>
      <c r="D423" t="n">
        <v>6.7</v>
      </c>
      <c r="E423" t="n">
        <v>7.7</v>
      </c>
      <c r="G423" t="n">
        <v>7.398758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6.187473</v>
      </c>
      <c r="D424" t="n">
        <v>6.7</v>
      </c>
      <c r="E424" t="n">
        <v>7.3</v>
      </c>
      <c r="G424" t="n">
        <v>7.666468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6.278881</v>
      </c>
      <c r="D425" t="n">
        <v>6.6</v>
      </c>
      <c r="E425" t="n">
        <v>7.6</v>
      </c>
      <c r="G425" t="n">
        <v>7.808944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6.504589</v>
      </c>
      <c r="D426" t="n">
        <v>6.6</v>
      </c>
      <c r="E426" t="n">
        <v>7.8</v>
      </c>
      <c r="G426" t="n">
        <v>7.895019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6.608166</v>
      </c>
      <c r="D427" t="n">
        <v>6.6</v>
      </c>
      <c r="E427" t="n">
        <v>7.6</v>
      </c>
      <c r="G427" t="n">
        <v>7.883677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7.098155</v>
      </c>
      <c r="D428" t="n">
        <v>6.6</v>
      </c>
      <c r="E428" t="n">
        <v>7.9</v>
      </c>
      <c r="G428" t="n">
        <v>7.823649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7.211942</v>
      </c>
      <c r="D429" t="n">
        <v>6.5</v>
      </c>
      <c r="E429" t="n">
        <v>8.1</v>
      </c>
      <c r="G429" t="n">
        <v>7.719202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7.374335</v>
      </c>
      <c r="D430" t="n">
        <v>6.4</v>
      </c>
      <c r="E430" t="n">
        <v>8.5</v>
      </c>
      <c r="G430" t="n">
        <v>7.869085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7.637565</v>
      </c>
      <c r="D431" t="n">
        <v>6.4</v>
      </c>
      <c r="E431" t="n">
        <v>8.800000000000001</v>
      </c>
      <c r="G431" t="n">
        <v>8.118373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7.946015</v>
      </c>
      <c r="D432" t="n">
        <v>6.4</v>
      </c>
      <c r="E432" t="n">
        <v>9.1</v>
      </c>
      <c r="G432" t="n">
        <v>8.041408000000001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8.019038999999999</v>
      </c>
      <c r="D433" t="n">
        <v>6.4</v>
      </c>
      <c r="E433" t="n">
        <v>9.5</v>
      </c>
      <c r="G433" t="n">
        <v>7.970635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8.396696</v>
      </c>
      <c r="D434" t="n">
        <v>6.4</v>
      </c>
      <c r="E434" t="n">
        <v>9.800000000000001</v>
      </c>
      <c r="G434" t="n">
        <v>7.97964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8.617777</v>
      </c>
      <c r="D435" t="n">
        <v>6.4</v>
      </c>
      <c r="E435" t="n">
        <v>10.2</v>
      </c>
      <c r="G435" t="n">
        <v>8.290645</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9.185176999999999</v>
      </c>
      <c r="D436" t="n">
        <v>6.4</v>
      </c>
      <c r="E436" t="n">
        <v>10.5</v>
      </c>
      <c r="G436" t="n">
        <v>8.198045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9.859970000000001</v>
      </c>
      <c r="D437" t="n">
        <v>6.4</v>
      </c>
      <c r="E437" t="n">
        <v>10.3</v>
      </c>
      <c r="G437" t="n">
        <v>8.132936000000001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9.503285999999999</v>
      </c>
      <c r="D438" t="n">
        <v>6.4</v>
      </c>
      <c r="E438" t="n">
        <v>10.2</v>
      </c>
      <c r="G438" t="n">
        <v>8.030816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9.555211999999999</v>
      </c>
      <c r="D439" t="n">
        <v>6.4</v>
      </c>
      <c r="E439" t="n">
        <v>10.5</v>
      </c>
      <c r="G439" t="n">
        <v>8.453575000000001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9.676418999999999</v>
      </c>
      <c r="D440" t="n">
        <v>6.4</v>
      </c>
      <c r="E440" t="n">
        <v>10.5</v>
      </c>
      <c r="G440" t="n">
        <v>8.505165999999999</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9.790671</v>
      </c>
      <c r="D441" t="n">
        <v>6.4</v>
      </c>
      <c r="E441" t="n">
        <v>10.5</v>
      </c>
      <c r="G441" t="n">
        <v>8.648472999999999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10.03268</v>
      </c>
      <c r="D442" t="n">
        <v>6.4</v>
      </c>
      <c r="E442" t="n">
        <v>10.3</v>
      </c>
      <c r="G442" t="n">
        <v>8.444944</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9.987769999999999</v>
      </c>
      <c r="D443" t="n">
        <v>6.5</v>
      </c>
      <c r="E443" t="n">
        <v>10.3</v>
      </c>
      <c r="G443" t="n">
        <v>8.210110999999999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10.19801</v>
      </c>
      <c r="D444" t="n">
        <v>6.6</v>
      </c>
      <c r="E444" t="n">
        <v>10.4</v>
      </c>
      <c r="G444" t="n">
        <v>7.658299</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10.47373</v>
      </c>
      <c r="D445" t="n">
        <v>6.7</v>
      </c>
      <c r="E445" t="n">
        <v>10.3</v>
      </c>
      <c r="G445" t="n">
        <v>7.338283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10.34689</v>
      </c>
      <c r="D446" t="n">
        <v>6.7</v>
      </c>
      <c r="E446" t="n">
        <v>10.4</v>
      </c>
      <c r="G446" t="n">
        <v>7.165689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10.40615</v>
      </c>
      <c r="D447" t="n">
        <v>6.7</v>
      </c>
      <c r="E447" t="n">
        <v>10.5</v>
      </c>
      <c r="G447" t="n">
        <v>7.062186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10.49812</v>
      </c>
      <c r="D448" t="n">
        <v>6.8</v>
      </c>
      <c r="E448" t="n">
        <v>10.9</v>
      </c>
      <c r="G448" t="n">
        <v>6.642946</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10.4702</v>
      </c>
      <c r="D449" t="n">
        <v>6.9</v>
      </c>
      <c r="E449" t="n">
        <v>10.7</v>
      </c>
      <c r="G449" t="n">
        <v>6.356206</v>
      </c>
      <c r="I449" t="n">
        <v>6.3</v>
      </c>
      <c r="J449" t="n">
        <v>8.300000000000001</v>
      </c>
      <c r="K449" t="n">
        <v>8.2501</v>
      </c>
      <c r="L449" t="n">
        <v>16.4</v>
      </c>
      <c r="N449" t="n">
        <v>10.5</v>
      </c>
      <c r="O449" t="n">
        <v>10.4</v>
      </c>
      <c r="P449" t="n">
        <v>6.864256</v>
      </c>
      <c r="Q449" t="n">
        <v>9.833182000000001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10.61943</v>
      </c>
      <c r="D450" t="n">
        <v>7</v>
      </c>
      <c r="E450" t="n">
        <v>10.9</v>
      </c>
      <c r="G450" t="n">
        <v>6.377851</v>
      </c>
      <c r="I450" t="n">
        <v>6.4</v>
      </c>
      <c r="J450" t="n">
        <v>8.4</v>
      </c>
      <c r="K450" t="n">
        <v>8.264141</v>
      </c>
      <c r="L450" t="n">
        <v>16.5</v>
      </c>
      <c r="N450" t="n">
        <v>11</v>
      </c>
      <c r="O450" t="n">
        <v>10.5</v>
      </c>
      <c r="P450" t="n">
        <v>6.984959</v>
      </c>
      <c r="Q450" t="n">
        <v>9.785394</v>
      </c>
      <c r="T450" t="n">
        <v>15.2</v>
      </c>
      <c r="W450" t="n">
        <v>8.6</v>
      </c>
      <c r="X450" t="n">
        <v>2.1</v>
      </c>
      <c r="Y450" t="n">
        <v>2.4</v>
      </c>
      <c r="Z450" t="n">
        <v>2.1</v>
      </c>
      <c r="AB450" t="n">
        <v>2.9</v>
      </c>
      <c r="AC450" t="n">
        <v>5.6</v>
      </c>
      <c r="AD450" t="n">
        <v>6.5</v>
      </c>
      <c r="AG450" t="n">
        <v>4.9</v>
      </c>
      <c r="AJ450" t="n">
        <v>5.4</v>
      </c>
      <c r="AL450" t="n">
        <v>7.6</v>
      </c>
    </row>
    <row r="451">
      <c r="A451" s="78" t="n">
        <v>33756</v>
      </c>
      <c r="B451" t="n">
        <v>10.81138</v>
      </c>
      <c r="D451" t="n">
        <v>7.1</v>
      </c>
      <c r="E451" t="n">
        <v>11.4</v>
      </c>
      <c r="G451" t="n">
        <v>6.417796</v>
      </c>
      <c r="I451" t="n">
        <v>6.5</v>
      </c>
      <c r="J451" t="n">
        <v>8.4</v>
      </c>
      <c r="K451" t="n">
        <v>8.359921999999999</v>
      </c>
      <c r="L451" t="n">
        <v>16.7</v>
      </c>
      <c r="N451" t="n">
        <v>11.6</v>
      </c>
      <c r="O451" t="n">
        <v>10.6</v>
      </c>
      <c r="P451" t="n">
        <v>7.119954</v>
      </c>
      <c r="Q451" t="n">
        <v>9.887805999999999</v>
      </c>
      <c r="T451" t="n">
        <v>15.2</v>
      </c>
      <c r="W451" t="n">
        <v>8.699999999999999</v>
      </c>
      <c r="X451" t="n">
        <v>2.1</v>
      </c>
      <c r="Y451" t="n">
        <v>2.4</v>
      </c>
      <c r="Z451" t="n">
        <v>2</v>
      </c>
      <c r="AB451" t="n">
        <v>2.8</v>
      </c>
      <c r="AC451" t="n">
        <v>5.7</v>
      </c>
      <c r="AD451" t="n">
        <v>6.6</v>
      </c>
      <c r="AG451" t="n">
        <v>4.9</v>
      </c>
      <c r="AJ451" t="n">
        <v>5.4</v>
      </c>
      <c r="AL451" t="n">
        <v>7.8</v>
      </c>
    </row>
    <row r="452">
      <c r="A452" s="78" t="n">
        <v>33786</v>
      </c>
      <c r="B452" t="n">
        <v>11.13584</v>
      </c>
      <c r="D452" t="n">
        <v>7.1</v>
      </c>
      <c r="E452" t="n">
        <v>11.3</v>
      </c>
      <c r="G452" t="n">
        <v>6.533393</v>
      </c>
      <c r="I452" t="n">
        <v>6.6</v>
      </c>
      <c r="J452" t="n">
        <v>8.5</v>
      </c>
      <c r="K452" t="n">
        <v>8.469436999999999</v>
      </c>
      <c r="L452" t="n">
        <v>16.9</v>
      </c>
      <c r="N452" t="n">
        <v>12.2</v>
      </c>
      <c r="O452" t="n">
        <v>10.7</v>
      </c>
      <c r="P452" t="n">
        <v>7.100863</v>
      </c>
      <c r="Q452" t="n">
        <v>9.93651</v>
      </c>
      <c r="T452" t="n">
        <v>15.4</v>
      </c>
      <c r="W452" t="n">
        <v>8.9</v>
      </c>
      <c r="X452" t="n">
        <v>2.1</v>
      </c>
      <c r="Y452" t="n">
        <v>2.4</v>
      </c>
      <c r="Z452" t="n">
        <v>2.1</v>
      </c>
      <c r="AB452" t="n">
        <v>2.8</v>
      </c>
      <c r="AC452" t="n">
        <v>5.7</v>
      </c>
      <c r="AD452" t="n">
        <v>6.5</v>
      </c>
      <c r="AG452" t="n">
        <v>5</v>
      </c>
      <c r="AJ452" t="n">
        <v>5.8</v>
      </c>
      <c r="AL452" t="n">
        <v>7.7</v>
      </c>
    </row>
    <row r="453">
      <c r="A453" s="78" t="n">
        <v>33817</v>
      </c>
      <c r="B453" t="n">
        <v>10.72316</v>
      </c>
      <c r="D453" t="n">
        <v>7.1</v>
      </c>
      <c r="E453" t="n">
        <v>11.7</v>
      </c>
      <c r="G453" t="n">
        <v>6.572969</v>
      </c>
      <c r="I453" t="n">
        <v>6.8</v>
      </c>
      <c r="J453" t="n">
        <v>8.699999999999999</v>
      </c>
      <c r="K453" t="n">
        <v>8.586491000000001</v>
      </c>
      <c r="L453" t="n">
        <v>17.2</v>
      </c>
      <c r="N453" t="n">
        <v>12.6</v>
      </c>
      <c r="O453" t="n">
        <v>10.8</v>
      </c>
      <c r="P453" t="n">
        <v>7.141933</v>
      </c>
      <c r="Q453" t="n">
        <v>9.937056</v>
      </c>
      <c r="T453" t="n">
        <v>15.5</v>
      </c>
      <c r="W453" t="n">
        <v>9</v>
      </c>
      <c r="X453" t="n">
        <v>2.2</v>
      </c>
      <c r="Y453" t="n">
        <v>2.6</v>
      </c>
      <c r="Z453" t="n">
        <v>2.1</v>
      </c>
      <c r="AB453" t="n">
        <v>2.6</v>
      </c>
      <c r="AC453" t="n">
        <v>5.8</v>
      </c>
      <c r="AD453" t="n">
        <v>6.6</v>
      </c>
      <c r="AG453" t="n">
        <v>5</v>
      </c>
      <c r="AJ453" t="n">
        <v>6</v>
      </c>
      <c r="AL453" t="n">
        <v>7.6</v>
      </c>
    </row>
    <row r="454">
      <c r="A454" s="78" t="n">
        <v>33848</v>
      </c>
      <c r="B454" t="n">
        <v>10.61666</v>
      </c>
      <c r="D454" t="n">
        <v>7.2</v>
      </c>
      <c r="E454" t="n">
        <v>11.6</v>
      </c>
      <c r="G454" t="n">
        <v>6.552741</v>
      </c>
      <c r="I454" t="n">
        <v>6.9</v>
      </c>
      <c r="J454" t="n">
        <v>8.800000000000001</v>
      </c>
      <c r="K454" t="n">
        <v>8.698858</v>
      </c>
      <c r="L454" t="n">
        <v>17.5</v>
      </c>
      <c r="N454" t="n">
        <v>13</v>
      </c>
      <c r="O454" t="n">
        <v>10.9</v>
      </c>
      <c r="P454" t="n">
        <v>7.179939</v>
      </c>
      <c r="Q454" t="n">
        <v>10.06868</v>
      </c>
      <c r="T454" t="n">
        <v>15.6</v>
      </c>
      <c r="W454" t="n">
        <v>9.1</v>
      </c>
      <c r="X454" t="n">
        <v>2.2</v>
      </c>
      <c r="Y454" t="n">
        <v>2.7</v>
      </c>
      <c r="Z454" t="n">
        <v>2.2</v>
      </c>
      <c r="AB454" t="n">
        <v>2.4</v>
      </c>
      <c r="AC454" t="n">
        <v>5.8</v>
      </c>
      <c r="AD454" t="n">
        <v>6.6</v>
      </c>
      <c r="AG454" t="n">
        <v>5.1</v>
      </c>
      <c r="AJ454" t="n">
        <v>6.1</v>
      </c>
      <c r="AL454" t="n">
        <v>7.6</v>
      </c>
    </row>
    <row r="455">
      <c r="A455" s="78" t="n">
        <v>33878</v>
      </c>
      <c r="B455" t="n">
        <v>11.09227</v>
      </c>
      <c r="D455" t="n">
        <v>7.3</v>
      </c>
      <c r="E455" t="n">
        <v>11.4</v>
      </c>
      <c r="G455" t="n">
        <v>6.611605</v>
      </c>
      <c r="I455" t="n">
        <v>7</v>
      </c>
      <c r="J455" t="n">
        <v>9</v>
      </c>
      <c r="K455" t="n">
        <v>8.880807000000001</v>
      </c>
      <c r="L455" t="n">
        <v>18</v>
      </c>
      <c r="N455" t="n">
        <v>13.3</v>
      </c>
      <c r="O455" t="n">
        <v>10.9</v>
      </c>
      <c r="P455" t="n">
        <v>7.072164</v>
      </c>
      <c r="Q455" t="n">
        <v>10.24126</v>
      </c>
      <c r="T455" t="n">
        <v>15.6</v>
      </c>
      <c r="W455" t="n">
        <v>8.9</v>
      </c>
      <c r="X455" t="n">
        <v>2.2</v>
      </c>
      <c r="Y455" t="n">
        <v>2.6</v>
      </c>
      <c r="Z455" t="n">
        <v>2.2</v>
      </c>
      <c r="AB455" t="n">
        <v>2.6</v>
      </c>
      <c r="AC455" t="n">
        <v>5.9</v>
      </c>
      <c r="AD455" t="n">
        <v>6.7</v>
      </c>
      <c r="AG455" t="n">
        <v>5.1</v>
      </c>
      <c r="AJ455" t="n">
        <v>6.3</v>
      </c>
      <c r="AL455" t="n">
        <v>7.3</v>
      </c>
    </row>
    <row r="456">
      <c r="A456" s="78" t="n">
        <v>33909</v>
      </c>
      <c r="B456" t="n">
        <v>11.13678</v>
      </c>
      <c r="D456" t="n">
        <v>7.5</v>
      </c>
      <c r="E456" t="n">
        <v>12.1</v>
      </c>
      <c r="G456" t="n">
        <v>6.666938</v>
      </c>
      <c r="I456" t="n">
        <v>7.1</v>
      </c>
      <c r="J456" t="n">
        <v>9.1</v>
      </c>
      <c r="K456" t="n">
        <v>8.98692</v>
      </c>
      <c r="L456" t="n">
        <v>18.4</v>
      </c>
      <c r="N456" t="n">
        <v>13.6</v>
      </c>
      <c r="O456" t="n">
        <v>11</v>
      </c>
      <c r="P456" t="n">
        <v>7.192555</v>
      </c>
      <c r="Q456" t="n">
        <v>10.37112</v>
      </c>
      <c r="T456" t="n">
        <v>15.7</v>
      </c>
      <c r="W456" t="n">
        <v>8.9</v>
      </c>
      <c r="X456" t="n">
        <v>2.3</v>
      </c>
      <c r="Y456" t="n">
        <v>2.6</v>
      </c>
      <c r="Z456" t="n">
        <v>2.2</v>
      </c>
      <c r="AB456" t="n">
        <v>3.3</v>
      </c>
      <c r="AC456" t="n">
        <v>5.9</v>
      </c>
      <c r="AD456" t="n">
        <v>6.7</v>
      </c>
      <c r="AG456" t="n">
        <v>5.2</v>
      </c>
      <c r="AJ456" t="n">
        <v>6.5</v>
      </c>
      <c r="AL456" t="n">
        <v>7.4</v>
      </c>
    </row>
    <row r="457">
      <c r="A457" s="78" t="n">
        <v>33939</v>
      </c>
      <c r="B457" t="n">
        <v>11.21769</v>
      </c>
      <c r="D457" t="n">
        <v>7.7</v>
      </c>
      <c r="E457" t="n">
        <v>11.7</v>
      </c>
      <c r="G457" t="n">
        <v>6.70457</v>
      </c>
      <c r="I457" t="n">
        <v>7.2</v>
      </c>
      <c r="J457" t="n">
        <v>9.300000000000001</v>
      </c>
      <c r="K457" t="n">
        <v>9.116936000000001</v>
      </c>
      <c r="L457" t="n">
        <v>18.8</v>
      </c>
      <c r="N457" t="n">
        <v>13.9</v>
      </c>
      <c r="O457" t="n">
        <v>11.1</v>
      </c>
      <c r="P457" t="n">
        <v>7.218904</v>
      </c>
      <c r="Q457" t="n">
        <v>10.54577</v>
      </c>
      <c r="T457" t="n">
        <v>15.7</v>
      </c>
      <c r="W457" t="n">
        <v>8.9</v>
      </c>
      <c r="X457" t="n">
        <v>2.3</v>
      </c>
      <c r="Y457" t="n">
        <v>2.6</v>
      </c>
      <c r="Z457" t="n">
        <v>2.2</v>
      </c>
      <c r="AB457" t="n">
        <v>2.8</v>
      </c>
      <c r="AC457" t="n">
        <v>6</v>
      </c>
      <c r="AD457" t="n">
        <v>6.6</v>
      </c>
      <c r="AG457" t="n">
        <v>5.4</v>
      </c>
      <c r="AJ457" t="n">
        <v>6.7</v>
      </c>
      <c r="AL457" t="n">
        <v>7.4</v>
      </c>
    </row>
    <row r="458">
      <c r="A458" s="78" t="n">
        <v>33970</v>
      </c>
      <c r="B458" t="n">
        <v>10.834</v>
      </c>
      <c r="C458" t="n">
        <v>3.8</v>
      </c>
      <c r="D458" t="n">
        <v>7.8</v>
      </c>
      <c r="E458" t="n">
        <v>11.2</v>
      </c>
      <c r="G458" t="n">
        <v>6.597916</v>
      </c>
      <c r="H458" t="n">
        <v>4.5</v>
      </c>
      <c r="I458" t="n">
        <v>7.3</v>
      </c>
      <c r="J458" t="n">
        <v>9.5</v>
      </c>
      <c r="K458" t="n">
        <v>9.4</v>
      </c>
      <c r="L458" t="n">
        <v>19.2</v>
      </c>
      <c r="N458" t="n">
        <v>14.2</v>
      </c>
      <c r="O458" t="n">
        <v>11.2</v>
      </c>
      <c r="P458" t="n">
        <v>7.157763</v>
      </c>
      <c r="Q458" t="n">
        <v>10.6839</v>
      </c>
      <c r="T458" t="n">
        <v>15.8</v>
      </c>
      <c r="W458" t="n">
        <v>9</v>
      </c>
      <c r="X458" t="n">
        <v>2.3</v>
      </c>
      <c r="Y458" t="n">
        <v>2.8</v>
      </c>
      <c r="Z458" t="n">
        <v>2.2</v>
      </c>
      <c r="AB458" t="n">
        <v>3</v>
      </c>
      <c r="AC458" t="n">
        <v>6.1</v>
      </c>
      <c r="AD458" t="n">
        <v>6.6</v>
      </c>
      <c r="AG458" t="n">
        <v>5.5</v>
      </c>
      <c r="AJ458" t="n">
        <v>7.5</v>
      </c>
      <c r="AL458" t="n">
        <v>7.3</v>
      </c>
    </row>
    <row r="459">
      <c r="A459" s="78" t="n">
        <v>34001</v>
      </c>
      <c r="B459" t="n">
        <v>11.01571</v>
      </c>
      <c r="C459" t="n">
        <v>3.8</v>
      </c>
      <c r="D459" t="n">
        <v>7.9</v>
      </c>
      <c r="E459" t="n">
        <v>11</v>
      </c>
      <c r="G459" t="n">
        <v>6.576252</v>
      </c>
      <c r="H459" t="n">
        <v>4.4</v>
      </c>
      <c r="I459" t="n">
        <v>7.4</v>
      </c>
      <c r="J459" t="n">
        <v>9.6</v>
      </c>
      <c r="K459" t="n">
        <v>9.5</v>
      </c>
      <c r="L459" t="n">
        <v>19.5</v>
      </c>
      <c r="N459" t="n">
        <v>14.7</v>
      </c>
      <c r="O459" t="n">
        <v>11.3</v>
      </c>
      <c r="P459" t="n">
        <v>7.137697</v>
      </c>
      <c r="Q459" t="n">
        <v>10.61849</v>
      </c>
      <c r="T459" t="n">
        <v>15.9</v>
      </c>
      <c r="W459" t="n">
        <v>9.1</v>
      </c>
      <c r="X459" t="n">
        <v>2.3</v>
      </c>
      <c r="Y459" t="n">
        <v>2.9</v>
      </c>
      <c r="Z459" t="n">
        <v>2.2</v>
      </c>
      <c r="AB459" t="n">
        <v>3.5</v>
      </c>
      <c r="AC459" t="n">
        <v>6.2</v>
      </c>
      <c r="AD459" t="n">
        <v>6.6</v>
      </c>
      <c r="AG459" t="n">
        <v>5.7</v>
      </c>
      <c r="AJ459" t="n">
        <v>7.6</v>
      </c>
      <c r="AL459" t="n">
        <v>7.1</v>
      </c>
    </row>
    <row r="460">
      <c r="A460" s="78" t="n">
        <v>34029</v>
      </c>
      <c r="B460" t="n">
        <v>10.85906</v>
      </c>
      <c r="C460" t="n">
        <v>3.9</v>
      </c>
      <c r="D460" t="n">
        <v>8.1</v>
      </c>
      <c r="E460" t="n">
        <v>11.2</v>
      </c>
      <c r="G460" t="n">
        <v>6.490857</v>
      </c>
      <c r="H460" t="n">
        <v>4.4</v>
      </c>
      <c r="I460" t="n">
        <v>7.5</v>
      </c>
      <c r="J460" t="n">
        <v>9.699999999999999</v>
      </c>
      <c r="K460" t="n">
        <v>9.699999999999999</v>
      </c>
      <c r="L460" t="n">
        <v>20</v>
      </c>
      <c r="N460" t="n">
        <v>15.2</v>
      </c>
      <c r="O460" t="n">
        <v>11.4</v>
      </c>
      <c r="P460" t="n">
        <v>7.134055</v>
      </c>
      <c r="Q460" t="n">
        <v>10.57991</v>
      </c>
      <c r="T460" t="n">
        <v>15.8</v>
      </c>
      <c r="W460" t="n">
        <v>9.300000000000001</v>
      </c>
      <c r="X460" t="n">
        <v>2.3</v>
      </c>
      <c r="Y460" t="n">
        <v>2.8</v>
      </c>
      <c r="Z460" t="n">
        <v>2.3</v>
      </c>
      <c r="AB460" t="n">
        <v>3.5</v>
      </c>
      <c r="AC460" t="n">
        <v>6.3</v>
      </c>
      <c r="AD460" t="n">
        <v>6.8</v>
      </c>
      <c r="AG460" t="n">
        <v>5.9</v>
      </c>
      <c r="AJ460" t="n">
        <v>8</v>
      </c>
      <c r="AL460" t="n">
        <v>7</v>
      </c>
    </row>
    <row r="461">
      <c r="A461" s="78" t="n">
        <v>34060</v>
      </c>
      <c r="B461" t="n">
        <v>10.76485</v>
      </c>
      <c r="C461" t="n">
        <v>3.9</v>
      </c>
      <c r="D461" t="n">
        <v>8.199999999999999</v>
      </c>
      <c r="E461" t="n">
        <v>11.6</v>
      </c>
      <c r="G461" t="n">
        <v>6.382824</v>
      </c>
      <c r="H461" t="n">
        <v>4.4</v>
      </c>
      <c r="I461" t="n">
        <v>7.5</v>
      </c>
      <c r="J461" t="n">
        <v>9.9</v>
      </c>
      <c r="K461" t="n">
        <v>9.9</v>
      </c>
      <c r="L461" t="n">
        <v>20.2</v>
      </c>
      <c r="N461" t="n">
        <v>15.6</v>
      </c>
      <c r="O461" t="n">
        <v>11.6</v>
      </c>
      <c r="P461" t="n">
        <v>7.194548</v>
      </c>
      <c r="Q461" t="n">
        <v>10.45419</v>
      </c>
      <c r="T461" t="n">
        <v>15.8</v>
      </c>
      <c r="W461" t="n">
        <v>9.699999999999999</v>
      </c>
      <c r="X461" t="n">
        <v>2.3</v>
      </c>
      <c r="Y461" t="n">
        <v>3</v>
      </c>
      <c r="Z461" t="n">
        <v>2.4</v>
      </c>
      <c r="AB461" t="n">
        <v>3</v>
      </c>
      <c r="AC461" t="n">
        <v>6.4</v>
      </c>
      <c r="AD461" t="n">
        <v>6.8</v>
      </c>
      <c r="AG461" t="n">
        <v>6.1</v>
      </c>
      <c r="AJ461" t="n">
        <v>8.6</v>
      </c>
      <c r="AL461" t="n">
        <v>7.1</v>
      </c>
    </row>
    <row r="462">
      <c r="A462" s="78" t="n">
        <v>34090</v>
      </c>
      <c r="B462" t="n">
        <v>10.78739</v>
      </c>
      <c r="C462" t="n">
        <v>4</v>
      </c>
      <c r="D462" t="n">
        <v>8.4</v>
      </c>
      <c r="E462" t="n">
        <v>11.6</v>
      </c>
      <c r="G462" t="n">
        <v>6.236964</v>
      </c>
      <c r="H462" t="n">
        <v>4.5</v>
      </c>
      <c r="I462" t="n">
        <v>7.6</v>
      </c>
      <c r="J462" t="n">
        <v>9.9</v>
      </c>
      <c r="K462" t="n">
        <v>10</v>
      </c>
      <c r="L462" t="n">
        <v>20.4</v>
      </c>
      <c r="N462" t="n">
        <v>16.1</v>
      </c>
      <c r="O462" t="n">
        <v>11.7</v>
      </c>
      <c r="P462" t="n">
        <v>7.252769</v>
      </c>
      <c r="Q462" t="n">
        <v>10.38478</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10.99427</v>
      </c>
      <c r="C463" t="n">
        <v>4</v>
      </c>
      <c r="D463" t="n">
        <v>8.5</v>
      </c>
      <c r="E463" t="n">
        <v>11.7</v>
      </c>
      <c r="G463" t="n">
        <v>6.291601</v>
      </c>
      <c r="H463" t="n">
        <v>4.4</v>
      </c>
      <c r="I463" t="n">
        <v>7.7</v>
      </c>
      <c r="J463" t="n">
        <v>9.9</v>
      </c>
      <c r="K463" t="n">
        <v>10.2</v>
      </c>
      <c r="L463" t="n">
        <v>20.9</v>
      </c>
      <c r="N463" t="n">
        <v>16.5</v>
      </c>
      <c r="O463" t="n">
        <v>11.8</v>
      </c>
      <c r="P463" t="n">
        <v>7.267547</v>
      </c>
      <c r="Q463" t="n">
        <v>10.37194</v>
      </c>
      <c r="T463" t="n">
        <v>15.7</v>
      </c>
      <c r="W463" t="n">
        <v>9.9</v>
      </c>
      <c r="X463" t="n">
        <v>2.5</v>
      </c>
      <c r="Y463" t="n">
        <v>3</v>
      </c>
      <c r="Z463" t="n">
        <v>2.5</v>
      </c>
      <c r="AB463" t="n">
        <v>3.2</v>
      </c>
      <c r="AC463" t="n">
        <v>6.5</v>
      </c>
      <c r="AD463" t="n">
        <v>6.6</v>
      </c>
      <c r="AG463" t="n">
        <v>6.3</v>
      </c>
      <c r="AJ463" t="n">
        <v>9.800000000000001</v>
      </c>
      <c r="AL463" t="n">
        <v>7</v>
      </c>
    </row>
    <row r="464">
      <c r="A464" s="78" t="n">
        <v>34151</v>
      </c>
      <c r="B464" t="n">
        <v>10.94384</v>
      </c>
      <c r="C464" t="n">
        <v>4</v>
      </c>
      <c r="D464" t="n">
        <v>8.699999999999999</v>
      </c>
      <c r="E464" t="n">
        <v>11.6</v>
      </c>
      <c r="G464" t="n">
        <v>6.429489</v>
      </c>
      <c r="H464" t="n">
        <v>4.5</v>
      </c>
      <c r="I464" t="n">
        <v>7.8</v>
      </c>
      <c r="J464" t="n">
        <v>9.699999999999999</v>
      </c>
      <c r="K464" t="n">
        <v>10.3</v>
      </c>
      <c r="L464" t="n">
        <v>21.3</v>
      </c>
      <c r="N464" t="n">
        <v>16.8</v>
      </c>
      <c r="O464" t="n">
        <v>11.9</v>
      </c>
      <c r="P464" t="n">
        <v>7.221625</v>
      </c>
      <c r="Q464" t="n">
        <v>10.31149</v>
      </c>
      <c r="T464" t="n">
        <v>15.6</v>
      </c>
      <c r="W464" t="n">
        <v>9.9</v>
      </c>
      <c r="X464" t="n">
        <v>2.5</v>
      </c>
      <c r="Y464" t="n">
        <v>3</v>
      </c>
      <c r="Z464" t="n">
        <v>2.7</v>
      </c>
      <c r="AB464" t="n">
        <v>3.3</v>
      </c>
      <c r="AC464" t="n">
        <v>6.6</v>
      </c>
      <c r="AD464" t="n">
        <v>6.6</v>
      </c>
      <c r="AG464" t="n">
        <v>6.4</v>
      </c>
      <c r="AJ464" t="n">
        <v>9.699999999999999</v>
      </c>
      <c r="AL464" t="n">
        <v>6.9</v>
      </c>
    </row>
    <row r="465">
      <c r="A465" s="78" t="n">
        <v>34182</v>
      </c>
      <c r="B465" t="n">
        <v>10.98405</v>
      </c>
      <c r="C465" t="n">
        <v>4.1</v>
      </c>
      <c r="D465" t="n">
        <v>8.9</v>
      </c>
      <c r="E465" t="n">
        <v>11.2</v>
      </c>
      <c r="G465" t="n">
        <v>6.483553</v>
      </c>
      <c r="H465" t="n">
        <v>4.2</v>
      </c>
      <c r="I465" t="n">
        <v>7.9</v>
      </c>
      <c r="J465" t="n">
        <v>9.5</v>
      </c>
      <c r="K465" t="n">
        <v>10.4</v>
      </c>
      <c r="L465" t="n">
        <v>21.4</v>
      </c>
      <c r="N465" t="n">
        <v>17.1</v>
      </c>
      <c r="O465" t="n">
        <v>12</v>
      </c>
      <c r="P465" t="n">
        <v>7.168348</v>
      </c>
      <c r="Q465" t="n">
        <v>10.24657</v>
      </c>
      <c r="T465" t="n">
        <v>15.5</v>
      </c>
      <c r="W465" t="n">
        <v>10</v>
      </c>
      <c r="X465" t="n">
        <v>2.5</v>
      </c>
      <c r="Y465" t="n">
        <v>2.9</v>
      </c>
      <c r="Z465" t="n">
        <v>2.8</v>
      </c>
      <c r="AB465" t="n">
        <v>4</v>
      </c>
      <c r="AC465" t="n">
        <v>6.6</v>
      </c>
      <c r="AD465" t="n">
        <v>6.8</v>
      </c>
      <c r="AG465" t="n">
        <v>6.5</v>
      </c>
      <c r="AJ465" t="n">
        <v>9.5</v>
      </c>
      <c r="AL465" t="n">
        <v>6.8</v>
      </c>
    </row>
    <row r="466">
      <c r="A466" s="78" t="n">
        <v>34213</v>
      </c>
      <c r="B466" t="n">
        <v>10.74168</v>
      </c>
      <c r="C466" t="n">
        <v>4</v>
      </c>
      <c r="D466" t="n">
        <v>9</v>
      </c>
      <c r="E466" t="n">
        <v>11.5</v>
      </c>
      <c r="G466" t="n">
        <v>6.433054</v>
      </c>
      <c r="H466" t="n">
        <v>4</v>
      </c>
      <c r="I466" t="n">
        <v>8</v>
      </c>
      <c r="J466" t="n">
        <v>9.5</v>
      </c>
      <c r="K466" t="n">
        <v>10.5</v>
      </c>
      <c r="L466" t="n">
        <v>21.5</v>
      </c>
      <c r="N466" t="n">
        <v>17.3</v>
      </c>
      <c r="O466" t="n">
        <v>12.2</v>
      </c>
      <c r="P466" t="n">
        <v>7.20936</v>
      </c>
      <c r="Q466" t="n">
        <v>10.25075</v>
      </c>
      <c r="T466" t="n">
        <v>15.5</v>
      </c>
      <c r="W466" t="n">
        <v>10</v>
      </c>
      <c r="X466" t="n">
        <v>2.6</v>
      </c>
      <c r="Y466" t="n">
        <v>2.8</v>
      </c>
      <c r="Z466" t="n">
        <v>2.9</v>
      </c>
      <c r="AB466" t="n">
        <v>3.7</v>
      </c>
      <c r="AC466" t="n">
        <v>6.7</v>
      </c>
      <c r="AD466" t="n">
        <v>6.8</v>
      </c>
      <c r="AG466" t="n">
        <v>6.6</v>
      </c>
      <c r="AJ466" t="n">
        <v>9.699999999999999</v>
      </c>
      <c r="AL466" t="n">
        <v>6.7</v>
      </c>
    </row>
    <row r="467">
      <c r="A467" s="78" t="n">
        <v>34243</v>
      </c>
      <c r="B467" t="n">
        <v>10.95828</v>
      </c>
      <c r="C467" t="n">
        <v>4</v>
      </c>
      <c r="D467" t="n">
        <v>9.199999999999999</v>
      </c>
      <c r="E467" t="n">
        <v>11.3</v>
      </c>
      <c r="G467" t="n">
        <v>6.37681</v>
      </c>
      <c r="H467" t="n">
        <v>4.3</v>
      </c>
      <c r="I467" t="n">
        <v>8.1</v>
      </c>
      <c r="J467" t="n">
        <v>9.300000000000001</v>
      </c>
      <c r="K467" t="n">
        <v>10.6</v>
      </c>
      <c r="L467" t="n">
        <v>21.7</v>
      </c>
      <c r="N467" t="n">
        <v>17.5</v>
      </c>
      <c r="O467" t="n">
        <v>12.3</v>
      </c>
      <c r="P467" t="n">
        <v>7.26608</v>
      </c>
      <c r="Q467" t="n">
        <v>10.23041</v>
      </c>
      <c r="T467" t="n">
        <v>15.4</v>
      </c>
      <c r="W467" t="n">
        <v>10.4</v>
      </c>
      <c r="X467" t="n">
        <v>2.7</v>
      </c>
      <c r="Y467" t="n">
        <v>3</v>
      </c>
      <c r="Z467" t="n">
        <v>2.9</v>
      </c>
      <c r="AB467" t="n">
        <v>3.4</v>
      </c>
      <c r="AC467" t="n">
        <v>6.7</v>
      </c>
      <c r="AD467" t="n">
        <v>6.7</v>
      </c>
      <c r="AG467" t="n">
        <v>6.7</v>
      </c>
      <c r="AJ467" t="n">
        <v>9.800000000000001</v>
      </c>
      <c r="AL467" t="n">
        <v>6.8</v>
      </c>
    </row>
    <row r="468">
      <c r="A468" s="78" t="n">
        <v>34274</v>
      </c>
      <c r="B468" t="n">
        <v>10.94934</v>
      </c>
      <c r="C468" t="n">
        <v>4</v>
      </c>
      <c r="D468" t="n">
        <v>9.300000000000001</v>
      </c>
      <c r="E468" t="n">
        <v>11.2</v>
      </c>
      <c r="G468" t="n">
        <v>6.90911</v>
      </c>
      <c r="H468" t="n">
        <v>4.1</v>
      </c>
      <c r="I468" t="n">
        <v>8.199999999999999</v>
      </c>
      <c r="J468" t="n">
        <v>9.1</v>
      </c>
      <c r="K468" t="n">
        <v>10.7</v>
      </c>
      <c r="L468" t="n">
        <v>21.9</v>
      </c>
      <c r="N468" t="n">
        <v>17.5</v>
      </c>
      <c r="O468" t="n">
        <v>12.4</v>
      </c>
      <c r="P468" t="n">
        <v>7.236505</v>
      </c>
      <c r="Q468" t="n">
        <v>10.25229</v>
      </c>
      <c r="T468" t="n">
        <v>15.4</v>
      </c>
      <c r="W468" t="n">
        <v>10.4</v>
      </c>
      <c r="X468" t="n">
        <v>2.7</v>
      </c>
      <c r="Y468" t="n">
        <v>2.8</v>
      </c>
      <c r="Z468" t="n">
        <v>3</v>
      </c>
      <c r="AB468" t="n">
        <v>3.5</v>
      </c>
      <c r="AC468" t="n">
        <v>6.7</v>
      </c>
      <c r="AD468" t="n">
        <v>6.4</v>
      </c>
      <c r="AG468" t="n">
        <v>6.8</v>
      </c>
      <c r="AJ468" t="n">
        <v>9.800000000000001</v>
      </c>
      <c r="AL468" t="n">
        <v>6.6</v>
      </c>
    </row>
    <row r="469">
      <c r="A469" s="78" t="n">
        <v>34304</v>
      </c>
      <c r="B469" t="n">
        <v>10.75694</v>
      </c>
      <c r="C469" t="n">
        <v>4</v>
      </c>
      <c r="D469" t="n">
        <v>9.5</v>
      </c>
      <c r="E469" t="n">
        <v>11.4</v>
      </c>
      <c r="G469" t="n">
        <v>7.332798</v>
      </c>
      <c r="H469" t="n">
        <v>4.3</v>
      </c>
      <c r="I469" t="n">
        <v>8.300000000000001</v>
      </c>
      <c r="J469" t="n">
        <v>8.800000000000001</v>
      </c>
      <c r="K469" t="n">
        <v>10.8</v>
      </c>
      <c r="L469" t="n">
        <v>22</v>
      </c>
      <c r="N469" t="n">
        <v>17.6</v>
      </c>
      <c r="O469" t="n">
        <v>12.4</v>
      </c>
      <c r="P469" t="n">
        <v>7.251838</v>
      </c>
      <c r="Q469" t="n">
        <v>10.25091</v>
      </c>
      <c r="T469" t="n">
        <v>15.4</v>
      </c>
      <c r="W469" t="n">
        <v>10.5</v>
      </c>
      <c r="X469" t="n">
        <v>2.8</v>
      </c>
      <c r="Y469" t="n">
        <v>2.7</v>
      </c>
      <c r="Z469" t="n">
        <v>3</v>
      </c>
      <c r="AB469" t="n">
        <v>3.6</v>
      </c>
      <c r="AC469" t="n">
        <v>6.8</v>
      </c>
      <c r="AD469" t="n">
        <v>6</v>
      </c>
      <c r="AG469" t="n">
        <v>7</v>
      </c>
      <c r="AJ469" t="n">
        <v>9.800000000000001</v>
      </c>
      <c r="AL469" t="n">
        <v>6.5</v>
      </c>
    </row>
    <row r="470">
      <c r="A470" s="78" t="n">
        <v>34335</v>
      </c>
      <c r="B470" t="n">
        <v>10.56924</v>
      </c>
      <c r="C470" t="n">
        <v>4</v>
      </c>
      <c r="D470" t="n">
        <v>9.6</v>
      </c>
      <c r="E470" t="n">
        <v>11.4</v>
      </c>
      <c r="G470" t="n">
        <v>7.54916</v>
      </c>
      <c r="H470" t="n">
        <v>4.1</v>
      </c>
      <c r="I470" t="n">
        <v>8.4</v>
      </c>
      <c r="J470" t="n">
        <v>8.6</v>
      </c>
      <c r="K470" t="n">
        <v>10.8</v>
      </c>
      <c r="L470" t="n">
        <v>22.2</v>
      </c>
      <c r="N470" t="n">
        <v>17.6</v>
      </c>
      <c r="O470" t="n">
        <v>12.5</v>
      </c>
      <c r="P470" t="n">
        <v>7.275345</v>
      </c>
      <c r="Q470" t="n">
        <v>10.08654</v>
      </c>
      <c r="T470" t="n">
        <v>15.3</v>
      </c>
      <c r="W470" t="n">
        <v>10.4</v>
      </c>
      <c r="X470" t="n">
        <v>2.8</v>
      </c>
      <c r="Y470" t="n">
        <v>2.7</v>
      </c>
      <c r="Z470" t="n">
        <v>3.1</v>
      </c>
      <c r="AB470" t="n">
        <v>3.7</v>
      </c>
      <c r="AC470" t="n">
        <v>6.8</v>
      </c>
      <c r="AD470" t="n">
        <v>6</v>
      </c>
      <c r="AG470" t="n">
        <v>7.2</v>
      </c>
      <c r="AJ470" t="n">
        <v>9.9</v>
      </c>
      <c r="AL470" t="n">
        <v>6.6</v>
      </c>
    </row>
    <row r="471">
      <c r="A471" s="78" t="n">
        <v>34366</v>
      </c>
      <c r="B471" t="n">
        <v>10.40021</v>
      </c>
      <c r="C471" t="n">
        <v>3.9</v>
      </c>
      <c r="D471" t="n">
        <v>9.699999999999999</v>
      </c>
      <c r="E471" t="n">
        <v>11.1</v>
      </c>
      <c r="G471" t="n">
        <v>7.33405</v>
      </c>
      <c r="H471" t="n">
        <v>4.2</v>
      </c>
      <c r="I471" t="n">
        <v>8.5</v>
      </c>
      <c r="J471" t="n">
        <v>8.4</v>
      </c>
      <c r="K471" t="n">
        <v>10.9</v>
      </c>
      <c r="L471" t="n">
        <v>22.3</v>
      </c>
      <c r="N471" t="n">
        <v>16.6</v>
      </c>
      <c r="O471" t="n">
        <v>12.5</v>
      </c>
      <c r="P471" t="n">
        <v>7.270742</v>
      </c>
      <c r="Q471" t="n">
        <v>9.945821</v>
      </c>
      <c r="T471" t="n">
        <v>15.1</v>
      </c>
      <c r="W471" t="n">
        <v>10.4</v>
      </c>
      <c r="X471" t="n">
        <v>2.9</v>
      </c>
      <c r="Y471" t="n">
        <v>2.7</v>
      </c>
      <c r="Z471" t="n">
        <v>3.2</v>
      </c>
      <c r="AB471" t="n">
        <v>3.6</v>
      </c>
      <c r="AC471" t="n">
        <v>6.8</v>
      </c>
      <c r="AD471" t="n">
        <v>6</v>
      </c>
      <c r="AG471" t="n">
        <v>7.3</v>
      </c>
      <c r="AJ471" t="n">
        <v>9.800000000000001</v>
      </c>
      <c r="AL471" t="n">
        <v>6.6</v>
      </c>
    </row>
    <row r="472">
      <c r="A472" s="78" t="n">
        <v>34394</v>
      </c>
      <c r="B472" t="n">
        <v>10.35418</v>
      </c>
      <c r="C472" t="n">
        <v>3.8</v>
      </c>
      <c r="D472" t="n">
        <v>9.699999999999999</v>
      </c>
      <c r="E472" t="n">
        <v>10.6</v>
      </c>
      <c r="G472" t="n">
        <v>7.466377</v>
      </c>
      <c r="H472" t="n">
        <v>4.2</v>
      </c>
      <c r="I472" t="n">
        <v>8.5</v>
      </c>
      <c r="J472" t="n">
        <v>8.199999999999999</v>
      </c>
      <c r="K472" t="n">
        <v>10.9</v>
      </c>
      <c r="L472" t="n">
        <v>22.2</v>
      </c>
      <c r="N472" t="n">
        <v>16.8</v>
      </c>
      <c r="O472" t="n">
        <v>12.5</v>
      </c>
      <c r="P472" t="n">
        <v>7.219945</v>
      </c>
      <c r="Q472" t="n">
        <v>9.813374</v>
      </c>
      <c r="T472" t="n">
        <v>15</v>
      </c>
      <c r="W472" t="n">
        <v>10.5</v>
      </c>
      <c r="X472" t="n">
        <v>2.9</v>
      </c>
      <c r="Y472" t="n">
        <v>2.7</v>
      </c>
      <c r="Z472" t="n">
        <v>3.3</v>
      </c>
      <c r="AB472" t="n">
        <v>3.5</v>
      </c>
      <c r="AC472" t="n">
        <v>6.9</v>
      </c>
      <c r="AD472" t="n">
        <v>6</v>
      </c>
      <c r="AG472" t="n">
        <v>7.4</v>
      </c>
      <c r="AJ472" t="n">
        <v>9.5</v>
      </c>
      <c r="AL472" t="n">
        <v>6.5</v>
      </c>
    </row>
    <row r="473">
      <c r="A473" s="78" t="n">
        <v>34425</v>
      </c>
      <c r="B473" t="n">
        <v>10.06089</v>
      </c>
      <c r="C473" t="n">
        <v>3.8</v>
      </c>
      <c r="D473" t="n">
        <v>9.800000000000001</v>
      </c>
      <c r="E473" t="n">
        <v>10.9</v>
      </c>
      <c r="G473" t="n">
        <v>7.575838</v>
      </c>
      <c r="H473" t="n">
        <v>4.4</v>
      </c>
      <c r="I473" t="n">
        <v>8.6</v>
      </c>
      <c r="J473" t="n">
        <v>8</v>
      </c>
      <c r="K473" t="n">
        <v>10.9</v>
      </c>
      <c r="L473" t="n">
        <v>22.2</v>
      </c>
      <c r="N473" t="n">
        <v>17</v>
      </c>
      <c r="O473" t="n">
        <v>12.5</v>
      </c>
      <c r="P473" t="n">
        <v>7.17632</v>
      </c>
      <c r="Q473" t="n">
        <v>9.749077</v>
      </c>
      <c r="T473" t="n">
        <v>14.8</v>
      </c>
      <c r="W473" t="n">
        <v>10.5</v>
      </c>
      <c r="X473" t="n">
        <v>2.8</v>
      </c>
      <c r="Y473" t="n">
        <v>2.7</v>
      </c>
      <c r="Z473" t="n">
        <v>3.4</v>
      </c>
      <c r="AB473" t="n">
        <v>3.6</v>
      </c>
      <c r="AC473" t="n">
        <v>6.9</v>
      </c>
      <c r="AD473" t="n">
        <v>6.1</v>
      </c>
      <c r="AG473" t="n">
        <v>7.5</v>
      </c>
      <c r="AJ473" t="n">
        <v>9.300000000000001</v>
      </c>
      <c r="AL473" t="n">
        <v>6.4</v>
      </c>
    </row>
    <row r="474">
      <c r="A474" s="78" t="n">
        <v>34455</v>
      </c>
      <c r="B474" t="n">
        <v>9.767481</v>
      </c>
      <c r="C474" t="n">
        <v>3.9</v>
      </c>
      <c r="D474" t="n">
        <v>9.800000000000001</v>
      </c>
      <c r="E474" t="n">
        <v>10.7</v>
      </c>
      <c r="G474" t="n">
        <v>7.669123</v>
      </c>
      <c r="H474" t="n">
        <v>4.1</v>
      </c>
      <c r="I474" t="n">
        <v>8.5</v>
      </c>
      <c r="J474" t="n">
        <v>7.8</v>
      </c>
      <c r="K474" t="n">
        <v>10.9</v>
      </c>
      <c r="L474" t="n">
        <v>22.2</v>
      </c>
      <c r="N474" t="n">
        <v>17.1</v>
      </c>
      <c r="O474" t="n">
        <v>12.4</v>
      </c>
      <c r="P474" t="n">
        <v>7.010159</v>
      </c>
      <c r="Q474" t="n">
        <v>9.706457</v>
      </c>
      <c r="T474" t="n">
        <v>14.7</v>
      </c>
      <c r="W474" t="n">
        <v>10.6</v>
      </c>
      <c r="X474" t="n">
        <v>2.8</v>
      </c>
      <c r="Y474" t="n">
        <v>2.5</v>
      </c>
      <c r="Z474" t="n">
        <v>3.3</v>
      </c>
      <c r="AB474" t="n">
        <v>3.3</v>
      </c>
      <c r="AC474" t="n">
        <v>7</v>
      </c>
      <c r="AD474" t="n">
        <v>6.2</v>
      </c>
      <c r="AG474" t="n">
        <v>7.6</v>
      </c>
      <c r="AJ474" t="n">
        <v>9.199999999999999</v>
      </c>
      <c r="AL474" t="n">
        <v>6.1</v>
      </c>
    </row>
    <row r="475">
      <c r="A475" s="78" t="n">
        <v>34486</v>
      </c>
      <c r="B475" t="n">
        <v>9.822010000000001</v>
      </c>
      <c r="C475" t="n">
        <v>3.8</v>
      </c>
      <c r="D475" t="n">
        <v>9.800000000000001</v>
      </c>
      <c r="E475" t="n">
        <v>10.3</v>
      </c>
      <c r="G475" t="n">
        <v>7.726639</v>
      </c>
      <c r="H475" t="n">
        <v>4.5</v>
      </c>
      <c r="I475" t="n">
        <v>8.5</v>
      </c>
      <c r="J475" t="n">
        <v>7.7</v>
      </c>
      <c r="K475" t="n">
        <v>10.9</v>
      </c>
      <c r="L475" t="n">
        <v>22.2</v>
      </c>
      <c r="N475" t="n">
        <v>17.1</v>
      </c>
      <c r="O475" t="n">
        <v>12.3</v>
      </c>
      <c r="P475" t="n">
        <v>6.99861</v>
      </c>
      <c r="Q475" t="n">
        <v>9.586499</v>
      </c>
      <c r="T475" t="n">
        <v>14.5</v>
      </c>
      <c r="W475" t="n">
        <v>10.6</v>
      </c>
      <c r="X475" t="n">
        <v>2.8</v>
      </c>
      <c r="Y475" t="n">
        <v>2.4</v>
      </c>
      <c r="Z475" t="n">
        <v>3.2</v>
      </c>
      <c r="AB475" t="n">
        <v>3.4</v>
      </c>
      <c r="AC475" t="n">
        <v>7.1</v>
      </c>
      <c r="AD475" t="n">
        <v>6.1</v>
      </c>
      <c r="AG475" t="n">
        <v>7.6</v>
      </c>
      <c r="AJ475" t="n">
        <v>9.6</v>
      </c>
      <c r="AL475" t="n">
        <v>6.1</v>
      </c>
    </row>
    <row r="476">
      <c r="A476" s="78" t="n">
        <v>34516</v>
      </c>
      <c r="B476" t="n">
        <v>9.631460000000001</v>
      </c>
      <c r="C476" t="n">
        <v>3.8</v>
      </c>
      <c r="D476" t="n">
        <v>9.800000000000001</v>
      </c>
      <c r="E476" t="n">
        <v>10.1</v>
      </c>
      <c r="G476" t="n">
        <v>7.71127</v>
      </c>
      <c r="H476" t="n">
        <v>4.2</v>
      </c>
      <c r="I476" t="n">
        <v>8.5</v>
      </c>
      <c r="J476" t="n">
        <v>7.6</v>
      </c>
      <c r="K476" t="n">
        <v>10.9</v>
      </c>
      <c r="L476" t="n">
        <v>22.1</v>
      </c>
      <c r="N476" t="n">
        <v>16.9</v>
      </c>
      <c r="O476" t="n">
        <v>12.3</v>
      </c>
      <c r="P476" t="n">
        <v>6.989169</v>
      </c>
      <c r="Q476" t="n">
        <v>9.539612999999999</v>
      </c>
      <c r="T476" t="n">
        <v>14.4</v>
      </c>
      <c r="W476" t="n">
        <v>10.4</v>
      </c>
      <c r="X476" t="n">
        <v>2.9</v>
      </c>
      <c r="Y476" t="n">
        <v>2.4</v>
      </c>
      <c r="Z476" t="n">
        <v>3.2</v>
      </c>
      <c r="AB476" t="n">
        <v>3.5</v>
      </c>
      <c r="AC476" t="n">
        <v>7.2</v>
      </c>
      <c r="AD476" t="n">
        <v>5.9</v>
      </c>
      <c r="AG476" t="n">
        <v>7.7</v>
      </c>
      <c r="AJ476" t="n">
        <v>9.4</v>
      </c>
      <c r="AL476" t="n">
        <v>6.1</v>
      </c>
    </row>
    <row r="477">
      <c r="A477" s="78" t="n">
        <v>34547</v>
      </c>
      <c r="B477" t="n">
        <v>9.445496</v>
      </c>
      <c r="C477" t="n">
        <v>3.8</v>
      </c>
      <c r="D477" t="n">
        <v>9.800000000000001</v>
      </c>
      <c r="E477" t="n">
        <v>10.2</v>
      </c>
      <c r="G477" t="n">
        <v>7.898458</v>
      </c>
      <c r="H477" t="n">
        <v>4.4</v>
      </c>
      <c r="I477" t="n">
        <v>8.4</v>
      </c>
      <c r="J477" t="n">
        <v>7.5</v>
      </c>
      <c r="K477" t="n">
        <v>10.8</v>
      </c>
      <c r="L477" t="n">
        <v>22</v>
      </c>
      <c r="N477" t="n">
        <v>16.5</v>
      </c>
      <c r="O477" t="n">
        <v>12.2</v>
      </c>
      <c r="P477" t="n">
        <v>6.951357</v>
      </c>
      <c r="Q477" t="n">
        <v>9.359785</v>
      </c>
      <c r="T477" t="n">
        <v>14.1</v>
      </c>
      <c r="W477" t="n">
        <v>10.4</v>
      </c>
      <c r="X477" t="n">
        <v>3</v>
      </c>
      <c r="Y477" t="n">
        <v>2.4</v>
      </c>
      <c r="Z477" t="n">
        <v>3.1</v>
      </c>
      <c r="AB477" t="n">
        <v>3.6</v>
      </c>
      <c r="AC477" t="n">
        <v>7.3</v>
      </c>
      <c r="AD477" t="n">
        <v>5.8</v>
      </c>
      <c r="AG477" t="n">
        <v>7.6</v>
      </c>
      <c r="AJ477" t="n">
        <v>9.300000000000001</v>
      </c>
      <c r="AL477" t="n">
        <v>6</v>
      </c>
    </row>
    <row r="478">
      <c r="A478" s="78" t="n">
        <v>34578</v>
      </c>
      <c r="B478" t="n">
        <v>9.354274999999999</v>
      </c>
      <c r="C478" t="n">
        <v>3.8</v>
      </c>
      <c r="D478" t="n">
        <v>9.800000000000001</v>
      </c>
      <c r="E478" t="n">
        <v>10.1</v>
      </c>
      <c r="G478" t="n">
        <v>8.229537000000001</v>
      </c>
      <c r="H478" t="n">
        <v>4.5</v>
      </c>
      <c r="I478" t="n">
        <v>8.4</v>
      </c>
      <c r="J478" t="n">
        <v>7.4</v>
      </c>
      <c r="K478" t="n">
        <v>10.8</v>
      </c>
      <c r="L478" t="n">
        <v>22</v>
      </c>
      <c r="N478" t="n">
        <v>16.2</v>
      </c>
      <c r="O478" t="n">
        <v>12.1</v>
      </c>
      <c r="P478" t="n">
        <v>6.87401</v>
      </c>
      <c r="Q478" t="n">
        <v>9.257987999999999</v>
      </c>
      <c r="T478" t="n">
        <v>13.9</v>
      </c>
      <c r="W478" t="n">
        <v>10.4</v>
      </c>
      <c r="X478" t="n">
        <v>3</v>
      </c>
      <c r="Y478" t="n">
        <v>2.5</v>
      </c>
      <c r="Z478" t="n">
        <v>3.1</v>
      </c>
      <c r="AB478" t="n">
        <v>3.6</v>
      </c>
      <c r="AC478" t="n">
        <v>7.4</v>
      </c>
      <c r="AD478" t="n">
        <v>6</v>
      </c>
      <c r="AG478" t="n">
        <v>7.7</v>
      </c>
      <c r="AJ478" t="n">
        <v>9</v>
      </c>
      <c r="AL478" t="n">
        <v>5.9</v>
      </c>
    </row>
    <row r="479">
      <c r="A479" s="78" t="n">
        <v>34608</v>
      </c>
      <c r="B479" t="n">
        <v>9.093495000000001</v>
      </c>
      <c r="C479" t="n">
        <v>3.8</v>
      </c>
      <c r="D479" t="n">
        <v>9.800000000000001</v>
      </c>
      <c r="E479" t="n">
        <v>10</v>
      </c>
      <c r="G479" t="n">
        <v>8.486321</v>
      </c>
      <c r="H479" t="n">
        <v>4.4</v>
      </c>
      <c r="I479" t="n">
        <v>8.300000000000001</v>
      </c>
      <c r="J479" t="n">
        <v>7.3</v>
      </c>
      <c r="K479" t="n">
        <v>10.9</v>
      </c>
      <c r="L479" t="n">
        <v>21.8</v>
      </c>
      <c r="N479" t="n">
        <v>15.9</v>
      </c>
      <c r="O479" t="n">
        <v>12.1</v>
      </c>
      <c r="P479" t="n">
        <v>6.848743</v>
      </c>
      <c r="Q479" t="n">
        <v>9.078801</v>
      </c>
      <c r="T479" t="n">
        <v>13.7</v>
      </c>
      <c r="W479" t="n">
        <v>11.1</v>
      </c>
      <c r="X479" t="n">
        <v>3</v>
      </c>
      <c r="Y479" t="n">
        <v>2.3</v>
      </c>
      <c r="Z479" t="n">
        <v>3.1</v>
      </c>
      <c r="AB479" t="n">
        <v>3.9</v>
      </c>
      <c r="AC479" t="n">
        <v>7.5</v>
      </c>
      <c r="AD479" t="n">
        <v>5.9</v>
      </c>
      <c r="AG479" t="n">
        <v>7.8</v>
      </c>
      <c r="AJ479" t="n">
        <v>9</v>
      </c>
      <c r="AL479" t="n">
        <v>5.8</v>
      </c>
    </row>
    <row r="480">
      <c r="A480" s="78" t="n">
        <v>34639</v>
      </c>
      <c r="B480" t="n">
        <v>9.143254000000001</v>
      </c>
      <c r="C480" t="n">
        <v>3.8</v>
      </c>
      <c r="D480" t="n">
        <v>9.699999999999999</v>
      </c>
      <c r="E480" t="n">
        <v>9.699999999999999</v>
      </c>
      <c r="G480" t="n">
        <v>8.378928999999999</v>
      </c>
      <c r="H480" t="n">
        <v>4.3</v>
      </c>
      <c r="I480" t="n">
        <v>8.300000000000001</v>
      </c>
      <c r="J480" t="n">
        <v>7.2</v>
      </c>
      <c r="K480" t="n">
        <v>10.8</v>
      </c>
      <c r="L480" t="n">
        <v>21.8</v>
      </c>
      <c r="N480" t="n">
        <v>15.7</v>
      </c>
      <c r="O480" t="n">
        <v>12</v>
      </c>
      <c r="P480" t="n">
        <v>6.712723</v>
      </c>
      <c r="Q480" t="n">
        <v>8.96378</v>
      </c>
      <c r="T480" t="n">
        <v>13.5</v>
      </c>
      <c r="W480" t="n">
        <v>11.1</v>
      </c>
      <c r="X480" t="n">
        <v>2.9</v>
      </c>
      <c r="Y480" t="n">
        <v>2.2</v>
      </c>
      <c r="Z480" t="n">
        <v>3</v>
      </c>
      <c r="AB480" t="n">
        <v>4.1</v>
      </c>
      <c r="AC480" t="n">
        <v>7.7</v>
      </c>
      <c r="AD480" t="n">
        <v>6</v>
      </c>
      <c r="AG480" t="n">
        <v>7.8</v>
      </c>
      <c r="AJ480" t="n">
        <v>9</v>
      </c>
      <c r="AL480" t="n">
        <v>5.6</v>
      </c>
    </row>
    <row r="481">
      <c r="A481" s="78" t="n">
        <v>34669</v>
      </c>
      <c r="B481" t="n">
        <v>8.935909000000001</v>
      </c>
      <c r="C481" t="n">
        <v>3.8</v>
      </c>
      <c r="D481" t="n">
        <v>9.699999999999999</v>
      </c>
      <c r="E481" t="n">
        <v>9.6</v>
      </c>
      <c r="G481" t="n">
        <v>8.122088</v>
      </c>
      <c r="H481" t="n">
        <v>4.4</v>
      </c>
      <c r="I481" t="n">
        <v>8.199999999999999</v>
      </c>
      <c r="J481" t="n">
        <v>7.1</v>
      </c>
      <c r="K481" t="n">
        <v>10.8</v>
      </c>
      <c r="L481" t="n">
        <v>21.6</v>
      </c>
      <c r="N481" t="n">
        <v>15.5</v>
      </c>
      <c r="O481" t="n">
        <v>11.9</v>
      </c>
      <c r="P481" t="n">
        <v>6.643998</v>
      </c>
      <c r="Q481" t="n">
        <v>8.892599000000001</v>
      </c>
      <c r="T481" t="n">
        <v>13.2</v>
      </c>
      <c r="W481" t="n">
        <v>11.2</v>
      </c>
      <c r="X481" t="n">
        <v>2.9</v>
      </c>
      <c r="Y481" t="n">
        <v>2.2</v>
      </c>
      <c r="Z481" t="n">
        <v>2.9</v>
      </c>
      <c r="AB481" t="n">
        <v>4</v>
      </c>
      <c r="AC481" t="n">
        <v>7.8</v>
      </c>
      <c r="AD481" t="n">
        <v>6</v>
      </c>
      <c r="AG481" t="n">
        <v>7.8</v>
      </c>
      <c r="AJ481" t="n">
        <v>9</v>
      </c>
      <c r="AL481" t="n">
        <v>5.5</v>
      </c>
    </row>
    <row r="482">
      <c r="A482" s="78" t="n">
        <v>34700</v>
      </c>
      <c r="B482" t="n">
        <v>8.857946</v>
      </c>
      <c r="C482" t="n">
        <v>4</v>
      </c>
      <c r="D482" t="n">
        <v>9.699999999999999</v>
      </c>
      <c r="E482" t="n">
        <v>9.6</v>
      </c>
      <c r="G482" t="n">
        <v>7.806291</v>
      </c>
      <c r="H482" t="n">
        <v>4.2</v>
      </c>
      <c r="I482" t="n">
        <v>8.199999999999999</v>
      </c>
      <c r="J482" t="n">
        <v>7</v>
      </c>
      <c r="K482" t="n">
        <v>10.7</v>
      </c>
      <c r="L482" t="n">
        <v>21.4</v>
      </c>
      <c r="N482" t="n">
        <v>15.3</v>
      </c>
      <c r="O482" t="n">
        <v>11.8</v>
      </c>
      <c r="P482" t="n">
        <v>6.69236</v>
      </c>
      <c r="Q482" t="n">
        <v>8.871575999999999</v>
      </c>
      <c r="T482" t="n">
        <v>12.9</v>
      </c>
      <c r="W482" t="n">
        <v>11.2</v>
      </c>
      <c r="X482" t="n">
        <v>3</v>
      </c>
      <c r="Y482" t="n">
        <v>2.1</v>
      </c>
      <c r="Z482" t="n">
        <v>2.9</v>
      </c>
      <c r="AB482" t="n">
        <v>4.4</v>
      </c>
      <c r="AC482" t="n">
        <v>8</v>
      </c>
      <c r="AD482" t="n">
        <v>6</v>
      </c>
      <c r="AG482" t="n">
        <v>7.9</v>
      </c>
      <c r="AJ482" t="n">
        <v>9</v>
      </c>
      <c r="AL482" t="n">
        <v>5.6</v>
      </c>
    </row>
    <row r="483">
      <c r="A483" s="78" t="n">
        <v>34731</v>
      </c>
      <c r="B483" t="n">
        <v>8.824611000000001</v>
      </c>
      <c r="C483" t="n">
        <v>3.9</v>
      </c>
      <c r="D483" t="n">
        <v>9.699999999999999</v>
      </c>
      <c r="E483" t="n">
        <v>9.6</v>
      </c>
      <c r="G483" t="n">
        <v>7.665543</v>
      </c>
      <c r="H483" t="n">
        <v>4.2</v>
      </c>
      <c r="I483" t="n">
        <v>8.1</v>
      </c>
      <c r="J483" t="n">
        <v>6.9</v>
      </c>
      <c r="K483" t="n">
        <v>10.7</v>
      </c>
      <c r="L483" t="n">
        <v>21.2</v>
      </c>
      <c r="N483" t="n">
        <v>15.1</v>
      </c>
      <c r="O483" t="n">
        <v>11.8</v>
      </c>
      <c r="P483" t="n">
        <v>6.625871</v>
      </c>
      <c r="Q483" t="n">
        <v>8.865519000000001</v>
      </c>
      <c r="T483" t="n">
        <v>12.7</v>
      </c>
      <c r="W483" t="n">
        <v>11.2</v>
      </c>
      <c r="X483" t="n">
        <v>3</v>
      </c>
      <c r="Y483" t="n">
        <v>2.2</v>
      </c>
      <c r="Z483" t="n">
        <v>2.9</v>
      </c>
      <c r="AB483" t="n">
        <v>5.1</v>
      </c>
      <c r="AC483" t="n">
        <v>8.1</v>
      </c>
      <c r="AD483" t="n">
        <v>6</v>
      </c>
      <c r="AG483" t="n">
        <v>8</v>
      </c>
      <c r="AJ483" t="n">
        <v>8.800000000000001</v>
      </c>
      <c r="AL483" t="n">
        <v>5.4</v>
      </c>
    </row>
    <row r="484">
      <c r="A484" s="78" t="n">
        <v>34759</v>
      </c>
      <c r="B484" t="n">
        <v>8.617329</v>
      </c>
      <c r="C484" t="n">
        <v>3.9</v>
      </c>
      <c r="D484" t="n">
        <v>9.6</v>
      </c>
      <c r="E484" t="n">
        <v>9.699999999999999</v>
      </c>
      <c r="G484" t="n">
        <v>7.37667</v>
      </c>
      <c r="H484" t="n">
        <v>4.2</v>
      </c>
      <c r="I484" t="n">
        <v>8.1</v>
      </c>
      <c r="J484" t="n">
        <v>6.8</v>
      </c>
      <c r="K484" t="n">
        <v>10.6</v>
      </c>
      <c r="L484" t="n">
        <v>20.9</v>
      </c>
      <c r="N484" t="n">
        <v>14.9</v>
      </c>
      <c r="O484" t="n">
        <v>11.8</v>
      </c>
      <c r="P484" t="n">
        <v>6.648552</v>
      </c>
      <c r="Q484" t="n">
        <v>8.830895</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8.265397999999999</v>
      </c>
      <c r="C485" t="n">
        <v>4</v>
      </c>
      <c r="D485" t="n">
        <v>9.6</v>
      </c>
      <c r="E485" t="n">
        <v>9.5</v>
      </c>
      <c r="G485" t="n">
        <v>7.456525</v>
      </c>
      <c r="H485" t="n">
        <v>4.1</v>
      </c>
      <c r="I485" t="n">
        <v>8.1</v>
      </c>
      <c r="J485" t="n">
        <v>6.8</v>
      </c>
      <c r="K485" t="n">
        <v>10.6</v>
      </c>
      <c r="L485" t="n">
        <v>20.6</v>
      </c>
      <c r="N485" t="n">
        <v>14.8</v>
      </c>
      <c r="O485" t="n">
        <v>11.8</v>
      </c>
      <c r="P485" t="n">
        <v>6.764495</v>
      </c>
      <c r="Q485" t="n">
        <v>8.766605999999999</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8.475618000000001</v>
      </c>
      <c r="C486" t="n">
        <v>4.1</v>
      </c>
      <c r="D486" t="n">
        <v>9.6</v>
      </c>
      <c r="E486" t="n">
        <v>9.5</v>
      </c>
      <c r="G486" t="n">
        <v>7.412342</v>
      </c>
      <c r="H486" t="n">
        <v>4.1</v>
      </c>
      <c r="I486" t="n">
        <v>8.1</v>
      </c>
      <c r="J486" t="n">
        <v>6.8</v>
      </c>
      <c r="K486" t="n">
        <v>10.6</v>
      </c>
      <c r="L486" t="n">
        <v>20.5</v>
      </c>
      <c r="N486" t="n">
        <v>14.8</v>
      </c>
      <c r="O486" t="n">
        <v>11.9</v>
      </c>
      <c r="P486" t="n">
        <v>6.692447</v>
      </c>
      <c r="Q486" t="n">
        <v>8.664016</v>
      </c>
      <c r="T486" t="n">
        <v>12.2</v>
      </c>
      <c r="W486" t="n">
        <v>11.1</v>
      </c>
      <c r="X486" t="n">
        <v>3</v>
      </c>
      <c r="Y486" t="n">
        <v>2.1</v>
      </c>
      <c r="Z486" t="n">
        <v>2.8</v>
      </c>
      <c r="AB486" t="n">
        <v>6.5</v>
      </c>
      <c r="AC486" t="n">
        <v>8.4</v>
      </c>
      <c r="AD486" t="n">
        <v>5.5</v>
      </c>
      <c r="AG486" t="n">
        <v>7.9</v>
      </c>
      <c r="AJ486" t="n">
        <v>8.6</v>
      </c>
      <c r="AL486" t="n">
        <v>5.6</v>
      </c>
    </row>
    <row r="487">
      <c r="A487" s="78" t="n">
        <v>34851</v>
      </c>
      <c r="B487" t="n">
        <v>8.35535</v>
      </c>
      <c r="C487" t="n">
        <v>4.2</v>
      </c>
      <c r="D487" t="n">
        <v>9.6</v>
      </c>
      <c r="E487" t="n">
        <v>9.5</v>
      </c>
      <c r="G487" t="n">
        <v>7.405105</v>
      </c>
      <c r="H487" t="n">
        <v>4.3</v>
      </c>
      <c r="I487" t="n">
        <v>8.1</v>
      </c>
      <c r="J487" t="n">
        <v>6.8</v>
      </c>
      <c r="K487" t="n">
        <v>10.6</v>
      </c>
      <c r="L487" t="n">
        <v>20.6</v>
      </c>
      <c r="N487" t="n">
        <v>14.9</v>
      </c>
      <c r="O487" t="n">
        <v>11.9</v>
      </c>
      <c r="P487" t="n">
        <v>6.708868</v>
      </c>
      <c r="Q487" t="n">
        <v>8.668533</v>
      </c>
      <c r="T487" t="n">
        <v>12.2</v>
      </c>
      <c r="W487" t="n">
        <v>11.1</v>
      </c>
      <c r="X487" t="n">
        <v>3.1</v>
      </c>
      <c r="Y487" t="n">
        <v>2</v>
      </c>
      <c r="Z487" t="n">
        <v>2.8</v>
      </c>
      <c r="AB487" t="n">
        <v>6.7</v>
      </c>
      <c r="AC487" t="n">
        <v>8.4</v>
      </c>
      <c r="AD487" t="n">
        <v>5.4</v>
      </c>
      <c r="AG487" t="n">
        <v>7.8</v>
      </c>
      <c r="AJ487" t="n">
        <v>8.699999999999999</v>
      </c>
      <c r="AL487" t="n">
        <v>5.6</v>
      </c>
    </row>
    <row r="488">
      <c r="A488" s="78" t="n">
        <v>34881</v>
      </c>
      <c r="B488" t="n">
        <v>8.426982000000001</v>
      </c>
      <c r="C488" t="n">
        <v>4.3</v>
      </c>
      <c r="D488" t="n">
        <v>9.6</v>
      </c>
      <c r="E488" t="n">
        <v>9.6</v>
      </c>
      <c r="G488" t="n">
        <v>7.233737</v>
      </c>
      <c r="H488" t="n">
        <v>4.1</v>
      </c>
      <c r="I488" t="n">
        <v>8.199999999999999</v>
      </c>
      <c r="J488" t="n">
        <v>6.7</v>
      </c>
      <c r="K488" t="n">
        <v>10.6</v>
      </c>
      <c r="L488" t="n">
        <v>20.7</v>
      </c>
      <c r="N488" t="n">
        <v>15</v>
      </c>
      <c r="O488" t="n">
        <v>11.9</v>
      </c>
      <c r="P488" t="n">
        <v>6.755596</v>
      </c>
      <c r="Q488" t="n">
        <v>8.624154000000001</v>
      </c>
      <c r="T488" t="n">
        <v>12.1</v>
      </c>
      <c r="W488" t="n">
        <v>11.1</v>
      </c>
      <c r="X488" t="n">
        <v>3.1</v>
      </c>
      <c r="Y488" t="n">
        <v>2</v>
      </c>
      <c r="Z488" t="n">
        <v>2.8</v>
      </c>
      <c r="AB488" t="n">
        <v>6.8</v>
      </c>
      <c r="AC488" t="n">
        <v>8.4</v>
      </c>
      <c r="AD488" t="n">
        <v>5.3</v>
      </c>
      <c r="AG488" t="n">
        <v>7.8</v>
      </c>
      <c r="AJ488" t="n">
        <v>8.6</v>
      </c>
      <c r="AL488" t="n">
        <v>5.7</v>
      </c>
    </row>
    <row r="489">
      <c r="A489" s="78" t="n">
        <v>34912</v>
      </c>
      <c r="B489" t="n">
        <v>8.320868000000001</v>
      </c>
      <c r="C489" t="n">
        <v>4.4</v>
      </c>
      <c r="D489" t="n">
        <v>9.699999999999999</v>
      </c>
      <c r="E489" t="n">
        <v>9.5</v>
      </c>
      <c r="G489" t="n">
        <v>7.054087</v>
      </c>
      <c r="H489" t="n">
        <v>4</v>
      </c>
      <c r="I489" t="n">
        <v>8.300000000000001</v>
      </c>
      <c r="J489" t="n">
        <v>6.7</v>
      </c>
      <c r="K489" t="n">
        <v>10.6</v>
      </c>
      <c r="L489" t="n">
        <v>20.8</v>
      </c>
      <c r="N489" t="n">
        <v>15</v>
      </c>
      <c r="O489" t="n">
        <v>12</v>
      </c>
      <c r="P489" t="n">
        <v>6.77838</v>
      </c>
      <c r="Q489" t="n">
        <v>8.648027000000001</v>
      </c>
      <c r="T489" t="n">
        <v>12.1</v>
      </c>
      <c r="W489" t="n">
        <v>11.2</v>
      </c>
      <c r="X489" t="n">
        <v>3.2</v>
      </c>
      <c r="Y489" t="n">
        <v>2.1</v>
      </c>
      <c r="Z489" t="n">
        <v>2.8</v>
      </c>
      <c r="AB489" t="n">
        <v>7.6</v>
      </c>
      <c r="AC489" t="n">
        <v>8.4</v>
      </c>
      <c r="AD489" t="n">
        <v>5.3</v>
      </c>
      <c r="AG489" t="n">
        <v>7.8</v>
      </c>
      <c r="AJ489" t="n">
        <v>8.699999999999999</v>
      </c>
      <c r="AL489" t="n">
        <v>5.7</v>
      </c>
    </row>
    <row r="490">
      <c r="A490" s="78" t="n">
        <v>34943</v>
      </c>
      <c r="B490" t="n">
        <v>8.363118</v>
      </c>
      <c r="C490" t="n">
        <v>4.4</v>
      </c>
      <c r="D490" t="n">
        <v>9.699999999999999</v>
      </c>
      <c r="E490" t="n">
        <v>9.199999999999999</v>
      </c>
      <c r="G490" t="n">
        <v>6.939389</v>
      </c>
      <c r="H490" t="n">
        <v>3.8</v>
      </c>
      <c r="I490" t="n">
        <v>8.300000000000001</v>
      </c>
      <c r="J490" t="n">
        <v>6.7</v>
      </c>
      <c r="K490" t="n">
        <v>10.7</v>
      </c>
      <c r="L490" t="n">
        <v>20.9</v>
      </c>
      <c r="N490" t="n">
        <v>15</v>
      </c>
      <c r="O490" t="n">
        <v>12.1</v>
      </c>
      <c r="P490" t="n">
        <v>6.762979</v>
      </c>
      <c r="Q490" t="n">
        <v>8.611241</v>
      </c>
      <c r="T490" t="n">
        <v>12.1</v>
      </c>
      <c r="W490" t="n">
        <v>11.2</v>
      </c>
      <c r="X490" t="n">
        <v>3.2</v>
      </c>
      <c r="Y490" t="n">
        <v>2.2</v>
      </c>
      <c r="Z490" t="n">
        <v>2.9</v>
      </c>
      <c r="AB490" t="n">
        <v>6.7</v>
      </c>
      <c r="AC490" t="n">
        <v>8.4</v>
      </c>
      <c r="AD490" t="n">
        <v>5.2</v>
      </c>
      <c r="AG490" t="n">
        <v>7.8</v>
      </c>
      <c r="AJ490" t="n">
        <v>8.699999999999999</v>
      </c>
      <c r="AL490" t="n">
        <v>5.6</v>
      </c>
    </row>
    <row r="491">
      <c r="A491" s="78" t="n">
        <v>34973</v>
      </c>
      <c r="B491" t="n">
        <v>8.57602</v>
      </c>
      <c r="C491" t="n">
        <v>4.5</v>
      </c>
      <c r="D491" t="n">
        <v>9.800000000000001</v>
      </c>
      <c r="E491" t="n">
        <v>9.300000000000001</v>
      </c>
      <c r="G491" t="n">
        <v>6.898185</v>
      </c>
      <c r="H491" t="n">
        <v>3.9</v>
      </c>
      <c r="I491" t="n">
        <v>8.4</v>
      </c>
      <c r="J491" t="n">
        <v>6.6</v>
      </c>
      <c r="K491" t="n">
        <v>10.7</v>
      </c>
      <c r="L491" t="n">
        <v>20.7</v>
      </c>
      <c r="N491" t="n">
        <v>15.1</v>
      </c>
      <c r="O491" t="n">
        <v>12.1</v>
      </c>
      <c r="P491" t="n">
        <v>6.719616</v>
      </c>
      <c r="Q491" t="n">
        <v>8.552189</v>
      </c>
      <c r="T491" t="n">
        <v>12.1</v>
      </c>
      <c r="W491" t="n">
        <v>11.1</v>
      </c>
      <c r="X491" t="n">
        <v>3.2</v>
      </c>
      <c r="Y491" t="n">
        <v>2.2</v>
      </c>
      <c r="Z491" t="n">
        <v>2.9</v>
      </c>
      <c r="AB491" t="n">
        <v>6.6</v>
      </c>
      <c r="AC491" t="n">
        <v>8.4</v>
      </c>
      <c r="AD491" t="n">
        <v>5.1</v>
      </c>
      <c r="AG491" t="n">
        <v>8</v>
      </c>
      <c r="AJ491" t="n">
        <v>8.9</v>
      </c>
      <c r="AL491" t="n">
        <v>5.5</v>
      </c>
    </row>
    <row r="492">
      <c r="A492" s="78" t="n">
        <v>35004</v>
      </c>
      <c r="B492" t="n">
        <v>8.452087000000001</v>
      </c>
      <c r="C492" t="n">
        <v>4.6</v>
      </c>
      <c r="D492" t="n">
        <v>9.800000000000001</v>
      </c>
      <c r="E492" t="n">
        <v>9.199999999999999</v>
      </c>
      <c r="G492" t="n">
        <v>7.102149</v>
      </c>
      <c r="H492" t="n">
        <v>3.7</v>
      </c>
      <c r="I492" t="n">
        <v>8.4</v>
      </c>
      <c r="J492" t="n">
        <v>6.7</v>
      </c>
      <c r="K492" t="n">
        <v>10.7</v>
      </c>
      <c r="L492" t="n">
        <v>20.7</v>
      </c>
      <c r="N492" t="n">
        <v>15.2</v>
      </c>
      <c r="O492" t="n">
        <v>12.2</v>
      </c>
      <c r="P492" t="n">
        <v>6.772717</v>
      </c>
      <c r="Q492" t="n">
        <v>8.303890000000001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8.144757999999999</v>
      </c>
      <c r="C493" t="n">
        <v>4.6</v>
      </c>
      <c r="D493" t="n">
        <v>9.800000000000001</v>
      </c>
      <c r="E493" t="n">
        <v>9.4</v>
      </c>
      <c r="G493" t="n">
        <v>7.52437</v>
      </c>
      <c r="H493" t="n">
        <v>3.6</v>
      </c>
      <c r="I493" t="n">
        <v>8.5</v>
      </c>
      <c r="J493" t="n">
        <v>6.6</v>
      </c>
      <c r="K493" t="n">
        <v>10.7</v>
      </c>
      <c r="L493" t="n">
        <v>20.5</v>
      </c>
      <c r="N493" t="n">
        <v>15.3</v>
      </c>
      <c r="O493" t="n">
        <v>12.2</v>
      </c>
      <c r="P493" t="n">
        <v>6.804411</v>
      </c>
      <c r="Q493" t="n">
        <v>8.378935</v>
      </c>
      <c r="T493" t="n">
        <v>12.1</v>
      </c>
      <c r="W493" t="n">
        <v>11.1</v>
      </c>
      <c r="X493" t="n">
        <v>3.4</v>
      </c>
      <c r="Y493" t="n">
        <v>1.9</v>
      </c>
      <c r="Z493" t="n">
        <v>2.9</v>
      </c>
      <c r="AB493" t="n">
        <v>6.6</v>
      </c>
      <c r="AC493" t="n">
        <v>8.300000000000001</v>
      </c>
      <c r="AD493" t="n">
        <v>5.1</v>
      </c>
      <c r="AG493" t="n">
        <v>8</v>
      </c>
      <c r="AJ493" t="n">
        <v>9</v>
      </c>
      <c r="AL493" t="n">
        <v>5.6</v>
      </c>
    </row>
    <row r="494">
      <c r="A494" s="78" t="n">
        <v>35065</v>
      </c>
      <c r="B494" t="n">
        <v>8.455494</v>
      </c>
      <c r="C494" t="n">
        <v>4.7</v>
      </c>
      <c r="D494" t="n">
        <v>9.9</v>
      </c>
      <c r="E494" t="n">
        <v>9.4</v>
      </c>
      <c r="G494" t="n">
        <v>7.486629</v>
      </c>
      <c r="H494" t="n">
        <v>3.8</v>
      </c>
      <c r="I494" t="n">
        <v>8.5</v>
      </c>
      <c r="J494" t="n">
        <v>6.6</v>
      </c>
      <c r="K494" t="n">
        <v>10.7</v>
      </c>
      <c r="L494" t="n">
        <v>20.4</v>
      </c>
      <c r="N494" t="n">
        <v>15.2</v>
      </c>
      <c r="O494" t="n">
        <v>12.3</v>
      </c>
      <c r="P494" t="n">
        <v>6.833537</v>
      </c>
      <c r="Q494" t="n">
        <v>8.31732</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8.32771</v>
      </c>
      <c r="C495" t="n">
        <v>4.8</v>
      </c>
      <c r="D495" t="n">
        <v>9.9</v>
      </c>
      <c r="E495" t="n">
        <v>9.5</v>
      </c>
      <c r="G495" t="n">
        <v>6.857526</v>
      </c>
      <c r="H495" t="n">
        <v>3.4</v>
      </c>
      <c r="I495" t="n">
        <v>8.6</v>
      </c>
      <c r="J495" t="n">
        <v>6.7</v>
      </c>
      <c r="K495" t="n">
        <v>10.8</v>
      </c>
      <c r="L495" t="n">
        <v>20.3</v>
      </c>
      <c r="N495" t="n">
        <v>15.1</v>
      </c>
      <c r="O495" t="n">
        <v>12.3</v>
      </c>
      <c r="P495" t="n">
        <v>6.756554</v>
      </c>
      <c r="Q495" t="n">
        <v>8.234201000000001</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8.421453</v>
      </c>
      <c r="C496" t="n">
        <v>4.8</v>
      </c>
      <c r="D496" t="n">
        <v>9.800000000000001</v>
      </c>
      <c r="E496" t="n">
        <v>9.6</v>
      </c>
      <c r="G496" t="n">
        <v>6.328805</v>
      </c>
      <c r="H496" t="n">
        <v>3.6</v>
      </c>
      <c r="I496" t="n">
        <v>8.6</v>
      </c>
      <c r="J496" t="n">
        <v>6.7</v>
      </c>
      <c r="K496" t="n">
        <v>10.8</v>
      </c>
      <c r="L496" t="n">
        <v>20.3</v>
      </c>
      <c r="N496" t="n">
        <v>13.9</v>
      </c>
      <c r="O496" t="n">
        <v>12.3</v>
      </c>
      <c r="P496" t="n">
        <v>6.736599</v>
      </c>
      <c r="Q496" t="n">
        <v>8.294613</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8.576654</v>
      </c>
      <c r="C497" t="n">
        <v>4.8</v>
      </c>
      <c r="D497" t="n">
        <v>9.800000000000001</v>
      </c>
      <c r="E497" t="n">
        <v>9.300000000000001</v>
      </c>
      <c r="G497" t="n">
        <v>6.231247</v>
      </c>
      <c r="H497" t="n">
        <v>4</v>
      </c>
      <c r="I497" t="n">
        <v>8.699999999999999</v>
      </c>
      <c r="J497" t="n">
        <v>6.7</v>
      </c>
      <c r="K497" t="n">
        <v>10.8</v>
      </c>
      <c r="L497" t="n">
        <v>20.1</v>
      </c>
      <c r="N497" t="n">
        <v>14.1</v>
      </c>
      <c r="O497" t="n">
        <v>12.3</v>
      </c>
      <c r="P497" t="n">
        <v>6.808738</v>
      </c>
      <c r="Q497" t="n">
        <v>8.27975</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8.415469999999999</v>
      </c>
      <c r="C498" t="n">
        <v>4.8</v>
      </c>
      <c r="D498" t="n">
        <v>9.699999999999999</v>
      </c>
      <c r="E498" t="n">
        <v>9.199999999999999</v>
      </c>
      <c r="G498" t="n">
        <v>6.294757</v>
      </c>
      <c r="H498" t="n">
        <v>3.8</v>
      </c>
      <c r="I498" t="n">
        <v>8.800000000000001</v>
      </c>
      <c r="J498" t="n">
        <v>6.5</v>
      </c>
      <c r="K498" t="n">
        <v>10.8</v>
      </c>
      <c r="L498" t="n">
        <v>20.1</v>
      </c>
      <c r="N498" t="n">
        <v>14.4</v>
      </c>
      <c r="O498" t="n">
        <v>12.4</v>
      </c>
      <c r="P498" t="n">
        <v>6.828778</v>
      </c>
      <c r="Q498" t="n">
        <v>8.25487</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8.256826</v>
      </c>
      <c r="C499" t="n">
        <v>4.8</v>
      </c>
      <c r="D499" t="n">
        <v>9.5</v>
      </c>
      <c r="E499" t="n">
        <v>9.800000000000001</v>
      </c>
      <c r="G499" t="n">
        <v>6.553713</v>
      </c>
      <c r="H499" t="n">
        <v>3.9</v>
      </c>
      <c r="I499" t="n">
        <v>8.800000000000001</v>
      </c>
      <c r="J499" t="n">
        <v>6.4</v>
      </c>
      <c r="K499" t="n">
        <v>10.8</v>
      </c>
      <c r="L499" t="n">
        <v>20.2</v>
      </c>
      <c r="N499" t="n">
        <v>14.7</v>
      </c>
      <c r="O499" t="n">
        <v>12.4</v>
      </c>
      <c r="P499" t="n">
        <v>6.740294</v>
      </c>
      <c r="Q499" t="n">
        <v>8.172542</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8.568409000000001</v>
      </c>
      <c r="C500" t="n">
        <v>4.7</v>
      </c>
      <c r="D500" t="n">
        <v>9.5</v>
      </c>
      <c r="E500" t="n">
        <v>9.699999999999999</v>
      </c>
      <c r="G500" t="n">
        <v>6.462574</v>
      </c>
      <c r="H500" t="n">
        <v>3.9</v>
      </c>
      <c r="I500" t="n">
        <v>8.9</v>
      </c>
      <c r="J500" t="n">
        <v>6.5</v>
      </c>
      <c r="K500" t="n">
        <v>10.8</v>
      </c>
      <c r="L500" t="n">
        <v>20.1</v>
      </c>
      <c r="N500" t="n">
        <v>14.9</v>
      </c>
      <c r="O500" t="n">
        <v>12.4</v>
      </c>
      <c r="P500" t="n">
        <v>6.78449</v>
      </c>
      <c r="Q500" t="n">
        <v>8.061173</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8.722674</v>
      </c>
      <c r="C501" t="n">
        <v>4.7</v>
      </c>
      <c r="D501" t="n">
        <v>9.4</v>
      </c>
      <c r="E501" t="n">
        <v>9.4</v>
      </c>
      <c r="G501" t="n">
        <v>6.273942</v>
      </c>
      <c r="H501" t="n">
        <v>3.9</v>
      </c>
      <c r="I501" t="n">
        <v>9</v>
      </c>
      <c r="J501" t="n">
        <v>6.3</v>
      </c>
      <c r="K501" t="n">
        <v>10.8</v>
      </c>
      <c r="L501" t="n">
        <v>19.8</v>
      </c>
      <c r="N501" t="n">
        <v>14.9</v>
      </c>
      <c r="O501" t="n">
        <v>12.4</v>
      </c>
      <c r="P501" t="n">
        <v>6.635329</v>
      </c>
      <c r="Q501" t="n">
        <v>8.061487</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8.576610000000001</v>
      </c>
      <c r="C502" t="n">
        <v>4.7</v>
      </c>
      <c r="D502" t="n">
        <v>9.4</v>
      </c>
      <c r="E502" t="n">
        <v>9.9</v>
      </c>
      <c r="G502" t="n">
        <v>5.963968</v>
      </c>
      <c r="H502" t="n">
        <v>4</v>
      </c>
      <c r="I502" t="n">
        <v>9.1</v>
      </c>
      <c r="J502" t="n">
        <v>6</v>
      </c>
      <c r="K502" t="n">
        <v>10.8</v>
      </c>
      <c r="L502" t="n">
        <v>19.7</v>
      </c>
      <c r="N502" t="n">
        <v>14.8</v>
      </c>
      <c r="O502" t="n">
        <v>12.5</v>
      </c>
      <c r="P502" t="n">
        <v>6.688972</v>
      </c>
      <c r="Q502" t="n">
        <v>8.052015000000001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8.760438000000001</v>
      </c>
      <c r="C503" t="n">
        <v>4.6</v>
      </c>
      <c r="D503" t="n">
        <v>9.300000000000001</v>
      </c>
      <c r="E503" t="n">
        <v>9.9</v>
      </c>
      <c r="G503" t="n">
        <v>5.965039</v>
      </c>
      <c r="H503" t="n">
        <v>4</v>
      </c>
      <c r="I503" t="n">
        <v>9.199999999999999</v>
      </c>
      <c r="J503" t="n">
        <v>5.9</v>
      </c>
      <c r="K503" t="n">
        <v>10.8</v>
      </c>
      <c r="L503" t="n">
        <v>19.5</v>
      </c>
      <c r="N503" t="n">
        <v>14.6</v>
      </c>
      <c r="O503" t="n">
        <v>12.5</v>
      </c>
      <c r="P503" t="n">
        <v>6.725968</v>
      </c>
      <c r="Q503" t="n">
        <v>7.954635</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8.470781000000001</v>
      </c>
      <c r="C504" t="n">
        <v>4.6</v>
      </c>
      <c r="D504" t="n">
        <v>9.199999999999999</v>
      </c>
      <c r="E504" t="n">
        <v>9.9</v>
      </c>
      <c r="G504" t="n">
        <v>5.871906</v>
      </c>
      <c r="H504" t="n">
        <v>4.1</v>
      </c>
      <c r="I504" t="n">
        <v>9.300000000000001</v>
      </c>
      <c r="J504" t="n">
        <v>5.8</v>
      </c>
      <c r="K504" t="n">
        <v>10.8</v>
      </c>
      <c r="L504" t="n">
        <v>19.3</v>
      </c>
      <c r="N504" t="n">
        <v>14.4</v>
      </c>
      <c r="O504" t="n">
        <v>12.5</v>
      </c>
      <c r="P504" t="n">
        <v>6.766126</v>
      </c>
      <c r="Q504" t="n">
        <v>7.841694</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8.631487999999999</v>
      </c>
      <c r="C505" t="n">
        <v>4.6</v>
      </c>
      <c r="D505" t="n">
        <v>9.199999999999999</v>
      </c>
      <c r="E505" t="n">
        <v>9.699999999999999</v>
      </c>
      <c r="G505" t="n">
        <v>5.926616</v>
      </c>
      <c r="H505" t="n">
        <v>4.3</v>
      </c>
      <c r="I505" t="n">
        <v>9.4</v>
      </c>
      <c r="J505" t="n">
        <v>5.7</v>
      </c>
      <c r="K505" t="n">
        <v>10.8</v>
      </c>
      <c r="L505" t="n">
        <v>19.1</v>
      </c>
      <c r="N505" t="n">
        <v>13.6</v>
      </c>
      <c r="O505" t="n">
        <v>12.5</v>
      </c>
      <c r="P505" t="n">
        <v>6.779033</v>
      </c>
      <c r="Q505" t="n">
        <v>7.670393</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8.567435</v>
      </c>
      <c r="C506" t="n">
        <v>4.6</v>
      </c>
      <c r="D506" t="n">
        <v>9.1</v>
      </c>
      <c r="E506" t="n">
        <v>9.5</v>
      </c>
      <c r="G506" t="n">
        <v>5.904411</v>
      </c>
      <c r="H506" t="n">
        <v>4.2</v>
      </c>
      <c r="I506" t="n">
        <v>9.5</v>
      </c>
      <c r="J506" t="n">
        <v>5.6</v>
      </c>
      <c r="K506" t="n">
        <v>10.8</v>
      </c>
      <c r="L506" t="n">
        <v>18.8</v>
      </c>
      <c r="M506" t="n">
        <v>10.2</v>
      </c>
      <c r="N506" t="n">
        <v>13.5</v>
      </c>
      <c r="O506" t="n">
        <v>12.5</v>
      </c>
      <c r="P506" t="n">
        <v>6.720247</v>
      </c>
      <c r="Q506" t="n">
        <v>7.489989</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8.703664</v>
      </c>
      <c r="C507" t="n">
        <v>4.7</v>
      </c>
      <c r="D507" t="n">
        <v>9.1</v>
      </c>
      <c r="E507" t="n">
        <v>9.5</v>
      </c>
      <c r="G507" t="n">
        <v>6.117298</v>
      </c>
      <c r="H507" t="n">
        <v>4.1</v>
      </c>
      <c r="I507" t="n">
        <v>9.5</v>
      </c>
      <c r="J507" t="n">
        <v>5.5</v>
      </c>
      <c r="K507" t="n">
        <v>10.9</v>
      </c>
      <c r="L507" t="n">
        <v>18.7</v>
      </c>
      <c r="M507" t="n">
        <v>10.2</v>
      </c>
      <c r="N507" t="n">
        <v>13.4</v>
      </c>
      <c r="O507" t="n">
        <v>12.5</v>
      </c>
      <c r="P507" t="n">
        <v>6.705805</v>
      </c>
      <c r="Q507" t="n">
        <v>7.323361</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8.592807000000001</v>
      </c>
      <c r="C508" t="n">
        <v>4.7</v>
      </c>
      <c r="D508" t="n">
        <v>9.1</v>
      </c>
      <c r="E508" t="n">
        <v>9.300000000000001</v>
      </c>
      <c r="G508" t="n">
        <v>6.20459</v>
      </c>
      <c r="H508" t="n">
        <v>4.2</v>
      </c>
      <c r="I508" t="n">
        <v>9.6</v>
      </c>
      <c r="J508" t="n">
        <v>5.3</v>
      </c>
      <c r="K508" t="n">
        <v>10.8</v>
      </c>
      <c r="L508" t="n">
        <v>18.6</v>
      </c>
      <c r="M508" t="n">
        <v>10.2</v>
      </c>
      <c r="N508" t="n">
        <v>13.3</v>
      </c>
      <c r="O508" t="n">
        <v>12.5</v>
      </c>
      <c r="P508" t="n">
        <v>6.632594</v>
      </c>
      <c r="Q508" t="n">
        <v>7.205295</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8.566405</v>
      </c>
      <c r="C509" t="n">
        <v>4.7</v>
      </c>
      <c r="D509" t="n">
        <v>9.1</v>
      </c>
      <c r="E509" t="n">
        <v>9.4</v>
      </c>
      <c r="G509" t="n">
        <v>6.309768</v>
      </c>
      <c r="H509" t="n">
        <v>4.5</v>
      </c>
      <c r="I509" t="n">
        <v>9.699999999999999</v>
      </c>
      <c r="J509" t="n">
        <v>5.2</v>
      </c>
      <c r="K509" t="n">
        <v>10.9</v>
      </c>
      <c r="L509" t="n">
        <v>18.6</v>
      </c>
      <c r="M509" t="n">
        <v>9.699999999999999</v>
      </c>
      <c r="N509" t="n">
        <v>13.2</v>
      </c>
      <c r="O509" t="n">
        <v>12.4</v>
      </c>
      <c r="P509" t="n">
        <v>6.603858</v>
      </c>
      <c r="Q509" t="n">
        <v>7.184803</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8.548759</v>
      </c>
      <c r="C510" t="n">
        <v>4.7</v>
      </c>
      <c r="D510" t="n">
        <v>9.1</v>
      </c>
      <c r="E510" t="n">
        <v>9.4</v>
      </c>
      <c r="G510" t="n">
        <v>6.319064</v>
      </c>
      <c r="H510" t="n">
        <v>4.6</v>
      </c>
      <c r="I510" t="n">
        <v>9.699999999999999</v>
      </c>
      <c r="J510" t="n">
        <v>5.3</v>
      </c>
      <c r="K510" t="n">
        <v>10.8</v>
      </c>
      <c r="L510" t="n">
        <v>18.7</v>
      </c>
      <c r="M510" t="n">
        <v>9.699999999999999</v>
      </c>
      <c r="N510" t="n">
        <v>13</v>
      </c>
      <c r="O510" t="n">
        <v>12.4</v>
      </c>
      <c r="P510" t="n">
        <v>6.568616</v>
      </c>
      <c r="Q510" t="n">
        <v>7.179729</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8.332915</v>
      </c>
      <c r="C511" t="n">
        <v>4.7</v>
      </c>
      <c r="D511" t="n">
        <v>9.199999999999999</v>
      </c>
      <c r="E511" t="n">
        <v>9.1</v>
      </c>
      <c r="G511" t="n">
        <v>6.238792</v>
      </c>
      <c r="H511" t="n">
        <v>4.8</v>
      </c>
      <c r="I511" t="n">
        <v>9.699999999999999</v>
      </c>
      <c r="J511" t="n">
        <v>5.2</v>
      </c>
      <c r="K511" t="n">
        <v>10.8</v>
      </c>
      <c r="L511" t="n">
        <v>18.8</v>
      </c>
      <c r="M511" t="n">
        <v>9.699999999999999</v>
      </c>
      <c r="N511" t="n">
        <v>12.7</v>
      </c>
      <c r="O511" t="n">
        <v>12.4</v>
      </c>
      <c r="P511" t="n">
        <v>6.594038</v>
      </c>
      <c r="Q511" t="n">
        <v>7.290441</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8.589861000000001</v>
      </c>
      <c r="C512" t="n">
        <v>4.8</v>
      </c>
      <c r="D512" t="n">
        <v>9.300000000000001</v>
      </c>
      <c r="E512" t="n">
        <v>8.9</v>
      </c>
      <c r="G512" t="n">
        <v>6.147367</v>
      </c>
      <c r="H512" t="n">
        <v>4.9</v>
      </c>
      <c r="I512" t="n">
        <v>9.699999999999999</v>
      </c>
      <c r="J512" t="n">
        <v>5.2</v>
      </c>
      <c r="K512" t="n">
        <v>10.7</v>
      </c>
      <c r="L512" t="n">
        <v>18.6</v>
      </c>
      <c r="M512" t="n">
        <v>9.5</v>
      </c>
      <c r="N512" t="n">
        <v>12.5</v>
      </c>
      <c r="O512" t="n">
        <v>12.4</v>
      </c>
      <c r="P512" t="n">
        <v>6.497759</v>
      </c>
      <c r="Q512" t="n">
        <v>7.087726</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8.466051</v>
      </c>
      <c r="C513" t="n">
        <v>4.8</v>
      </c>
      <c r="D513" t="n">
        <v>9.300000000000001</v>
      </c>
      <c r="E513" t="n">
        <v>8.9</v>
      </c>
      <c r="G513" t="n">
        <v>6.215761</v>
      </c>
      <c r="H513" t="n">
        <v>4.9</v>
      </c>
      <c r="I513" t="n">
        <v>9.699999999999999</v>
      </c>
      <c r="J513" t="n">
        <v>5.2</v>
      </c>
      <c r="K513" t="n">
        <v>10.7</v>
      </c>
      <c r="L513" t="n">
        <v>18.3</v>
      </c>
      <c r="M513" t="n">
        <v>9.5</v>
      </c>
      <c r="N513" t="n">
        <v>12.3</v>
      </c>
      <c r="O513" t="n">
        <v>12.3</v>
      </c>
      <c r="P513" t="n">
        <v>6.455468</v>
      </c>
      <c r="Q513" t="n">
        <v>6.840051</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8.068500999999999</v>
      </c>
      <c r="C514" t="n">
        <v>4.8</v>
      </c>
      <c r="D514" t="n">
        <v>9.300000000000001</v>
      </c>
      <c r="E514" t="n">
        <v>8.800000000000001</v>
      </c>
      <c r="G514" t="n">
        <v>6.172128</v>
      </c>
      <c r="H514" t="n">
        <v>5.1</v>
      </c>
      <c r="I514" t="n">
        <v>9.699999999999999</v>
      </c>
      <c r="J514" t="n">
        <v>5.1</v>
      </c>
      <c r="K514" t="n">
        <v>10.7</v>
      </c>
      <c r="L514" t="n">
        <v>18.3</v>
      </c>
      <c r="M514" t="n">
        <v>9.5</v>
      </c>
      <c r="N514" t="n">
        <v>12.2</v>
      </c>
      <c r="O514" t="n">
        <v>12.3</v>
      </c>
      <c r="P514" t="n">
        <v>6.467027</v>
      </c>
      <c r="Q514" t="n">
        <v>6.694883</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8.033844999999999</v>
      </c>
      <c r="C515" t="n">
        <v>4.8</v>
      </c>
      <c r="D515" t="n">
        <v>9.300000000000001</v>
      </c>
      <c r="E515" t="n">
        <v>8.9</v>
      </c>
      <c r="G515" t="n">
        <v>6.054828</v>
      </c>
      <c r="H515" t="n">
        <v>5.1</v>
      </c>
      <c r="I515" t="n">
        <v>9.699999999999999</v>
      </c>
      <c r="J515" t="n">
        <v>5.1</v>
      </c>
      <c r="K515" t="n">
        <v>10.7</v>
      </c>
      <c r="L515" t="n">
        <v>18</v>
      </c>
      <c r="M515" t="n">
        <v>9.199999999999999</v>
      </c>
      <c r="N515" t="n">
        <v>12.1</v>
      </c>
      <c r="O515" t="n">
        <v>12.2</v>
      </c>
      <c r="P515" t="n">
        <v>6.42685</v>
      </c>
      <c r="Q515" t="n">
        <v>6.618301</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7.987101</v>
      </c>
      <c r="C516" t="n">
        <v>4.9</v>
      </c>
      <c r="D516" t="n">
        <v>9.300000000000001</v>
      </c>
      <c r="E516" t="n">
        <v>8.9</v>
      </c>
      <c r="G516" t="n">
        <v>5.821892</v>
      </c>
      <c r="H516" t="n">
        <v>5.5</v>
      </c>
      <c r="I516" t="n">
        <v>9.699999999999999</v>
      </c>
      <c r="J516" t="n">
        <v>5.1</v>
      </c>
      <c r="K516" t="n">
        <v>10.6</v>
      </c>
      <c r="L516" t="n">
        <v>17.8</v>
      </c>
      <c r="M516" t="n">
        <v>9.199999999999999</v>
      </c>
      <c r="N516" t="n">
        <v>12</v>
      </c>
      <c r="O516" t="n">
        <v>12.2</v>
      </c>
      <c r="P516" t="n">
        <v>6.375587</v>
      </c>
      <c r="Q516" t="n">
        <v>6.540948</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7.911155</v>
      </c>
      <c r="C517" t="n">
        <v>4.9</v>
      </c>
      <c r="D517" t="n">
        <v>9.4</v>
      </c>
      <c r="E517" t="n">
        <v>8.5</v>
      </c>
      <c r="G517" t="n">
        <v>5.719836</v>
      </c>
      <c r="H517" t="n">
        <v>5.7</v>
      </c>
      <c r="I517" t="n">
        <v>9.699999999999999</v>
      </c>
      <c r="J517" t="n">
        <v>5.1</v>
      </c>
      <c r="K517" t="n">
        <v>10.6</v>
      </c>
      <c r="L517" t="n">
        <v>17.6</v>
      </c>
      <c r="M517" t="n">
        <v>9.199999999999999</v>
      </c>
      <c r="N517" t="n">
        <v>11.9</v>
      </c>
      <c r="O517" t="n">
        <v>12.1</v>
      </c>
      <c r="P517" t="n">
        <v>6.384085</v>
      </c>
      <c r="Q517" t="n">
        <v>6.400777</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7.86605</v>
      </c>
      <c r="C518" t="n">
        <v>4.9</v>
      </c>
      <c r="D518" t="n">
        <v>9.4</v>
      </c>
      <c r="E518" t="n">
        <v>8.800000000000001</v>
      </c>
      <c r="G518" t="n">
        <v>5.552233</v>
      </c>
      <c r="H518" t="n">
        <v>5.6</v>
      </c>
      <c r="I518" t="n">
        <v>9.699999999999999</v>
      </c>
      <c r="J518" t="n">
        <v>5.1</v>
      </c>
      <c r="K518" t="n">
        <v>10.5</v>
      </c>
      <c r="L518" t="n">
        <v>17.1</v>
      </c>
      <c r="M518" t="n">
        <v>9.199999999999999</v>
      </c>
      <c r="N518" t="n">
        <v>11.8</v>
      </c>
      <c r="O518" t="n">
        <v>12.1</v>
      </c>
      <c r="P518" t="n">
        <v>6.363077</v>
      </c>
      <c r="Q518" t="n">
        <v>6.377402</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7.773343</v>
      </c>
      <c r="C519" t="n">
        <v>5</v>
      </c>
      <c r="D519" t="n">
        <v>9.4</v>
      </c>
      <c r="E519" t="n">
        <v>8.6</v>
      </c>
      <c r="G519" t="n">
        <v>5.536314</v>
      </c>
      <c r="H519" t="n">
        <v>5.6</v>
      </c>
      <c r="I519" t="n">
        <v>9.699999999999999</v>
      </c>
      <c r="J519" t="n">
        <v>4.9</v>
      </c>
      <c r="K519" t="n">
        <v>10.5</v>
      </c>
      <c r="L519" t="n">
        <v>16.7</v>
      </c>
      <c r="M519" t="n">
        <v>9.199999999999999</v>
      </c>
      <c r="N519" t="n">
        <v>11.7</v>
      </c>
      <c r="O519" t="n">
        <v>12</v>
      </c>
      <c r="P519" t="n">
        <v>6.338794</v>
      </c>
      <c r="Q519" t="n">
        <v>6.364737</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7.883909</v>
      </c>
      <c r="C520" t="n">
        <v>4.9</v>
      </c>
      <c r="D520" t="n">
        <v>9.5</v>
      </c>
      <c r="E520" t="n">
        <v>8.4</v>
      </c>
      <c r="G520" t="n">
        <v>5.492425</v>
      </c>
      <c r="H520" t="n">
        <v>6</v>
      </c>
      <c r="I520" t="n">
        <v>9.6</v>
      </c>
      <c r="J520" t="n">
        <v>4.9</v>
      </c>
      <c r="K520" t="n">
        <v>10.5</v>
      </c>
      <c r="L520" t="n">
        <v>16.7</v>
      </c>
      <c r="M520" t="n">
        <v>9.199999999999999</v>
      </c>
      <c r="N520" t="n">
        <v>11.7</v>
      </c>
      <c r="O520" t="n">
        <v>12</v>
      </c>
      <c r="P520" t="n">
        <v>6.394197</v>
      </c>
      <c r="Q520" t="n">
        <v>6.311211</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7.602554</v>
      </c>
      <c r="C521" t="n">
        <v>4.9</v>
      </c>
      <c r="D521" t="n">
        <v>9.5</v>
      </c>
      <c r="E521" t="n">
        <v>8.300000000000001</v>
      </c>
      <c r="G521" t="n">
        <v>5.60189</v>
      </c>
      <c r="H521" t="n">
        <v>5.9</v>
      </c>
      <c r="I521" t="n">
        <v>9.6</v>
      </c>
      <c r="J521" t="n">
        <v>4.9</v>
      </c>
      <c r="K521" t="n">
        <v>10.8</v>
      </c>
      <c r="L521" t="n">
        <v>16.6</v>
      </c>
      <c r="M521" t="n">
        <v>9.1</v>
      </c>
      <c r="N521" t="n">
        <v>11.7</v>
      </c>
      <c r="O521" t="n">
        <v>12</v>
      </c>
      <c r="P521" t="n">
        <v>6.308088</v>
      </c>
      <c r="Q521" t="n">
        <v>6.270022</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7.76585</v>
      </c>
      <c r="C522" t="n">
        <v>4.8</v>
      </c>
      <c r="D522" t="n">
        <v>9.4</v>
      </c>
      <c r="E522" t="n">
        <v>8.300000000000001</v>
      </c>
      <c r="G522" t="n">
        <v>5.836609</v>
      </c>
      <c r="H522" t="n">
        <v>5.9</v>
      </c>
      <c r="I522" t="n">
        <v>9.5</v>
      </c>
      <c r="J522" t="n">
        <v>4.9</v>
      </c>
      <c r="K522" t="n">
        <v>10.7</v>
      </c>
      <c r="L522" t="n">
        <v>16.6</v>
      </c>
      <c r="M522" t="n">
        <v>9.1</v>
      </c>
      <c r="N522" t="n">
        <v>11.7</v>
      </c>
      <c r="O522" t="n">
        <v>12.1</v>
      </c>
      <c r="P522" t="n">
        <v>6.34429</v>
      </c>
      <c r="Q522" t="n">
        <v>6.283776</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7.833603</v>
      </c>
      <c r="C523" t="n">
        <v>4.8</v>
      </c>
      <c r="D523" t="n">
        <v>9.4</v>
      </c>
      <c r="E523" t="n">
        <v>8.4</v>
      </c>
      <c r="G523" t="n">
        <v>6.00219</v>
      </c>
      <c r="H523" t="n">
        <v>6.3</v>
      </c>
      <c r="I523" t="n">
        <v>9.4</v>
      </c>
      <c r="J523" t="n">
        <v>4.8</v>
      </c>
      <c r="K523" t="n">
        <v>10.7</v>
      </c>
      <c r="L523" t="n">
        <v>16.8</v>
      </c>
      <c r="M523" t="n">
        <v>9.1</v>
      </c>
      <c r="N523" t="n">
        <v>11.6</v>
      </c>
      <c r="O523" t="n">
        <v>12.1</v>
      </c>
      <c r="P523" t="n">
        <v>6.396363</v>
      </c>
      <c r="Q523" t="n">
        <v>6.300875</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7.975143</v>
      </c>
      <c r="C524" t="n">
        <v>4.7</v>
      </c>
      <c r="D524" t="n">
        <v>9.300000000000001</v>
      </c>
      <c r="E524" t="n">
        <v>8.300000000000001</v>
      </c>
      <c r="G524" t="n">
        <v>6.274507</v>
      </c>
      <c r="H524" t="n">
        <v>6.7</v>
      </c>
      <c r="I524" t="n">
        <v>9.4</v>
      </c>
      <c r="J524" t="n">
        <v>4.9</v>
      </c>
      <c r="K524" t="n">
        <v>10.6</v>
      </c>
      <c r="L524" t="n">
        <v>16.6</v>
      </c>
      <c r="M524" t="n">
        <v>9.1</v>
      </c>
      <c r="N524" t="n">
        <v>11.5</v>
      </c>
      <c r="O524" t="n">
        <v>12.1</v>
      </c>
      <c r="P524" t="n">
        <v>6.381535</v>
      </c>
      <c r="Q524" t="n">
        <v>6.311979</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7.756398</v>
      </c>
      <c r="C525" t="n">
        <v>4.7</v>
      </c>
      <c r="D525" t="n">
        <v>9.4</v>
      </c>
      <c r="E525" t="n">
        <v>8.1</v>
      </c>
      <c r="G525" t="n">
        <v>6.32563</v>
      </c>
      <c r="H525" t="n">
        <v>6.6</v>
      </c>
      <c r="I525" t="n">
        <v>9.300000000000001</v>
      </c>
      <c r="J525" t="n">
        <v>4.9</v>
      </c>
      <c r="K525" t="n">
        <v>10.6</v>
      </c>
      <c r="L525" t="n">
        <v>16.4</v>
      </c>
      <c r="M525" t="n">
        <v>9.1</v>
      </c>
      <c r="N525" t="n">
        <v>11.3</v>
      </c>
      <c r="O525" t="n">
        <v>12.1</v>
      </c>
      <c r="P525" t="n">
        <v>6.38588</v>
      </c>
      <c r="Q525" t="n">
        <v>6.240113</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7.634339</v>
      </c>
      <c r="C526" t="n">
        <v>4.6</v>
      </c>
      <c r="D526" t="n">
        <v>9.4</v>
      </c>
      <c r="E526" t="n">
        <v>8.199999999999999</v>
      </c>
      <c r="G526" t="n">
        <v>6.690718</v>
      </c>
      <c r="H526" t="n">
        <v>6.8</v>
      </c>
      <c r="I526" t="n">
        <v>9.199999999999999</v>
      </c>
      <c r="J526" t="n">
        <v>4.8</v>
      </c>
      <c r="K526" t="n">
        <v>10.5</v>
      </c>
      <c r="L526" t="n">
        <v>16.3</v>
      </c>
      <c r="M526" t="n">
        <v>9.1</v>
      </c>
      <c r="N526" t="n">
        <v>11</v>
      </c>
      <c r="O526" t="n">
        <v>12.1</v>
      </c>
      <c r="P526" t="n">
        <v>6.39669</v>
      </c>
      <c r="Q526" t="n">
        <v>6.217196</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7.314284</v>
      </c>
      <c r="C527" t="n">
        <v>4.5</v>
      </c>
      <c r="D527" t="n">
        <v>9.199999999999999</v>
      </c>
      <c r="E527" t="n">
        <v>8</v>
      </c>
      <c r="G527" t="n">
        <v>7.346246</v>
      </c>
      <c r="H527" t="n">
        <v>7.6</v>
      </c>
      <c r="I527" t="n">
        <v>9.1</v>
      </c>
      <c r="J527" t="n">
        <v>4.8</v>
      </c>
      <c r="K527" t="n">
        <v>10.5</v>
      </c>
      <c r="L527" t="n">
        <v>16</v>
      </c>
      <c r="M527" t="n">
        <v>9.300000000000001</v>
      </c>
      <c r="N527" t="n">
        <v>10.9</v>
      </c>
      <c r="O527" t="n">
        <v>12</v>
      </c>
      <c r="P527" t="n">
        <v>6.375393</v>
      </c>
      <c r="Q527" t="n">
        <v>6.157695</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7.62815</v>
      </c>
      <c r="C528" t="n">
        <v>4.4</v>
      </c>
      <c r="D528" t="n">
        <v>9.1</v>
      </c>
      <c r="E528" t="n">
        <v>8</v>
      </c>
      <c r="G528" t="n">
        <v>7.956398</v>
      </c>
      <c r="H528" t="n">
        <v>7.3</v>
      </c>
      <c r="I528" t="n">
        <v>9.1</v>
      </c>
      <c r="J528" t="n">
        <v>4.8</v>
      </c>
      <c r="K528" t="n">
        <v>10.4</v>
      </c>
      <c r="L528" t="n">
        <v>15.7</v>
      </c>
      <c r="M528" t="n">
        <v>9.300000000000001</v>
      </c>
      <c r="N528" t="n">
        <v>10.8</v>
      </c>
      <c r="O528" t="n">
        <v>12</v>
      </c>
      <c r="P528" t="n">
        <v>6.348902</v>
      </c>
      <c r="Q528" t="n">
        <v>6.143113</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7.184215</v>
      </c>
      <c r="C529" t="n">
        <v>4.3</v>
      </c>
      <c r="D529" t="n">
        <v>9.1</v>
      </c>
      <c r="E529" t="n">
        <v>8.1</v>
      </c>
      <c r="G529" t="n">
        <v>8.323251000000001</v>
      </c>
      <c r="H529" t="n">
        <v>7.2</v>
      </c>
      <c r="I529" t="n">
        <v>9</v>
      </c>
      <c r="J529" t="n">
        <v>4.9</v>
      </c>
      <c r="K529" t="n">
        <v>10.3</v>
      </c>
      <c r="L529" t="n">
        <v>15.4</v>
      </c>
      <c r="M529" t="n">
        <v>9.300000000000001</v>
      </c>
      <c r="N529" t="n">
        <v>10.8</v>
      </c>
      <c r="O529" t="n">
        <v>12</v>
      </c>
      <c r="P529" t="n">
        <v>6.310851</v>
      </c>
      <c r="Q529" t="n">
        <v>6.218025</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7.119821</v>
      </c>
      <c r="C530" t="n">
        <v>4.3</v>
      </c>
      <c r="D530" t="n">
        <v>8.9</v>
      </c>
      <c r="E530" t="n">
        <v>7.9</v>
      </c>
      <c r="G530" t="n">
        <v>8.380146</v>
      </c>
      <c r="H530" t="n">
        <v>8</v>
      </c>
      <c r="I530" t="n">
        <v>8.9</v>
      </c>
      <c r="J530" t="n">
        <v>5</v>
      </c>
      <c r="K530" t="n">
        <v>10.2</v>
      </c>
      <c r="L530" t="n">
        <v>14.8</v>
      </c>
      <c r="M530" t="n">
        <v>10.1</v>
      </c>
      <c r="N530" t="n">
        <v>10.7</v>
      </c>
      <c r="O530" t="n">
        <v>12</v>
      </c>
      <c r="P530" t="n">
        <v>6.262891</v>
      </c>
      <c r="Q530" t="n">
        <v>6.227229</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7.115868</v>
      </c>
      <c r="C531" t="n">
        <v>4.2</v>
      </c>
      <c r="D531" t="n">
        <v>9</v>
      </c>
      <c r="E531" t="n">
        <v>7.9</v>
      </c>
      <c r="G531" t="n">
        <v>8.823363000000001</v>
      </c>
      <c r="H531" t="n">
        <v>8.199999999999999</v>
      </c>
      <c r="I531" t="n">
        <v>8.800000000000001</v>
      </c>
      <c r="J531" t="n">
        <v>5</v>
      </c>
      <c r="K531" t="n">
        <v>10.1</v>
      </c>
      <c r="L531" t="n">
        <v>14.3</v>
      </c>
      <c r="M531" t="n">
        <v>10.1</v>
      </c>
      <c r="N531" t="n">
        <v>10.6</v>
      </c>
      <c r="O531" t="n">
        <v>12</v>
      </c>
      <c r="P531" t="n">
        <v>6.310915</v>
      </c>
      <c r="Q531" t="n">
        <v>6.176034</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7.013355</v>
      </c>
      <c r="C532" t="n">
        <v>4.2</v>
      </c>
      <c r="D532" t="n">
        <v>9</v>
      </c>
      <c r="E532" t="n">
        <v>7.9</v>
      </c>
      <c r="G532" t="n">
        <v>9.317798</v>
      </c>
      <c r="H532" t="n">
        <v>8.4</v>
      </c>
      <c r="I532" t="n">
        <v>8.800000000000001</v>
      </c>
      <c r="J532" t="n">
        <v>5</v>
      </c>
      <c r="K532" t="n">
        <v>10.1</v>
      </c>
      <c r="L532" t="n">
        <v>13.9</v>
      </c>
      <c r="M532" t="n">
        <v>10.1</v>
      </c>
      <c r="N532" t="n">
        <v>10.5</v>
      </c>
      <c r="O532" t="n">
        <v>11.8</v>
      </c>
      <c r="P532" t="n">
        <v>6.215474</v>
      </c>
      <c r="Q532" t="n">
        <v>6.154285</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6.979028</v>
      </c>
      <c r="C533" t="n">
        <v>4.2</v>
      </c>
      <c r="D533" t="n">
        <v>9</v>
      </c>
      <c r="E533" t="n">
        <v>8.199999999999999</v>
      </c>
      <c r="G533" t="n">
        <v>10.03879</v>
      </c>
      <c r="H533" t="n">
        <v>8.6</v>
      </c>
      <c r="I533" t="n">
        <v>8.699999999999999</v>
      </c>
      <c r="J533" t="n">
        <v>5</v>
      </c>
      <c r="K533" t="n">
        <v>10</v>
      </c>
      <c r="L533" t="n">
        <v>13.6</v>
      </c>
      <c r="M533" t="n">
        <v>11.1</v>
      </c>
      <c r="N533" t="n">
        <v>10.4</v>
      </c>
      <c r="O533" t="n">
        <v>11.7</v>
      </c>
      <c r="P533" t="n">
        <v>6.272825</v>
      </c>
      <c r="Q533" t="n">
        <v>6.108751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7.026086</v>
      </c>
      <c r="C534" t="n">
        <v>4.2</v>
      </c>
      <c r="D534" t="n">
        <v>9</v>
      </c>
      <c r="E534" t="n">
        <v>7.9</v>
      </c>
      <c r="G534" t="n">
        <v>10.64317</v>
      </c>
      <c r="H534" t="n">
        <v>8.9</v>
      </c>
      <c r="I534" t="n">
        <v>8.6</v>
      </c>
      <c r="J534" t="n">
        <v>5</v>
      </c>
      <c r="K534" t="n">
        <v>9.9</v>
      </c>
      <c r="L534" t="n">
        <v>13.5</v>
      </c>
      <c r="M534" t="n">
        <v>11.1</v>
      </c>
      <c r="N534" t="n">
        <v>10.3</v>
      </c>
      <c r="O534" t="n">
        <v>11.5</v>
      </c>
      <c r="P534" t="n">
        <v>6.155533</v>
      </c>
      <c r="Q534" t="n">
        <v>6.044763</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6.654351</v>
      </c>
      <c r="C535" t="n">
        <v>4.2</v>
      </c>
      <c r="D535" t="n">
        <v>8.699999999999999</v>
      </c>
      <c r="E535" t="n">
        <v>7.6</v>
      </c>
      <c r="G535" t="n">
        <v>10.73709</v>
      </c>
      <c r="H535" t="n">
        <v>8.4</v>
      </c>
      <c r="I535" t="n">
        <v>8.6</v>
      </c>
      <c r="J535" t="n">
        <v>4.9</v>
      </c>
      <c r="K535" t="n">
        <v>9.9</v>
      </c>
      <c r="L535" t="n">
        <v>13.5</v>
      </c>
      <c r="M535" t="n">
        <v>11.1</v>
      </c>
      <c r="N535" t="n">
        <v>10.3</v>
      </c>
      <c r="O535" t="n">
        <v>11.4</v>
      </c>
      <c r="P535" t="n">
        <v>6.182491</v>
      </c>
      <c r="Q535" t="n">
        <v>5.974864</v>
      </c>
      <c r="R535" t="n">
        <v>12</v>
      </c>
      <c r="S535" t="n">
        <v>6.9</v>
      </c>
      <c r="T535" t="n">
        <v>6</v>
      </c>
      <c r="W535" t="n">
        <v>11</v>
      </c>
      <c r="X535" t="n">
        <v>4.8</v>
      </c>
      <c r="Y535" t="n">
        <v>7.1</v>
      </c>
      <c r="Z535" t="n">
        <v>2.4</v>
      </c>
      <c r="AA535" t="n">
        <v>13.9</v>
      </c>
      <c r="AB535" t="n">
        <v>2.7</v>
      </c>
      <c r="AC535" t="n">
        <v>4.3</v>
      </c>
      <c r="AD535" t="n">
        <v>2.8</v>
      </c>
      <c r="AF535" t="n">
        <v>13.2</v>
      </c>
      <c r="AG535" t="n">
        <v>5.9</v>
      </c>
      <c r="AH535" t="n">
        <v>16.5</v>
      </c>
      <c r="AI535" t="n">
        <v>7.6</v>
      </c>
      <c r="AJ535" t="n">
        <v>6.7</v>
      </c>
      <c r="AL535" t="n">
        <v>4.3</v>
      </c>
    </row>
    <row r="536">
      <c r="A536" s="78" t="n">
        <v>36342</v>
      </c>
      <c r="B536" t="n">
        <v>6.676052</v>
      </c>
      <c r="C536" t="n">
        <v>4.1</v>
      </c>
      <c r="D536" t="n">
        <v>8.300000000000001</v>
      </c>
      <c r="E536" t="n">
        <v>7.6</v>
      </c>
      <c r="G536" t="n">
        <v>10.93637</v>
      </c>
      <c r="H536" t="n">
        <v>8.6</v>
      </c>
      <c r="I536" t="n">
        <v>8.5</v>
      </c>
      <c r="J536" t="n">
        <v>5</v>
      </c>
      <c r="K536" t="n">
        <v>9.800000000000001</v>
      </c>
      <c r="L536" t="n">
        <v>13.5</v>
      </c>
      <c r="M536" t="n">
        <v>11.8</v>
      </c>
      <c r="N536" t="n">
        <v>10.2</v>
      </c>
      <c r="O536" t="n">
        <v>11.3</v>
      </c>
      <c r="P536" t="n">
        <v>6.185745</v>
      </c>
      <c r="Q536" t="n">
        <v>5.904006</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6.907131</v>
      </c>
      <c r="C537" t="n">
        <v>4</v>
      </c>
      <c r="D537" t="n">
        <v>8.199999999999999</v>
      </c>
      <c r="E537" t="n">
        <v>7.4</v>
      </c>
      <c r="G537" t="n">
        <v>10.95897</v>
      </c>
      <c r="H537" t="n">
        <v>9.199999999999999</v>
      </c>
      <c r="I537" t="n">
        <v>8.5</v>
      </c>
      <c r="J537" t="n">
        <v>5.3</v>
      </c>
      <c r="K537" t="n">
        <v>9.699999999999999</v>
      </c>
      <c r="L537" t="n">
        <v>13.5</v>
      </c>
      <c r="M537" t="n">
        <v>11.8</v>
      </c>
      <c r="N537" t="n">
        <v>10.1</v>
      </c>
      <c r="O537" t="n">
        <v>11.1</v>
      </c>
      <c r="P537" t="n">
        <v>6.079529</v>
      </c>
      <c r="Q537" t="n">
        <v>5.886386</v>
      </c>
      <c r="R537" t="n">
        <v>12.1</v>
      </c>
      <c r="S537" t="n">
        <v>6.7</v>
      </c>
      <c r="T537" t="n">
        <v>5.5</v>
      </c>
      <c r="W537" t="n">
        <v>10.9</v>
      </c>
      <c r="X537" t="n">
        <v>4.7</v>
      </c>
      <c r="Y537" t="n">
        <v>6.5</v>
      </c>
      <c r="Z537" t="n">
        <v>2.4</v>
      </c>
      <c r="AA537" t="n">
        <v>14.1</v>
      </c>
      <c r="AB537" t="n">
        <v>2.5</v>
      </c>
      <c r="AC537" t="n">
        <v>4.2</v>
      </c>
      <c r="AD537" t="n">
        <v>3.1</v>
      </c>
      <c r="AF537" t="n">
        <v>13.8</v>
      </c>
      <c r="AG537" t="n">
        <v>5.6</v>
      </c>
      <c r="AH537" t="n">
        <v>17.1</v>
      </c>
      <c r="AI537" t="n">
        <v>7.6</v>
      </c>
      <c r="AJ537" t="n">
        <v>6.7</v>
      </c>
      <c r="AL537" t="n">
        <v>4.2</v>
      </c>
    </row>
    <row r="538">
      <c r="A538" s="78" t="n">
        <v>36404</v>
      </c>
      <c r="B538" t="n">
        <v>7.042515</v>
      </c>
      <c r="C538" t="n">
        <v>4</v>
      </c>
      <c r="D538" t="n">
        <v>7.9</v>
      </c>
      <c r="E538" t="n">
        <v>7.5</v>
      </c>
      <c r="G538" t="n">
        <v>10.97059</v>
      </c>
      <c r="H538" t="n">
        <v>9.199999999999999</v>
      </c>
      <c r="I538" t="n">
        <v>8.4</v>
      </c>
      <c r="J538" t="n">
        <v>5.2</v>
      </c>
      <c r="K538" t="n">
        <v>9.6</v>
      </c>
      <c r="L538" t="n">
        <v>13.4</v>
      </c>
      <c r="M538" t="n">
        <v>11.8</v>
      </c>
      <c r="N538" t="n">
        <v>10</v>
      </c>
      <c r="O538" t="n">
        <v>11</v>
      </c>
      <c r="P538" t="n">
        <v>6.059402</v>
      </c>
      <c r="Q538" t="n">
        <v>5.83773</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6.777158</v>
      </c>
      <c r="C539" t="n">
        <v>4</v>
      </c>
      <c r="D539" t="n">
        <v>7.8</v>
      </c>
      <c r="E539" t="n">
        <v>7.2</v>
      </c>
      <c r="G539" t="n">
        <v>10.60559</v>
      </c>
      <c r="H539" t="n">
        <v>9</v>
      </c>
      <c r="I539" t="n">
        <v>8.4</v>
      </c>
      <c r="J539" t="n">
        <v>5.3</v>
      </c>
      <c r="K539" t="n">
        <v>9.6</v>
      </c>
      <c r="L539" t="n">
        <v>13.2</v>
      </c>
      <c r="M539" t="n">
        <v>12.4</v>
      </c>
      <c r="N539" t="n">
        <v>10.1</v>
      </c>
      <c r="O539" t="n">
        <v>10.8</v>
      </c>
      <c r="P539" t="n">
        <v>5.97788</v>
      </c>
      <c r="Q539" t="n">
        <v>5.846396</v>
      </c>
      <c r="R539" t="n">
        <v>12.3</v>
      </c>
      <c r="S539" t="n">
        <v>6.7</v>
      </c>
      <c r="T539" t="n">
        <v>5.6</v>
      </c>
      <c r="W539" t="n">
        <v>10.7</v>
      </c>
      <c r="X539" t="n">
        <v>4.6</v>
      </c>
      <c r="Y539" t="n">
        <v>5.5</v>
      </c>
      <c r="Z539" t="n">
        <v>2.4</v>
      </c>
      <c r="AA539" t="n">
        <v>14.4</v>
      </c>
      <c r="AB539" t="n">
        <v>2.4</v>
      </c>
      <c r="AC539" t="n">
        <v>4.1</v>
      </c>
      <c r="AD539" t="n">
        <v>3.4</v>
      </c>
      <c r="AF539" t="n">
        <v>14.5</v>
      </c>
      <c r="AG539" t="n">
        <v>5.3</v>
      </c>
      <c r="AH539" t="n">
        <v>17.7</v>
      </c>
      <c r="AI539" t="n">
        <v>7.5</v>
      </c>
      <c r="AJ539" t="n">
        <v>6.4</v>
      </c>
      <c r="AL539" t="n">
        <v>4.1</v>
      </c>
    </row>
    <row r="540">
      <c r="A540" s="78" t="n">
        <v>36465</v>
      </c>
      <c r="B540" t="n">
        <v>6.440176</v>
      </c>
      <c r="C540" t="n">
        <v>4.1</v>
      </c>
      <c r="D540" t="n">
        <v>7.7</v>
      </c>
      <c r="E540" t="n">
        <v>6.9</v>
      </c>
      <c r="G540" t="n">
        <v>10.15963</v>
      </c>
      <c r="H540" t="n">
        <v>9.1</v>
      </c>
      <c r="I540" t="n">
        <v>8.300000000000001</v>
      </c>
      <c r="J540" t="n">
        <v>5.3</v>
      </c>
      <c r="K540" t="n">
        <v>9.5</v>
      </c>
      <c r="L540" t="n">
        <v>13.1</v>
      </c>
      <c r="M540" t="n">
        <v>12.4</v>
      </c>
      <c r="N540" t="n">
        <v>10.1</v>
      </c>
      <c r="O540" t="n">
        <v>10.7</v>
      </c>
      <c r="P540" t="n">
        <v>5.903447</v>
      </c>
      <c r="Q540" t="n">
        <v>5.806275</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6.685201</v>
      </c>
      <c r="C541" t="n">
        <v>4.2</v>
      </c>
      <c r="D541" t="n">
        <v>7.6</v>
      </c>
      <c r="E541" t="n">
        <v>6.8</v>
      </c>
      <c r="G541" t="n">
        <v>9.607189999999999</v>
      </c>
      <c r="H541" t="n">
        <v>9.1</v>
      </c>
      <c r="I541" t="n">
        <v>8.199999999999999</v>
      </c>
      <c r="J541" t="n">
        <v>5.3</v>
      </c>
      <c r="K541" t="n">
        <v>9.4</v>
      </c>
      <c r="L541" t="n">
        <v>12.9</v>
      </c>
      <c r="M541" t="n">
        <v>12.4</v>
      </c>
      <c r="N541" t="n">
        <v>10.1</v>
      </c>
      <c r="O541" t="n">
        <v>10.5</v>
      </c>
      <c r="P541" t="n">
        <v>5.869751</v>
      </c>
      <c r="Q541" t="n">
        <v>5.866417</v>
      </c>
      <c r="R541" t="n">
        <v>12.3</v>
      </c>
      <c r="S541" t="n">
        <v>6.6</v>
      </c>
      <c r="T541" t="n">
        <v>5.4</v>
      </c>
      <c r="W541" t="n">
        <v>10.6</v>
      </c>
      <c r="X541" t="n">
        <v>4.7</v>
      </c>
      <c r="Y541" t="n">
        <v>5.2</v>
      </c>
      <c r="Z541" t="n">
        <v>2.4</v>
      </c>
      <c r="AA541" t="n">
        <v>14.4</v>
      </c>
      <c r="AB541" t="n">
        <v>2.4</v>
      </c>
      <c r="AC541" t="n">
        <v>4</v>
      </c>
      <c r="AD541" t="n">
        <v>3.4</v>
      </c>
      <c r="AF541" t="n">
        <v>15.1</v>
      </c>
      <c r="AG541" t="n">
        <v>5.5</v>
      </c>
      <c r="AH541" t="n">
        <v>18.3</v>
      </c>
      <c r="AI541" t="n">
        <v>7.1</v>
      </c>
      <c r="AJ541" t="n">
        <v>6.3</v>
      </c>
      <c r="AL541" t="n">
        <v>4</v>
      </c>
    </row>
    <row r="542">
      <c r="A542" s="78" t="n">
        <v>36526</v>
      </c>
      <c r="B542" t="n">
        <v>6.768972</v>
      </c>
      <c r="C542" t="n">
        <v>4.3</v>
      </c>
      <c r="D542" t="n">
        <v>7.3</v>
      </c>
      <c r="E542" t="n">
        <v>6.8</v>
      </c>
      <c r="G542" t="n">
        <v>9.177215</v>
      </c>
      <c r="H542" t="n">
        <v>9.199999999999999</v>
      </c>
      <c r="I542" t="n">
        <v>8.199999999999999</v>
      </c>
      <c r="J542" t="n">
        <v>5</v>
      </c>
      <c r="K542" t="n">
        <v>9.4</v>
      </c>
      <c r="L542" t="n">
        <v>12.8</v>
      </c>
      <c r="M542" t="n">
        <v>14</v>
      </c>
      <c r="N542" t="n">
        <v>10.1</v>
      </c>
      <c r="O542" t="n">
        <v>10.4</v>
      </c>
      <c r="P542" t="n">
        <v>5.84378</v>
      </c>
      <c r="Q542" t="n">
        <v>5.810689</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6.619944</v>
      </c>
      <c r="C543" t="n">
        <v>4.3</v>
      </c>
      <c r="D543" t="n">
        <v>7.1</v>
      </c>
      <c r="E543" t="n">
        <v>6.9</v>
      </c>
      <c r="G543" t="n">
        <v>9.022726</v>
      </c>
      <c r="H543" t="n">
        <v>9.4</v>
      </c>
      <c r="I543" t="n">
        <v>8.1</v>
      </c>
      <c r="J543" t="n">
        <v>4.6</v>
      </c>
      <c r="K543" t="n">
        <v>9.300000000000001</v>
      </c>
      <c r="L543" t="n">
        <v>12.4</v>
      </c>
      <c r="M543" t="n">
        <v>14.9</v>
      </c>
      <c r="N543" t="n">
        <v>10.2</v>
      </c>
      <c r="O543" t="n">
        <v>10.2</v>
      </c>
      <c r="P543" t="n">
        <v>5.891895</v>
      </c>
      <c r="Q543" t="n">
        <v>5.79277</v>
      </c>
      <c r="R543" t="n">
        <v>11.6</v>
      </c>
      <c r="S543" t="n">
        <v>6.6</v>
      </c>
      <c r="T543" t="n">
        <v>4.8</v>
      </c>
      <c r="W543" t="n">
        <v>10.6</v>
      </c>
      <c r="X543" t="n">
        <v>4.9</v>
      </c>
      <c r="Y543" t="n">
        <v>4.8</v>
      </c>
      <c r="Z543" t="n">
        <v>2.3</v>
      </c>
      <c r="AA543" t="n">
        <v>14.3</v>
      </c>
      <c r="AB543" t="n">
        <v>2.1</v>
      </c>
      <c r="AC543" t="n">
        <v>3.9</v>
      </c>
      <c r="AD543" t="n">
        <v>3.4</v>
      </c>
      <c r="AF543" t="n">
        <v>15.8</v>
      </c>
      <c r="AG543" t="n">
        <v>5.5</v>
      </c>
      <c r="AH543" t="n">
        <v>18.5</v>
      </c>
      <c r="AI543" t="n">
        <v>6.8</v>
      </c>
      <c r="AJ543" t="n">
        <v>6.1</v>
      </c>
      <c r="AL543" t="n">
        <v>4.1</v>
      </c>
    </row>
    <row r="544">
      <c r="A544" s="78" t="n">
        <v>36586</v>
      </c>
      <c r="B544" t="n">
        <v>6.565782</v>
      </c>
      <c r="C544" t="n">
        <v>4.1</v>
      </c>
      <c r="D544" t="n">
        <v>6.9</v>
      </c>
      <c r="E544" t="n">
        <v>6.9</v>
      </c>
      <c r="G544" t="n">
        <v>9.244797</v>
      </c>
      <c r="H544" t="n">
        <v>9.199999999999999</v>
      </c>
      <c r="I544" t="n">
        <v>8.1</v>
      </c>
      <c r="J544" t="n">
        <v>4.4</v>
      </c>
      <c r="K544" t="n">
        <v>9.199999999999999</v>
      </c>
      <c r="L544" t="n">
        <v>12.2</v>
      </c>
      <c r="M544" t="n">
        <v>14.2</v>
      </c>
      <c r="N544" t="n">
        <v>10.2</v>
      </c>
      <c r="O544" t="n">
        <v>10.1</v>
      </c>
      <c r="P544" t="n">
        <v>5.831664</v>
      </c>
      <c r="Q544" t="n">
        <v>5.694816</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6.376769</v>
      </c>
      <c r="C545" t="n">
        <v>3.8</v>
      </c>
      <c r="D545" t="n">
        <v>6.9</v>
      </c>
      <c r="E545" t="n">
        <v>6.7</v>
      </c>
      <c r="G545" t="n">
        <v>9.235816</v>
      </c>
      <c r="H545" t="n">
        <v>9.1</v>
      </c>
      <c r="I545" t="n">
        <v>8</v>
      </c>
      <c r="J545" t="n">
        <v>4.4</v>
      </c>
      <c r="K545" t="n">
        <v>9.1</v>
      </c>
      <c r="L545" t="n">
        <v>12</v>
      </c>
      <c r="M545" t="n">
        <v>14.5</v>
      </c>
      <c r="N545" t="n">
        <v>10</v>
      </c>
      <c r="O545" t="n">
        <v>9.9</v>
      </c>
      <c r="P545" t="n">
        <v>5.692204</v>
      </c>
      <c r="Q545" t="n">
        <v>5.638501</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6.415163</v>
      </c>
      <c r="C546" t="n">
        <v>3.7</v>
      </c>
      <c r="D546" t="n">
        <v>6.8</v>
      </c>
      <c r="E546" t="n">
        <v>6.6</v>
      </c>
      <c r="G546" t="n">
        <v>9.396955999999999</v>
      </c>
      <c r="H546" t="n">
        <v>9</v>
      </c>
      <c r="I546" t="n">
        <v>8</v>
      </c>
      <c r="J546" t="n">
        <v>4.5</v>
      </c>
      <c r="K546" t="n">
        <v>9</v>
      </c>
      <c r="L546" t="n">
        <v>11.9</v>
      </c>
      <c r="M546" t="n">
        <v>13.9</v>
      </c>
      <c r="N546" t="n">
        <v>9.800000000000001</v>
      </c>
      <c r="O546" t="n">
        <v>9.699999999999999</v>
      </c>
      <c r="P546" t="n">
        <v>5.71358</v>
      </c>
      <c r="Q546" t="n">
        <v>5.500535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6.116051</v>
      </c>
      <c r="C547" t="n">
        <v>3.6</v>
      </c>
      <c r="D547" t="n">
        <v>6.7</v>
      </c>
      <c r="E547" t="n">
        <v>6.7</v>
      </c>
      <c r="G547" t="n">
        <v>9.971470999999999</v>
      </c>
      <c r="H547" t="n">
        <v>8.5</v>
      </c>
      <c r="I547" t="n">
        <v>8</v>
      </c>
      <c r="J547" t="n">
        <v>4.4</v>
      </c>
      <c r="K547" t="n">
        <v>8.9</v>
      </c>
      <c r="L547" t="n">
        <v>11.9</v>
      </c>
      <c r="M547" t="n">
        <v>14</v>
      </c>
      <c r="N547" t="n">
        <v>9.6</v>
      </c>
      <c r="O547" t="n">
        <v>9.5</v>
      </c>
      <c r="P547" t="n">
        <v>5.658093</v>
      </c>
      <c r="Q547" t="n">
        <v>5.335225</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5.954925</v>
      </c>
      <c r="C548" t="n">
        <v>3.8</v>
      </c>
      <c r="D548" t="n">
        <v>6.8</v>
      </c>
      <c r="E548" t="n">
        <v>6.8</v>
      </c>
      <c r="G548" t="n">
        <v>10.24604</v>
      </c>
      <c r="H548" t="n">
        <v>8.699999999999999</v>
      </c>
      <c r="I548" t="n">
        <v>7.9</v>
      </c>
      <c r="J548" t="n">
        <v>4.2</v>
      </c>
      <c r="K548" t="n">
        <v>8.800000000000001</v>
      </c>
      <c r="L548" t="n">
        <v>11.9</v>
      </c>
      <c r="M548" t="n">
        <v>13.9</v>
      </c>
      <c r="N548" t="n">
        <v>9.6</v>
      </c>
      <c r="O548" t="n">
        <v>9.4</v>
      </c>
      <c r="P548" t="n">
        <v>5.652501</v>
      </c>
      <c r="Q548" t="n">
        <v>5.255471</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6.052351</v>
      </c>
      <c r="C549" t="n">
        <v>3.8</v>
      </c>
      <c r="D549" t="n">
        <v>7</v>
      </c>
      <c r="E549" t="n">
        <v>7</v>
      </c>
      <c r="G549" t="n">
        <v>10.52275</v>
      </c>
      <c r="H549" t="n">
        <v>8.699999999999999</v>
      </c>
      <c r="I549" t="n">
        <v>7.9</v>
      </c>
      <c r="J549" t="n">
        <v>4.1</v>
      </c>
      <c r="K549" t="n">
        <v>8.800000000000001</v>
      </c>
      <c r="L549" t="n">
        <v>11.8</v>
      </c>
      <c r="M549" t="n">
        <v>14.3</v>
      </c>
      <c r="N549" t="n">
        <v>9.6</v>
      </c>
      <c r="O549" t="n">
        <v>9.300000000000001</v>
      </c>
      <c r="P549" t="n">
        <v>5.6804</v>
      </c>
      <c r="Q549" t="n">
        <v>5.318544</v>
      </c>
      <c r="R549" t="n">
        <v>11.2</v>
      </c>
      <c r="S549" t="n">
        <v>6.1</v>
      </c>
      <c r="T549" t="n">
        <v>4.3</v>
      </c>
      <c r="W549" t="n">
        <v>10</v>
      </c>
      <c r="X549" t="n">
        <v>4.6</v>
      </c>
      <c r="Y549" t="n">
        <v>4.2</v>
      </c>
      <c r="Z549" t="n">
        <v>2.3</v>
      </c>
      <c r="AA549" t="n">
        <v>14.4</v>
      </c>
      <c r="AB549" t="n">
        <v>2.72916</v>
      </c>
      <c r="AC549" t="n">
        <v>3.6</v>
      </c>
      <c r="AD549" t="n">
        <v>3.3</v>
      </c>
      <c r="AF549" t="n">
        <v>15.9</v>
      </c>
      <c r="AG549" t="n">
        <v>5.3</v>
      </c>
      <c r="AH549" t="n">
        <v>18.6</v>
      </c>
      <c r="AI549" t="n">
        <v>6.8</v>
      </c>
      <c r="AJ549" t="n">
        <v>5.5</v>
      </c>
      <c r="AL549" t="n">
        <v>4.1</v>
      </c>
    </row>
    <row r="550">
      <c r="A550" s="78" t="n">
        <v>36770</v>
      </c>
      <c r="B550" t="n">
        <v>5.964069</v>
      </c>
      <c r="C550" t="n">
        <v>3.9</v>
      </c>
      <c r="D550" t="n">
        <v>6.9</v>
      </c>
      <c r="E550" t="n">
        <v>6.9</v>
      </c>
      <c r="G550" t="n">
        <v>10.13521</v>
      </c>
      <c r="H550" t="n">
        <v>8.300000000000001</v>
      </c>
      <c r="I550" t="n">
        <v>7.9</v>
      </c>
      <c r="J550" t="n">
        <v>4</v>
      </c>
      <c r="K550" t="n">
        <v>8.699999999999999</v>
      </c>
      <c r="L550" t="n">
        <v>11.7</v>
      </c>
      <c r="M550" t="n">
        <v>14.2</v>
      </c>
      <c r="N550" t="n">
        <v>9.6</v>
      </c>
      <c r="O550" t="n">
        <v>9.1</v>
      </c>
      <c r="P550" t="n">
        <v>5.607496</v>
      </c>
      <c r="Q550" t="n">
        <v>5.398516</v>
      </c>
      <c r="R550" t="n">
        <v>11.2</v>
      </c>
      <c r="S550" t="n">
        <v>6</v>
      </c>
      <c r="T550" t="n">
        <v>4.1</v>
      </c>
      <c r="W550" t="n">
        <v>9.9</v>
      </c>
      <c r="X550" t="n">
        <v>4.7</v>
      </c>
      <c r="Y550" t="n">
        <v>4.5</v>
      </c>
      <c r="Z550" t="n">
        <v>2.2</v>
      </c>
      <c r="AA550" t="n">
        <v>14.4</v>
      </c>
      <c r="AB550" t="n">
        <v>2.619258</v>
      </c>
      <c r="AC550" t="n">
        <v>3.5</v>
      </c>
      <c r="AD550" t="n">
        <v>3.3</v>
      </c>
      <c r="AF550" t="n">
        <v>16</v>
      </c>
      <c r="AG550" t="n">
        <v>5.3</v>
      </c>
      <c r="AH550" t="n">
        <v>18.6</v>
      </c>
      <c r="AI550" t="n">
        <v>6.6</v>
      </c>
      <c r="AJ550" t="n">
        <v>5.2</v>
      </c>
      <c r="AL550" t="n">
        <v>3.9</v>
      </c>
    </row>
    <row r="551">
      <c r="A551" s="78" t="n">
        <v>36800</v>
      </c>
      <c r="B551" t="n">
        <v>6.010425</v>
      </c>
      <c r="C551" t="n">
        <v>3.8</v>
      </c>
      <c r="D551" t="n">
        <v>6.8</v>
      </c>
      <c r="E551" t="n">
        <v>7</v>
      </c>
      <c r="G551" t="n">
        <v>10.18978</v>
      </c>
      <c r="H551" t="n">
        <v>8.5</v>
      </c>
      <c r="I551" t="n">
        <v>7.8</v>
      </c>
      <c r="J551" t="n">
        <v>4</v>
      </c>
      <c r="K551" t="n">
        <v>8.6</v>
      </c>
      <c r="L551" t="n">
        <v>11.7</v>
      </c>
      <c r="M551" t="n">
        <v>14.1</v>
      </c>
      <c r="N551" t="n">
        <v>9.5</v>
      </c>
      <c r="O551" t="n">
        <v>9</v>
      </c>
      <c r="P551" t="n">
        <v>5.535183</v>
      </c>
      <c r="Q551" t="n">
        <v>5.299107</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6.261842</v>
      </c>
      <c r="C552" t="n">
        <v>3.8</v>
      </c>
      <c r="D552" t="n">
        <v>6.7</v>
      </c>
      <c r="E552" t="n">
        <v>6.9</v>
      </c>
      <c r="G552" t="n">
        <v>9.724586</v>
      </c>
      <c r="H552" t="n">
        <v>8.6</v>
      </c>
      <c r="I552" t="n">
        <v>7.8</v>
      </c>
      <c r="J552" t="n">
        <v>4.1</v>
      </c>
      <c r="K552" t="n">
        <v>8.5</v>
      </c>
      <c r="L552" t="n">
        <v>11.5</v>
      </c>
      <c r="M552" t="n">
        <v>14.4</v>
      </c>
      <c r="N552" t="n">
        <v>9.4</v>
      </c>
      <c r="O552" t="n">
        <v>8.9</v>
      </c>
      <c r="P552" t="n">
        <v>5.555118</v>
      </c>
      <c r="Q552" t="n">
        <v>5.227437</v>
      </c>
      <c r="R552" t="n">
        <v>10.7</v>
      </c>
      <c r="S552" t="n">
        <v>5.9</v>
      </c>
      <c r="T552" t="n">
        <v>3.9</v>
      </c>
      <c r="W552" t="n">
        <v>9.6</v>
      </c>
      <c r="X552" t="n">
        <v>4.7</v>
      </c>
      <c r="Y552" t="n">
        <v>4.2</v>
      </c>
      <c r="Z552" t="n">
        <v>2</v>
      </c>
      <c r="AA552" t="n">
        <v>14.5</v>
      </c>
      <c r="AB552" t="n">
        <v>2.359279</v>
      </c>
      <c r="AC552" t="n">
        <v>3.4</v>
      </c>
      <c r="AD552" t="n">
        <v>3.3</v>
      </c>
      <c r="AF552" t="n">
        <v>16.5</v>
      </c>
      <c r="AG552" t="n">
        <v>5</v>
      </c>
      <c r="AH552" t="n">
        <v>19</v>
      </c>
      <c r="AI552" t="n">
        <v>6.2</v>
      </c>
      <c r="AJ552" t="n">
        <v>5.2</v>
      </c>
      <c r="AL552" t="n">
        <v>3.9</v>
      </c>
    </row>
    <row r="553">
      <c r="A553" s="78" t="n">
        <v>36861</v>
      </c>
      <c r="B553" t="n">
        <v>6.244661</v>
      </c>
      <c r="C553" t="n">
        <v>3.7</v>
      </c>
      <c r="D553" t="n">
        <v>6.4</v>
      </c>
      <c r="E553" t="n">
        <v>6.8</v>
      </c>
      <c r="G553" t="n">
        <v>9.825112000000001</v>
      </c>
      <c r="H553" t="n">
        <v>8.1</v>
      </c>
      <c r="I553" t="n">
        <v>7.7</v>
      </c>
      <c r="J553" t="n">
        <v>4.1</v>
      </c>
      <c r="K553" t="n">
        <v>8.4</v>
      </c>
      <c r="L553" t="n">
        <v>11.2</v>
      </c>
      <c r="M553" t="n">
        <v>14.3</v>
      </c>
      <c r="N553" t="n">
        <v>9.300000000000001</v>
      </c>
      <c r="O553" t="n">
        <v>8.800000000000001</v>
      </c>
      <c r="P553" t="n">
        <v>5.528263</v>
      </c>
      <c r="Q553" t="n">
        <v>5.162519</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6.141033</v>
      </c>
      <c r="C554" t="n">
        <v>3.6</v>
      </c>
      <c r="D554" t="n">
        <v>6.1</v>
      </c>
      <c r="E554" t="n">
        <v>6.9</v>
      </c>
      <c r="G554" t="n">
        <v>9.818989999999999</v>
      </c>
      <c r="H554" t="n">
        <v>8.300000000000001</v>
      </c>
      <c r="I554" t="n">
        <v>7.7</v>
      </c>
      <c r="J554" t="n">
        <v>4.3</v>
      </c>
      <c r="K554" t="n">
        <v>8.300000000000001</v>
      </c>
      <c r="L554" t="n">
        <v>10.8</v>
      </c>
      <c r="M554" t="n">
        <v>14.4</v>
      </c>
      <c r="N554" t="n">
        <v>9.4</v>
      </c>
      <c r="O554" t="n">
        <v>8.699999999999999</v>
      </c>
      <c r="P554" t="n">
        <v>5.621463</v>
      </c>
      <c r="Q554" t="n">
        <v>5.204289</v>
      </c>
      <c r="R554" t="n">
        <v>10.5</v>
      </c>
      <c r="S554" t="n">
        <v>5.7</v>
      </c>
      <c r="T554" t="n">
        <v>4</v>
      </c>
      <c r="W554" t="n">
        <v>9.4</v>
      </c>
      <c r="X554" t="n">
        <v>4.8</v>
      </c>
      <c r="Y554" t="n">
        <v>4.4</v>
      </c>
      <c r="Z554" t="n">
        <v>1.9</v>
      </c>
      <c r="AA554" t="n">
        <v>14.1</v>
      </c>
      <c r="AB554" t="n">
        <v>2.544988</v>
      </c>
      <c r="AC554" t="n">
        <v>3.2</v>
      </c>
      <c r="AD554" t="n">
        <v>3.4</v>
      </c>
      <c r="AE554" t="n">
        <v>6.454348</v>
      </c>
      <c r="AF554" t="n">
        <v>17.1</v>
      </c>
      <c r="AG554" t="n">
        <v>5.1</v>
      </c>
      <c r="AH554" t="n">
        <v>19.4</v>
      </c>
      <c r="AI554" t="n">
        <v>6.1</v>
      </c>
      <c r="AJ554" t="n">
        <v>6</v>
      </c>
      <c r="AL554" t="n">
        <v>4.2</v>
      </c>
    </row>
    <row r="555">
      <c r="A555" s="78" t="n">
        <v>36923</v>
      </c>
      <c r="B555" t="n">
        <v>6.502514</v>
      </c>
      <c r="C555" t="n">
        <v>3.6</v>
      </c>
      <c r="D555" t="n">
        <v>6</v>
      </c>
      <c r="E555" t="n">
        <v>7</v>
      </c>
      <c r="G555" t="n">
        <v>9.949602000000001</v>
      </c>
      <c r="H555" t="n">
        <v>8.4</v>
      </c>
      <c r="I555" t="n">
        <v>7.7</v>
      </c>
      <c r="J555" t="n">
        <v>4.4</v>
      </c>
      <c r="K555" t="n">
        <v>8.300000000000001</v>
      </c>
      <c r="L555" t="n">
        <v>10.7</v>
      </c>
      <c r="M555" t="n">
        <v>13.9</v>
      </c>
      <c r="N555" t="n">
        <v>9.4</v>
      </c>
      <c r="O555" t="n">
        <v>8.699999999999999</v>
      </c>
      <c r="P555" t="n">
        <v>5.616663</v>
      </c>
      <c r="Q555" t="n">
        <v>5.089594</v>
      </c>
      <c r="R555" t="n">
        <v>10.5</v>
      </c>
      <c r="S555" t="n">
        <v>5.7</v>
      </c>
      <c r="T555" t="n">
        <v>4</v>
      </c>
      <c r="W555" t="n">
        <v>9.4</v>
      </c>
      <c r="X555" t="n">
        <v>4.7</v>
      </c>
      <c r="Y555" t="n">
        <v>4.7</v>
      </c>
      <c r="Z555" t="n">
        <v>1.8</v>
      </c>
      <c r="AA555" t="n">
        <v>13.8</v>
      </c>
      <c r="AB555" t="n">
        <v>3.209051</v>
      </c>
      <c r="AC555" t="n">
        <v>3.2</v>
      </c>
      <c r="AD555" t="n">
        <v>3.4</v>
      </c>
      <c r="AE555" t="n">
        <v>6.47496</v>
      </c>
      <c r="AF555" t="n">
        <v>17.4</v>
      </c>
      <c r="AG555" t="n">
        <v>5.3</v>
      </c>
      <c r="AH555" t="n">
        <v>19.3</v>
      </c>
      <c r="AI555" t="n">
        <v>6</v>
      </c>
      <c r="AJ555" t="n">
        <v>5.9</v>
      </c>
      <c r="AL555" t="n">
        <v>4.2</v>
      </c>
    </row>
    <row r="556">
      <c r="A556" s="78" t="n">
        <v>36951</v>
      </c>
      <c r="B556" t="n">
        <v>6.45946</v>
      </c>
      <c r="C556" t="n">
        <v>3.7</v>
      </c>
      <c r="D556" t="n">
        <v>6.1</v>
      </c>
      <c r="E556" t="n">
        <v>7.1</v>
      </c>
      <c r="G556" t="n">
        <v>10.03058</v>
      </c>
      <c r="H556" t="n">
        <v>8</v>
      </c>
      <c r="I556" t="n">
        <v>7.6</v>
      </c>
      <c r="J556" t="n">
        <v>4.4</v>
      </c>
      <c r="K556" t="n">
        <v>8.300000000000001</v>
      </c>
      <c r="L556" t="n">
        <v>10.5</v>
      </c>
      <c r="M556" t="n">
        <v>14</v>
      </c>
      <c r="N556" t="n">
        <v>9</v>
      </c>
      <c r="O556" t="n">
        <v>8.699999999999999</v>
      </c>
      <c r="P556" t="n">
        <v>5.623654</v>
      </c>
      <c r="Q556" t="n">
        <v>5.010367</v>
      </c>
      <c r="R556" t="n">
        <v>10.5</v>
      </c>
      <c r="S556" t="n">
        <v>5.6</v>
      </c>
      <c r="T556" t="n">
        <v>3.9</v>
      </c>
      <c r="W556" t="n">
        <v>9.300000000000001</v>
      </c>
      <c r="X556" t="n">
        <v>4.8</v>
      </c>
      <c r="Y556" t="n">
        <v>4.6</v>
      </c>
      <c r="Z556" t="n">
        <v>1.9</v>
      </c>
      <c r="AA556" t="n">
        <v>13.5</v>
      </c>
      <c r="AB556" t="n">
        <v>2.663894</v>
      </c>
      <c r="AC556" t="n">
        <v>3.2</v>
      </c>
      <c r="AD556" t="n">
        <v>3.2</v>
      </c>
      <c r="AE556" t="n">
        <v>6.473846</v>
      </c>
      <c r="AF556" t="n">
        <v>17.7</v>
      </c>
      <c r="AG556" t="n">
        <v>5.4</v>
      </c>
      <c r="AH556" t="n">
        <v>19.4</v>
      </c>
      <c r="AI556" t="n">
        <v>6.1</v>
      </c>
      <c r="AJ556" t="n">
        <v>5.8</v>
      </c>
      <c r="AL556" t="n">
        <v>4.3</v>
      </c>
    </row>
    <row r="557">
      <c r="A557" s="78" t="n">
        <v>36982</v>
      </c>
      <c r="B557" t="n">
        <v>6.783172</v>
      </c>
      <c r="C557" t="n">
        <v>3.9</v>
      </c>
      <c r="D557" t="n">
        <v>6.5</v>
      </c>
      <c r="E557" t="n">
        <v>7.1</v>
      </c>
      <c r="G557" t="n">
        <v>10.14429</v>
      </c>
      <c r="H557" t="n">
        <v>8.1</v>
      </c>
      <c r="I557" t="n">
        <v>7.6</v>
      </c>
      <c r="J557" t="n">
        <v>4.3</v>
      </c>
      <c r="K557" t="n">
        <v>8.300000000000001</v>
      </c>
      <c r="L557" t="n">
        <v>10.4</v>
      </c>
      <c r="M557" t="n">
        <v>14.2</v>
      </c>
      <c r="N557" t="n">
        <v>9.199999999999999</v>
      </c>
      <c r="O557" t="n">
        <v>8.699999999999999</v>
      </c>
      <c r="P557" t="n">
        <v>5.66392</v>
      </c>
      <c r="Q557" t="n">
        <v>4.910995</v>
      </c>
      <c r="R557" t="n">
        <v>10.7</v>
      </c>
      <c r="S557" t="n">
        <v>5.6</v>
      </c>
      <c r="T557" t="n">
        <v>3.9</v>
      </c>
      <c r="W557" t="n">
        <v>9.199999999999999</v>
      </c>
      <c r="X557" t="n">
        <v>4.8</v>
      </c>
      <c r="Y557" t="n">
        <v>4.1</v>
      </c>
      <c r="Z557" t="n">
        <v>1.9</v>
      </c>
      <c r="AA557" t="n">
        <v>13.2</v>
      </c>
      <c r="AB557" t="n">
        <v>2.703472</v>
      </c>
      <c r="AC557" t="n">
        <v>3.1</v>
      </c>
      <c r="AD557" t="n">
        <v>3.2</v>
      </c>
      <c r="AE557" t="n">
        <v>6.497456</v>
      </c>
      <c r="AF557" t="n">
        <v>18.1</v>
      </c>
      <c r="AG557" t="n">
        <v>5.4</v>
      </c>
      <c r="AH557" t="n">
        <v>19.6</v>
      </c>
      <c r="AI557" t="n">
        <v>6</v>
      </c>
      <c r="AJ557" t="n">
        <v>5.7</v>
      </c>
      <c r="AL557" t="n">
        <v>4.4</v>
      </c>
    </row>
    <row r="558">
      <c r="A558" s="78" t="n">
        <v>37012</v>
      </c>
      <c r="B558" t="n">
        <v>6.893919</v>
      </c>
      <c r="C558" t="n">
        <v>4</v>
      </c>
      <c r="D558" t="n">
        <v>6.6</v>
      </c>
      <c r="E558" t="n">
        <v>7</v>
      </c>
      <c r="G558" t="n">
        <v>9.887142000000001</v>
      </c>
      <c r="H558" t="n">
        <v>8.1</v>
      </c>
      <c r="I558" t="n">
        <v>7.7</v>
      </c>
      <c r="J558" t="n">
        <v>4.3</v>
      </c>
      <c r="K558" t="n">
        <v>8.300000000000001</v>
      </c>
      <c r="L558" t="n">
        <v>10.6</v>
      </c>
      <c r="M558" t="n">
        <v>13.6</v>
      </c>
      <c r="N558" t="n">
        <v>9.1</v>
      </c>
      <c r="O558" t="n">
        <v>8.699999999999999</v>
      </c>
      <c r="P558" t="n">
        <v>5.688497</v>
      </c>
      <c r="Q558" t="n">
        <v>5.030761</v>
      </c>
      <c r="R558" t="n">
        <v>10.7</v>
      </c>
      <c r="S558" t="n">
        <v>5.6</v>
      </c>
      <c r="T558" t="n">
        <v>4</v>
      </c>
      <c r="W558" t="n">
        <v>9.1</v>
      </c>
      <c r="X558" t="n">
        <v>4.9</v>
      </c>
      <c r="Y558" t="n">
        <v>3.9</v>
      </c>
      <c r="Z558" t="n">
        <v>1.8</v>
      </c>
      <c r="AA558" t="n">
        <v>13.1</v>
      </c>
      <c r="AB558" t="n">
        <v>2.780142</v>
      </c>
      <c r="AC558" t="n">
        <v>3.1</v>
      </c>
      <c r="AD558" t="n">
        <v>3.2</v>
      </c>
      <c r="AE558" t="n">
        <v>6.519886</v>
      </c>
      <c r="AF558" t="n">
        <v>18.4</v>
      </c>
      <c r="AG558" t="n">
        <v>5.4</v>
      </c>
      <c r="AH558" t="n">
        <v>19.5</v>
      </c>
      <c r="AI558" t="n">
        <v>5.9</v>
      </c>
      <c r="AJ558" t="n">
        <v>5.7</v>
      </c>
      <c r="AL558" t="n">
        <v>4.3</v>
      </c>
    </row>
    <row r="559">
      <c r="A559" s="78" t="n">
        <v>37043</v>
      </c>
      <c r="B559" t="n">
        <v>6.933984</v>
      </c>
      <c r="C559" t="n">
        <v>4.1</v>
      </c>
      <c r="D559" t="n">
        <v>6.4</v>
      </c>
      <c r="E559" t="n">
        <v>7.2</v>
      </c>
      <c r="G559" t="n">
        <v>9.795724999999999</v>
      </c>
      <c r="H559" t="n">
        <v>8.1</v>
      </c>
      <c r="I559" t="n">
        <v>7.7</v>
      </c>
      <c r="J559" t="n">
        <v>4.4</v>
      </c>
      <c r="K559" t="n">
        <v>8.300000000000001</v>
      </c>
      <c r="L559" t="n">
        <v>10.5</v>
      </c>
      <c r="M559" t="n">
        <v>12.9</v>
      </c>
      <c r="N559" t="n">
        <v>9</v>
      </c>
      <c r="O559" t="n">
        <v>8.800000000000001</v>
      </c>
      <c r="P559" t="n">
        <v>5.781667</v>
      </c>
      <c r="Q559" t="n">
        <v>5.046282</v>
      </c>
      <c r="R559" t="n">
        <v>10.7</v>
      </c>
      <c r="S559" t="n">
        <v>5.6</v>
      </c>
      <c r="T559" t="n">
        <v>4.1</v>
      </c>
      <c r="W559" t="n">
        <v>9.1</v>
      </c>
      <c r="X559" t="n">
        <v>5</v>
      </c>
      <c r="Y559" t="n">
        <v>3.8</v>
      </c>
      <c r="Z559" t="n">
        <v>1.9</v>
      </c>
      <c r="AA559" t="n">
        <v>13</v>
      </c>
      <c r="AB559" t="n">
        <v>2.737625</v>
      </c>
      <c r="AC559" t="n">
        <v>3.1</v>
      </c>
      <c r="AD559" t="n">
        <v>3.4</v>
      </c>
      <c r="AE559" t="n">
        <v>6.573687</v>
      </c>
      <c r="AF559" t="n">
        <v>18.5</v>
      </c>
      <c r="AG559" t="n">
        <v>5.4</v>
      </c>
      <c r="AH559" t="n">
        <v>19.5</v>
      </c>
      <c r="AI559" t="n">
        <v>5.9</v>
      </c>
      <c r="AJ559" t="n">
        <v>5.7</v>
      </c>
      <c r="AL559" t="n">
        <v>4.5</v>
      </c>
    </row>
    <row r="560">
      <c r="A560" s="78" t="n">
        <v>37073</v>
      </c>
      <c r="B560" t="n">
        <v>6.880962</v>
      </c>
      <c r="C560" t="n">
        <v>4.1</v>
      </c>
      <c r="D560" t="n">
        <v>6.1</v>
      </c>
      <c r="E560" t="n">
        <v>7.1</v>
      </c>
      <c r="G560" t="n">
        <v>9.648870000000001</v>
      </c>
      <c r="H560" t="n">
        <v>8.1</v>
      </c>
      <c r="I560" t="n">
        <v>7.8</v>
      </c>
      <c r="J560" t="n">
        <v>4.5</v>
      </c>
      <c r="K560" t="n">
        <v>8.300000000000001</v>
      </c>
      <c r="L560" t="n">
        <v>10.5</v>
      </c>
      <c r="M560" t="n">
        <v>13.1</v>
      </c>
      <c r="N560" t="n">
        <v>8.800000000000001</v>
      </c>
      <c r="O560" t="n">
        <v>8.800000000000001</v>
      </c>
      <c r="P560" t="n">
        <v>5.823223</v>
      </c>
      <c r="Q560" t="n">
        <v>5.077599</v>
      </c>
      <c r="R560" t="n">
        <v>10.7</v>
      </c>
      <c r="S560" t="n">
        <v>5.6</v>
      </c>
      <c r="T560" t="n">
        <v>4.3</v>
      </c>
      <c r="W560" t="n">
        <v>9.1</v>
      </c>
      <c r="X560" t="n">
        <v>5</v>
      </c>
      <c r="Y560" t="n">
        <v>3.8</v>
      </c>
      <c r="Z560" t="n">
        <v>1.9</v>
      </c>
      <c r="AA560" t="n">
        <v>13.1</v>
      </c>
      <c r="AB560" t="n">
        <v>2.82023</v>
      </c>
      <c r="AC560" t="n">
        <v>3.1</v>
      </c>
      <c r="AD560" t="n">
        <v>3.4</v>
      </c>
      <c r="AE560" t="n">
        <v>6.650158</v>
      </c>
      <c r="AF560" t="n">
        <v>18.4</v>
      </c>
      <c r="AG560" t="n">
        <v>5.5</v>
      </c>
      <c r="AH560" t="n">
        <v>19.4</v>
      </c>
      <c r="AI560" t="n">
        <v>5.9</v>
      </c>
      <c r="AJ560" t="n">
        <v>5.9</v>
      </c>
      <c r="AL560" t="n">
        <v>4.6</v>
      </c>
    </row>
    <row r="561">
      <c r="A561" s="78" t="n">
        <v>37104</v>
      </c>
      <c r="B561" t="n">
        <v>6.881994</v>
      </c>
      <c r="C561" t="n">
        <v>4.1</v>
      </c>
      <c r="D561" t="n">
        <v>6.2</v>
      </c>
      <c r="E561" t="n">
        <v>7.2</v>
      </c>
      <c r="G561" t="n">
        <v>10.10778</v>
      </c>
      <c r="H561" t="n">
        <v>8.300000000000001</v>
      </c>
      <c r="I561" t="n">
        <v>7.8</v>
      </c>
      <c r="J561" t="n">
        <v>4.7</v>
      </c>
      <c r="K561" t="n">
        <v>8.300000000000001</v>
      </c>
      <c r="L561" t="n">
        <v>10.6</v>
      </c>
      <c r="M561" t="n">
        <v>12.6</v>
      </c>
      <c r="N561" t="n">
        <v>8.9</v>
      </c>
      <c r="O561" t="n">
        <v>8.800000000000001</v>
      </c>
      <c r="P561" t="n">
        <v>5.976528</v>
      </c>
      <c r="Q561" t="n">
        <v>5.093184</v>
      </c>
      <c r="R561" t="n">
        <v>10.6</v>
      </c>
      <c r="S561" t="n">
        <v>5.5</v>
      </c>
      <c r="T561" t="n">
        <v>4.4</v>
      </c>
      <c r="W561" t="n">
        <v>9</v>
      </c>
      <c r="X561" t="n">
        <v>5.1</v>
      </c>
      <c r="Y561" t="n">
        <v>3.8</v>
      </c>
      <c r="Z561" t="n">
        <v>1.9</v>
      </c>
      <c r="AA561" t="n">
        <v>13.1</v>
      </c>
      <c r="AB561" t="n">
        <v>2.30718</v>
      </c>
      <c r="AC561" t="n">
        <v>3.1</v>
      </c>
      <c r="AD561" t="n">
        <v>3.4</v>
      </c>
      <c r="AE561" t="n">
        <v>6.750522</v>
      </c>
      <c r="AF561" t="n">
        <v>18.4</v>
      </c>
      <c r="AG561" t="n">
        <v>5.4</v>
      </c>
      <c r="AH561" t="n">
        <v>19.5</v>
      </c>
      <c r="AI561" t="n">
        <v>6</v>
      </c>
      <c r="AJ561" t="n">
        <v>5.8</v>
      </c>
      <c r="AL561" t="n">
        <v>4.9</v>
      </c>
    </row>
    <row r="562">
      <c r="A562" s="78" t="n">
        <v>37135</v>
      </c>
      <c r="B562" t="n">
        <v>6.842879</v>
      </c>
      <c r="C562" t="n">
        <v>4.1</v>
      </c>
      <c r="D562" t="n">
        <v>6.6</v>
      </c>
      <c r="E562" t="n">
        <v>7.2</v>
      </c>
      <c r="G562" t="n">
        <v>9.979362</v>
      </c>
      <c r="H562" t="n">
        <v>8.300000000000001</v>
      </c>
      <c r="I562" t="n">
        <v>7.9</v>
      </c>
      <c r="J562" t="n">
        <v>4.7</v>
      </c>
      <c r="K562" t="n">
        <v>8.300000000000001</v>
      </c>
      <c r="L562" t="n">
        <v>10.5</v>
      </c>
      <c r="M562" t="n">
        <v>12.7</v>
      </c>
      <c r="N562" t="n">
        <v>9.5</v>
      </c>
      <c r="O562" t="n">
        <v>8.800000000000001</v>
      </c>
      <c r="P562" t="n">
        <v>6.041633</v>
      </c>
      <c r="Q562" t="n">
        <v>5.090189</v>
      </c>
      <c r="R562" t="n">
        <v>10.6</v>
      </c>
      <c r="S562" t="n">
        <v>5.5</v>
      </c>
      <c r="T562" t="n">
        <v>4.4</v>
      </c>
      <c r="W562" t="n">
        <v>9</v>
      </c>
      <c r="X562" t="n">
        <v>5.3</v>
      </c>
      <c r="Y562" t="n">
        <v>3.7</v>
      </c>
      <c r="Z562" t="n">
        <v>1.9</v>
      </c>
      <c r="AA562" t="n">
        <v>13.2</v>
      </c>
      <c r="AB562" t="n">
        <v>2.503783</v>
      </c>
      <c r="AC562" t="n">
        <v>3.1</v>
      </c>
      <c r="AD562" t="n">
        <v>3.6</v>
      </c>
      <c r="AE562" t="n">
        <v>6.793249</v>
      </c>
      <c r="AF562" t="n">
        <v>18.6</v>
      </c>
      <c r="AG562" t="n">
        <v>5.4</v>
      </c>
      <c r="AH562" t="n">
        <v>19.5</v>
      </c>
      <c r="AI562" t="n">
        <v>6.3</v>
      </c>
      <c r="AJ562" t="n">
        <v>5.8</v>
      </c>
      <c r="AL562" t="n">
        <v>5</v>
      </c>
    </row>
    <row r="563">
      <c r="A563" s="78" t="n">
        <v>37165</v>
      </c>
      <c r="B563" t="n">
        <v>7.194396</v>
      </c>
      <c r="C563" t="n">
        <v>4.2</v>
      </c>
      <c r="D563" t="n">
        <v>7.3</v>
      </c>
      <c r="E563" t="n">
        <v>7.3</v>
      </c>
      <c r="G563" t="n">
        <v>9.789163</v>
      </c>
      <c r="H563" t="n">
        <v>7.7</v>
      </c>
      <c r="I563" t="n">
        <v>8</v>
      </c>
      <c r="J563" t="n">
        <v>4.7</v>
      </c>
      <c r="K563" t="n">
        <v>8.300000000000001</v>
      </c>
      <c r="L563" t="n">
        <v>10.5</v>
      </c>
      <c r="M563" t="n">
        <v>11.6</v>
      </c>
      <c r="N563" t="n">
        <v>9</v>
      </c>
      <c r="O563" t="n">
        <v>8.800000000000001</v>
      </c>
      <c r="P563" t="n">
        <v>6.209803</v>
      </c>
      <c r="Q563" t="n">
        <v>5.10641</v>
      </c>
      <c r="R563" t="n">
        <v>10.9</v>
      </c>
      <c r="S563" t="n">
        <v>5.5</v>
      </c>
      <c r="T563" t="n">
        <v>4.4</v>
      </c>
      <c r="W563" t="n">
        <v>8.9</v>
      </c>
      <c r="X563" t="n">
        <v>5.3</v>
      </c>
      <c r="Y563" t="n">
        <v>3.6</v>
      </c>
      <c r="Z563" t="n">
        <v>2</v>
      </c>
      <c r="AA563" t="n">
        <v>14.1</v>
      </c>
      <c r="AB563" t="n">
        <v>2.863269</v>
      </c>
      <c r="AC563" t="n">
        <v>3.1</v>
      </c>
      <c r="AD563" t="n">
        <v>3.7</v>
      </c>
      <c r="AE563" t="n">
        <v>6.969244</v>
      </c>
      <c r="AF563" t="n">
        <v>18.8</v>
      </c>
      <c r="AG563" t="n">
        <v>5.4</v>
      </c>
      <c r="AH563" t="n">
        <v>19.6</v>
      </c>
      <c r="AI563" t="n">
        <v>6.5</v>
      </c>
      <c r="AJ563" t="n">
        <v>6.2</v>
      </c>
      <c r="AL563" t="n">
        <v>5.3</v>
      </c>
    </row>
    <row r="564">
      <c r="A564" s="78" t="n">
        <v>37196</v>
      </c>
      <c r="B564" t="n">
        <v>6.884806</v>
      </c>
      <c r="C564" t="n">
        <v>4.3</v>
      </c>
      <c r="D564" t="n">
        <v>7.4</v>
      </c>
      <c r="E564" t="n">
        <v>7.5</v>
      </c>
      <c r="G564" t="n">
        <v>9.463492</v>
      </c>
      <c r="H564" t="n">
        <v>8</v>
      </c>
      <c r="I564" t="n">
        <v>8</v>
      </c>
      <c r="J564" t="n">
        <v>4.7</v>
      </c>
      <c r="K564" t="n">
        <v>8.4</v>
      </c>
      <c r="L564" t="n">
        <v>10.6</v>
      </c>
      <c r="M564" t="n">
        <v>11.9</v>
      </c>
      <c r="N564" t="n">
        <v>9.4</v>
      </c>
      <c r="O564" t="n">
        <v>8.800000000000001</v>
      </c>
      <c r="P564" t="n">
        <v>6.332059</v>
      </c>
      <c r="Q564" t="n">
        <v>5.18251</v>
      </c>
      <c r="R564" t="n">
        <v>10.9</v>
      </c>
      <c r="S564" t="n">
        <v>5.5</v>
      </c>
      <c r="T564" t="n">
        <v>4.4</v>
      </c>
      <c r="W564" t="n">
        <v>8.9</v>
      </c>
      <c r="X564" t="n">
        <v>5.4</v>
      </c>
      <c r="Y564" t="n">
        <v>3.7</v>
      </c>
      <c r="Z564" t="n">
        <v>2</v>
      </c>
      <c r="AA564" t="n">
        <v>14</v>
      </c>
      <c r="AB564" t="n">
        <v>2.996422</v>
      </c>
      <c r="AC564" t="n">
        <v>3.1</v>
      </c>
      <c r="AD564" t="n">
        <v>3.6</v>
      </c>
      <c r="AE564" t="n">
        <v>7.04677</v>
      </c>
      <c r="AF564" t="n">
        <v>19.1</v>
      </c>
      <c r="AG564" t="n">
        <v>5.4</v>
      </c>
      <c r="AH564" t="n">
        <v>19.5</v>
      </c>
      <c r="AI564" t="n">
        <v>6.8</v>
      </c>
      <c r="AJ564" t="n">
        <v>5.8</v>
      </c>
      <c r="AL564" t="n">
        <v>5.5</v>
      </c>
    </row>
    <row r="565">
      <c r="A565" s="78" t="n">
        <v>37226</v>
      </c>
      <c r="B565" t="n">
        <v>6.862207</v>
      </c>
      <c r="C565" t="n">
        <v>4.4</v>
      </c>
      <c r="D565" t="n">
        <v>7.5</v>
      </c>
      <c r="E565" t="n">
        <v>8.1</v>
      </c>
      <c r="G565" t="n">
        <v>9.634821000000001</v>
      </c>
      <c r="H565" t="n">
        <v>8.1</v>
      </c>
      <c r="I565" t="n">
        <v>8.1</v>
      </c>
      <c r="J565" t="n">
        <v>4.7</v>
      </c>
      <c r="K565" t="n">
        <v>8.4</v>
      </c>
      <c r="L565" t="n">
        <v>10.7</v>
      </c>
      <c r="M565" t="n">
        <v>11.5</v>
      </c>
      <c r="N565" t="n">
        <v>8.9</v>
      </c>
      <c r="O565" t="n">
        <v>8.800000000000001</v>
      </c>
      <c r="P565" t="n">
        <v>6.445977</v>
      </c>
      <c r="Q565" t="n">
        <v>5.183715</v>
      </c>
      <c r="R565" t="n">
        <v>10.8</v>
      </c>
      <c r="S565" t="n">
        <v>5.5</v>
      </c>
      <c r="T565" t="n">
        <v>4.3</v>
      </c>
      <c r="W565" t="n">
        <v>8.800000000000001</v>
      </c>
      <c r="X565" t="n">
        <v>5.4</v>
      </c>
      <c r="Y565" t="n">
        <v>3.6</v>
      </c>
      <c r="Z565" t="n">
        <v>2</v>
      </c>
      <c r="AA565" t="n">
        <v>13.5</v>
      </c>
      <c r="AB565" t="n">
        <v>3.086165</v>
      </c>
      <c r="AC565" t="n">
        <v>3.2</v>
      </c>
      <c r="AD565" t="n">
        <v>3.6</v>
      </c>
      <c r="AE565" t="n">
        <v>7.123071</v>
      </c>
      <c r="AF565" t="n">
        <v>19.2</v>
      </c>
      <c r="AG565" t="n">
        <v>5.4</v>
      </c>
      <c r="AH565" t="n">
        <v>19.3</v>
      </c>
      <c r="AI565" t="n">
        <v>6.8</v>
      </c>
      <c r="AJ565" t="n">
        <v>5.9</v>
      </c>
      <c r="AL565" t="n">
        <v>5.7</v>
      </c>
    </row>
    <row r="566">
      <c r="A566" s="78" t="n">
        <v>37257</v>
      </c>
      <c r="B566" t="n">
        <v>6.914576</v>
      </c>
      <c r="C566" t="n">
        <v>4.5</v>
      </c>
      <c r="D566" t="n">
        <v>7.4</v>
      </c>
      <c r="E566" t="n">
        <v>8</v>
      </c>
      <c r="G566" t="n">
        <v>9.88702</v>
      </c>
      <c r="H566" t="n">
        <v>7.3</v>
      </c>
      <c r="I566" t="n">
        <v>8.1</v>
      </c>
      <c r="J566" t="n">
        <v>4.6</v>
      </c>
      <c r="K566" t="n">
        <v>8.4</v>
      </c>
      <c r="L566" t="n">
        <v>11.1</v>
      </c>
      <c r="M566" t="n">
        <v>11.6</v>
      </c>
      <c r="N566" t="n">
        <v>9.4</v>
      </c>
      <c r="O566" t="n">
        <v>8.800000000000001</v>
      </c>
      <c r="P566" t="n">
        <v>6.37527</v>
      </c>
      <c r="Q566" t="n">
        <v>5.147523</v>
      </c>
      <c r="R566" t="n">
        <v>10.7</v>
      </c>
      <c r="S566" t="n">
        <v>5.5</v>
      </c>
      <c r="T566" t="n">
        <v>4.4</v>
      </c>
      <c r="W566" t="n">
        <v>8.6</v>
      </c>
      <c r="X566" t="n">
        <v>5.2</v>
      </c>
      <c r="Y566" t="n">
        <v>3.6</v>
      </c>
      <c r="Z566" t="n">
        <v>2.1</v>
      </c>
      <c r="AA566" t="n">
        <v>12.7</v>
      </c>
      <c r="AB566" t="n">
        <v>3.360129</v>
      </c>
      <c r="AC566" t="n">
        <v>3.2</v>
      </c>
      <c r="AD566" t="n">
        <v>3.6</v>
      </c>
      <c r="AE566" t="n">
        <v>7.133211</v>
      </c>
      <c r="AF566" t="n">
        <v>19.4</v>
      </c>
      <c r="AG566" t="n">
        <v>5.6</v>
      </c>
      <c r="AH566" t="n">
        <v>19.1</v>
      </c>
      <c r="AI566" t="n">
        <v>6.7</v>
      </c>
      <c r="AJ566" t="n">
        <v>5.8</v>
      </c>
      <c r="AL566" t="n">
        <v>5.7</v>
      </c>
    </row>
    <row r="567">
      <c r="A567" s="78" t="n">
        <v>37288</v>
      </c>
      <c r="B567" t="n">
        <v>6.53722</v>
      </c>
      <c r="C567" t="n">
        <v>4.5</v>
      </c>
      <c r="D567" t="n">
        <v>7.3</v>
      </c>
      <c r="E567" t="n">
        <v>8</v>
      </c>
      <c r="G567" t="n">
        <v>10.01862</v>
      </c>
      <c r="H567" t="n">
        <v>7.6</v>
      </c>
      <c r="I567" t="n">
        <v>8.199999999999999</v>
      </c>
      <c r="J567" t="n">
        <v>4.4</v>
      </c>
      <c r="K567" t="n">
        <v>8.5</v>
      </c>
      <c r="L567" t="n">
        <v>11.5</v>
      </c>
      <c r="M567" t="n">
        <v>11.6</v>
      </c>
      <c r="N567" t="n">
        <v>9</v>
      </c>
      <c r="O567" t="n">
        <v>8.800000000000001</v>
      </c>
      <c r="P567" t="n">
        <v>6.391093</v>
      </c>
      <c r="Q567" t="n">
        <v>5.168868</v>
      </c>
      <c r="R567" t="n">
        <v>10.7</v>
      </c>
      <c r="S567" t="n">
        <v>5.5</v>
      </c>
      <c r="T567" t="n">
        <v>4.5</v>
      </c>
      <c r="W567" t="n">
        <v>8.5</v>
      </c>
      <c r="X567" t="n">
        <v>5.3</v>
      </c>
      <c r="Y567" t="n">
        <v>3.5</v>
      </c>
      <c r="Z567" t="n">
        <v>2.1</v>
      </c>
      <c r="AA567" t="n">
        <v>12.4</v>
      </c>
      <c r="AB567" t="n">
        <v>3.03529</v>
      </c>
      <c r="AC567" t="n">
        <v>3.3</v>
      </c>
      <c r="AD567" t="n">
        <v>3.8</v>
      </c>
      <c r="AE567" t="n">
        <v>7.144804</v>
      </c>
      <c r="AF567" t="n">
        <v>19.4</v>
      </c>
      <c r="AG567" t="n">
        <v>5.6</v>
      </c>
      <c r="AH567" t="n">
        <v>19</v>
      </c>
      <c r="AI567" t="n">
        <v>6.6</v>
      </c>
      <c r="AJ567" t="n">
        <v>5.8</v>
      </c>
      <c r="AL567" t="n">
        <v>5.7</v>
      </c>
    </row>
    <row r="568">
      <c r="A568" s="78" t="n">
        <v>37316</v>
      </c>
      <c r="B568" t="n">
        <v>6.431297</v>
      </c>
      <c r="C568" t="n">
        <v>4.5</v>
      </c>
      <c r="D568" t="n">
        <v>7.3</v>
      </c>
      <c r="E568" t="n">
        <v>7.9</v>
      </c>
      <c r="G568" t="n">
        <v>9.902977999999999</v>
      </c>
      <c r="H568" t="n">
        <v>7.4</v>
      </c>
      <c r="I568" t="n">
        <v>8.199999999999999</v>
      </c>
      <c r="J568" t="n">
        <v>4.3</v>
      </c>
      <c r="K568" t="n">
        <v>8.5</v>
      </c>
      <c r="L568" t="n">
        <v>11.2</v>
      </c>
      <c r="M568" t="n">
        <v>11.2</v>
      </c>
      <c r="N568" t="n">
        <v>8.9</v>
      </c>
      <c r="O568" t="n">
        <v>8.699999999999999</v>
      </c>
      <c r="P568" t="n">
        <v>6.413843</v>
      </c>
      <c r="Q568" t="n">
        <v>5.181791</v>
      </c>
      <c r="R568" t="n">
        <v>10.7</v>
      </c>
      <c r="S568" t="n">
        <v>5.5</v>
      </c>
      <c r="T568" t="n">
        <v>4.7</v>
      </c>
      <c r="W568" t="n">
        <v>8.5</v>
      </c>
      <c r="X568" t="n">
        <v>5.3</v>
      </c>
      <c r="Y568" t="n">
        <v>3.4</v>
      </c>
      <c r="Z568" t="n">
        <v>2.2</v>
      </c>
      <c r="AA568" t="n">
        <v>12.8</v>
      </c>
      <c r="AB568" t="n">
        <v>3.022208</v>
      </c>
      <c r="AC568" t="n">
        <v>3.4</v>
      </c>
      <c r="AD568" t="n">
        <v>3.7</v>
      </c>
      <c r="AE568" t="n">
        <v>7.144999</v>
      </c>
      <c r="AF568" t="n">
        <v>19.6</v>
      </c>
      <c r="AG568" t="n">
        <v>5.7</v>
      </c>
      <c r="AH568" t="n">
        <v>18.9</v>
      </c>
      <c r="AI568" t="n">
        <v>6.4</v>
      </c>
      <c r="AJ568" t="n">
        <v>5.8</v>
      </c>
      <c r="AL568" t="n">
        <v>5.7</v>
      </c>
    </row>
    <row r="569">
      <c r="A569" s="78" t="n">
        <v>37347</v>
      </c>
      <c r="B569" t="n">
        <v>6.34656</v>
      </c>
      <c r="C569" t="n">
        <v>4.3</v>
      </c>
      <c r="D569" t="n">
        <v>7.3</v>
      </c>
      <c r="E569" t="n">
        <v>7.7</v>
      </c>
      <c r="G569" t="n">
        <v>9.779643</v>
      </c>
      <c r="H569" t="n">
        <v>6.9</v>
      </c>
      <c r="I569" t="n">
        <v>8.300000000000001</v>
      </c>
      <c r="J569" t="n">
        <v>4.3</v>
      </c>
      <c r="K569" t="n">
        <v>8.6</v>
      </c>
      <c r="L569" t="n">
        <v>11.2</v>
      </c>
      <c r="M569" t="n">
        <v>10.7</v>
      </c>
      <c r="N569" t="n">
        <v>9.199999999999999</v>
      </c>
      <c r="O569" t="n">
        <v>8.699999999999999</v>
      </c>
      <c r="P569" t="n">
        <v>6.520835</v>
      </c>
      <c r="Q569" t="n">
        <v>5.2406</v>
      </c>
      <c r="R569" t="n">
        <v>10.3</v>
      </c>
      <c r="S569" t="n">
        <v>5.5</v>
      </c>
      <c r="T569" t="n">
        <v>4.6</v>
      </c>
      <c r="W569" t="n">
        <v>8.9</v>
      </c>
      <c r="X569" t="n">
        <v>5.3</v>
      </c>
      <c r="Y569" t="n">
        <v>3.4</v>
      </c>
      <c r="Z569" t="n">
        <v>2.3</v>
      </c>
      <c r="AA569" t="n">
        <v>13.6</v>
      </c>
      <c r="AB569" t="n">
        <v>3.05236</v>
      </c>
      <c r="AC569" t="n">
        <v>3.4</v>
      </c>
      <c r="AD569" t="n">
        <v>3.8</v>
      </c>
      <c r="AE569" t="n">
        <v>7.213676</v>
      </c>
      <c r="AF569" t="n">
        <v>19.9</v>
      </c>
      <c r="AG569" t="n">
        <v>5.8</v>
      </c>
      <c r="AH569" t="n">
        <v>18.9</v>
      </c>
      <c r="AI569" t="n">
        <v>6.3</v>
      </c>
      <c r="AJ569" t="n">
        <v>6</v>
      </c>
      <c r="AL569" t="n">
        <v>5.9</v>
      </c>
    </row>
    <row r="570">
      <c r="A570" s="78" t="n">
        <v>37377</v>
      </c>
      <c r="B570" t="n">
        <v>6.373549</v>
      </c>
      <c r="C570" t="n">
        <v>4.2</v>
      </c>
      <c r="D570" t="n">
        <v>7.3</v>
      </c>
      <c r="E570" t="n">
        <v>7.8</v>
      </c>
      <c r="G570" t="n">
        <v>9.787496000000001</v>
      </c>
      <c r="H570" t="n">
        <v>7.4</v>
      </c>
      <c r="I570" t="n">
        <v>8.4</v>
      </c>
      <c r="J570" t="n">
        <v>4.4</v>
      </c>
      <c r="K570" t="n">
        <v>8.6</v>
      </c>
      <c r="L570" t="n">
        <v>11.2</v>
      </c>
      <c r="M570" t="n">
        <v>10.5</v>
      </c>
      <c r="N570" t="n">
        <v>9.5</v>
      </c>
      <c r="O570" t="n">
        <v>8.6</v>
      </c>
      <c r="P570" t="n">
        <v>6.481338</v>
      </c>
      <c r="Q570" t="n">
        <v>5.159254</v>
      </c>
      <c r="R570" t="n">
        <v>10.3</v>
      </c>
      <c r="S570" t="n">
        <v>5.5</v>
      </c>
      <c r="T570" t="n">
        <v>4.7</v>
      </c>
      <c r="W570" t="n">
        <v>8.800000000000001</v>
      </c>
      <c r="X570" t="n">
        <v>5.4</v>
      </c>
      <c r="Y570" t="n">
        <v>3.3</v>
      </c>
      <c r="Z570" t="n">
        <v>2.5</v>
      </c>
      <c r="AA570" t="n">
        <v>13.8</v>
      </c>
      <c r="AB570" t="n">
        <v>3.128937</v>
      </c>
      <c r="AC570" t="n">
        <v>3.5</v>
      </c>
      <c r="AD570" t="n">
        <v>3.7</v>
      </c>
      <c r="AE570" t="n">
        <v>7.193434</v>
      </c>
      <c r="AF570" t="n">
        <v>19.8</v>
      </c>
      <c r="AG570" t="n">
        <v>6.2</v>
      </c>
      <c r="AH570" t="n">
        <v>19</v>
      </c>
      <c r="AI570" t="n">
        <v>6.3</v>
      </c>
      <c r="AJ570" t="n">
        <v>5.8</v>
      </c>
      <c r="AL570" t="n">
        <v>5.8</v>
      </c>
    </row>
    <row r="571">
      <c r="A571" s="78" t="n">
        <v>37408</v>
      </c>
      <c r="B571" t="n">
        <v>6.496713</v>
      </c>
      <c r="C571" t="n">
        <v>4.2</v>
      </c>
      <c r="D571" t="n">
        <v>7.3</v>
      </c>
      <c r="E571" t="n">
        <v>7.6</v>
      </c>
      <c r="G571" t="n">
        <v>9.571388000000001</v>
      </c>
      <c r="H571" t="n">
        <v>7.2</v>
      </c>
      <c r="I571" t="n">
        <v>8.5</v>
      </c>
      <c r="J571" t="n">
        <v>4.5</v>
      </c>
      <c r="K571" t="n">
        <v>8.6</v>
      </c>
      <c r="L571" t="n">
        <v>11.4</v>
      </c>
      <c r="M571" t="n">
        <v>11.2</v>
      </c>
      <c r="N571" t="n">
        <v>8.699999999999999</v>
      </c>
      <c r="O571" t="n">
        <v>8.6</v>
      </c>
      <c r="P571" t="n">
        <v>6.50122</v>
      </c>
      <c r="Q571" t="n">
        <v>5.187281</v>
      </c>
      <c r="R571" t="n">
        <v>10.3</v>
      </c>
      <c r="S571" t="n">
        <v>5.6</v>
      </c>
      <c r="T571" t="n">
        <v>4.6</v>
      </c>
      <c r="W571" t="n">
        <v>8.800000000000001</v>
      </c>
      <c r="X571" t="n">
        <v>5.5</v>
      </c>
      <c r="Y571" t="n">
        <v>3.1</v>
      </c>
      <c r="Z571" t="n">
        <v>2.5</v>
      </c>
      <c r="AA571" t="n">
        <v>13.2</v>
      </c>
      <c r="AB571" t="n">
        <v>3.039378</v>
      </c>
      <c r="AC571" t="n">
        <v>3.6</v>
      </c>
      <c r="AD571" t="n">
        <v>3.5</v>
      </c>
      <c r="AE571" t="n">
        <v>7.209605</v>
      </c>
      <c r="AF571" t="n">
        <v>20.2</v>
      </c>
      <c r="AG571" t="n">
        <v>6.4</v>
      </c>
      <c r="AH571" t="n">
        <v>18.9</v>
      </c>
      <c r="AI571" t="n">
        <v>6.1</v>
      </c>
      <c r="AJ571" t="n">
        <v>5.6</v>
      </c>
      <c r="AL571" t="n">
        <v>5.8</v>
      </c>
    </row>
    <row r="572">
      <c r="A572" s="78" t="n">
        <v>37438</v>
      </c>
      <c r="B572" t="n">
        <v>6.180488</v>
      </c>
      <c r="C572" t="n">
        <v>4.3</v>
      </c>
      <c r="D572" t="n">
        <v>7.5</v>
      </c>
      <c r="E572" t="n">
        <v>7.6</v>
      </c>
      <c r="G572" t="n">
        <v>9.674232</v>
      </c>
      <c r="H572" t="n">
        <v>7</v>
      </c>
      <c r="I572" t="n">
        <v>8.6</v>
      </c>
      <c r="J572" t="n">
        <v>4.8</v>
      </c>
      <c r="K572" t="n">
        <v>8.6</v>
      </c>
      <c r="L572" t="n">
        <v>11.7</v>
      </c>
      <c r="M572" t="n">
        <v>11.4</v>
      </c>
      <c r="N572" t="n">
        <v>9.1</v>
      </c>
      <c r="O572" t="n">
        <v>8.6</v>
      </c>
      <c r="P572" t="n">
        <v>6.481144</v>
      </c>
      <c r="Q572" t="n">
        <v>5.219397</v>
      </c>
      <c r="R572" t="n">
        <v>10.3</v>
      </c>
      <c r="S572" t="n">
        <v>5.6</v>
      </c>
      <c r="T572" t="n">
        <v>4.4</v>
      </c>
      <c r="W572" t="n">
        <v>8.6</v>
      </c>
      <c r="X572" t="n">
        <v>5.4</v>
      </c>
      <c r="Y572" t="n">
        <v>3.1</v>
      </c>
      <c r="Z572" t="n">
        <v>2.6</v>
      </c>
      <c r="AA572" t="n">
        <v>11.7</v>
      </c>
      <c r="AB572" t="n">
        <v>2.907495</v>
      </c>
      <c r="AC572" t="n">
        <v>3.7</v>
      </c>
      <c r="AD572" t="n">
        <v>3.4</v>
      </c>
      <c r="AE572" t="n">
        <v>7.232786</v>
      </c>
      <c r="AF572" t="n">
        <v>20.4</v>
      </c>
      <c r="AG572" t="n">
        <v>6.6</v>
      </c>
      <c r="AH572" t="n">
        <v>18.8</v>
      </c>
      <c r="AI572" t="n">
        <v>6.1</v>
      </c>
      <c r="AJ572" t="n">
        <v>6.1</v>
      </c>
      <c r="AL572" t="n">
        <v>5.8</v>
      </c>
    </row>
    <row r="573">
      <c r="A573" s="78" t="n">
        <v>37469</v>
      </c>
      <c r="B573" t="n">
        <v>6.350584</v>
      </c>
      <c r="C573" t="n">
        <v>4.4</v>
      </c>
      <c r="D573" t="n">
        <v>7.4</v>
      </c>
      <c r="E573" t="n">
        <v>7.4</v>
      </c>
      <c r="G573" t="n">
        <v>9.879573000000001</v>
      </c>
      <c r="H573" t="n">
        <v>7.4</v>
      </c>
      <c r="I573" t="n">
        <v>8.699999999999999</v>
      </c>
      <c r="J573" t="n">
        <v>5</v>
      </c>
      <c r="K573" t="n">
        <v>8.699999999999999</v>
      </c>
      <c r="L573" t="n">
        <v>11.8</v>
      </c>
      <c r="M573" t="n">
        <v>11.2</v>
      </c>
      <c r="N573" t="n">
        <v>9.199999999999999</v>
      </c>
      <c r="O573" t="n">
        <v>8.6</v>
      </c>
      <c r="P573" t="n">
        <v>6.485911</v>
      </c>
      <c r="Q573" t="n">
        <v>5.308409</v>
      </c>
      <c r="R573" t="n">
        <v>10.2</v>
      </c>
      <c r="S573" t="n">
        <v>5.6</v>
      </c>
      <c r="T573" t="n">
        <v>4.4</v>
      </c>
      <c r="W573" t="n">
        <v>8.6</v>
      </c>
      <c r="X573" t="n">
        <v>5.5</v>
      </c>
      <c r="Y573" t="n">
        <v>3.3</v>
      </c>
      <c r="Z573" t="n">
        <v>2.7</v>
      </c>
      <c r="AA573" t="n">
        <v>11.3</v>
      </c>
      <c r="AB573" t="n">
        <v>2.777408</v>
      </c>
      <c r="AC573" t="n">
        <v>3.8</v>
      </c>
      <c r="AD573" t="n">
        <v>3.6</v>
      </c>
      <c r="AE573" t="n">
        <v>7.257328</v>
      </c>
      <c r="AF573" t="n">
        <v>20.5</v>
      </c>
      <c r="AG573" t="n">
        <v>6.5</v>
      </c>
      <c r="AH573" t="n">
        <v>18.8</v>
      </c>
      <c r="AI573" t="n">
        <v>6.3</v>
      </c>
      <c r="AJ573" t="n">
        <v>5.9</v>
      </c>
      <c r="AL573" t="n">
        <v>5.7</v>
      </c>
    </row>
    <row r="574">
      <c r="A574" s="78" t="n">
        <v>37500</v>
      </c>
      <c r="B574" t="n">
        <v>6.313393</v>
      </c>
      <c r="C574" t="n">
        <v>4.5</v>
      </c>
      <c r="D574" t="n">
        <v>7.6</v>
      </c>
      <c r="E574" t="n">
        <v>7.5</v>
      </c>
      <c r="G574" t="n">
        <v>10.09227</v>
      </c>
      <c r="H574" t="n">
        <v>7.1</v>
      </c>
      <c r="I574" t="n">
        <v>8.9</v>
      </c>
      <c r="J574" t="n">
        <v>5</v>
      </c>
      <c r="K574" t="n">
        <v>8.699999999999999</v>
      </c>
      <c r="L574" t="n">
        <v>11.7</v>
      </c>
      <c r="M574" t="n">
        <v>11.3</v>
      </c>
      <c r="N574" t="n">
        <v>9</v>
      </c>
      <c r="O574" t="n">
        <v>8.6</v>
      </c>
      <c r="P574" t="n">
        <v>6.464049</v>
      </c>
      <c r="Q574" t="n">
        <v>5.227359</v>
      </c>
      <c r="R574" t="n">
        <v>10.2</v>
      </c>
      <c r="S574" t="n">
        <v>5.7</v>
      </c>
      <c r="T574" t="n">
        <v>4.7</v>
      </c>
      <c r="W574" t="n">
        <v>8.6</v>
      </c>
      <c r="X574" t="n">
        <v>5.4</v>
      </c>
      <c r="Y574" t="n">
        <v>3</v>
      </c>
      <c r="Z574" t="n">
        <v>2.8</v>
      </c>
      <c r="AA574" t="n">
        <v>11.5</v>
      </c>
      <c r="AB574" t="n">
        <v>2.886344</v>
      </c>
      <c r="AC574" t="n">
        <v>3.9</v>
      </c>
      <c r="AD574" t="n">
        <v>3.7</v>
      </c>
      <c r="AE574" t="n">
        <v>7.239282</v>
      </c>
      <c r="AF574" t="n">
        <v>20.5</v>
      </c>
      <c r="AG574" t="n">
        <v>6.8</v>
      </c>
      <c r="AH574" t="n">
        <v>18.7</v>
      </c>
      <c r="AI574" t="n">
        <v>6.3</v>
      </c>
      <c r="AJ574" t="n">
        <v>6.2</v>
      </c>
      <c r="AL574" t="n">
        <v>5.7</v>
      </c>
    </row>
    <row r="575">
      <c r="A575" s="78" t="n">
        <v>37530</v>
      </c>
      <c r="B575" t="n">
        <v>6.129097</v>
      </c>
      <c r="C575" t="n">
        <v>4.4</v>
      </c>
      <c r="D575" t="n">
        <v>7.8</v>
      </c>
      <c r="E575" t="n">
        <v>7.6</v>
      </c>
      <c r="G575" t="n">
        <v>9.946474</v>
      </c>
      <c r="H575" t="n">
        <v>7.1</v>
      </c>
      <c r="I575" t="n">
        <v>9</v>
      </c>
      <c r="J575" t="n">
        <v>4.9</v>
      </c>
      <c r="K575" t="n">
        <v>8.800000000000001</v>
      </c>
      <c r="L575" t="n">
        <v>11.6</v>
      </c>
      <c r="M575" t="n">
        <v>11.8</v>
      </c>
      <c r="N575" t="n">
        <v>9.199999999999999</v>
      </c>
      <c r="O575" t="n">
        <v>8.6</v>
      </c>
      <c r="P575" t="n">
        <v>6.481664</v>
      </c>
      <c r="Q575" t="n">
        <v>5.176085</v>
      </c>
      <c r="R575" t="n">
        <v>10</v>
      </c>
      <c r="S575" t="n">
        <v>5.7</v>
      </c>
      <c r="T575" t="n">
        <v>5.1</v>
      </c>
      <c r="W575" t="n">
        <v>8.5</v>
      </c>
      <c r="X575" t="n">
        <v>5.4</v>
      </c>
      <c r="Y575" t="n">
        <v>3.1</v>
      </c>
      <c r="Z575" t="n">
        <v>2.9</v>
      </c>
      <c r="AA575" t="n">
        <v>12.2</v>
      </c>
      <c r="AB575" t="n">
        <v>2.794946</v>
      </c>
      <c r="AC575" t="n">
        <v>4</v>
      </c>
      <c r="AD575" t="n">
        <v>3.8</v>
      </c>
      <c r="AE575" t="n">
        <v>7.256131</v>
      </c>
      <c r="AF575" t="n">
        <v>20.4</v>
      </c>
      <c r="AG575" t="n">
        <v>7.3</v>
      </c>
      <c r="AH575" t="n">
        <v>18.7</v>
      </c>
      <c r="AI575" t="n">
        <v>6.2</v>
      </c>
      <c r="AJ575" t="n">
        <v>6</v>
      </c>
      <c r="AL575" t="n">
        <v>5.7</v>
      </c>
    </row>
    <row r="576">
      <c r="A576" s="78" t="n">
        <v>37561</v>
      </c>
      <c r="B576" t="n">
        <v>6.162391</v>
      </c>
      <c r="C576" t="n">
        <v>4.4</v>
      </c>
      <c r="D576" t="n">
        <v>8</v>
      </c>
      <c r="E576" t="n">
        <v>7.4</v>
      </c>
      <c r="G576" t="n">
        <v>9.527626</v>
      </c>
      <c r="H576" t="n">
        <v>7.6</v>
      </c>
      <c r="I576" t="n">
        <v>9.1</v>
      </c>
      <c r="J576" t="n">
        <v>4.8</v>
      </c>
      <c r="K576" t="n">
        <v>8.800000000000001</v>
      </c>
      <c r="L576" t="n">
        <v>11.6</v>
      </c>
      <c r="M576" t="n">
        <v>11.5</v>
      </c>
      <c r="N576" t="n">
        <v>8.800000000000001</v>
      </c>
      <c r="O576" t="n">
        <v>8.6</v>
      </c>
      <c r="P576" t="n">
        <v>6.518902</v>
      </c>
      <c r="Q576" t="n">
        <v>5.116348</v>
      </c>
      <c r="R576" t="n">
        <v>10</v>
      </c>
      <c r="S576" t="n">
        <v>5.7</v>
      </c>
      <c r="T576" t="n">
        <v>5.3</v>
      </c>
      <c r="W576" t="n">
        <v>8.5</v>
      </c>
      <c r="X576" t="n">
        <v>5.2</v>
      </c>
      <c r="Y576" t="n">
        <v>3.1</v>
      </c>
      <c r="Z576" t="n">
        <v>3</v>
      </c>
      <c r="AA576" t="n">
        <v>12.5</v>
      </c>
      <c r="AB576" t="n">
        <v>3.00077</v>
      </c>
      <c r="AC576" t="n">
        <v>4.1</v>
      </c>
      <c r="AD576" t="n">
        <v>3.8</v>
      </c>
      <c r="AE576" t="n">
        <v>7.280499</v>
      </c>
      <c r="AF576" t="n">
        <v>20.3</v>
      </c>
      <c r="AG576" t="n">
        <v>7.5</v>
      </c>
      <c r="AH576" t="n">
        <v>18.6</v>
      </c>
      <c r="AI576" t="n">
        <v>6.4</v>
      </c>
      <c r="AJ576" t="n">
        <v>6.2</v>
      </c>
      <c r="AL576" t="n">
        <v>5.9</v>
      </c>
    </row>
    <row r="577">
      <c r="A577" s="78" t="n">
        <v>37591</v>
      </c>
      <c r="B577" t="n">
        <v>6.183089</v>
      </c>
      <c r="C577" t="n">
        <v>4.5</v>
      </c>
      <c r="D577" t="n">
        <v>8.1</v>
      </c>
      <c r="E577" t="n">
        <v>7.5</v>
      </c>
      <c r="G577" t="n">
        <v>9.361122999999999</v>
      </c>
      <c r="H577" t="n">
        <v>7.3</v>
      </c>
      <c r="I577" t="n">
        <v>9.199999999999999</v>
      </c>
      <c r="J577" t="n">
        <v>4.7</v>
      </c>
      <c r="K577" t="n">
        <v>8.800000000000001</v>
      </c>
      <c r="L577" t="n">
        <v>11.6</v>
      </c>
      <c r="M577" t="n">
        <v>11.9</v>
      </c>
      <c r="N577" t="n">
        <v>9</v>
      </c>
      <c r="O577" t="n">
        <v>8.5</v>
      </c>
      <c r="P577" t="n">
        <v>6.580386</v>
      </c>
      <c r="Q577" t="n">
        <v>5.008082</v>
      </c>
      <c r="R577" t="n">
        <v>10</v>
      </c>
      <c r="S577" t="n">
        <v>5.7</v>
      </c>
      <c r="T577" t="n">
        <v>5.3</v>
      </c>
      <c r="W577" t="n">
        <v>8.4</v>
      </c>
      <c r="X577" t="n">
        <v>5.4</v>
      </c>
      <c r="Y577" t="n">
        <v>3.1</v>
      </c>
      <c r="Z577" t="n">
        <v>3</v>
      </c>
      <c r="AA577" t="n">
        <v>12.2</v>
      </c>
      <c r="AB577" t="n">
        <v>2.729125</v>
      </c>
      <c r="AC577" t="n">
        <v>4.2</v>
      </c>
      <c r="AD577" t="n">
        <v>3.8</v>
      </c>
      <c r="AE577" t="n">
        <v>7.310102</v>
      </c>
      <c r="AF577" t="n">
        <v>20.1</v>
      </c>
      <c r="AG577" t="n">
        <v>7.6</v>
      </c>
      <c r="AH577" t="n">
        <v>18.5</v>
      </c>
      <c r="AI577" t="n">
        <v>6.4</v>
      </c>
      <c r="AJ577" t="n">
        <v>6.3</v>
      </c>
      <c r="AL577" t="n">
        <v>6</v>
      </c>
    </row>
    <row r="578">
      <c r="A578" s="78" t="n">
        <v>37622</v>
      </c>
      <c r="B578" t="n">
        <v>6.082192</v>
      </c>
      <c r="C578" t="n">
        <v>4.5</v>
      </c>
      <c r="D578" t="n">
        <v>8.1</v>
      </c>
      <c r="E578" t="n">
        <v>7.5</v>
      </c>
      <c r="G578" t="n">
        <v>9.549785</v>
      </c>
      <c r="H578" t="n">
        <v>7.2</v>
      </c>
      <c r="I578" t="n">
        <v>9.4</v>
      </c>
      <c r="J578" t="n">
        <v>4.8</v>
      </c>
      <c r="K578" t="n">
        <v>9</v>
      </c>
      <c r="L578" t="n">
        <v>11.7</v>
      </c>
      <c r="M578" t="n">
        <v>11.4</v>
      </c>
      <c r="N578" t="n">
        <v>9.1</v>
      </c>
      <c r="O578" t="n">
        <v>8.300000000000001</v>
      </c>
      <c r="P578" t="n">
        <v>6.577414</v>
      </c>
      <c r="Q578" t="n">
        <v>5.127928</v>
      </c>
      <c r="R578" t="n">
        <v>9.800000000000001</v>
      </c>
      <c r="S578" t="n">
        <v>5.7</v>
      </c>
      <c r="T578" t="n">
        <v>5</v>
      </c>
      <c r="U578" t="n">
        <v>3.7</v>
      </c>
      <c r="W578" t="n">
        <v>8.800000000000001</v>
      </c>
      <c r="X578" t="n">
        <v>5.4</v>
      </c>
      <c r="Y578" t="n">
        <v>3.3</v>
      </c>
      <c r="Z578" t="n">
        <v>3.2</v>
      </c>
      <c r="AA578" t="n">
        <v>11.6</v>
      </c>
      <c r="AB578" t="n">
        <v>2.890019</v>
      </c>
      <c r="AC578" t="n">
        <v>4.3</v>
      </c>
      <c r="AD578" t="n">
        <v>3.9</v>
      </c>
      <c r="AE578" t="n">
        <v>7.293443</v>
      </c>
      <c r="AF578" t="n">
        <v>19.9</v>
      </c>
      <c r="AG578" t="n">
        <v>7.6</v>
      </c>
      <c r="AH578" t="n">
        <v>18.2</v>
      </c>
      <c r="AI578" t="n">
        <v>6.5</v>
      </c>
      <c r="AJ578" t="n">
        <v>6.4</v>
      </c>
      <c r="AL578" t="n">
        <v>5.8</v>
      </c>
    </row>
    <row r="579">
      <c r="A579" s="78" t="n">
        <v>37653</v>
      </c>
      <c r="B579" t="n">
        <v>5.955863</v>
      </c>
      <c r="C579" t="n">
        <v>4.5</v>
      </c>
      <c r="D579" t="n">
        <v>8.1</v>
      </c>
      <c r="E579" t="n">
        <v>7.5</v>
      </c>
      <c r="G579" t="n">
        <v>9.577912</v>
      </c>
      <c r="H579" t="n">
        <v>7.3</v>
      </c>
      <c r="I579" t="n">
        <v>9.5</v>
      </c>
      <c r="J579" t="n">
        <v>5</v>
      </c>
      <c r="K579" t="n">
        <v>9</v>
      </c>
      <c r="L579" t="n">
        <v>11.7</v>
      </c>
      <c r="M579" t="n">
        <v>11.2</v>
      </c>
      <c r="N579" t="n">
        <v>8.6</v>
      </c>
      <c r="O579" t="n">
        <v>8.300000000000001</v>
      </c>
      <c r="P579" t="n">
        <v>6.578542</v>
      </c>
      <c r="Q579" t="n">
        <v>5.166501</v>
      </c>
      <c r="R579" t="n">
        <v>9.699999999999999</v>
      </c>
      <c r="S579" t="n">
        <v>5.7</v>
      </c>
      <c r="T579" t="n">
        <v>4.8</v>
      </c>
      <c r="U579" t="n">
        <v>3.6</v>
      </c>
      <c r="W579" t="n">
        <v>8.699999999999999</v>
      </c>
      <c r="X579" t="n">
        <v>5.2</v>
      </c>
      <c r="Y579" t="n">
        <v>3.3</v>
      </c>
      <c r="Z579" t="n">
        <v>3.3</v>
      </c>
      <c r="AA579" t="n">
        <v>11.2</v>
      </c>
      <c r="AB579" t="n">
        <v>2.98038</v>
      </c>
      <c r="AC579" t="n">
        <v>4.3</v>
      </c>
      <c r="AD579" t="n">
        <v>4</v>
      </c>
      <c r="AE579" t="n">
        <v>7.283137</v>
      </c>
      <c r="AF579" t="n">
        <v>19.8</v>
      </c>
      <c r="AG579" t="n">
        <v>7.7</v>
      </c>
      <c r="AH579" t="n">
        <v>18</v>
      </c>
      <c r="AI579" t="n">
        <v>6.7</v>
      </c>
      <c r="AJ579" t="n">
        <v>6</v>
      </c>
      <c r="AL579" t="n">
        <v>5.9</v>
      </c>
    </row>
    <row r="580">
      <c r="A580" s="78" t="n">
        <v>37681</v>
      </c>
      <c r="B580" t="n">
        <v>6.13197</v>
      </c>
      <c r="C580" t="n">
        <v>4.6</v>
      </c>
      <c r="D580" t="n">
        <v>8.1</v>
      </c>
      <c r="E580" t="n">
        <v>7.4</v>
      </c>
      <c r="G580" t="n">
        <v>9.781598000000001</v>
      </c>
      <c r="H580" t="n">
        <v>7.5</v>
      </c>
      <c r="I580" t="n">
        <v>9.6</v>
      </c>
      <c r="J580" t="n">
        <v>5.2</v>
      </c>
      <c r="K580" t="n">
        <v>9.1</v>
      </c>
      <c r="L580" t="n">
        <v>11.6</v>
      </c>
      <c r="M580" t="n">
        <v>11.1</v>
      </c>
      <c r="N580" t="n">
        <v>9.199999999999999</v>
      </c>
      <c r="O580" t="n">
        <v>8.4</v>
      </c>
      <c r="P580" t="n">
        <v>6.617117</v>
      </c>
      <c r="Q580" t="n">
        <v>5.116309</v>
      </c>
      <c r="R580" t="n">
        <v>9.699999999999999</v>
      </c>
      <c r="S580" t="n">
        <v>5.7</v>
      </c>
      <c r="T580" t="n">
        <v>4.7</v>
      </c>
      <c r="U580" t="n">
        <v>3.5</v>
      </c>
      <c r="W580" t="n">
        <v>8.699999999999999</v>
      </c>
      <c r="X580" t="n">
        <v>5.4</v>
      </c>
      <c r="Y580" t="n">
        <v>3.4</v>
      </c>
      <c r="Z580" t="n">
        <v>3.4</v>
      </c>
      <c r="AA580" t="n">
        <v>11.2</v>
      </c>
      <c r="AB580" t="n">
        <v>3.123908</v>
      </c>
      <c r="AC580" t="n">
        <v>4.5</v>
      </c>
      <c r="AD580" t="n">
        <v>4</v>
      </c>
      <c r="AE580" t="n">
        <v>7.316953</v>
      </c>
      <c r="AF580" t="n">
        <v>19.6</v>
      </c>
      <c r="AG580" t="n">
        <v>7.7</v>
      </c>
      <c r="AH580" t="n">
        <v>17.8</v>
      </c>
      <c r="AI580" t="n">
        <v>6.8</v>
      </c>
      <c r="AJ580" t="n">
        <v>6.3</v>
      </c>
      <c r="AL580" t="n">
        <v>5.9</v>
      </c>
    </row>
    <row r="581">
      <c r="A581" s="78" t="n">
        <v>37712</v>
      </c>
      <c r="B581" t="n">
        <v>6.030808</v>
      </c>
      <c r="C581" t="n">
        <v>4.7</v>
      </c>
      <c r="D581" t="n">
        <v>8.1</v>
      </c>
      <c r="E581" t="n">
        <v>7.6</v>
      </c>
      <c r="G581" t="n">
        <v>9.599652000000001</v>
      </c>
      <c r="H581" t="n">
        <v>7.5</v>
      </c>
      <c r="I581" t="n">
        <v>9.699999999999999</v>
      </c>
      <c r="J581" t="n">
        <v>5.4</v>
      </c>
      <c r="K581" t="n">
        <v>9.1</v>
      </c>
      <c r="L581" t="n">
        <v>11.4</v>
      </c>
      <c r="M581" t="n">
        <v>10.8</v>
      </c>
      <c r="N581" t="n">
        <v>9.4</v>
      </c>
      <c r="O581" t="n">
        <v>8.5</v>
      </c>
      <c r="P581" t="n">
        <v>6.686576</v>
      </c>
      <c r="Q581" t="n">
        <v>5.004769</v>
      </c>
      <c r="R581" t="n">
        <v>9.699999999999999</v>
      </c>
      <c r="S581" t="n">
        <v>5.8</v>
      </c>
      <c r="T581" t="n">
        <v>4.8</v>
      </c>
      <c r="U581" t="n">
        <v>3.5</v>
      </c>
      <c r="W581" t="n">
        <v>8.4</v>
      </c>
      <c r="X581" t="n">
        <v>5.5</v>
      </c>
      <c r="Y581" t="n">
        <v>3.4</v>
      </c>
      <c r="Z581" t="n">
        <v>3.5</v>
      </c>
      <c r="AA581" t="n">
        <v>11.4</v>
      </c>
      <c r="AB581" t="n">
        <v>3.0915</v>
      </c>
      <c r="AC581" t="n">
        <v>4.6</v>
      </c>
      <c r="AD581" t="n">
        <v>4.2</v>
      </c>
      <c r="AE581" t="n">
        <v>7.360269</v>
      </c>
      <c r="AF581" t="n">
        <v>19.5</v>
      </c>
      <c r="AG581" t="n">
        <v>7.8</v>
      </c>
      <c r="AH581" t="n">
        <v>17.4</v>
      </c>
      <c r="AI581" t="n">
        <v>6.8</v>
      </c>
      <c r="AJ581" t="n">
        <v>6.3</v>
      </c>
      <c r="AL581" t="n">
        <v>6</v>
      </c>
    </row>
    <row r="582">
      <c r="A582" s="78" t="n">
        <v>37742</v>
      </c>
      <c r="B582" t="n">
        <v>6.069918</v>
      </c>
      <c r="C582" t="n">
        <v>4.8</v>
      </c>
      <c r="D582" t="n">
        <v>8.1</v>
      </c>
      <c r="E582" t="n">
        <v>7.8</v>
      </c>
      <c r="G582" t="n">
        <v>9.583053</v>
      </c>
      <c r="H582" t="n">
        <v>7.8</v>
      </c>
      <c r="I582" t="n">
        <v>9.699999999999999</v>
      </c>
      <c r="J582" t="n">
        <v>5.6</v>
      </c>
      <c r="K582" t="n">
        <v>9.1</v>
      </c>
      <c r="L582" t="n">
        <v>11.3</v>
      </c>
      <c r="M582" t="n">
        <v>11.1</v>
      </c>
      <c r="N582" t="n">
        <v>9.1</v>
      </c>
      <c r="O582" t="n">
        <v>8.5</v>
      </c>
      <c r="P582" t="n">
        <v>6.726423</v>
      </c>
      <c r="Q582" t="n">
        <v>4.939741</v>
      </c>
      <c r="R582" t="n">
        <v>9.699999999999999</v>
      </c>
      <c r="S582" t="n">
        <v>5.8</v>
      </c>
      <c r="T582" t="n">
        <v>4.7</v>
      </c>
      <c r="U582" t="n">
        <v>3.5</v>
      </c>
      <c r="W582" t="n">
        <v>8.5</v>
      </c>
      <c r="X582" t="n">
        <v>5.4</v>
      </c>
      <c r="Y582" t="n">
        <v>3.6</v>
      </c>
      <c r="Z582" t="n">
        <v>3.6</v>
      </c>
      <c r="AA582" t="n">
        <v>11.7</v>
      </c>
      <c r="AB582" t="n">
        <v>3.191952</v>
      </c>
      <c r="AC582" t="n">
        <v>4.7</v>
      </c>
      <c r="AD582" t="n">
        <v>4.2</v>
      </c>
      <c r="AE582" t="n">
        <v>7.3941</v>
      </c>
      <c r="AF582" t="n">
        <v>19.5</v>
      </c>
      <c r="AG582" t="n">
        <v>8</v>
      </c>
      <c r="AH582" t="n">
        <v>17.3</v>
      </c>
      <c r="AI582" t="n">
        <v>6.8</v>
      </c>
      <c r="AJ582" t="n">
        <v>6.3</v>
      </c>
      <c r="AL582" t="n">
        <v>6.1</v>
      </c>
    </row>
    <row r="583">
      <c r="A583" s="78" t="n">
        <v>37773</v>
      </c>
      <c r="B583" t="n">
        <v>6.055619</v>
      </c>
      <c r="C583" t="n">
        <v>4.9</v>
      </c>
      <c r="D583" t="n">
        <v>8.1</v>
      </c>
      <c r="E583" t="n">
        <v>7.6</v>
      </c>
      <c r="G583" t="n">
        <v>9.459725000000001</v>
      </c>
      <c r="H583" t="n">
        <v>7.7</v>
      </c>
      <c r="I583" t="n">
        <v>9.800000000000001</v>
      </c>
      <c r="J583" t="n">
        <v>5.6</v>
      </c>
      <c r="K583" t="n">
        <v>9.1</v>
      </c>
      <c r="L583" t="n">
        <v>11.5</v>
      </c>
      <c r="M583" t="n">
        <v>11</v>
      </c>
      <c r="N583" t="n">
        <v>9.4</v>
      </c>
      <c r="O583" t="n">
        <v>8.5</v>
      </c>
      <c r="P583" t="n">
        <v>6.797489</v>
      </c>
      <c r="Q583" t="n">
        <v>5.06413</v>
      </c>
      <c r="R583" t="n">
        <v>9.699999999999999</v>
      </c>
      <c r="S583" t="n">
        <v>5.8</v>
      </c>
      <c r="T583" t="n">
        <v>4.9</v>
      </c>
      <c r="U583" t="n">
        <v>3.5</v>
      </c>
      <c r="W583" t="n">
        <v>8.5</v>
      </c>
      <c r="X583" t="n">
        <v>5.4</v>
      </c>
      <c r="Y583" t="n">
        <v>3.6</v>
      </c>
      <c r="Z583" t="n">
        <v>3.7</v>
      </c>
      <c r="AA583" t="n">
        <v>12.2</v>
      </c>
      <c r="AB583" t="n">
        <v>3.267429</v>
      </c>
      <c r="AC583" t="n">
        <v>4.8</v>
      </c>
      <c r="AD583" t="n">
        <v>4.3</v>
      </c>
      <c r="AE583" t="n">
        <v>7.452475</v>
      </c>
      <c r="AF583" t="n">
        <v>19.7</v>
      </c>
      <c r="AG583" t="n">
        <v>7.9</v>
      </c>
      <c r="AH583" t="n">
        <v>17.3</v>
      </c>
      <c r="AI583" t="n">
        <v>6.8</v>
      </c>
      <c r="AJ583" t="n">
        <v>6.4</v>
      </c>
      <c r="AL583" t="n">
        <v>6.3</v>
      </c>
    </row>
    <row r="584">
      <c r="A584" s="78" t="n">
        <v>37803</v>
      </c>
      <c r="B584" t="n">
        <v>6.128766</v>
      </c>
      <c r="C584" t="n">
        <v>4.8</v>
      </c>
      <c r="D584" t="n">
        <v>8.1</v>
      </c>
      <c r="E584" t="n">
        <v>7.7</v>
      </c>
      <c r="G584" t="n">
        <v>9.648040999999999</v>
      </c>
      <c r="H584" t="n">
        <v>7.9</v>
      </c>
      <c r="I584" t="n">
        <v>9.800000000000001</v>
      </c>
      <c r="J584" t="n">
        <v>5.4</v>
      </c>
      <c r="K584" t="n">
        <v>9.1</v>
      </c>
      <c r="L584" t="n">
        <v>11.6</v>
      </c>
      <c r="M584" t="n">
        <v>10.5</v>
      </c>
      <c r="N584" t="n">
        <v>9</v>
      </c>
      <c r="O584" t="n">
        <v>8.5</v>
      </c>
      <c r="P584" t="n">
        <v>6.701427</v>
      </c>
      <c r="Q584" t="n">
        <v>5.057788</v>
      </c>
      <c r="R584" t="n">
        <v>9.699999999999999</v>
      </c>
      <c r="S584" t="n">
        <v>5.7</v>
      </c>
      <c r="T584" t="n">
        <v>5</v>
      </c>
      <c r="U584" t="n">
        <v>3.5</v>
      </c>
      <c r="W584" t="n">
        <v>8.4</v>
      </c>
      <c r="X584" t="n">
        <v>5.2</v>
      </c>
      <c r="Y584" t="n">
        <v>3.7</v>
      </c>
      <c r="Z584" t="n">
        <v>3.8</v>
      </c>
      <c r="AA584" t="n">
        <v>12.5</v>
      </c>
      <c r="AB584" t="n">
        <v>3.576365</v>
      </c>
      <c r="AC584" t="n">
        <v>4.9</v>
      </c>
      <c r="AD584" t="n">
        <v>4.3</v>
      </c>
      <c r="AE584" t="n">
        <v>7.383012</v>
      </c>
      <c r="AF584" t="n">
        <v>19.9</v>
      </c>
      <c r="AG584" t="n">
        <v>7.8</v>
      </c>
      <c r="AH584" t="n">
        <v>17.4</v>
      </c>
      <c r="AI584" t="n">
        <v>6.8</v>
      </c>
      <c r="AJ584" t="n">
        <v>6.5</v>
      </c>
      <c r="AL584" t="n">
        <v>6.2</v>
      </c>
    </row>
    <row r="585">
      <c r="A585" s="78" t="n">
        <v>37834</v>
      </c>
      <c r="B585" t="n">
        <v>5.818796</v>
      </c>
      <c r="C585" t="n">
        <v>4.8</v>
      </c>
      <c r="D585" t="n">
        <v>8.1</v>
      </c>
      <c r="E585" t="n">
        <v>7.8</v>
      </c>
      <c r="G585" t="n">
        <v>9.724761000000001</v>
      </c>
      <c r="H585" t="n">
        <v>7.8</v>
      </c>
      <c r="I585" t="n">
        <v>9.800000000000001</v>
      </c>
      <c r="J585" t="n">
        <v>5.4</v>
      </c>
      <c r="K585" t="n">
        <v>9.1</v>
      </c>
      <c r="L585" t="n">
        <v>11.5</v>
      </c>
      <c r="M585" t="n">
        <v>10.1</v>
      </c>
      <c r="N585" t="n">
        <v>8.699999999999999</v>
      </c>
      <c r="O585" t="n">
        <v>8.4</v>
      </c>
      <c r="P585" t="n">
        <v>6.646922</v>
      </c>
      <c r="Q585" t="n">
        <v>5.048588</v>
      </c>
      <c r="R585" t="n">
        <v>9.699999999999999</v>
      </c>
      <c r="S585" t="n">
        <v>5.7</v>
      </c>
      <c r="T585" t="n">
        <v>5</v>
      </c>
      <c r="U585" t="n">
        <v>3.5</v>
      </c>
      <c r="W585" t="n">
        <v>8.4</v>
      </c>
      <c r="X585" t="n">
        <v>5.1</v>
      </c>
      <c r="Y585" t="n">
        <v>3.7</v>
      </c>
      <c r="Z585" t="n">
        <v>3.9</v>
      </c>
      <c r="AA585" t="n">
        <v>12.5</v>
      </c>
      <c r="AB585" t="n">
        <v>3.664692</v>
      </c>
      <c r="AC585" t="n">
        <v>5</v>
      </c>
      <c r="AD585" t="n">
        <v>4.4</v>
      </c>
      <c r="AE585" t="n">
        <v>7.346274</v>
      </c>
      <c r="AF585" t="n">
        <v>20</v>
      </c>
      <c r="AG585" t="n">
        <v>7.8</v>
      </c>
      <c r="AH585" t="n">
        <v>17.6</v>
      </c>
      <c r="AI585" t="n">
        <v>6.8</v>
      </c>
      <c r="AJ585" t="n">
        <v>6.9</v>
      </c>
      <c r="AL585" t="n">
        <v>6.1</v>
      </c>
    </row>
    <row r="586">
      <c r="A586" s="78" t="n">
        <v>37865</v>
      </c>
      <c r="B586" t="n">
        <v>5.776393</v>
      </c>
      <c r="C586" t="n">
        <v>4.8</v>
      </c>
      <c r="D586" t="n">
        <v>8.199999999999999</v>
      </c>
      <c r="E586" t="n">
        <v>7.8</v>
      </c>
      <c r="G586" t="n">
        <v>9.525207999999999</v>
      </c>
      <c r="H586" t="n">
        <v>8.1</v>
      </c>
      <c r="I586" t="n">
        <v>9.800000000000001</v>
      </c>
      <c r="J586" t="n">
        <v>5.5</v>
      </c>
      <c r="K586" t="n">
        <v>9.1</v>
      </c>
      <c r="L586" t="n">
        <v>11.5</v>
      </c>
      <c r="M586" t="n">
        <v>9.1</v>
      </c>
      <c r="N586" t="n">
        <v>9</v>
      </c>
      <c r="O586" t="n">
        <v>8.6</v>
      </c>
      <c r="P586" t="n">
        <v>6.673964</v>
      </c>
      <c r="Q586" t="n">
        <v>4.950209</v>
      </c>
      <c r="R586" t="n">
        <v>9.699999999999999</v>
      </c>
      <c r="S586" t="n">
        <v>5.7</v>
      </c>
      <c r="T586" t="n">
        <v>5</v>
      </c>
      <c r="U586" t="n">
        <v>3.4</v>
      </c>
      <c r="W586" t="n">
        <v>8.4</v>
      </c>
      <c r="X586" t="n">
        <v>5.2</v>
      </c>
      <c r="Y586" t="n">
        <v>3.7</v>
      </c>
      <c r="Z586" t="n">
        <v>4.1</v>
      </c>
      <c r="AA586" t="n">
        <v>12.1</v>
      </c>
      <c r="AB586" t="n">
        <v>3.816401</v>
      </c>
      <c r="AC586" t="n">
        <v>5.1</v>
      </c>
      <c r="AD586" t="n">
        <v>4.4</v>
      </c>
      <c r="AE586" t="n">
        <v>7.353694</v>
      </c>
      <c r="AF586" t="n">
        <v>19.9</v>
      </c>
      <c r="AG586" t="n">
        <v>7.8</v>
      </c>
      <c r="AH586" t="n">
        <v>17.5</v>
      </c>
      <c r="AI586" t="n">
        <v>6.8</v>
      </c>
      <c r="AJ586" t="n">
        <v>6.5</v>
      </c>
      <c r="AL586" t="n">
        <v>6.1</v>
      </c>
    </row>
    <row r="587">
      <c r="A587" s="78" t="n">
        <v>37895</v>
      </c>
      <c r="B587" t="n">
        <v>5.784034</v>
      </c>
      <c r="C587" t="n">
        <v>4.9</v>
      </c>
      <c r="D587" t="n">
        <v>8.300000000000001</v>
      </c>
      <c r="E587" t="n">
        <v>7.6</v>
      </c>
      <c r="G587" t="n">
        <v>9.33971</v>
      </c>
      <c r="H587" t="n">
        <v>8</v>
      </c>
      <c r="I587" t="n">
        <v>9.800000000000001</v>
      </c>
      <c r="J587" t="n">
        <v>5.7</v>
      </c>
      <c r="K587" t="n">
        <v>9.1</v>
      </c>
      <c r="L587" t="n">
        <v>11.4</v>
      </c>
      <c r="M587" t="n">
        <v>9.300000000000001</v>
      </c>
      <c r="N587" t="n">
        <v>9</v>
      </c>
      <c r="O587" t="n">
        <v>8.699999999999999</v>
      </c>
      <c r="P587" t="n">
        <v>6.579522</v>
      </c>
      <c r="Q587" t="n">
        <v>4.91045</v>
      </c>
      <c r="R587" t="n">
        <v>9.9</v>
      </c>
      <c r="S587" t="n">
        <v>5.7</v>
      </c>
      <c r="T587" t="n">
        <v>4.7</v>
      </c>
      <c r="U587" t="n">
        <v>3.4</v>
      </c>
      <c r="W587" t="n">
        <v>8.199999999999999</v>
      </c>
      <c r="X587" t="n">
        <v>5.1</v>
      </c>
      <c r="Y587" t="n">
        <v>3.7</v>
      </c>
      <c r="Z587" t="n">
        <v>4.3</v>
      </c>
      <c r="AA587" t="n">
        <v>11.3</v>
      </c>
      <c r="AB587" t="n">
        <v>3.769731</v>
      </c>
      <c r="AC587" t="n">
        <v>5.2</v>
      </c>
      <c r="AD587" t="n">
        <v>4.3</v>
      </c>
      <c r="AE587" t="n">
        <v>7.291718</v>
      </c>
      <c r="AF587" t="n">
        <v>19.8</v>
      </c>
      <c r="AG587" t="n">
        <v>8</v>
      </c>
      <c r="AH587" t="n">
        <v>17.6</v>
      </c>
      <c r="AI587" t="n">
        <v>6.6</v>
      </c>
      <c r="AJ587" t="n">
        <v>6.9</v>
      </c>
      <c r="AL587" t="n">
        <v>6</v>
      </c>
    </row>
    <row r="588">
      <c r="A588" s="78" t="n">
        <v>37926</v>
      </c>
      <c r="B588" t="n">
        <v>5.661158</v>
      </c>
      <c r="C588" t="n">
        <v>5</v>
      </c>
      <c r="D588" t="n">
        <v>8.300000000000001</v>
      </c>
      <c r="E588" t="n">
        <v>7.4</v>
      </c>
      <c r="G588" t="n">
        <v>9.275782</v>
      </c>
      <c r="H588" t="n">
        <v>8.1</v>
      </c>
      <c r="I588" t="n">
        <v>9.800000000000001</v>
      </c>
      <c r="J588" t="n">
        <v>5.8</v>
      </c>
      <c r="K588" t="n">
        <v>9.1</v>
      </c>
      <c r="L588" t="n">
        <v>11.3</v>
      </c>
      <c r="M588" t="n">
        <v>9.4</v>
      </c>
      <c r="N588" t="n">
        <v>8.9</v>
      </c>
      <c r="O588" t="n">
        <v>8.699999999999999</v>
      </c>
      <c r="P588" t="n">
        <v>6.526077</v>
      </c>
      <c r="Q588" t="n">
        <v>4.896167</v>
      </c>
      <c r="R588" t="n">
        <v>9.9</v>
      </c>
      <c r="S588" t="n">
        <v>5.7</v>
      </c>
      <c r="T588" t="n">
        <v>4.7</v>
      </c>
      <c r="U588" t="n">
        <v>3.4</v>
      </c>
      <c r="W588" t="n">
        <v>8.199999999999999</v>
      </c>
      <c r="X588" t="n">
        <v>5.1</v>
      </c>
      <c r="Y588" t="n">
        <v>3.9</v>
      </c>
      <c r="Z588" t="n">
        <v>4.3</v>
      </c>
      <c r="AA588" t="n">
        <v>10.9</v>
      </c>
      <c r="AB588" t="n">
        <v>4.035325</v>
      </c>
      <c r="AC588" t="n">
        <v>5.2</v>
      </c>
      <c r="AD588" t="n">
        <v>4.3</v>
      </c>
      <c r="AE588" t="n">
        <v>7.266641</v>
      </c>
      <c r="AF588" t="n">
        <v>19.7</v>
      </c>
      <c r="AG588" t="n">
        <v>7.9</v>
      </c>
      <c r="AH588" t="n">
        <v>17.9</v>
      </c>
      <c r="AI588" t="n">
        <v>6.5</v>
      </c>
      <c r="AJ588" t="n">
        <v>7.3</v>
      </c>
      <c r="AL588" t="n">
        <v>5.8</v>
      </c>
    </row>
    <row r="589">
      <c r="A589" s="78" t="n">
        <v>37956</v>
      </c>
      <c r="B589" t="n">
        <v>5.682138</v>
      </c>
      <c r="C589" t="n">
        <v>5.2</v>
      </c>
      <c r="D589" t="n">
        <v>8.5</v>
      </c>
      <c r="E589" t="n">
        <v>7.3</v>
      </c>
      <c r="G589" t="n">
        <v>9.234325</v>
      </c>
      <c r="H589" t="n">
        <v>8.300000000000001</v>
      </c>
      <c r="I589" t="n">
        <v>9.800000000000001</v>
      </c>
      <c r="J589" t="n">
        <v>5.8</v>
      </c>
      <c r="K589" t="n">
        <v>9.199999999999999</v>
      </c>
      <c r="L589" t="n">
        <v>11.4</v>
      </c>
      <c r="M589" t="n">
        <v>10.4</v>
      </c>
      <c r="N589" t="n">
        <v>9</v>
      </c>
      <c r="O589" t="n">
        <v>8.9</v>
      </c>
      <c r="P589" t="n">
        <v>6.425186</v>
      </c>
      <c r="Q589" t="n">
        <v>4.830923</v>
      </c>
      <c r="R589" t="n">
        <v>9.9</v>
      </c>
      <c r="S589" t="n">
        <v>5.7</v>
      </c>
      <c r="T589" t="n">
        <v>4.8</v>
      </c>
      <c r="U589" t="n">
        <v>3.4</v>
      </c>
      <c r="W589" t="n">
        <v>8.199999999999999</v>
      </c>
      <c r="X589" t="n">
        <v>4.9</v>
      </c>
      <c r="Y589" t="n">
        <v>3.7</v>
      </c>
      <c r="Z589" t="n">
        <v>4.4</v>
      </c>
      <c r="AA589" t="n">
        <v>11</v>
      </c>
      <c r="AB589" t="n">
        <v>3.402546</v>
      </c>
      <c r="AC589" t="n">
        <v>5.4</v>
      </c>
      <c r="AD589" t="n">
        <v>4.4</v>
      </c>
      <c r="AE589" t="n">
        <v>7.209632</v>
      </c>
      <c r="AF589" t="n">
        <v>19.8</v>
      </c>
      <c r="AG589" t="n">
        <v>7.7</v>
      </c>
      <c r="AH589" t="n">
        <v>18.4</v>
      </c>
      <c r="AI589" t="n">
        <v>6.5</v>
      </c>
      <c r="AJ589" t="n">
        <v>7</v>
      </c>
      <c r="AL589" t="n">
        <v>5.7</v>
      </c>
    </row>
    <row r="590">
      <c r="A590" s="78" t="n">
        <v>37987</v>
      </c>
      <c r="B590" t="n">
        <v>5.531861</v>
      </c>
      <c r="C590" t="n">
        <v>6.1</v>
      </c>
      <c r="D590" t="n">
        <v>8.699999999999999</v>
      </c>
      <c r="E590" t="n">
        <v>7.3</v>
      </c>
      <c r="G590" t="n">
        <v>9.162867</v>
      </c>
      <c r="H590" t="n">
        <v>8.5</v>
      </c>
      <c r="I590" t="n">
        <v>9.800000000000001</v>
      </c>
      <c r="J590" t="n">
        <v>5.8</v>
      </c>
      <c r="K590" t="n">
        <v>9.300000000000001</v>
      </c>
      <c r="L590" t="n">
        <v>11.3</v>
      </c>
      <c r="M590" t="n">
        <v>10.6</v>
      </c>
      <c r="N590" t="n">
        <v>9</v>
      </c>
      <c r="O590" t="n">
        <v>8.9</v>
      </c>
      <c r="P590" t="n">
        <v>6.444475</v>
      </c>
      <c r="Q590" t="n">
        <v>4.807203</v>
      </c>
      <c r="R590" t="n">
        <v>11.4</v>
      </c>
      <c r="S590" t="n">
        <v>5.7</v>
      </c>
      <c r="T590" t="n">
        <v>5.1</v>
      </c>
      <c r="U590" t="n">
        <v>3.4</v>
      </c>
      <c r="W590" t="n">
        <v>8.300000000000001</v>
      </c>
      <c r="X590" t="n">
        <v>4.9</v>
      </c>
      <c r="Y590" t="n">
        <v>3.5</v>
      </c>
      <c r="Z590" t="n">
        <v>4.6</v>
      </c>
      <c r="AA590" t="n">
        <v>11.7</v>
      </c>
      <c r="AB590" t="n">
        <v>3.777796</v>
      </c>
      <c r="AC590" t="n">
        <v>5.4</v>
      </c>
      <c r="AD590" t="n">
        <v>4.2</v>
      </c>
      <c r="AE590" t="n">
        <v>7.295123</v>
      </c>
      <c r="AF590" t="n">
        <v>20</v>
      </c>
      <c r="AG590" t="n">
        <v>7.5</v>
      </c>
      <c r="AH590" t="n">
        <v>18.7</v>
      </c>
      <c r="AI590" t="n">
        <v>6.5</v>
      </c>
      <c r="AJ590" t="n">
        <v>7</v>
      </c>
      <c r="AL590" t="n">
        <v>5.7</v>
      </c>
    </row>
    <row r="591">
      <c r="A591" s="78" t="n">
        <v>38018</v>
      </c>
      <c r="B591" t="n">
        <v>5.644053</v>
      </c>
      <c r="C591" t="n">
        <v>6</v>
      </c>
      <c r="D591" t="n">
        <v>8.6</v>
      </c>
      <c r="E591" t="n">
        <v>7.3</v>
      </c>
      <c r="G591" t="n">
        <v>9.529755</v>
      </c>
      <c r="H591" t="n">
        <v>8.6</v>
      </c>
      <c r="I591" t="n">
        <v>10.1</v>
      </c>
      <c r="J591" t="n">
        <v>5.7</v>
      </c>
      <c r="K591" t="n">
        <v>9.300000000000001</v>
      </c>
      <c r="L591" t="n">
        <v>11.2</v>
      </c>
      <c r="M591" t="n">
        <v>10</v>
      </c>
      <c r="N591" t="n">
        <v>8.699999999999999</v>
      </c>
      <c r="O591" t="n">
        <v>8.9</v>
      </c>
      <c r="P591" t="n">
        <v>6.414137</v>
      </c>
      <c r="Q591" t="n">
        <v>4.797503</v>
      </c>
      <c r="R591" t="n">
        <v>10.5</v>
      </c>
      <c r="S591" t="n">
        <v>5.8</v>
      </c>
      <c r="T591" t="n">
        <v>5.2</v>
      </c>
      <c r="U591" t="n">
        <v>3.4</v>
      </c>
      <c r="W591" t="n">
        <v>8.1</v>
      </c>
      <c r="X591" t="n">
        <v>5</v>
      </c>
      <c r="Y591" t="n">
        <v>3.6</v>
      </c>
      <c r="Z591" t="n">
        <v>4.7</v>
      </c>
      <c r="AA591" t="n">
        <v>11.9</v>
      </c>
      <c r="AB591" t="n">
        <v>4.043839</v>
      </c>
      <c r="AC591" t="n">
        <v>5.4</v>
      </c>
      <c r="AD591" t="n">
        <v>4.2</v>
      </c>
      <c r="AE591" t="n">
        <v>7.270811</v>
      </c>
      <c r="AF591" t="n">
        <v>19.9</v>
      </c>
      <c r="AG591" t="n">
        <v>7.6</v>
      </c>
      <c r="AH591" t="n">
        <v>19</v>
      </c>
      <c r="AI591" t="n">
        <v>6.5</v>
      </c>
      <c r="AJ591" t="n">
        <v>7.6</v>
      </c>
      <c r="AL591" t="n">
        <v>5.6</v>
      </c>
    </row>
    <row r="592">
      <c r="A592" s="78" t="n">
        <v>38047</v>
      </c>
      <c r="B592" t="n">
        <v>5.438286</v>
      </c>
      <c r="C592" t="n">
        <v>5.9</v>
      </c>
      <c r="D592" t="n">
        <v>8.300000000000001</v>
      </c>
      <c r="E592" t="n">
        <v>7.3</v>
      </c>
      <c r="G592" t="n">
        <v>10.08871</v>
      </c>
      <c r="H592" t="n">
        <v>8.199999999999999</v>
      </c>
      <c r="I592" t="n">
        <v>10.3</v>
      </c>
      <c r="J592" t="n">
        <v>5.5</v>
      </c>
      <c r="K592" t="n">
        <v>9.300000000000001</v>
      </c>
      <c r="L592" t="n">
        <v>11.1</v>
      </c>
      <c r="M592" t="n">
        <v>9.699999999999999</v>
      </c>
      <c r="N592" t="n">
        <v>8.9</v>
      </c>
      <c r="O592" t="n">
        <v>8.9</v>
      </c>
      <c r="P592" t="n">
        <v>6.49297</v>
      </c>
      <c r="Q592" t="n">
        <v>4.809536</v>
      </c>
      <c r="R592" t="n">
        <v>10.8</v>
      </c>
      <c r="S592" t="n">
        <v>5.8</v>
      </c>
      <c r="T592" t="n">
        <v>5.1</v>
      </c>
      <c r="U592" t="n">
        <v>3.4</v>
      </c>
      <c r="W592" t="n">
        <v>8.199999999999999</v>
      </c>
      <c r="X592" t="n">
        <v>4.8</v>
      </c>
      <c r="Y592" t="n">
        <v>3.6</v>
      </c>
      <c r="Z592" t="n">
        <v>4.9</v>
      </c>
      <c r="AA592" t="n">
        <v>11.8</v>
      </c>
      <c r="AB592" t="n">
        <v>3.921735</v>
      </c>
      <c r="AC592" t="n">
        <v>5.5</v>
      </c>
      <c r="AD592" t="n">
        <v>4.1</v>
      </c>
      <c r="AE592" t="n">
        <v>7.314859</v>
      </c>
      <c r="AF592" t="n">
        <v>19.8</v>
      </c>
      <c r="AG592" t="n">
        <v>7.6</v>
      </c>
      <c r="AH592" t="n">
        <v>19</v>
      </c>
      <c r="AI592" t="n">
        <v>6.5</v>
      </c>
      <c r="AJ592" t="n">
        <v>7.4</v>
      </c>
      <c r="AL592" t="n">
        <v>5.8</v>
      </c>
    </row>
    <row r="593">
      <c r="A593" s="78" t="n">
        <v>38078</v>
      </c>
      <c r="B593" t="n">
        <v>5.508479</v>
      </c>
      <c r="C593" t="n">
        <v>6</v>
      </c>
      <c r="D593" t="n">
        <v>7.7</v>
      </c>
      <c r="E593" t="n">
        <v>7.2</v>
      </c>
      <c r="G593" t="n">
        <v>10.48299</v>
      </c>
      <c r="H593" t="n">
        <v>8.4</v>
      </c>
      <c r="I593" t="n">
        <v>10.3</v>
      </c>
      <c r="J593" t="n">
        <v>5.5</v>
      </c>
      <c r="K593" t="n">
        <v>9.300000000000001</v>
      </c>
      <c r="L593" t="n">
        <v>11.2</v>
      </c>
      <c r="M593" t="n">
        <v>9.6</v>
      </c>
      <c r="N593" t="n">
        <v>9.5</v>
      </c>
      <c r="O593" t="n">
        <v>8.800000000000001</v>
      </c>
      <c r="P593" t="n">
        <v>6.389676</v>
      </c>
      <c r="Q593" t="n">
        <v>4.798013</v>
      </c>
      <c r="R593" t="n">
        <v>10.7</v>
      </c>
      <c r="S593" t="n">
        <v>5.8</v>
      </c>
      <c r="T593" t="n">
        <v>4.8</v>
      </c>
      <c r="U593" t="n">
        <v>3.4</v>
      </c>
      <c r="W593" t="n">
        <v>8.1</v>
      </c>
      <c r="X593" t="n">
        <v>4.8</v>
      </c>
      <c r="Y593" t="n">
        <v>3.6</v>
      </c>
      <c r="Z593" t="n">
        <v>5</v>
      </c>
      <c r="AA593" t="n">
        <v>11.5</v>
      </c>
      <c r="AB593" t="n">
        <v>3.987647</v>
      </c>
      <c r="AC593" t="n">
        <v>5.7</v>
      </c>
      <c r="AD593" t="n">
        <v>4.2</v>
      </c>
      <c r="AE593" t="n">
        <v>7.220308</v>
      </c>
      <c r="AF593" t="n">
        <v>19.5</v>
      </c>
      <c r="AG593" t="n">
        <v>7.8</v>
      </c>
      <c r="AH593" t="n">
        <v>19.1</v>
      </c>
      <c r="AI593" t="n">
        <v>6.4</v>
      </c>
      <c r="AJ593" t="n">
        <v>7.1</v>
      </c>
      <c r="AL593" t="n">
        <v>5.6</v>
      </c>
    </row>
    <row r="594">
      <c r="A594" s="78" t="n">
        <v>38108</v>
      </c>
      <c r="B594" t="n">
        <v>5.337377</v>
      </c>
      <c r="C594" t="n">
        <v>5.7</v>
      </c>
      <c r="D594" t="n">
        <v>7.6</v>
      </c>
      <c r="E594" t="n">
        <v>7.1</v>
      </c>
      <c r="G594" t="n">
        <v>10.38421</v>
      </c>
      <c r="H594" t="n">
        <v>8.5</v>
      </c>
      <c r="I594" t="n">
        <v>10.3</v>
      </c>
      <c r="J594" t="n">
        <v>5.4</v>
      </c>
      <c r="K594" t="n">
        <v>9.300000000000001</v>
      </c>
      <c r="L594" t="n">
        <v>11.2</v>
      </c>
      <c r="M594" t="n">
        <v>9.9</v>
      </c>
      <c r="N594" t="n">
        <v>9.5</v>
      </c>
      <c r="O594" t="n">
        <v>8.800000000000001</v>
      </c>
      <c r="P594" t="n">
        <v>6.379847</v>
      </c>
      <c r="Q594" t="n">
        <v>4.805184</v>
      </c>
      <c r="R594" t="n">
        <v>10.5</v>
      </c>
      <c r="S594" t="n">
        <v>5.9</v>
      </c>
      <c r="T594" t="n">
        <v>4.7</v>
      </c>
      <c r="U594" t="n">
        <v>3.4</v>
      </c>
      <c r="W594" t="n">
        <v>8.199999999999999</v>
      </c>
      <c r="X594" t="n">
        <v>4.7</v>
      </c>
      <c r="Y594" t="n">
        <v>3.7</v>
      </c>
      <c r="Z594" t="n">
        <v>5</v>
      </c>
      <c r="AA594" t="n">
        <v>11.4</v>
      </c>
      <c r="AB594" t="n">
        <v>3.884007</v>
      </c>
      <c r="AC594" t="n">
        <v>5.8</v>
      </c>
      <c r="AD594" t="n">
        <v>4.2</v>
      </c>
      <c r="AE594" t="n">
        <v>7.207173</v>
      </c>
      <c r="AF594" t="n">
        <v>19.3</v>
      </c>
      <c r="AG594" t="n">
        <v>8.1</v>
      </c>
      <c r="AH594" t="n">
        <v>18.8</v>
      </c>
      <c r="AI594" t="n">
        <v>6.4</v>
      </c>
      <c r="AJ594" t="n">
        <v>7.6</v>
      </c>
      <c r="AL594" t="n">
        <v>5.6</v>
      </c>
    </row>
    <row r="595">
      <c r="A595" s="78" t="n">
        <v>38139</v>
      </c>
      <c r="B595" t="n">
        <v>5.464096</v>
      </c>
      <c r="C595" t="n">
        <v>5.6</v>
      </c>
      <c r="D595" t="n">
        <v>8</v>
      </c>
      <c r="E595" t="n">
        <v>7.2</v>
      </c>
      <c r="G595" t="n">
        <v>10.30051</v>
      </c>
      <c r="H595" t="n">
        <v>8.199999999999999</v>
      </c>
      <c r="I595" t="n">
        <v>10.3</v>
      </c>
      <c r="J595" t="n">
        <v>5.5</v>
      </c>
      <c r="K595" t="n">
        <v>9.300000000000001</v>
      </c>
      <c r="L595" t="n">
        <v>11.2</v>
      </c>
      <c r="M595" t="n">
        <v>9.699999999999999</v>
      </c>
      <c r="N595" t="n">
        <v>8.6</v>
      </c>
      <c r="O595" t="n">
        <v>8.800000000000001</v>
      </c>
      <c r="P595" t="n">
        <v>6.387311</v>
      </c>
      <c r="Q595" t="n">
        <v>4.76149</v>
      </c>
      <c r="R595" t="n">
        <v>10.5</v>
      </c>
      <c r="S595" t="n">
        <v>6</v>
      </c>
      <c r="T595" t="n">
        <v>4.5</v>
      </c>
      <c r="U595" t="n">
        <v>3.4</v>
      </c>
      <c r="W595" t="n">
        <v>7.9</v>
      </c>
      <c r="X595" t="n">
        <v>4.7</v>
      </c>
      <c r="Y595" t="n">
        <v>3.5</v>
      </c>
      <c r="Z595" t="n">
        <v>5</v>
      </c>
      <c r="AA595" t="n">
        <v>11.3</v>
      </c>
      <c r="AB595" t="n">
        <v>3.958375</v>
      </c>
      <c r="AC595" t="n">
        <v>5.8</v>
      </c>
      <c r="AD595" t="n">
        <v>4.3</v>
      </c>
      <c r="AE595" t="n">
        <v>7.201496</v>
      </c>
      <c r="AF595" t="n">
        <v>19.2</v>
      </c>
      <c r="AG595" t="n">
        <v>8.300000000000001</v>
      </c>
      <c r="AH595" t="n">
        <v>18.5</v>
      </c>
      <c r="AI595" t="n">
        <v>6.2</v>
      </c>
      <c r="AJ595" t="n">
        <v>7.4</v>
      </c>
      <c r="AL595" t="n">
        <v>5.6</v>
      </c>
    </row>
    <row r="596">
      <c r="A596" s="78" t="n">
        <v>38169</v>
      </c>
      <c r="B596" t="n">
        <v>5.551194</v>
      </c>
      <c r="C596" t="n">
        <v>5.5</v>
      </c>
      <c r="D596" t="n">
        <v>8.6</v>
      </c>
      <c r="E596" t="n">
        <v>7.1</v>
      </c>
      <c r="G596" t="n">
        <v>10.41696</v>
      </c>
      <c r="H596" t="n">
        <v>8.199999999999999</v>
      </c>
      <c r="I596" t="n">
        <v>10.3</v>
      </c>
      <c r="J596" t="n">
        <v>5.6</v>
      </c>
      <c r="K596" t="n">
        <v>9.300000000000001</v>
      </c>
      <c r="L596" t="n">
        <v>11</v>
      </c>
      <c r="M596" t="n">
        <v>10</v>
      </c>
      <c r="N596" t="n">
        <v>8.9</v>
      </c>
      <c r="O596" t="n">
        <v>8.800000000000001</v>
      </c>
      <c r="P596" t="n">
        <v>6.35917</v>
      </c>
      <c r="Q596" t="n">
        <v>4.700883</v>
      </c>
      <c r="R596" t="n">
        <v>10.7</v>
      </c>
      <c r="S596" t="n">
        <v>6.1</v>
      </c>
      <c r="T596" t="n">
        <v>4.5</v>
      </c>
      <c r="U596" t="n">
        <v>3.4</v>
      </c>
      <c r="W596" t="n">
        <v>7.9</v>
      </c>
      <c r="X596" t="n">
        <v>4.9</v>
      </c>
      <c r="Y596" t="n">
        <v>3.7</v>
      </c>
      <c r="Z596" t="n">
        <v>5</v>
      </c>
      <c r="AA596" t="n">
        <v>11.5</v>
      </c>
      <c r="AB596" t="n">
        <v>3.795059</v>
      </c>
      <c r="AC596" t="n">
        <v>5.7</v>
      </c>
      <c r="AD596" t="n">
        <v>4.3</v>
      </c>
      <c r="AE596" t="n">
        <v>7.181015</v>
      </c>
      <c r="AF596" t="n">
        <v>19</v>
      </c>
      <c r="AG596" t="n">
        <v>8.199999999999999</v>
      </c>
      <c r="AH596" t="n">
        <v>18.2</v>
      </c>
      <c r="AI596" t="n">
        <v>6.1</v>
      </c>
      <c r="AJ596" t="n">
        <v>7.2</v>
      </c>
      <c r="AL596" t="n">
        <v>5.5</v>
      </c>
    </row>
    <row r="597">
      <c r="A597" s="78" t="n">
        <v>38200</v>
      </c>
      <c r="B597" t="n">
        <v>5.518528</v>
      </c>
      <c r="C597" t="n">
        <v>5.7</v>
      </c>
      <c r="D597" t="n">
        <v>9</v>
      </c>
      <c r="E597" t="n">
        <v>7</v>
      </c>
      <c r="G597" t="n">
        <v>10.40428</v>
      </c>
      <c r="H597" t="n">
        <v>8.300000000000001</v>
      </c>
      <c r="I597" t="n">
        <v>10.4</v>
      </c>
      <c r="J597" t="n">
        <v>5.6</v>
      </c>
      <c r="K597" t="n">
        <v>9.300000000000001</v>
      </c>
      <c r="L597" t="n">
        <v>11</v>
      </c>
      <c r="M597" t="n">
        <v>10.4</v>
      </c>
      <c r="N597" t="n">
        <v>9</v>
      </c>
      <c r="O597" t="n">
        <v>8.800000000000001</v>
      </c>
      <c r="P597" t="n">
        <v>6.295472</v>
      </c>
      <c r="Q597" t="n">
        <v>4.683709</v>
      </c>
      <c r="R597" t="n">
        <v>10.5</v>
      </c>
      <c r="S597" t="n">
        <v>6.2</v>
      </c>
      <c r="T597" t="n">
        <v>4.4</v>
      </c>
      <c r="U597" t="n">
        <v>3.3</v>
      </c>
      <c r="W597" t="n">
        <v>7.7</v>
      </c>
      <c r="X597" t="n">
        <v>4.8</v>
      </c>
      <c r="Y597" t="n">
        <v>3.8</v>
      </c>
      <c r="Z597" t="n">
        <v>5.1</v>
      </c>
      <c r="AA597" t="n">
        <v>11.8</v>
      </c>
      <c r="AB597" t="n">
        <v>3.997989</v>
      </c>
      <c r="AC597" t="n">
        <v>5.6</v>
      </c>
      <c r="AD597" t="n">
        <v>4.4</v>
      </c>
      <c r="AE597" t="n">
        <v>7.155056</v>
      </c>
      <c r="AF597" t="n">
        <v>18.9</v>
      </c>
      <c r="AG597" t="n">
        <v>8.5</v>
      </c>
      <c r="AH597" t="n">
        <v>18</v>
      </c>
      <c r="AI597" t="n">
        <v>6.2</v>
      </c>
      <c r="AJ597" t="n">
        <v>7.3</v>
      </c>
      <c r="AL597" t="n">
        <v>5.4</v>
      </c>
    </row>
    <row r="598">
      <c r="A598" s="78" t="n">
        <v>38231</v>
      </c>
      <c r="B598" t="n">
        <v>5.371799</v>
      </c>
      <c r="C598" t="n">
        <v>6.2</v>
      </c>
      <c r="D598" t="n">
        <v>9</v>
      </c>
      <c r="E598" t="n">
        <v>6.9</v>
      </c>
      <c r="G598" t="n">
        <v>10.42504</v>
      </c>
      <c r="H598" t="n">
        <v>8.199999999999999</v>
      </c>
      <c r="I598" t="n">
        <v>10.4</v>
      </c>
      <c r="J598" t="n">
        <v>5.6</v>
      </c>
      <c r="K598" t="n">
        <v>9.300000000000001</v>
      </c>
      <c r="L598" t="n">
        <v>10.9</v>
      </c>
      <c r="M598" t="n">
        <v>10.2</v>
      </c>
      <c r="N598" t="n">
        <v>8</v>
      </c>
      <c r="O598" t="n">
        <v>8.800000000000001</v>
      </c>
      <c r="P598" t="n">
        <v>6.269343</v>
      </c>
      <c r="Q598" t="n">
        <v>4.664609</v>
      </c>
      <c r="R598" t="n">
        <v>10.5</v>
      </c>
      <c r="S598" t="n">
        <v>6.2</v>
      </c>
      <c r="T598" t="n">
        <v>4.6</v>
      </c>
      <c r="U598" t="n">
        <v>3.3</v>
      </c>
      <c r="W598" t="n">
        <v>8</v>
      </c>
      <c r="X598" t="n">
        <v>4.6</v>
      </c>
      <c r="Y598" t="n">
        <v>3.7</v>
      </c>
      <c r="Z598" t="n">
        <v>5.1</v>
      </c>
      <c r="AA598" t="n">
        <v>11.9</v>
      </c>
      <c r="AB598" t="n">
        <v>3.84378</v>
      </c>
      <c r="AC598" t="n">
        <v>5.7</v>
      </c>
      <c r="AD598" t="n">
        <v>4.4</v>
      </c>
      <c r="AE598" t="n">
        <v>7.129323</v>
      </c>
      <c r="AF598" t="n">
        <v>18.7</v>
      </c>
      <c r="AG598" t="n">
        <v>8.5</v>
      </c>
      <c r="AH598" t="n">
        <v>17.9</v>
      </c>
      <c r="AI598" t="n">
        <v>6.2</v>
      </c>
      <c r="AJ598" t="n">
        <v>7.8</v>
      </c>
      <c r="AL598" t="n">
        <v>5.4</v>
      </c>
    </row>
    <row r="599">
      <c r="A599" s="78" t="n">
        <v>38261</v>
      </c>
      <c r="B599" t="n">
        <v>5.123576</v>
      </c>
      <c r="C599" t="n">
        <v>6.1</v>
      </c>
      <c r="D599" t="n">
        <v>8.6</v>
      </c>
      <c r="E599" t="n">
        <v>7.1</v>
      </c>
      <c r="G599" t="n">
        <v>10.01247</v>
      </c>
      <c r="H599" t="n">
        <v>8.6</v>
      </c>
      <c r="I599" t="n">
        <v>10.5</v>
      </c>
      <c r="J599" t="n">
        <v>5.4</v>
      </c>
      <c r="K599" t="n">
        <v>9.300000000000001</v>
      </c>
      <c r="L599" t="n">
        <v>10.7</v>
      </c>
      <c r="M599" t="n">
        <v>10.3</v>
      </c>
      <c r="N599" t="n">
        <v>8.6</v>
      </c>
      <c r="O599" t="n">
        <v>8.9</v>
      </c>
      <c r="P599" t="n">
        <v>6.319946</v>
      </c>
      <c r="Q599" t="n">
        <v>4.684261</v>
      </c>
      <c r="R599" t="n">
        <v>10.4</v>
      </c>
      <c r="S599" t="n">
        <v>6.4</v>
      </c>
      <c r="T599" t="n">
        <v>4.7</v>
      </c>
      <c r="U599" t="n">
        <v>3.2</v>
      </c>
      <c r="W599" t="n">
        <v>8</v>
      </c>
      <c r="X599" t="n">
        <v>4.6</v>
      </c>
      <c r="Y599" t="n">
        <v>3.7</v>
      </c>
      <c r="Z599" t="n">
        <v>5</v>
      </c>
      <c r="AA599" t="n">
        <v>12.2</v>
      </c>
      <c r="AB599" t="n">
        <v>3.900006</v>
      </c>
      <c r="AC599" t="n">
        <v>5.7</v>
      </c>
      <c r="AD599" t="n">
        <v>4.4</v>
      </c>
      <c r="AE599" t="n">
        <v>7.116437</v>
      </c>
      <c r="AF599" t="n">
        <v>18.6</v>
      </c>
      <c r="AG599" t="n">
        <v>8.5</v>
      </c>
      <c r="AH599" t="n">
        <v>17.8</v>
      </c>
      <c r="AI599" t="n">
        <v>6.3</v>
      </c>
      <c r="AJ599" t="n">
        <v>7.1</v>
      </c>
      <c r="AL599" t="n">
        <v>5.5</v>
      </c>
    </row>
    <row r="600">
      <c r="A600" s="78" t="n">
        <v>38292</v>
      </c>
      <c r="B600" t="n">
        <v>5.162333</v>
      </c>
      <c r="C600" t="n">
        <v>5.7</v>
      </c>
      <c r="D600" t="n">
        <v>8.300000000000001</v>
      </c>
      <c r="E600" t="n">
        <v>7.2</v>
      </c>
      <c r="G600" t="n">
        <v>9.736326</v>
      </c>
      <c r="H600" t="n">
        <v>8.300000000000001</v>
      </c>
      <c r="I600" t="n">
        <v>10.6</v>
      </c>
      <c r="J600" t="n">
        <v>5.3</v>
      </c>
      <c r="K600" t="n">
        <v>9.300000000000001</v>
      </c>
      <c r="L600" t="n">
        <v>10.6</v>
      </c>
      <c r="M600" t="n">
        <v>9.5</v>
      </c>
      <c r="N600" t="n">
        <v>8.699999999999999</v>
      </c>
      <c r="O600" t="n">
        <v>8.9</v>
      </c>
      <c r="P600" t="n">
        <v>6.291628</v>
      </c>
      <c r="Q600" t="n">
        <v>4.728899</v>
      </c>
      <c r="R600" t="n">
        <v>10.3</v>
      </c>
      <c r="S600" t="n">
        <v>6.4</v>
      </c>
      <c r="T600" t="n">
        <v>4.7</v>
      </c>
      <c r="U600" t="n">
        <v>3.2</v>
      </c>
      <c r="W600" t="n">
        <v>8.1</v>
      </c>
      <c r="X600" t="n">
        <v>4.5</v>
      </c>
      <c r="Y600" t="n">
        <v>3.7</v>
      </c>
      <c r="Z600" t="n">
        <v>5</v>
      </c>
      <c r="AA600" t="n">
        <v>12.1</v>
      </c>
      <c r="AB600" t="n">
        <v>3.868527</v>
      </c>
      <c r="AC600" t="n">
        <v>5.7</v>
      </c>
      <c r="AD600" t="n">
        <v>4.4</v>
      </c>
      <c r="AE600" t="n">
        <v>7.088283</v>
      </c>
      <c r="AF600" t="n">
        <v>18.4</v>
      </c>
      <c r="AG600" t="n">
        <v>8.5</v>
      </c>
      <c r="AH600" t="n">
        <v>17.7</v>
      </c>
      <c r="AI600" t="n">
        <v>6.2</v>
      </c>
      <c r="AJ600" t="n">
        <v>7.5</v>
      </c>
      <c r="AL600" t="n">
        <v>5.4</v>
      </c>
    </row>
    <row r="601">
      <c r="A601" s="78" t="n">
        <v>38322</v>
      </c>
      <c r="B601" t="n">
        <v>5.06953</v>
      </c>
      <c r="C601" t="n">
        <v>6</v>
      </c>
      <c r="D601" t="n">
        <v>8.199999999999999</v>
      </c>
      <c r="E601" t="n">
        <v>7.1</v>
      </c>
      <c r="G601" t="n">
        <v>9.454409999999999</v>
      </c>
      <c r="H601" t="n">
        <v>7.8</v>
      </c>
      <c r="I601" t="n">
        <v>10.7</v>
      </c>
      <c r="J601" t="n">
        <v>5.3</v>
      </c>
      <c r="K601" t="n">
        <v>9.199999999999999</v>
      </c>
      <c r="L601" t="n">
        <v>10.3</v>
      </c>
      <c r="M601" t="n">
        <v>9.5</v>
      </c>
      <c r="N601" t="n">
        <v>8.4</v>
      </c>
      <c r="O601" t="n">
        <v>8.800000000000001</v>
      </c>
      <c r="P601" t="n">
        <v>6.263684</v>
      </c>
      <c r="Q601" t="n">
        <v>4.727189</v>
      </c>
      <c r="R601" t="n">
        <v>10.3</v>
      </c>
      <c r="S601" t="n">
        <v>6.5</v>
      </c>
      <c r="T601" t="n">
        <v>4.7</v>
      </c>
      <c r="U601" t="n">
        <v>3.1</v>
      </c>
      <c r="W601" t="n">
        <v>7.8</v>
      </c>
      <c r="X601" t="n">
        <v>4.5</v>
      </c>
      <c r="Y601" t="n">
        <v>3.8</v>
      </c>
      <c r="Z601" t="n">
        <v>4.9</v>
      </c>
      <c r="AA601" t="n">
        <v>11.8</v>
      </c>
      <c r="AB601" t="n">
        <v>4.034563</v>
      </c>
      <c r="AC601" t="n">
        <v>5.9</v>
      </c>
      <c r="AD601" t="n">
        <v>4.4</v>
      </c>
      <c r="AE601" t="n">
        <v>7.050797</v>
      </c>
      <c r="AF601" t="n">
        <v>18.3</v>
      </c>
      <c r="AG601" t="n">
        <v>8.699999999999999</v>
      </c>
      <c r="AH601" t="n">
        <v>17.6</v>
      </c>
      <c r="AI601" t="n">
        <v>6.4</v>
      </c>
      <c r="AJ601" t="n">
        <v>7.5</v>
      </c>
      <c r="AL601" t="n">
        <v>5.4</v>
      </c>
    </row>
    <row r="602">
      <c r="A602" s="78" t="n">
        <v>38353</v>
      </c>
      <c r="B602" t="n">
        <v>5.074622</v>
      </c>
      <c r="C602" t="n">
        <v>5.7</v>
      </c>
      <c r="D602" t="n">
        <v>8.300000000000001</v>
      </c>
      <c r="E602" t="n">
        <v>7</v>
      </c>
      <c r="G602" t="n">
        <v>9.505744</v>
      </c>
      <c r="H602" t="n">
        <v>8.300000000000001</v>
      </c>
      <c r="I602" t="n">
        <v>10.7</v>
      </c>
      <c r="J602" t="n">
        <v>5.3</v>
      </c>
      <c r="K602" t="n">
        <v>9.199999999999999</v>
      </c>
      <c r="L602" t="n">
        <v>10.1</v>
      </c>
      <c r="M602" t="n">
        <v>9.199999999999999</v>
      </c>
      <c r="N602" t="n">
        <v>9.300000000000001</v>
      </c>
      <c r="O602" t="n">
        <v>8.699999999999999</v>
      </c>
      <c r="P602" t="n">
        <v>6.212209</v>
      </c>
      <c r="Q602" t="n">
        <v>4.783751</v>
      </c>
      <c r="R602" t="n">
        <v>10.2</v>
      </c>
      <c r="S602" t="n">
        <v>6.6</v>
      </c>
      <c r="T602" t="n">
        <v>4.4</v>
      </c>
      <c r="U602" t="n">
        <v>3.1</v>
      </c>
      <c r="W602" t="n">
        <v>7.8</v>
      </c>
      <c r="X602" t="n">
        <v>4.5</v>
      </c>
      <c r="Y602" t="n">
        <v>3.8</v>
      </c>
      <c r="Z602" t="n">
        <v>4.8</v>
      </c>
      <c r="AA602" t="n">
        <v>11.4</v>
      </c>
      <c r="AB602" t="n">
        <v>3.979238</v>
      </c>
      <c r="AC602" t="n">
        <v>5.9</v>
      </c>
      <c r="AD602" t="n">
        <v>4.5</v>
      </c>
      <c r="AE602" t="n">
        <v>6.915102</v>
      </c>
      <c r="AF602" t="n">
        <v>18.1</v>
      </c>
      <c r="AG602" t="n">
        <v>8.699999999999999</v>
      </c>
      <c r="AH602" t="n">
        <v>17.3</v>
      </c>
      <c r="AI602" t="n">
        <v>6.4</v>
      </c>
      <c r="AJ602" t="n">
        <v>7</v>
      </c>
      <c r="AK602" t="n">
        <v>9.300000000000001</v>
      </c>
      <c r="AL602" t="n">
        <v>5.3</v>
      </c>
    </row>
    <row r="603">
      <c r="A603" s="78" t="n">
        <v>38384</v>
      </c>
      <c r="B603" t="n">
        <v>5.085431</v>
      </c>
      <c r="C603" t="n">
        <v>5.7</v>
      </c>
      <c r="D603" t="n">
        <v>8.5</v>
      </c>
      <c r="E603" t="n">
        <v>7</v>
      </c>
      <c r="G603" t="n">
        <v>9.367895000000001</v>
      </c>
      <c r="H603" t="n">
        <v>8.199999999999999</v>
      </c>
      <c r="I603" t="n">
        <v>10.9</v>
      </c>
      <c r="J603" t="n">
        <v>5.2</v>
      </c>
      <c r="K603" t="n">
        <v>9.199999999999999</v>
      </c>
      <c r="L603" t="n">
        <v>9.9</v>
      </c>
      <c r="M603" t="n">
        <v>9.300000000000001</v>
      </c>
      <c r="N603" t="n">
        <v>8.9</v>
      </c>
      <c r="O603" t="n">
        <v>8.6</v>
      </c>
      <c r="P603" t="n">
        <v>6.311321</v>
      </c>
      <c r="Q603" t="n">
        <v>4.689322</v>
      </c>
      <c r="R603" t="n">
        <v>9.800000000000001</v>
      </c>
      <c r="S603" t="n">
        <v>6.8</v>
      </c>
      <c r="T603" t="n">
        <v>4.3</v>
      </c>
      <c r="U603" t="n">
        <v>3.1</v>
      </c>
      <c r="W603" t="n">
        <v>8</v>
      </c>
      <c r="X603" t="n">
        <v>4.6</v>
      </c>
      <c r="Y603" t="n">
        <v>3.7</v>
      </c>
      <c r="Z603" t="n">
        <v>4.8</v>
      </c>
      <c r="AA603" t="n">
        <v>11.1</v>
      </c>
      <c r="AB603" t="n">
        <v>3.659749</v>
      </c>
      <c r="AC603" t="n">
        <v>6</v>
      </c>
      <c r="AD603" t="n">
        <v>4.4</v>
      </c>
      <c r="AE603" t="n">
        <v>6.936007</v>
      </c>
      <c r="AF603" t="n">
        <v>18.2</v>
      </c>
      <c r="AG603" t="n">
        <v>8.800000000000001</v>
      </c>
      <c r="AH603" t="n">
        <v>17.1</v>
      </c>
      <c r="AI603" t="n">
        <v>6.5</v>
      </c>
      <c r="AJ603" t="n">
        <v>7.8</v>
      </c>
      <c r="AK603" t="n">
        <v>9.1</v>
      </c>
      <c r="AL603" t="n">
        <v>5.4</v>
      </c>
    </row>
    <row r="604">
      <c r="A604" s="78" t="n">
        <v>38412</v>
      </c>
      <c r="B604" t="n">
        <v>5.163756</v>
      </c>
      <c r="C604" t="n">
        <v>6</v>
      </c>
      <c r="D604" t="n">
        <v>8.6</v>
      </c>
      <c r="E604" t="n">
        <v>6.9</v>
      </c>
      <c r="G604" t="n">
        <v>9.506648</v>
      </c>
      <c r="H604" t="n">
        <v>7.9</v>
      </c>
      <c r="I604" t="n">
        <v>10.9</v>
      </c>
      <c r="J604" t="n">
        <v>5.2</v>
      </c>
      <c r="K604" t="n">
        <v>9.199999999999999</v>
      </c>
      <c r="L604" t="n">
        <v>9.699999999999999</v>
      </c>
      <c r="M604" t="n">
        <v>8.6</v>
      </c>
      <c r="N604" t="n">
        <v>7.9</v>
      </c>
      <c r="O604" t="n">
        <v>8.699999999999999</v>
      </c>
      <c r="P604" t="n">
        <v>6.222748</v>
      </c>
      <c r="Q604" t="n">
        <v>4.704338</v>
      </c>
      <c r="R604" t="n">
        <v>10.2</v>
      </c>
      <c r="S604" t="n">
        <v>6.9</v>
      </c>
      <c r="T604" t="n">
        <v>4.5</v>
      </c>
      <c r="U604" t="n">
        <v>3</v>
      </c>
      <c r="W604" t="n">
        <v>7.9</v>
      </c>
      <c r="X604" t="n">
        <v>4.5</v>
      </c>
      <c r="Y604" t="n">
        <v>3.7</v>
      </c>
      <c r="Z604" t="n">
        <v>4.7</v>
      </c>
      <c r="AA604" t="n">
        <v>10.7</v>
      </c>
      <c r="AB604" t="n">
        <v>3.766281</v>
      </c>
      <c r="AC604" t="n">
        <v>6</v>
      </c>
      <c r="AD604" t="n">
        <v>4.6</v>
      </c>
      <c r="AE604" t="n">
        <v>6.891425</v>
      </c>
      <c r="AF604" t="n">
        <v>18.3</v>
      </c>
      <c r="AG604" t="n">
        <v>8.9</v>
      </c>
      <c r="AH604" t="n">
        <v>17</v>
      </c>
      <c r="AI604" t="n">
        <v>6.4</v>
      </c>
      <c r="AJ604" t="n">
        <v>7.3</v>
      </c>
      <c r="AK604" t="n">
        <v>9.300000000000001</v>
      </c>
      <c r="AL604" t="n">
        <v>5.2</v>
      </c>
    </row>
    <row r="605">
      <c r="A605" s="78" t="n">
        <v>38443</v>
      </c>
      <c r="B605" t="n">
        <v>5.123358</v>
      </c>
      <c r="C605" t="n">
        <v>5.9</v>
      </c>
      <c r="D605" t="n">
        <v>8.4</v>
      </c>
      <c r="E605" t="n">
        <v>6.7</v>
      </c>
      <c r="G605" t="n">
        <v>9.390567000000001</v>
      </c>
      <c r="H605" t="n">
        <v>8.1</v>
      </c>
      <c r="I605" t="n">
        <v>11.2</v>
      </c>
      <c r="J605" t="n">
        <v>5.2</v>
      </c>
      <c r="K605" t="n">
        <v>9.300000000000001</v>
      </c>
      <c r="L605" t="n">
        <v>9.699999999999999</v>
      </c>
      <c r="M605" t="n">
        <v>8.300000000000001</v>
      </c>
      <c r="N605" t="n">
        <v>8.9</v>
      </c>
      <c r="O605" t="n">
        <v>8.800000000000001</v>
      </c>
      <c r="P605" t="n">
        <v>6.226451</v>
      </c>
      <c r="Q605" t="n">
        <v>4.751391</v>
      </c>
      <c r="R605" t="n">
        <v>10.1</v>
      </c>
      <c r="S605" t="n">
        <v>7.1</v>
      </c>
      <c r="T605" t="n">
        <v>4.8</v>
      </c>
      <c r="U605" t="n">
        <v>3</v>
      </c>
      <c r="W605" t="n">
        <v>7.9</v>
      </c>
      <c r="X605" t="n">
        <v>4.5</v>
      </c>
      <c r="Y605" t="n">
        <v>3.7</v>
      </c>
      <c r="Z605" t="n">
        <v>4.7</v>
      </c>
      <c r="AA605" t="n">
        <v>10.3</v>
      </c>
      <c r="AB605" t="n">
        <v>3.802369</v>
      </c>
      <c r="AC605" t="n">
        <v>6</v>
      </c>
      <c r="AD605" t="n">
        <v>4.6</v>
      </c>
      <c r="AE605" t="n">
        <v>6.914246</v>
      </c>
      <c r="AF605" t="n">
        <v>18.4</v>
      </c>
      <c r="AG605" t="n">
        <v>9.1</v>
      </c>
      <c r="AH605" t="n">
        <v>16.7</v>
      </c>
      <c r="AI605" t="n">
        <v>6.1</v>
      </c>
      <c r="AJ605" t="n">
        <v>7.6</v>
      </c>
      <c r="AK605" t="n">
        <v>9.5</v>
      </c>
      <c r="AL605" t="n">
        <v>5.2</v>
      </c>
    </row>
    <row r="606">
      <c r="A606" s="78" t="n">
        <v>38473</v>
      </c>
      <c r="B606" t="n">
        <v>5.100113</v>
      </c>
      <c r="C606" t="n">
        <v>6.2</v>
      </c>
      <c r="D606" t="n">
        <v>8.6</v>
      </c>
      <c r="E606" t="n">
        <v>7</v>
      </c>
      <c r="G606" t="n">
        <v>9.602606</v>
      </c>
      <c r="H606" t="n">
        <v>8</v>
      </c>
      <c r="I606" t="n">
        <v>11.2</v>
      </c>
      <c r="J606" t="n">
        <v>5</v>
      </c>
      <c r="K606" t="n">
        <v>9.199999999999999</v>
      </c>
      <c r="L606" t="n">
        <v>9.4</v>
      </c>
      <c r="M606" t="n">
        <v>8</v>
      </c>
      <c r="N606" t="n">
        <v>8.1</v>
      </c>
      <c r="O606" t="n">
        <v>8.9</v>
      </c>
      <c r="P606" t="n">
        <v>6.219162</v>
      </c>
      <c r="Q606" t="n">
        <v>4.753558</v>
      </c>
      <c r="R606" t="n">
        <v>9.9</v>
      </c>
      <c r="S606" t="n">
        <v>7.2</v>
      </c>
      <c r="T606" t="n">
        <v>4.9</v>
      </c>
      <c r="U606" t="n">
        <v>3</v>
      </c>
      <c r="W606" t="n">
        <v>7.6</v>
      </c>
      <c r="X606" t="n">
        <v>4.5</v>
      </c>
      <c r="Y606" t="n">
        <v>3.7</v>
      </c>
      <c r="Z606" t="n">
        <v>4.7</v>
      </c>
      <c r="AA606" t="n">
        <v>10</v>
      </c>
      <c r="AB606" t="n">
        <v>3.652242</v>
      </c>
      <c r="AC606" t="n">
        <v>6</v>
      </c>
      <c r="AD606" t="n">
        <v>4.6</v>
      </c>
      <c r="AE606" t="n">
        <v>6.893184</v>
      </c>
      <c r="AF606" t="n">
        <v>18.4</v>
      </c>
      <c r="AG606" t="n">
        <v>9.1</v>
      </c>
      <c r="AH606" t="n">
        <v>16.6</v>
      </c>
      <c r="AI606" t="n">
        <v>6</v>
      </c>
      <c r="AJ606" t="n">
        <v>7.9</v>
      </c>
      <c r="AK606" t="n">
        <v>9.699999999999999</v>
      </c>
      <c r="AL606" t="n">
        <v>5.1</v>
      </c>
    </row>
    <row r="607">
      <c r="A607" s="78" t="n">
        <v>38504</v>
      </c>
      <c r="B607" t="n">
        <v>4.950796</v>
      </c>
      <c r="C607" t="n">
        <v>6.2</v>
      </c>
      <c r="D607" t="n">
        <v>8.5</v>
      </c>
      <c r="E607" t="n">
        <v>6.8</v>
      </c>
      <c r="G607" t="n">
        <v>9.423634</v>
      </c>
      <c r="H607" t="n">
        <v>7.9</v>
      </c>
      <c r="I607" t="n">
        <v>11.2</v>
      </c>
      <c r="J607" t="n">
        <v>5</v>
      </c>
      <c r="K607" t="n">
        <v>9.199999999999999</v>
      </c>
      <c r="L607" t="n">
        <v>9.1</v>
      </c>
      <c r="M607" t="n">
        <v>7.9</v>
      </c>
      <c r="N607" t="n">
        <v>8.300000000000001</v>
      </c>
      <c r="O607" t="n">
        <v>8.9</v>
      </c>
      <c r="P607" t="n">
        <v>6.152287</v>
      </c>
      <c r="Q607" t="n">
        <v>4.701785</v>
      </c>
      <c r="R607" t="n">
        <v>10.2</v>
      </c>
      <c r="S607" t="n">
        <v>7.2</v>
      </c>
      <c r="T607" t="n">
        <v>4.9</v>
      </c>
      <c r="U607" t="n">
        <v>3.1</v>
      </c>
      <c r="W607" t="n">
        <v>7.9</v>
      </c>
      <c r="X607" t="n">
        <v>4.3</v>
      </c>
      <c r="Y607" t="n">
        <v>3.8</v>
      </c>
      <c r="Z607" t="n">
        <v>4.6</v>
      </c>
      <c r="AA607" t="n">
        <v>10</v>
      </c>
      <c r="AB607" t="n">
        <v>3.831744</v>
      </c>
      <c r="AC607" t="n">
        <v>5.9</v>
      </c>
      <c r="AD607" t="n">
        <v>4.6</v>
      </c>
      <c r="AE607" t="n">
        <v>6.848766</v>
      </c>
      <c r="AF607" t="n">
        <v>18.4</v>
      </c>
      <c r="AG607" t="n">
        <v>9.199999999999999</v>
      </c>
      <c r="AH607" t="n">
        <v>16.3</v>
      </c>
      <c r="AI607" t="n">
        <v>6</v>
      </c>
      <c r="AJ607" t="n">
        <v>8.199999999999999</v>
      </c>
      <c r="AK607" t="n">
        <v>9.6</v>
      </c>
      <c r="AL607" t="n">
        <v>5</v>
      </c>
    </row>
    <row r="608">
      <c r="A608" s="78" t="n">
        <v>38534</v>
      </c>
      <c r="B608" t="n">
        <v>4.972756</v>
      </c>
      <c r="C608" t="n">
        <v>6.1</v>
      </c>
      <c r="D608" t="n">
        <v>8.5</v>
      </c>
      <c r="E608" t="n">
        <v>6.7</v>
      </c>
      <c r="G608" t="n">
        <v>9.368987000000001</v>
      </c>
      <c r="H608" t="n">
        <v>7.8</v>
      </c>
      <c r="I608" t="n">
        <v>11.2</v>
      </c>
      <c r="J608" t="n">
        <v>5</v>
      </c>
      <c r="K608" t="n">
        <v>9.1</v>
      </c>
      <c r="L608" t="n">
        <v>8.800000000000001</v>
      </c>
      <c r="M608" t="n">
        <v>7.7</v>
      </c>
      <c r="N608" t="n">
        <v>8.4</v>
      </c>
      <c r="O608" t="n">
        <v>8.9</v>
      </c>
      <c r="P608" t="n">
        <v>6.114881</v>
      </c>
      <c r="Q608" t="n">
        <v>4.683322</v>
      </c>
      <c r="R608" t="n">
        <v>10.2</v>
      </c>
      <c r="S608" t="n">
        <v>7.3</v>
      </c>
      <c r="T608" t="n">
        <v>4.8</v>
      </c>
      <c r="U608" t="n">
        <v>3.1</v>
      </c>
      <c r="W608" t="n">
        <v>7.6</v>
      </c>
      <c r="X608" t="n">
        <v>4.4</v>
      </c>
      <c r="Y608" t="n">
        <v>3.8</v>
      </c>
      <c r="Z608" t="n">
        <v>4.5</v>
      </c>
      <c r="AA608" t="n">
        <v>10</v>
      </c>
      <c r="AB608" t="n">
        <v>3.761625</v>
      </c>
      <c r="AC608" t="n">
        <v>5.9</v>
      </c>
      <c r="AD608" t="n">
        <v>4.7</v>
      </c>
      <c r="AE608" t="n">
        <v>6.799409</v>
      </c>
      <c r="AF608" t="n">
        <v>18.2</v>
      </c>
      <c r="AG608" t="n">
        <v>9.5</v>
      </c>
      <c r="AH608" t="n">
        <v>16.1</v>
      </c>
      <c r="AI608" t="n">
        <v>6.3</v>
      </c>
      <c r="AJ608" t="n">
        <v>8.1</v>
      </c>
      <c r="AK608" t="n">
        <v>9.5</v>
      </c>
      <c r="AL608" t="n">
        <v>5</v>
      </c>
    </row>
    <row r="609">
      <c r="A609" s="78" t="n">
        <v>38565</v>
      </c>
      <c r="B609" t="n">
        <v>4.902418</v>
      </c>
      <c r="C609" t="n">
        <v>6</v>
      </c>
      <c r="D609" t="n">
        <v>8.5</v>
      </c>
      <c r="E609" t="n">
        <v>6.7</v>
      </c>
      <c r="G609" t="n">
        <v>9.260532</v>
      </c>
      <c r="H609" t="n">
        <v>7.8</v>
      </c>
      <c r="I609" t="n">
        <v>11.2</v>
      </c>
      <c r="J609" t="n">
        <v>4.7</v>
      </c>
      <c r="K609" t="n">
        <v>9</v>
      </c>
      <c r="L609" t="n">
        <v>8.6</v>
      </c>
      <c r="M609" t="n">
        <v>7.6</v>
      </c>
      <c r="N609" t="n">
        <v>8.1</v>
      </c>
      <c r="O609" t="n">
        <v>8.9</v>
      </c>
      <c r="P609" t="n">
        <v>6.068132</v>
      </c>
      <c r="Q609" t="n">
        <v>4.732122</v>
      </c>
      <c r="R609" t="n">
        <v>10</v>
      </c>
      <c r="S609" t="n">
        <v>7.4</v>
      </c>
      <c r="T609" t="n">
        <v>4.7</v>
      </c>
      <c r="U609" t="n">
        <v>3.1</v>
      </c>
      <c r="W609" t="n">
        <v>7.5</v>
      </c>
      <c r="X609" t="n">
        <v>4.3</v>
      </c>
      <c r="Y609" t="n">
        <v>3.7</v>
      </c>
      <c r="Z609" t="n">
        <v>4.5</v>
      </c>
      <c r="AA609" t="n">
        <v>10</v>
      </c>
      <c r="AB609" t="n">
        <v>3.421391</v>
      </c>
      <c r="AC609" t="n">
        <v>5.8</v>
      </c>
      <c r="AD609" t="n">
        <v>4.6</v>
      </c>
      <c r="AE609" t="n">
        <v>6.713272</v>
      </c>
      <c r="AF609" t="n">
        <v>18</v>
      </c>
      <c r="AG609" t="n">
        <v>9.4</v>
      </c>
      <c r="AH609" t="n">
        <v>16</v>
      </c>
      <c r="AI609" t="n">
        <v>6.5</v>
      </c>
      <c r="AJ609" t="n">
        <v>7.8</v>
      </c>
      <c r="AK609" t="n">
        <v>9.4</v>
      </c>
      <c r="AL609" t="n">
        <v>4.9</v>
      </c>
    </row>
    <row r="610">
      <c r="A610" s="78" t="n">
        <v>38596</v>
      </c>
      <c r="B610" t="n">
        <v>5.003174</v>
      </c>
      <c r="C610" t="n">
        <v>6.1</v>
      </c>
      <c r="D610" t="n">
        <v>8.5</v>
      </c>
      <c r="E610" t="n">
        <v>6.7</v>
      </c>
      <c r="G610" t="n">
        <v>9.132187999999999</v>
      </c>
      <c r="H610" t="n">
        <v>7.9</v>
      </c>
      <c r="I610" t="n">
        <v>11.1</v>
      </c>
      <c r="J610" t="n">
        <v>4.5</v>
      </c>
      <c r="K610" t="n">
        <v>9.1</v>
      </c>
      <c r="L610" t="n">
        <v>8.5</v>
      </c>
      <c r="M610" t="n">
        <v>7.8</v>
      </c>
      <c r="N610" t="n">
        <v>7.9</v>
      </c>
      <c r="O610" t="n">
        <v>9</v>
      </c>
      <c r="P610" t="n">
        <v>6.136043</v>
      </c>
      <c r="Q610" t="n">
        <v>4.931824</v>
      </c>
      <c r="R610" t="n">
        <v>10.4</v>
      </c>
      <c r="S610" t="n">
        <v>7.4</v>
      </c>
      <c r="T610" t="n">
        <v>4.6</v>
      </c>
      <c r="U610" t="n">
        <v>3.2</v>
      </c>
      <c r="W610" t="n">
        <v>7.8</v>
      </c>
      <c r="X610" t="n">
        <v>4.2</v>
      </c>
      <c r="Y610" t="n">
        <v>4</v>
      </c>
      <c r="Z610" t="n">
        <v>4.6</v>
      </c>
      <c r="AA610" t="n">
        <v>9.9</v>
      </c>
      <c r="AB610" t="n">
        <v>3.467751</v>
      </c>
      <c r="AC610" t="n">
        <v>5.8</v>
      </c>
      <c r="AD610" t="n">
        <v>4.5</v>
      </c>
      <c r="AE610" t="n">
        <v>6.764278</v>
      </c>
      <c r="AF610" t="n">
        <v>17.8</v>
      </c>
      <c r="AG610" t="n">
        <v>9.5</v>
      </c>
      <c r="AH610" t="n">
        <v>16.1</v>
      </c>
      <c r="AI610" t="n">
        <v>6.9</v>
      </c>
      <c r="AJ610" t="n">
        <v>7.4</v>
      </c>
      <c r="AK610" t="n">
        <v>9.6</v>
      </c>
      <c r="AL610" t="n">
        <v>5</v>
      </c>
    </row>
    <row r="611">
      <c r="A611" s="78" t="n">
        <v>38626</v>
      </c>
      <c r="B611" t="n">
        <v>5.01636</v>
      </c>
      <c r="C611" t="n">
        <v>6.2</v>
      </c>
      <c r="D611" t="n">
        <v>8.4</v>
      </c>
      <c r="E611" t="n">
        <v>6.7</v>
      </c>
      <c r="G611" t="n">
        <v>9.017344</v>
      </c>
      <c r="H611" t="n">
        <v>7.9</v>
      </c>
      <c r="I611" t="n">
        <v>11</v>
      </c>
      <c r="J611" t="n">
        <v>4.3</v>
      </c>
      <c r="K611" t="n">
        <v>9.1</v>
      </c>
      <c r="L611" t="n">
        <v>8.6</v>
      </c>
      <c r="M611" t="n">
        <v>7.6</v>
      </c>
      <c r="N611" t="n">
        <v>7.8</v>
      </c>
      <c r="O611" t="n">
        <v>9.1</v>
      </c>
      <c r="P611" t="n">
        <v>6.152957</v>
      </c>
      <c r="Q611" t="n">
        <v>5.055046</v>
      </c>
      <c r="R611" t="n">
        <v>10</v>
      </c>
      <c r="S611" t="n">
        <v>7.4</v>
      </c>
      <c r="T611" t="n">
        <v>4.5</v>
      </c>
      <c r="U611" t="n">
        <v>3.2</v>
      </c>
      <c r="W611" t="n">
        <v>7.8</v>
      </c>
      <c r="X611" t="n">
        <v>4.4</v>
      </c>
      <c r="Y611" t="n">
        <v>3.9</v>
      </c>
      <c r="Z611" t="n">
        <v>4.6</v>
      </c>
      <c r="AA611" t="n">
        <v>9.4</v>
      </c>
      <c r="AB611" t="n">
        <v>3.425157</v>
      </c>
      <c r="AC611" t="n">
        <v>5.8</v>
      </c>
      <c r="AD611" t="n">
        <v>4.5</v>
      </c>
      <c r="AE611" t="n">
        <v>6.766841</v>
      </c>
      <c r="AF611" t="n">
        <v>17.5</v>
      </c>
      <c r="AG611" t="n">
        <v>9.5</v>
      </c>
      <c r="AH611" t="n">
        <v>16</v>
      </c>
      <c r="AI611" t="n">
        <v>7.1</v>
      </c>
      <c r="AJ611" t="n">
        <v>8</v>
      </c>
      <c r="AK611" t="n">
        <v>9.699999999999999</v>
      </c>
      <c r="AL611" t="n">
        <v>5</v>
      </c>
    </row>
    <row r="612">
      <c r="A612" s="78" t="n">
        <v>38657</v>
      </c>
      <c r="B612" t="n">
        <v>4.937554</v>
      </c>
      <c r="C612" t="n">
        <v>6.1</v>
      </c>
      <c r="D612" t="n">
        <v>8.4</v>
      </c>
      <c r="E612" t="n">
        <v>6.4</v>
      </c>
      <c r="G612" t="n">
        <v>8.714670999999999</v>
      </c>
      <c r="H612" t="n">
        <v>7.8</v>
      </c>
      <c r="I612" t="n">
        <v>10.8</v>
      </c>
      <c r="J612" t="n">
        <v>4.1</v>
      </c>
      <c r="K612" t="n">
        <v>9</v>
      </c>
      <c r="L612" t="n">
        <v>8.699999999999999</v>
      </c>
      <c r="M612" t="n">
        <v>7.2</v>
      </c>
      <c r="N612" t="n">
        <v>8.5</v>
      </c>
      <c r="O612" t="n">
        <v>9.1</v>
      </c>
      <c r="P612" t="n">
        <v>6.164044</v>
      </c>
      <c r="Q612" t="n">
        <v>5.14647</v>
      </c>
      <c r="R612" t="n">
        <v>9.5</v>
      </c>
      <c r="S612" t="n">
        <v>7.4</v>
      </c>
      <c r="T612" t="n">
        <v>4.5</v>
      </c>
      <c r="U612" t="n">
        <v>3.3</v>
      </c>
      <c r="W612" t="n">
        <v>7.6</v>
      </c>
      <c r="X612" t="n">
        <v>4.5</v>
      </c>
      <c r="Y612" t="n">
        <v>3.6</v>
      </c>
      <c r="Z612" t="n">
        <v>4.6</v>
      </c>
      <c r="AA612" t="n">
        <v>8.800000000000001</v>
      </c>
      <c r="AB612" t="n">
        <v>3.179878</v>
      </c>
      <c r="AC612" t="n">
        <v>5.7</v>
      </c>
      <c r="AD612" t="n">
        <v>4.4</v>
      </c>
      <c r="AE612" t="n">
        <v>6.717077</v>
      </c>
      <c r="AF612" t="n">
        <v>17.1</v>
      </c>
      <c r="AG612" t="n">
        <v>9.5</v>
      </c>
      <c r="AH612" t="n">
        <v>15.7</v>
      </c>
      <c r="AI612" t="n">
        <v>7.2</v>
      </c>
      <c r="AJ612" t="n">
        <v>7.2</v>
      </c>
      <c r="AK612" t="n">
        <v>9.699999999999999</v>
      </c>
      <c r="AL612" t="n">
        <v>5</v>
      </c>
    </row>
    <row r="613">
      <c r="A613" s="78" t="n">
        <v>38687</v>
      </c>
      <c r="B613" t="n">
        <v>5.071115</v>
      </c>
      <c r="C613" t="n">
        <v>6.1</v>
      </c>
      <c r="D613" t="n">
        <v>8.5</v>
      </c>
      <c r="E613" t="n">
        <v>6.6</v>
      </c>
      <c r="G613" t="n">
        <v>8.454001999999999</v>
      </c>
      <c r="H613" t="n">
        <v>7.8</v>
      </c>
      <c r="I613" t="n">
        <v>10.7</v>
      </c>
      <c r="J613" t="n">
        <v>4.1</v>
      </c>
      <c r="K613" t="n">
        <v>8.9</v>
      </c>
      <c r="L613" t="n">
        <v>8.800000000000001</v>
      </c>
      <c r="M613" t="n">
        <v>6.8</v>
      </c>
      <c r="N613" t="n">
        <v>8.4</v>
      </c>
      <c r="O613" t="n">
        <v>9.1</v>
      </c>
      <c r="P613" t="n">
        <v>6.050827</v>
      </c>
      <c r="Q613" t="n">
        <v>5.086849</v>
      </c>
      <c r="R613" t="n">
        <v>9.6</v>
      </c>
      <c r="S613" t="n">
        <v>7.4</v>
      </c>
      <c r="T613" t="n">
        <v>4.6</v>
      </c>
      <c r="U613" t="n">
        <v>3.2</v>
      </c>
      <c r="W613" t="n">
        <v>7.6</v>
      </c>
      <c r="X613" t="n">
        <v>4.4</v>
      </c>
      <c r="Y613" t="n">
        <v>3.5</v>
      </c>
      <c r="Z613" t="n">
        <v>4.7</v>
      </c>
      <c r="AA613" t="n">
        <v>8.5</v>
      </c>
      <c r="AB613" t="n">
        <v>3.191839</v>
      </c>
      <c r="AC613" t="n">
        <v>5.7</v>
      </c>
      <c r="AD613" t="n">
        <v>4.3</v>
      </c>
      <c r="AE613" t="n">
        <v>6.632138</v>
      </c>
      <c r="AF613" t="n">
        <v>16.6</v>
      </c>
      <c r="AG613" t="n">
        <v>9.300000000000001</v>
      </c>
      <c r="AH613" t="n">
        <v>15.4</v>
      </c>
      <c r="AI613" t="n">
        <v>7</v>
      </c>
      <c r="AJ613" t="n">
        <v>7.7</v>
      </c>
      <c r="AK613" t="n">
        <v>9.699999999999999</v>
      </c>
      <c r="AL613" t="n">
        <v>4.9</v>
      </c>
    </row>
    <row r="614">
      <c r="A614" s="78" t="n">
        <v>38718</v>
      </c>
      <c r="B614" t="n">
        <v>5.163861</v>
      </c>
      <c r="C614" t="n">
        <v>6.1</v>
      </c>
      <c r="D614" t="n">
        <v>8.5</v>
      </c>
      <c r="E614" t="n">
        <v>6.6</v>
      </c>
      <c r="G614" t="n">
        <v>8.419548000000001</v>
      </c>
      <c r="H614" t="n">
        <v>8</v>
      </c>
      <c r="I614" t="n">
        <v>10.6</v>
      </c>
      <c r="J614" t="n">
        <v>4.1</v>
      </c>
      <c r="K614" t="n">
        <v>8.9</v>
      </c>
      <c r="L614" t="n">
        <v>8.800000000000001</v>
      </c>
      <c r="M614" t="n">
        <v>6.6</v>
      </c>
      <c r="N614" t="n">
        <v>8.300000000000001</v>
      </c>
      <c r="O614" t="n">
        <v>9.1</v>
      </c>
      <c r="P614" t="n">
        <v>5.977986</v>
      </c>
      <c r="Q614" t="n">
        <v>5.181305</v>
      </c>
      <c r="R614" t="n">
        <v>9.4</v>
      </c>
      <c r="S614" t="n">
        <v>7.5</v>
      </c>
      <c r="T614" t="n">
        <v>4.7</v>
      </c>
      <c r="U614" t="n">
        <v>3.2</v>
      </c>
      <c r="W614" t="n">
        <v>7.4</v>
      </c>
      <c r="X614" t="n">
        <v>4.4</v>
      </c>
      <c r="Y614" t="n">
        <v>3.4</v>
      </c>
      <c r="Z614" t="n">
        <v>4.5</v>
      </c>
      <c r="AA614" t="n">
        <v>8.4</v>
      </c>
      <c r="AB614" t="n">
        <v>3.336446</v>
      </c>
      <c r="AC614" t="n">
        <v>5.5</v>
      </c>
      <c r="AD614" t="n">
        <v>4</v>
      </c>
      <c r="AE614" t="n">
        <v>6.56394</v>
      </c>
      <c r="AF614" t="n">
        <v>16</v>
      </c>
      <c r="AG614" t="n">
        <v>9.199999999999999</v>
      </c>
      <c r="AH614" t="n">
        <v>15</v>
      </c>
      <c r="AI614" t="n">
        <v>6.7</v>
      </c>
      <c r="AJ614" t="n">
        <v>7.9</v>
      </c>
      <c r="AK614" t="n">
        <v>9.6</v>
      </c>
      <c r="AL614" t="n">
        <v>4.7</v>
      </c>
    </row>
    <row r="615">
      <c r="A615" s="78" t="n">
        <v>38749</v>
      </c>
      <c r="B615" t="n">
        <v>5.105196</v>
      </c>
      <c r="C615" t="n">
        <v>6</v>
      </c>
      <c r="D615" t="n">
        <v>8.6</v>
      </c>
      <c r="E615" t="n">
        <v>6.4</v>
      </c>
      <c r="G615" t="n">
        <v>8.592575999999999</v>
      </c>
      <c r="H615" t="n">
        <v>7.3</v>
      </c>
      <c r="I615" t="n">
        <v>10.5</v>
      </c>
      <c r="J615" t="n">
        <v>4.2</v>
      </c>
      <c r="K615" t="n">
        <v>8.800000000000001</v>
      </c>
      <c r="L615" t="n">
        <v>8.699999999999999</v>
      </c>
      <c r="M615" t="n">
        <v>6.2</v>
      </c>
      <c r="N615" t="n">
        <v>8</v>
      </c>
      <c r="O615" t="n">
        <v>9.1</v>
      </c>
      <c r="P615" t="n">
        <v>5.934911</v>
      </c>
      <c r="Q615" t="n">
        <v>5.234042</v>
      </c>
      <c r="R615" t="n">
        <v>9.6</v>
      </c>
      <c r="S615" t="n">
        <v>7.3</v>
      </c>
      <c r="T615" t="n">
        <v>4.7</v>
      </c>
      <c r="U615" t="n">
        <v>3.2</v>
      </c>
      <c r="W615" t="n">
        <v>7.4</v>
      </c>
      <c r="X615" t="n">
        <v>4.1</v>
      </c>
      <c r="Y615" t="n">
        <v>3.6</v>
      </c>
      <c r="Z615" t="n">
        <v>4.5</v>
      </c>
      <c r="AA615" t="n">
        <v>8.199999999999999</v>
      </c>
      <c r="AB615" t="n">
        <v>3.618921</v>
      </c>
      <c r="AC615" t="n">
        <v>5.5</v>
      </c>
      <c r="AD615" t="n">
        <v>3.9</v>
      </c>
      <c r="AE615" t="n">
        <v>6.526634</v>
      </c>
      <c r="AF615" t="n">
        <v>15.4</v>
      </c>
      <c r="AG615" t="n">
        <v>9.1</v>
      </c>
      <c r="AH615" t="n">
        <v>14.6</v>
      </c>
      <c r="AI615" t="n">
        <v>6.5</v>
      </c>
      <c r="AJ615" t="n">
        <v>7.1</v>
      </c>
      <c r="AK615" t="n">
        <v>9.6</v>
      </c>
      <c r="AL615" t="n">
        <v>4.8</v>
      </c>
    </row>
    <row r="616">
      <c r="A616" s="78" t="n">
        <v>38777</v>
      </c>
      <c r="B616" t="n">
        <v>4.86816</v>
      </c>
      <c r="C616" t="n">
        <v>6.1</v>
      </c>
      <c r="D616" t="n">
        <v>8.6</v>
      </c>
      <c r="E616" t="n">
        <v>6.4</v>
      </c>
      <c r="G616" t="n">
        <v>8.662533</v>
      </c>
      <c r="H616" t="n">
        <v>7.8</v>
      </c>
      <c r="I616" t="n">
        <v>10.4</v>
      </c>
      <c r="J616" t="n">
        <v>4.2</v>
      </c>
      <c r="K616" t="n">
        <v>8.699999999999999</v>
      </c>
      <c r="L616" t="n">
        <v>8.699999999999999</v>
      </c>
      <c r="M616" t="n">
        <v>6.3</v>
      </c>
      <c r="N616" t="n">
        <v>7.7</v>
      </c>
      <c r="O616" t="n">
        <v>9.1</v>
      </c>
      <c r="P616" t="n">
        <v>5.885087</v>
      </c>
      <c r="Q616" t="n">
        <v>5.316002</v>
      </c>
      <c r="R616" t="n">
        <v>9</v>
      </c>
      <c r="S616" t="n">
        <v>7.3</v>
      </c>
      <c r="T616" t="n">
        <v>4.7</v>
      </c>
      <c r="U616" t="n">
        <v>3.3</v>
      </c>
      <c r="W616" t="n">
        <v>7.2</v>
      </c>
      <c r="X616" t="n">
        <v>4.1</v>
      </c>
      <c r="Y616" t="n">
        <v>3.5</v>
      </c>
      <c r="Z616" t="n">
        <v>4.7</v>
      </c>
      <c r="AA616" t="n">
        <v>7.9</v>
      </c>
      <c r="AB616" t="n">
        <v>3.589048</v>
      </c>
      <c r="AC616" t="n">
        <v>5.3</v>
      </c>
      <c r="AD616" t="n">
        <v>3.8</v>
      </c>
      <c r="AE616" t="n">
        <v>6.462908</v>
      </c>
      <c r="AF616" t="n">
        <v>15.1</v>
      </c>
      <c r="AG616" t="n">
        <v>9.1</v>
      </c>
      <c r="AH616" t="n">
        <v>14.3</v>
      </c>
      <c r="AI616" t="n">
        <v>6.4</v>
      </c>
      <c r="AJ616" t="n">
        <v>7.4</v>
      </c>
      <c r="AK616" t="n">
        <v>9.300000000000001</v>
      </c>
      <c r="AL616" t="n">
        <v>4.7</v>
      </c>
    </row>
    <row r="617">
      <c r="A617" s="78" t="n">
        <v>38808</v>
      </c>
      <c r="B617" t="n">
        <v>4.967295</v>
      </c>
      <c r="C617" t="n">
        <v>5.7</v>
      </c>
      <c r="D617" t="n">
        <v>8.699999999999999</v>
      </c>
      <c r="E617" t="n">
        <v>6.3</v>
      </c>
      <c r="G617" t="n">
        <v>8.540820999999999</v>
      </c>
      <c r="H617" t="n">
        <v>7.2</v>
      </c>
      <c r="I617" t="n">
        <v>10.3</v>
      </c>
      <c r="J617" t="n">
        <v>4.2</v>
      </c>
      <c r="K617" t="n">
        <v>8.6</v>
      </c>
      <c r="L617" t="n">
        <v>8.6</v>
      </c>
      <c r="M617" t="n">
        <v>6</v>
      </c>
      <c r="N617" t="n">
        <v>7.7</v>
      </c>
      <c r="O617" t="n">
        <v>9</v>
      </c>
      <c r="P617" t="n">
        <v>5.874326</v>
      </c>
      <c r="Q617" t="n">
        <v>5.416463</v>
      </c>
      <c r="R617" t="n">
        <v>9.1</v>
      </c>
      <c r="S617" t="n">
        <v>7.2</v>
      </c>
      <c r="T617" t="n">
        <v>4.7</v>
      </c>
      <c r="U617" t="n">
        <v>3.3</v>
      </c>
      <c r="W617" t="n">
        <v>7.1</v>
      </c>
      <c r="X617" t="n">
        <v>4.1</v>
      </c>
      <c r="Y617" t="n">
        <v>3.5</v>
      </c>
      <c r="Z617" t="n">
        <v>4.6</v>
      </c>
      <c r="AA617" t="n">
        <v>7.3</v>
      </c>
      <c r="AB617" t="n">
        <v>3.399313</v>
      </c>
      <c r="AC617" t="n">
        <v>5.2</v>
      </c>
      <c r="AD617" t="n">
        <v>3.7</v>
      </c>
      <c r="AE617" t="n">
        <v>6.416032</v>
      </c>
      <c r="AF617" t="n">
        <v>14.7</v>
      </c>
      <c r="AG617" t="n">
        <v>9.1</v>
      </c>
      <c r="AH617" t="n">
        <v>14</v>
      </c>
      <c r="AI617" t="n">
        <v>6.3</v>
      </c>
      <c r="AJ617" t="n">
        <v>7.8</v>
      </c>
      <c r="AK617" t="n">
        <v>9.300000000000001</v>
      </c>
      <c r="AL617" t="n">
        <v>4.7</v>
      </c>
    </row>
    <row r="618">
      <c r="A618" s="78" t="n">
        <v>38838</v>
      </c>
      <c r="B618" t="n">
        <v>4.798697</v>
      </c>
      <c r="C618" t="n">
        <v>5.4</v>
      </c>
      <c r="D618" t="n">
        <v>8.800000000000001</v>
      </c>
      <c r="E618" t="n">
        <v>6.1</v>
      </c>
      <c r="G618" t="n">
        <v>8.512446000000001</v>
      </c>
      <c r="H618" t="n">
        <v>7</v>
      </c>
      <c r="I618" t="n">
        <v>10.2</v>
      </c>
      <c r="J618" t="n">
        <v>4.1</v>
      </c>
      <c r="K618" t="n">
        <v>8.5</v>
      </c>
      <c r="L618" t="n">
        <v>8.5</v>
      </c>
      <c r="M618" t="n">
        <v>6.4</v>
      </c>
      <c r="N618" t="n">
        <v>7.9</v>
      </c>
      <c r="O618" t="n">
        <v>8.9</v>
      </c>
      <c r="P618" t="n">
        <v>5.80003</v>
      </c>
      <c r="Q618" t="n">
        <v>5.472024</v>
      </c>
      <c r="R618" t="n">
        <v>9.199999999999999</v>
      </c>
      <c r="S618" t="n">
        <v>7.3</v>
      </c>
      <c r="T618" t="n">
        <v>4.7</v>
      </c>
      <c r="U618" t="n">
        <v>3.4</v>
      </c>
      <c r="W618" t="n">
        <v>7.1</v>
      </c>
      <c r="X618" t="n">
        <v>4.1</v>
      </c>
      <c r="Y618" t="n">
        <v>3.4</v>
      </c>
      <c r="Z618" t="n">
        <v>4.5</v>
      </c>
      <c r="AA618" t="n">
        <v>6.9</v>
      </c>
      <c r="AB618" t="n">
        <v>3.190438</v>
      </c>
      <c r="AC618" t="n">
        <v>5.2</v>
      </c>
      <c r="AD618" t="n">
        <v>3.7</v>
      </c>
      <c r="AE618" t="n">
        <v>6.312786</v>
      </c>
      <c r="AF618" t="n">
        <v>14.4</v>
      </c>
      <c r="AG618" t="n">
        <v>9.1</v>
      </c>
      <c r="AH618" t="n">
        <v>13.7</v>
      </c>
      <c r="AI618" t="n">
        <v>6.2</v>
      </c>
      <c r="AJ618" t="n">
        <v>7.2</v>
      </c>
      <c r="AK618" t="n">
        <v>8.800000000000001</v>
      </c>
      <c r="AL618" t="n">
        <v>4.6</v>
      </c>
    </row>
    <row r="619">
      <c r="A619" s="78" t="n">
        <v>38869</v>
      </c>
      <c r="B619" t="n">
        <v>4.808897</v>
      </c>
      <c r="C619" t="n">
        <v>6</v>
      </c>
      <c r="D619" t="n">
        <v>8.5</v>
      </c>
      <c r="E619" t="n">
        <v>6.1</v>
      </c>
      <c r="G619" t="n">
        <v>8.288339000000001</v>
      </c>
      <c r="H619" t="n">
        <v>7.4</v>
      </c>
      <c r="I619" t="n">
        <v>10.1</v>
      </c>
      <c r="J619" t="n">
        <v>4</v>
      </c>
      <c r="K619" t="n">
        <v>8.4</v>
      </c>
      <c r="L619" t="n">
        <v>8.4</v>
      </c>
      <c r="M619" t="n">
        <v>6.2</v>
      </c>
      <c r="N619" t="n">
        <v>7.7</v>
      </c>
      <c r="O619" t="n">
        <v>8.9</v>
      </c>
      <c r="P619" t="n">
        <v>5.796499</v>
      </c>
      <c r="Q619" t="n">
        <v>5.50575</v>
      </c>
      <c r="R619" t="n">
        <v>9.1</v>
      </c>
      <c r="S619" t="n">
        <v>7.5</v>
      </c>
      <c r="T619" t="n">
        <v>4.8</v>
      </c>
      <c r="U619" t="n">
        <v>3.4</v>
      </c>
      <c r="W619" t="n">
        <v>6.7</v>
      </c>
      <c r="X619" t="n">
        <v>4.2</v>
      </c>
      <c r="Y619" t="n">
        <v>3.5</v>
      </c>
      <c r="Z619" t="n">
        <v>4.5</v>
      </c>
      <c r="AA619" t="n">
        <v>6.6</v>
      </c>
      <c r="AB619" t="n">
        <v>3.496598</v>
      </c>
      <c r="AC619" t="n">
        <v>5</v>
      </c>
      <c r="AD619" t="n">
        <v>3.5</v>
      </c>
      <c r="AE619" t="n">
        <v>6.32279</v>
      </c>
      <c r="AF619" t="n">
        <v>14</v>
      </c>
      <c r="AG619" t="n">
        <v>9.1</v>
      </c>
      <c r="AH619" t="n">
        <v>13.4</v>
      </c>
      <c r="AI619" t="n">
        <v>6</v>
      </c>
      <c r="AJ619" t="n">
        <v>7</v>
      </c>
      <c r="AK619" t="n">
        <v>9</v>
      </c>
      <c r="AL619" t="n">
        <v>4.6</v>
      </c>
    </row>
    <row r="620">
      <c r="A620" s="78" t="n">
        <v>38899</v>
      </c>
      <c r="B620" t="n">
        <v>4.657434</v>
      </c>
      <c r="C620" t="n">
        <v>5.5</v>
      </c>
      <c r="D620" t="n">
        <v>8</v>
      </c>
      <c r="E620" t="n">
        <v>6.4</v>
      </c>
      <c r="G620" t="n">
        <v>7.972013</v>
      </c>
      <c r="H620" t="n">
        <v>7.1</v>
      </c>
      <c r="I620" t="n">
        <v>10</v>
      </c>
      <c r="J620" t="n">
        <v>3.8</v>
      </c>
      <c r="K620" t="n">
        <v>8.300000000000001</v>
      </c>
      <c r="L620" t="n">
        <v>8.300000000000001</v>
      </c>
      <c r="M620" t="n">
        <v>6</v>
      </c>
      <c r="N620" t="n">
        <v>7.6</v>
      </c>
      <c r="O620" t="n">
        <v>8.9</v>
      </c>
      <c r="P620" t="n">
        <v>5.814697</v>
      </c>
      <c r="Q620" t="n">
        <v>5.466978</v>
      </c>
      <c r="R620" t="n">
        <v>8.699999999999999</v>
      </c>
      <c r="S620" t="n">
        <v>7.5</v>
      </c>
      <c r="T620" t="n">
        <v>5</v>
      </c>
      <c r="U620" t="n">
        <v>3.3</v>
      </c>
      <c r="W620" t="n">
        <v>6.6</v>
      </c>
      <c r="X620" t="n">
        <v>4.1</v>
      </c>
      <c r="Y620" t="n">
        <v>3.5</v>
      </c>
      <c r="Z620" t="n">
        <v>4.5</v>
      </c>
      <c r="AA620" t="n">
        <v>6.4</v>
      </c>
      <c r="AB620" t="n">
        <v>3.625241</v>
      </c>
      <c r="AC620" t="n">
        <v>4.9</v>
      </c>
      <c r="AD620" t="n">
        <v>3.5</v>
      </c>
      <c r="AE620" t="n">
        <v>6.307135</v>
      </c>
      <c r="AF620" t="n">
        <v>13.8</v>
      </c>
      <c r="AG620" t="n">
        <v>9.199999999999999</v>
      </c>
      <c r="AH620" t="n">
        <v>13.3</v>
      </c>
      <c r="AI620" t="n">
        <v>5.9</v>
      </c>
      <c r="AJ620" t="n">
        <v>7</v>
      </c>
      <c r="AK620" t="n">
        <v>9</v>
      </c>
      <c r="AL620" t="n">
        <v>4.7</v>
      </c>
    </row>
    <row r="621">
      <c r="A621" s="78" t="n">
        <v>38930</v>
      </c>
      <c r="B621" t="n">
        <v>4.713168</v>
      </c>
      <c r="C621" t="n">
        <v>5.3</v>
      </c>
      <c r="D621" t="n">
        <v>7.8</v>
      </c>
      <c r="E621" t="n">
        <v>6.4</v>
      </c>
      <c r="G621" t="n">
        <v>7.498188</v>
      </c>
      <c r="H621" t="n">
        <v>6.9</v>
      </c>
      <c r="I621" t="n">
        <v>9.9</v>
      </c>
      <c r="J621" t="n">
        <v>3.7</v>
      </c>
      <c r="K621" t="n">
        <v>8.300000000000001</v>
      </c>
      <c r="L621" t="n">
        <v>8.300000000000001</v>
      </c>
      <c r="M621" t="n">
        <v>5.8</v>
      </c>
      <c r="N621" t="n">
        <v>7.7</v>
      </c>
      <c r="O621" t="n">
        <v>8.9</v>
      </c>
      <c r="P621" t="n">
        <v>5.779855</v>
      </c>
      <c r="Q621" t="n">
        <v>5.484363</v>
      </c>
      <c r="R621" t="n">
        <v>8.800000000000001</v>
      </c>
      <c r="S621" t="n">
        <v>7.6</v>
      </c>
      <c r="T621" t="n">
        <v>5.1</v>
      </c>
      <c r="U621" t="n">
        <v>3.3</v>
      </c>
      <c r="W621" t="n">
        <v>6.7</v>
      </c>
      <c r="X621" t="n">
        <v>4.1</v>
      </c>
      <c r="Y621" t="n">
        <v>3.5</v>
      </c>
      <c r="Z621" t="n">
        <v>4.5</v>
      </c>
      <c r="AA621" t="n">
        <v>6.3</v>
      </c>
      <c r="AB621" t="n">
        <v>3.785349</v>
      </c>
      <c r="AC621" t="n">
        <v>4.8</v>
      </c>
      <c r="AD621" t="n">
        <v>3.3</v>
      </c>
      <c r="AE621" t="n">
        <v>6.283361</v>
      </c>
      <c r="AF621" t="n">
        <v>13.5</v>
      </c>
      <c r="AG621" t="n">
        <v>9.199999999999999</v>
      </c>
      <c r="AH621" t="n">
        <v>13.1</v>
      </c>
      <c r="AI621" t="n">
        <v>5.7</v>
      </c>
      <c r="AJ621" t="n">
        <v>7</v>
      </c>
      <c r="AK621" t="n">
        <v>9</v>
      </c>
      <c r="AL621" t="n">
        <v>4.7</v>
      </c>
    </row>
    <row r="622">
      <c r="A622" s="78" t="n">
        <v>38961</v>
      </c>
      <c r="B622" t="n">
        <v>4.667052</v>
      </c>
      <c r="C622" t="n">
        <v>5.1</v>
      </c>
      <c r="D622" t="n">
        <v>7.9</v>
      </c>
      <c r="E622" t="n">
        <v>6.4</v>
      </c>
      <c r="G622" t="n">
        <v>7.168</v>
      </c>
      <c r="H622" t="n">
        <v>7.1</v>
      </c>
      <c r="I622" t="n">
        <v>9.800000000000001</v>
      </c>
      <c r="J622" t="n">
        <v>3.6</v>
      </c>
      <c r="K622" t="n">
        <v>8.199999999999999</v>
      </c>
      <c r="L622" t="n">
        <v>8.199999999999999</v>
      </c>
      <c r="M622" t="n">
        <v>5.6</v>
      </c>
      <c r="N622" t="n">
        <v>7.6</v>
      </c>
      <c r="O622" t="n">
        <v>8.699999999999999</v>
      </c>
      <c r="P622" t="n">
        <v>5.687105</v>
      </c>
      <c r="Q622" t="n">
        <v>5.476115</v>
      </c>
      <c r="R622" t="n">
        <v>8.9</v>
      </c>
      <c r="S622" t="n">
        <v>7.6</v>
      </c>
      <c r="T622" t="n">
        <v>4.9</v>
      </c>
      <c r="U622" t="n">
        <v>3.2</v>
      </c>
      <c r="W622" t="n">
        <v>6.7</v>
      </c>
      <c r="X622" t="n">
        <v>4.1</v>
      </c>
      <c r="Y622" t="n">
        <v>3.5</v>
      </c>
      <c r="Z622" t="n">
        <v>4.7</v>
      </c>
      <c r="AA622" t="n">
        <v>6.4</v>
      </c>
      <c r="AB622" t="n">
        <v>3.70062</v>
      </c>
      <c r="AC622" t="n">
        <v>4.8</v>
      </c>
      <c r="AD622" t="n">
        <v>3.1</v>
      </c>
      <c r="AE622" t="n">
        <v>6.195379</v>
      </c>
      <c r="AF622" t="n">
        <v>13.2</v>
      </c>
      <c r="AG622" t="n">
        <v>9.6</v>
      </c>
      <c r="AH622" t="n">
        <v>12.8</v>
      </c>
      <c r="AI622" t="n">
        <v>5.6</v>
      </c>
      <c r="AJ622" t="n">
        <v>6.7</v>
      </c>
      <c r="AK622" t="n">
        <v>8.800000000000001</v>
      </c>
      <c r="AL622" t="n">
        <v>4.5</v>
      </c>
    </row>
    <row r="623">
      <c r="A623" s="78" t="n">
        <v>38991</v>
      </c>
      <c r="B623" t="n">
        <v>4.463884</v>
      </c>
      <c r="C623" t="n">
        <v>5.3</v>
      </c>
      <c r="D623" t="n">
        <v>7.9</v>
      </c>
      <c r="E623" t="n">
        <v>6.2</v>
      </c>
      <c r="G623" t="n">
        <v>6.859755</v>
      </c>
      <c r="H623" t="n">
        <v>6.7</v>
      </c>
      <c r="I623" t="n">
        <v>9.699999999999999</v>
      </c>
      <c r="J623" t="n">
        <v>3.5</v>
      </c>
      <c r="K623" t="n">
        <v>8.1</v>
      </c>
      <c r="L623" t="n">
        <v>8.199999999999999</v>
      </c>
      <c r="M623" t="n">
        <v>5.8</v>
      </c>
      <c r="N623" t="n">
        <v>7.7</v>
      </c>
      <c r="O623" t="n">
        <v>8.5</v>
      </c>
      <c r="P623" t="n">
        <v>5.600703</v>
      </c>
      <c r="Q623" t="n">
        <v>5.419935</v>
      </c>
      <c r="R623" t="n">
        <v>8.300000000000001</v>
      </c>
      <c r="S623" t="n">
        <v>7.7</v>
      </c>
      <c r="T623" t="n">
        <v>4.7</v>
      </c>
      <c r="U623" t="n">
        <v>3.1</v>
      </c>
      <c r="W623" t="n">
        <v>6.7</v>
      </c>
      <c r="X623" t="n">
        <v>4.1</v>
      </c>
      <c r="Y623" t="n">
        <v>3.6</v>
      </c>
      <c r="Z623" t="n">
        <v>4.6</v>
      </c>
      <c r="AA623" t="n">
        <v>6.5</v>
      </c>
      <c r="AB623" t="n">
        <v>3.745018</v>
      </c>
      <c r="AC623" t="n">
        <v>4.7</v>
      </c>
      <c r="AD623" t="n">
        <v>2.9</v>
      </c>
      <c r="AE623" t="n">
        <v>6.112028</v>
      </c>
      <c r="AF623" t="n">
        <v>12.9</v>
      </c>
      <c r="AG623" t="n">
        <v>9.699999999999999</v>
      </c>
      <c r="AH623" t="n">
        <v>12.6</v>
      </c>
      <c r="AI623" t="n">
        <v>5.5</v>
      </c>
      <c r="AJ623" t="n">
        <v>6.6</v>
      </c>
      <c r="AK623" t="n">
        <v>8.699999999999999</v>
      </c>
      <c r="AL623" t="n">
        <v>4.4</v>
      </c>
    </row>
    <row r="624">
      <c r="A624" s="78" t="n">
        <v>39022</v>
      </c>
      <c r="B624" t="n">
        <v>4.515885</v>
      </c>
      <c r="C624" t="n">
        <v>5.3</v>
      </c>
      <c r="D624" t="n">
        <v>8</v>
      </c>
      <c r="E624" t="n">
        <v>6.4</v>
      </c>
      <c r="G624" t="n">
        <v>6.594252</v>
      </c>
      <c r="H624" t="n">
        <v>6.6</v>
      </c>
      <c r="I624" t="n">
        <v>9.6</v>
      </c>
      <c r="J624" t="n">
        <v>3.6</v>
      </c>
      <c r="K624" t="n">
        <v>8.1</v>
      </c>
      <c r="L624" t="n">
        <v>8.300000000000001</v>
      </c>
      <c r="M624" t="n">
        <v>5.4</v>
      </c>
      <c r="N624" t="n">
        <v>7.3</v>
      </c>
      <c r="O624" t="n">
        <v>8.4</v>
      </c>
      <c r="P624" t="n">
        <v>5.607023</v>
      </c>
      <c r="Q624" t="n">
        <v>5.50116</v>
      </c>
      <c r="R624" t="n">
        <v>8.9</v>
      </c>
      <c r="S624" t="n">
        <v>7.6</v>
      </c>
      <c r="T624" t="n">
        <v>4.6</v>
      </c>
      <c r="U624" t="n">
        <v>3</v>
      </c>
      <c r="W624" t="n">
        <v>6.6</v>
      </c>
      <c r="X624" t="n">
        <v>4</v>
      </c>
      <c r="Y624" t="n">
        <v>3.5</v>
      </c>
      <c r="Z624" t="n">
        <v>4.6</v>
      </c>
      <c r="AA624" t="n">
        <v>6.5</v>
      </c>
      <c r="AB624" t="n">
        <v>3.802345</v>
      </c>
      <c r="AC624" t="n">
        <v>4.7</v>
      </c>
      <c r="AD624" t="n">
        <v>2.8</v>
      </c>
      <c r="AE624" t="n">
        <v>6.104517</v>
      </c>
      <c r="AF624" t="n">
        <v>12.4</v>
      </c>
      <c r="AG624" t="n">
        <v>9.699999999999999</v>
      </c>
      <c r="AH624" t="n">
        <v>12.4</v>
      </c>
      <c r="AI624" t="n">
        <v>5.5</v>
      </c>
      <c r="AJ624" t="n">
        <v>6.6</v>
      </c>
      <c r="AK624" t="n">
        <v>8.699999999999999</v>
      </c>
      <c r="AL624" t="n">
        <v>4.5</v>
      </c>
    </row>
    <row r="625">
      <c r="A625" s="78" t="n">
        <v>39052</v>
      </c>
      <c r="B625" t="n">
        <v>4.569097</v>
      </c>
      <c r="C625" t="n">
        <v>5.4</v>
      </c>
      <c r="D625" t="n">
        <v>7.9</v>
      </c>
      <c r="E625" t="n">
        <v>6.2</v>
      </c>
      <c r="G625" t="n">
        <v>6.625103</v>
      </c>
      <c r="H625" t="n">
        <v>6.5</v>
      </c>
      <c r="I625" t="n">
        <v>9.4</v>
      </c>
      <c r="J625" t="n">
        <v>3.8</v>
      </c>
      <c r="K625" t="n">
        <v>8</v>
      </c>
      <c r="L625" t="n">
        <v>8.300000000000001</v>
      </c>
      <c r="M625" t="n">
        <v>5.1</v>
      </c>
      <c r="N625" t="n">
        <v>7.1</v>
      </c>
      <c r="O625" t="n">
        <v>8.4</v>
      </c>
      <c r="P625" t="n">
        <v>5.516806</v>
      </c>
      <c r="Q625" t="n">
        <v>5.510167</v>
      </c>
      <c r="R625" t="n">
        <v>9.1</v>
      </c>
      <c r="S625" t="n">
        <v>7.4</v>
      </c>
      <c r="T625" t="n">
        <v>4.7</v>
      </c>
      <c r="U625" t="n">
        <v>2.9</v>
      </c>
      <c r="W625" t="n">
        <v>6.2</v>
      </c>
      <c r="X625" t="n">
        <v>4</v>
      </c>
      <c r="Y625" t="n">
        <v>3.4</v>
      </c>
      <c r="Z625" t="n">
        <v>4.6</v>
      </c>
      <c r="AA625" t="n">
        <v>6.7</v>
      </c>
      <c r="AB625" t="n">
        <v>3.88321</v>
      </c>
      <c r="AC625" t="n">
        <v>4.6</v>
      </c>
      <c r="AD625" t="n">
        <v>2.9</v>
      </c>
      <c r="AE625" t="n">
        <v>6.043561</v>
      </c>
      <c r="AF625" t="n">
        <v>11.9</v>
      </c>
      <c r="AG625" t="n">
        <v>9.6</v>
      </c>
      <c r="AH625" t="n">
        <v>12.1</v>
      </c>
      <c r="AI625" t="n">
        <v>5.4</v>
      </c>
      <c r="AJ625" t="n">
        <v>6.4</v>
      </c>
      <c r="AK625" t="n">
        <v>8.9</v>
      </c>
      <c r="AL625" t="n">
        <v>4.4</v>
      </c>
    </row>
    <row r="626">
      <c r="A626" s="78" t="n">
        <v>39083</v>
      </c>
      <c r="B626" t="n">
        <v>4.555173</v>
      </c>
      <c r="C626" t="n">
        <v>5.2</v>
      </c>
      <c r="D626" t="n">
        <v>7.8</v>
      </c>
      <c r="E626" t="n">
        <v>6.3</v>
      </c>
      <c r="G626" t="n">
        <v>6.830444</v>
      </c>
      <c r="H626" t="n">
        <v>6.1</v>
      </c>
      <c r="I626" t="n">
        <v>9.199999999999999</v>
      </c>
      <c r="J626" t="n">
        <v>4.1</v>
      </c>
      <c r="K626" t="n">
        <v>7.9</v>
      </c>
      <c r="L626" t="n">
        <v>8.300000000000001</v>
      </c>
      <c r="M626" t="n">
        <v>5</v>
      </c>
      <c r="N626" t="n">
        <v>7.2</v>
      </c>
      <c r="O626" t="n">
        <v>8.5</v>
      </c>
      <c r="P626" t="n">
        <v>5.613776</v>
      </c>
      <c r="Q626" t="n">
        <v>5.529642</v>
      </c>
      <c r="R626" t="n">
        <v>8.5</v>
      </c>
      <c r="S626" t="n">
        <v>7.1</v>
      </c>
      <c r="T626" t="n">
        <v>4.8</v>
      </c>
      <c r="U626" t="n">
        <v>2.8</v>
      </c>
      <c r="W626" t="n">
        <v>6.3</v>
      </c>
      <c r="X626" t="n">
        <v>4</v>
      </c>
      <c r="Y626" t="n">
        <v>3.4</v>
      </c>
      <c r="Z626" t="n">
        <v>4.5</v>
      </c>
      <c r="AA626" t="n">
        <v>6.8</v>
      </c>
      <c r="AB626" t="n">
        <v>3.742275</v>
      </c>
      <c r="AC626" t="n">
        <v>4.5</v>
      </c>
      <c r="AD626" t="n">
        <v>2.8</v>
      </c>
      <c r="AE626" t="n">
        <v>6.031204</v>
      </c>
      <c r="AF626" t="n">
        <v>11.3</v>
      </c>
      <c r="AG626" t="n">
        <v>9.699999999999999</v>
      </c>
      <c r="AH626" t="n">
        <v>11.7</v>
      </c>
      <c r="AI626" t="n">
        <v>5.4</v>
      </c>
      <c r="AJ626" t="n">
        <v>6.6</v>
      </c>
      <c r="AK626" t="n">
        <v>8.800000000000001</v>
      </c>
      <c r="AL626" t="n">
        <v>4.6</v>
      </c>
    </row>
    <row r="627">
      <c r="A627" s="78" t="n">
        <v>39114</v>
      </c>
      <c r="B627" t="n">
        <v>4.6362</v>
      </c>
      <c r="C627" t="n">
        <v>5.5</v>
      </c>
      <c r="D627" t="n">
        <v>7.8</v>
      </c>
      <c r="E627" t="n">
        <v>6.2</v>
      </c>
      <c r="G627" t="n">
        <v>6.884567</v>
      </c>
      <c r="H627" t="n">
        <v>5.7</v>
      </c>
      <c r="I627" t="n">
        <v>9</v>
      </c>
      <c r="J627" t="n">
        <v>3.9</v>
      </c>
      <c r="K627" t="n">
        <v>7.8</v>
      </c>
      <c r="L627" t="n">
        <v>8.199999999999999</v>
      </c>
      <c r="M627" t="n">
        <v>4.9</v>
      </c>
      <c r="N627" t="n">
        <v>7.2</v>
      </c>
      <c r="O627" t="n">
        <v>8.5</v>
      </c>
      <c r="P627" t="n">
        <v>5.520128</v>
      </c>
      <c r="Q627" t="n">
        <v>5.513793</v>
      </c>
      <c r="R627" t="n">
        <v>8.800000000000001</v>
      </c>
      <c r="S627" t="n">
        <v>7.1</v>
      </c>
      <c r="T627" t="n">
        <v>4.9</v>
      </c>
      <c r="U627" t="n">
        <v>2.7</v>
      </c>
      <c r="W627" t="n">
        <v>6.1</v>
      </c>
      <c r="X627" t="n">
        <v>4</v>
      </c>
      <c r="Y627" t="n">
        <v>3.2</v>
      </c>
      <c r="Z627" t="n">
        <v>4.4</v>
      </c>
      <c r="AA627" t="n">
        <v>6.8</v>
      </c>
      <c r="AB627" t="n">
        <v>3.935065</v>
      </c>
      <c r="AC627" t="n">
        <v>4.5</v>
      </c>
      <c r="AD627" t="n">
        <v>2.7</v>
      </c>
      <c r="AE627" t="n">
        <v>5.973622</v>
      </c>
      <c r="AF627" t="n">
        <v>10.7</v>
      </c>
      <c r="AG627" t="n">
        <v>9.800000000000001</v>
      </c>
      <c r="AH627" t="n">
        <v>11.4</v>
      </c>
      <c r="AI627" t="n">
        <v>5.3</v>
      </c>
      <c r="AJ627" t="n">
        <v>6.2</v>
      </c>
      <c r="AK627" t="n">
        <v>9</v>
      </c>
      <c r="AL627" t="n">
        <v>4.5</v>
      </c>
    </row>
    <row r="628">
      <c r="A628" s="78" t="n">
        <v>39142</v>
      </c>
      <c r="B628" t="n">
        <v>4.460739</v>
      </c>
      <c r="C628" t="n">
        <v>5.1</v>
      </c>
      <c r="D628" t="n">
        <v>7.9</v>
      </c>
      <c r="E628" t="n">
        <v>6.2</v>
      </c>
      <c r="G628" t="n">
        <v>6.866114</v>
      </c>
      <c r="H628" t="n">
        <v>5.6</v>
      </c>
      <c r="I628" t="n">
        <v>8.9</v>
      </c>
      <c r="J628" t="n">
        <v>3.7</v>
      </c>
      <c r="K628" t="n">
        <v>7.7</v>
      </c>
      <c r="L628" t="n">
        <v>8.1</v>
      </c>
      <c r="M628" t="n">
        <v>5.1</v>
      </c>
      <c r="N628" t="n">
        <v>7.1</v>
      </c>
      <c r="O628" t="n">
        <v>8.4</v>
      </c>
      <c r="P628" t="n">
        <v>5.43609</v>
      </c>
      <c r="Q628" t="n">
        <v>5.472364</v>
      </c>
      <c r="R628" t="n">
        <v>9</v>
      </c>
      <c r="S628" t="n">
        <v>7.2</v>
      </c>
      <c r="T628" t="n">
        <v>5</v>
      </c>
      <c r="U628" t="n">
        <v>2.7</v>
      </c>
      <c r="W628" t="n">
        <v>6.1</v>
      </c>
      <c r="X628" t="n">
        <v>4</v>
      </c>
      <c r="Y628" t="n">
        <v>3.2</v>
      </c>
      <c r="Z628" t="n">
        <v>4.3</v>
      </c>
      <c r="AA628" t="n">
        <v>6.6</v>
      </c>
      <c r="AB628" t="n">
        <v>4.153138</v>
      </c>
      <c r="AC628" t="n">
        <v>4.3</v>
      </c>
      <c r="AD628" t="n">
        <v>2.6</v>
      </c>
      <c r="AE628" t="n">
        <v>5.91075</v>
      </c>
      <c r="AF628" t="n">
        <v>10.3</v>
      </c>
      <c r="AG628" t="n">
        <v>9.699999999999999</v>
      </c>
      <c r="AH628" t="n">
        <v>11.2</v>
      </c>
      <c r="AI628" t="n">
        <v>5.1</v>
      </c>
      <c r="AJ628" t="n">
        <v>6.5</v>
      </c>
      <c r="AK628" t="n">
        <v>8.9</v>
      </c>
      <c r="AL628" t="n">
        <v>4.4</v>
      </c>
    </row>
    <row r="629">
      <c r="A629" s="78" t="n">
        <v>39173</v>
      </c>
      <c r="B629" t="n">
        <v>4.387366</v>
      </c>
      <c r="C629" t="n">
        <v>5.6</v>
      </c>
      <c r="D629" t="n">
        <v>8.199999999999999</v>
      </c>
      <c r="E629" t="n">
        <v>6.2</v>
      </c>
      <c r="G629" t="n">
        <v>6.541789</v>
      </c>
      <c r="H629" t="n">
        <v>5.6</v>
      </c>
      <c r="I629" t="n">
        <v>8.699999999999999</v>
      </c>
      <c r="J629" t="n">
        <v>3.5</v>
      </c>
      <c r="K629" t="n">
        <v>7.6</v>
      </c>
      <c r="L629" t="n">
        <v>8</v>
      </c>
      <c r="M629" t="n">
        <v>4.9</v>
      </c>
      <c r="N629" t="n">
        <v>6.5</v>
      </c>
      <c r="O629" t="n">
        <v>8.199999999999999</v>
      </c>
      <c r="P629" t="n">
        <v>5.395826</v>
      </c>
      <c r="Q629" t="n">
        <v>5.389203</v>
      </c>
      <c r="R629" t="n">
        <v>8.5</v>
      </c>
      <c r="S629" t="n">
        <v>7.2</v>
      </c>
      <c r="T629" t="n">
        <v>5</v>
      </c>
      <c r="U629" t="n">
        <v>2.7</v>
      </c>
      <c r="W629" t="n">
        <v>5.9</v>
      </c>
      <c r="X629" t="n">
        <v>3.8</v>
      </c>
      <c r="Y629" t="n">
        <v>3.3</v>
      </c>
      <c r="Z629" t="n">
        <v>4.2</v>
      </c>
      <c r="AA629" t="n">
        <v>6.3</v>
      </c>
      <c r="AB629" t="n">
        <v>3.690531</v>
      </c>
      <c r="AC629" t="n">
        <v>4.2</v>
      </c>
      <c r="AD629" t="n">
        <v>2.5</v>
      </c>
      <c r="AE629" t="n">
        <v>5.819601</v>
      </c>
      <c r="AF629" t="n">
        <v>10</v>
      </c>
      <c r="AG629" t="n">
        <v>9.9</v>
      </c>
      <c r="AH629" t="n">
        <v>11.3</v>
      </c>
      <c r="AI629" t="n">
        <v>4.9</v>
      </c>
      <c r="AJ629" t="n">
        <v>6.1</v>
      </c>
      <c r="AK629" t="n">
        <v>9.199999999999999</v>
      </c>
      <c r="AL629" t="n">
        <v>4.5</v>
      </c>
    </row>
    <row r="630">
      <c r="A630" s="78" t="n">
        <v>39203</v>
      </c>
      <c r="B630" t="n">
        <v>4.26491</v>
      </c>
      <c r="C630" t="n">
        <v>5.6</v>
      </c>
      <c r="D630" t="n">
        <v>8.1</v>
      </c>
      <c r="E630" t="n">
        <v>6</v>
      </c>
      <c r="G630" t="n">
        <v>6.521807</v>
      </c>
      <c r="H630" t="n">
        <v>5.4</v>
      </c>
      <c r="I630" t="n">
        <v>8.6</v>
      </c>
      <c r="J630" t="n">
        <v>3.6</v>
      </c>
      <c r="K630" t="n">
        <v>7.6</v>
      </c>
      <c r="L630" t="n">
        <v>7.9</v>
      </c>
      <c r="M630" t="n">
        <v>4.9</v>
      </c>
      <c r="N630" t="n">
        <v>6.6</v>
      </c>
      <c r="O630" t="n">
        <v>8.1</v>
      </c>
      <c r="P630" t="n">
        <v>5.347746</v>
      </c>
      <c r="Q630" t="n">
        <v>5.350474</v>
      </c>
      <c r="R630" t="n">
        <v>8.4</v>
      </c>
      <c r="S630" t="n">
        <v>7.1</v>
      </c>
      <c r="T630" t="n">
        <v>5</v>
      </c>
      <c r="U630" t="n">
        <v>2.7</v>
      </c>
      <c r="W630" t="n">
        <v>6.2</v>
      </c>
      <c r="X630" t="n">
        <v>3.8</v>
      </c>
      <c r="Y630" t="n">
        <v>3.3</v>
      </c>
      <c r="Z630" t="n">
        <v>4.1</v>
      </c>
      <c r="AA630" t="n">
        <v>6.1</v>
      </c>
      <c r="AB630" t="n">
        <v>3.570061</v>
      </c>
      <c r="AC630" t="n">
        <v>4.2</v>
      </c>
      <c r="AD630" t="n">
        <v>2.5</v>
      </c>
      <c r="AE630" t="n">
        <v>5.782733</v>
      </c>
      <c r="AF630" t="n">
        <v>9.699999999999999</v>
      </c>
      <c r="AG630" t="n">
        <v>9.699999999999999</v>
      </c>
      <c r="AH630" t="n">
        <v>11.3</v>
      </c>
      <c r="AI630" t="n">
        <v>4.8</v>
      </c>
      <c r="AJ630" t="n">
        <v>5.9</v>
      </c>
      <c r="AK630" t="n">
        <v>9.199999999999999</v>
      </c>
      <c r="AL630" t="n">
        <v>4.4</v>
      </c>
    </row>
    <row r="631">
      <c r="A631" s="78" t="n">
        <v>39234</v>
      </c>
      <c r="B631" t="n">
        <v>4.324747</v>
      </c>
      <c r="C631" t="n">
        <v>5.2</v>
      </c>
      <c r="D631" t="n">
        <v>7.7</v>
      </c>
      <c r="E631" t="n">
        <v>6.1</v>
      </c>
      <c r="G631" t="n">
        <v>6.605185</v>
      </c>
      <c r="H631" t="n">
        <v>5.3</v>
      </c>
      <c r="I631" t="n">
        <v>8.5</v>
      </c>
      <c r="J631" t="n">
        <v>3.7</v>
      </c>
      <c r="K631" t="n">
        <v>7.5</v>
      </c>
      <c r="L631" t="n">
        <v>8</v>
      </c>
      <c r="M631" t="n">
        <v>4.7</v>
      </c>
      <c r="N631" t="n">
        <v>6.9</v>
      </c>
      <c r="O631" t="n">
        <v>8</v>
      </c>
      <c r="P631" t="n">
        <v>5.345061</v>
      </c>
      <c r="Q631" t="n">
        <v>5.306345</v>
      </c>
      <c r="R631" t="n">
        <v>8.6</v>
      </c>
      <c r="S631" t="n">
        <v>7.1</v>
      </c>
      <c r="T631" t="n">
        <v>5</v>
      </c>
      <c r="U631" t="n">
        <v>2.6</v>
      </c>
      <c r="W631" t="n">
        <v>6</v>
      </c>
      <c r="X631" t="n">
        <v>3.7</v>
      </c>
      <c r="Y631" t="n">
        <v>3.2</v>
      </c>
      <c r="Z631" t="n">
        <v>4.1</v>
      </c>
      <c r="AA631" t="n">
        <v>6</v>
      </c>
      <c r="AB631" t="n">
        <v>3.429623</v>
      </c>
      <c r="AC631" t="n">
        <v>4.1</v>
      </c>
      <c r="AD631" t="n">
        <v>2.5</v>
      </c>
      <c r="AE631" t="n">
        <v>5.764401</v>
      </c>
      <c r="AF631" t="n">
        <v>9.5</v>
      </c>
      <c r="AG631" t="n">
        <v>9.6</v>
      </c>
      <c r="AH631" t="n">
        <v>11.4</v>
      </c>
      <c r="AI631" t="n">
        <v>4.8</v>
      </c>
      <c r="AJ631" t="n">
        <v>6.2</v>
      </c>
      <c r="AK631" t="n">
        <v>9.199999999999999</v>
      </c>
      <c r="AL631" t="n">
        <v>4.6</v>
      </c>
    </row>
    <row r="632">
      <c r="A632" s="78" t="n">
        <v>39264</v>
      </c>
      <c r="B632" t="n">
        <v>4.254053</v>
      </c>
      <c r="C632" t="n">
        <v>5.5</v>
      </c>
      <c r="D632" t="n">
        <v>7.3</v>
      </c>
      <c r="E632" t="n">
        <v>6</v>
      </c>
      <c r="G632" t="n">
        <v>7.112897</v>
      </c>
      <c r="H632" t="n">
        <v>5.4</v>
      </c>
      <c r="I632" t="n">
        <v>8.5</v>
      </c>
      <c r="J632" t="n">
        <v>4</v>
      </c>
      <c r="K632" t="n">
        <v>7.5</v>
      </c>
      <c r="L632" t="n">
        <v>8.1</v>
      </c>
      <c r="M632" t="n">
        <v>4.2</v>
      </c>
      <c r="N632" t="n">
        <v>6.8</v>
      </c>
      <c r="O632" t="n">
        <v>8</v>
      </c>
      <c r="P632" t="n">
        <v>5.401233</v>
      </c>
      <c r="Q632" t="n">
        <v>5.301809</v>
      </c>
      <c r="R632" t="n">
        <v>8.300000000000001</v>
      </c>
      <c r="S632" t="n">
        <v>7.3</v>
      </c>
      <c r="T632" t="n">
        <v>4.9</v>
      </c>
      <c r="U632" t="n">
        <v>2.7</v>
      </c>
      <c r="W632" t="n">
        <v>6.4</v>
      </c>
      <c r="X632" t="n">
        <v>3.6</v>
      </c>
      <c r="Y632" t="n">
        <v>3.3</v>
      </c>
      <c r="Z632" t="n">
        <v>4</v>
      </c>
      <c r="AA632" t="n">
        <v>6</v>
      </c>
      <c r="AB632" t="n">
        <v>3.641612</v>
      </c>
      <c r="AC632" t="n">
        <v>4.2</v>
      </c>
      <c r="AD632" t="n">
        <v>2.6</v>
      </c>
      <c r="AE632" t="n">
        <v>5.788509</v>
      </c>
      <c r="AF632" t="n">
        <v>9.4</v>
      </c>
      <c r="AG632" t="n">
        <v>9.699999999999999</v>
      </c>
      <c r="AH632" t="n">
        <v>11.5</v>
      </c>
      <c r="AI632" t="n">
        <v>4.7</v>
      </c>
      <c r="AJ632" t="n">
        <v>5.8</v>
      </c>
      <c r="AK632" t="n">
        <v>9.1</v>
      </c>
      <c r="AL632" t="n">
        <v>4.7</v>
      </c>
    </row>
    <row r="633">
      <c r="A633" s="78" t="n">
        <v>39295</v>
      </c>
      <c r="B633" t="n">
        <v>4.30023</v>
      </c>
      <c r="C633" t="n">
        <v>5.4</v>
      </c>
      <c r="D633" t="n">
        <v>7</v>
      </c>
      <c r="E633" t="n">
        <v>5.9</v>
      </c>
      <c r="G633" t="n">
        <v>7.296455</v>
      </c>
      <c r="H633" t="n">
        <v>4.9</v>
      </c>
      <c r="I633" t="n">
        <v>8.4</v>
      </c>
      <c r="J633" t="n">
        <v>4</v>
      </c>
      <c r="K633" t="n">
        <v>7.5</v>
      </c>
      <c r="L633" t="n">
        <v>8.300000000000001</v>
      </c>
      <c r="M633" t="n">
        <v>4.1</v>
      </c>
      <c r="N633" t="n">
        <v>6.8</v>
      </c>
      <c r="O633" t="n">
        <v>8</v>
      </c>
      <c r="P633" t="n">
        <v>5.378162</v>
      </c>
      <c r="Q633" t="n">
        <v>5.310204</v>
      </c>
      <c r="R633" t="n">
        <v>8.1</v>
      </c>
      <c r="S633" t="n">
        <v>7.3</v>
      </c>
      <c r="T633" t="n">
        <v>4.9</v>
      </c>
      <c r="U633" t="n">
        <v>2.6</v>
      </c>
      <c r="W633" t="n">
        <v>6.2</v>
      </c>
      <c r="X633" t="n">
        <v>3.7</v>
      </c>
      <c r="Y633" t="n">
        <v>3.3</v>
      </c>
      <c r="Z633" t="n">
        <v>4</v>
      </c>
      <c r="AA633" t="n">
        <v>5.9</v>
      </c>
      <c r="AB633" t="n">
        <v>3.656717</v>
      </c>
      <c r="AC633" t="n">
        <v>4.1</v>
      </c>
      <c r="AD633" t="n">
        <v>2.5</v>
      </c>
      <c r="AE633" t="n">
        <v>5.788471</v>
      </c>
      <c r="AF633" t="n">
        <v>9.300000000000001</v>
      </c>
      <c r="AG633" t="n">
        <v>9.6</v>
      </c>
      <c r="AH633" t="n">
        <v>11.5</v>
      </c>
      <c r="AI633" t="n">
        <v>4.6</v>
      </c>
      <c r="AJ633" t="n">
        <v>6</v>
      </c>
      <c r="AK633" t="n">
        <v>9.199999999999999</v>
      </c>
      <c r="AL633" t="n">
        <v>4.6</v>
      </c>
    </row>
    <row r="634">
      <c r="A634" s="78" t="n">
        <v>39326</v>
      </c>
      <c r="B634" t="n">
        <v>4.213971</v>
      </c>
      <c r="C634" t="n">
        <v>5</v>
      </c>
      <c r="D634" t="n">
        <v>6.9</v>
      </c>
      <c r="E634" t="n">
        <v>5.9</v>
      </c>
      <c r="G634" t="n">
        <v>7.532419</v>
      </c>
      <c r="H634" t="n">
        <v>5</v>
      </c>
      <c r="I634" t="n">
        <v>8.4</v>
      </c>
      <c r="J634" t="n">
        <v>4.1</v>
      </c>
      <c r="K634" t="n">
        <v>7.4</v>
      </c>
      <c r="L634" t="n">
        <v>8.300000000000001</v>
      </c>
      <c r="M634" t="n">
        <v>4</v>
      </c>
      <c r="N634" t="n">
        <v>7.1</v>
      </c>
      <c r="O634" t="n">
        <v>7.8</v>
      </c>
      <c r="P634" t="n">
        <v>5.411844</v>
      </c>
      <c r="Q634" t="n">
        <v>5.23918</v>
      </c>
      <c r="R634" t="n">
        <v>8.6</v>
      </c>
      <c r="S634" t="n">
        <v>7.5</v>
      </c>
      <c r="T634" t="n">
        <v>4.9</v>
      </c>
      <c r="U634" t="n">
        <v>2.6</v>
      </c>
      <c r="W634" t="n">
        <v>6.2</v>
      </c>
      <c r="X634" t="n">
        <v>3.9</v>
      </c>
      <c r="Y634" t="n">
        <v>3.2</v>
      </c>
      <c r="Z634" t="n">
        <v>4</v>
      </c>
      <c r="AA634" t="n">
        <v>5.7</v>
      </c>
      <c r="AB634" t="n">
        <v>3.603486</v>
      </c>
      <c r="AC634" t="n">
        <v>4</v>
      </c>
      <c r="AD634" t="n">
        <v>2.5</v>
      </c>
      <c r="AE634" t="n">
        <v>5.817028</v>
      </c>
      <c r="AF634" t="n">
        <v>9.199999999999999</v>
      </c>
      <c r="AG634" t="n">
        <v>9.4</v>
      </c>
      <c r="AH634" t="n">
        <v>11.3</v>
      </c>
      <c r="AI634" t="n">
        <v>4.5</v>
      </c>
      <c r="AJ634" t="n">
        <v>6.1</v>
      </c>
      <c r="AK634" t="n">
        <v>9.300000000000001</v>
      </c>
      <c r="AL634" t="n">
        <v>4.7</v>
      </c>
    </row>
    <row r="635">
      <c r="A635" s="78" t="n">
        <v>39356</v>
      </c>
      <c r="B635" t="n">
        <v>4.327138</v>
      </c>
      <c r="C635" t="n">
        <v>5</v>
      </c>
      <c r="D635" t="n">
        <v>7</v>
      </c>
      <c r="E635" t="n">
        <v>5.9</v>
      </c>
      <c r="G635" t="n">
        <v>7.555398</v>
      </c>
      <c r="H635" t="n">
        <v>5.1</v>
      </c>
      <c r="I635" t="n">
        <v>8.300000000000001</v>
      </c>
      <c r="J635" t="n">
        <v>3.7</v>
      </c>
      <c r="K635" t="n">
        <v>7.4</v>
      </c>
      <c r="L635" t="n">
        <v>8.4</v>
      </c>
      <c r="M635" t="n">
        <v>4</v>
      </c>
      <c r="N635" t="n">
        <v>6.6</v>
      </c>
      <c r="O635" t="n">
        <v>7.7</v>
      </c>
      <c r="P635" t="n">
        <v>5.420988</v>
      </c>
      <c r="Q635" t="n">
        <v>5.239374</v>
      </c>
      <c r="R635" t="n">
        <v>8.199999999999999</v>
      </c>
      <c r="S635" t="n">
        <v>7.6</v>
      </c>
      <c r="T635" t="n">
        <v>5.1</v>
      </c>
      <c r="U635" t="n">
        <v>2.6</v>
      </c>
      <c r="W635" t="n">
        <v>6.2</v>
      </c>
      <c r="X635" t="n">
        <v>4</v>
      </c>
      <c r="Y635" t="n">
        <v>3.3</v>
      </c>
      <c r="Z635" t="n">
        <v>4.1</v>
      </c>
      <c r="AA635" t="n">
        <v>5.4</v>
      </c>
      <c r="AB635" t="n">
        <v>3.770428</v>
      </c>
      <c r="AC635" t="n">
        <v>4</v>
      </c>
      <c r="AD635" t="n">
        <v>2.4</v>
      </c>
      <c r="AE635" t="n">
        <v>5.827646</v>
      </c>
      <c r="AF635" t="n">
        <v>8.9</v>
      </c>
      <c r="AG635" t="n">
        <v>9.4</v>
      </c>
      <c r="AH635" t="n">
        <v>10.9</v>
      </c>
      <c r="AI635" t="n">
        <v>4.6</v>
      </c>
      <c r="AJ635" t="n">
        <v>6.2</v>
      </c>
      <c r="AK635" t="n">
        <v>9.5</v>
      </c>
      <c r="AL635" t="n">
        <v>4.7</v>
      </c>
    </row>
    <row r="636">
      <c r="A636" s="78" t="n">
        <v>39387</v>
      </c>
      <c r="B636" t="n">
        <v>4.427521</v>
      </c>
      <c r="C636" t="n">
        <v>4.9</v>
      </c>
      <c r="D636" t="n">
        <v>7.1</v>
      </c>
      <c r="E636" t="n">
        <v>6.1</v>
      </c>
      <c r="G636" t="n">
        <v>7.856546</v>
      </c>
      <c r="H636" t="n">
        <v>4.8</v>
      </c>
      <c r="I636" t="n">
        <v>8.199999999999999</v>
      </c>
      <c r="J636" t="n">
        <v>3.7</v>
      </c>
      <c r="K636" t="n">
        <v>7.4</v>
      </c>
      <c r="L636" t="n">
        <v>8.6</v>
      </c>
      <c r="M636" t="n">
        <v>4</v>
      </c>
      <c r="N636" t="n">
        <v>6.7</v>
      </c>
      <c r="O636" t="n">
        <v>7.6</v>
      </c>
      <c r="P636" t="n">
        <v>5.372462</v>
      </c>
      <c r="Q636" t="n">
        <v>5.156637</v>
      </c>
      <c r="R636" t="n">
        <v>7.6</v>
      </c>
      <c r="S636" t="n">
        <v>7.9</v>
      </c>
      <c r="T636" t="n">
        <v>5.2</v>
      </c>
      <c r="U636" t="n">
        <v>2.6</v>
      </c>
      <c r="W636" t="n">
        <v>6.3</v>
      </c>
      <c r="X636" t="n">
        <v>3.8</v>
      </c>
      <c r="Y636" t="n">
        <v>3.3</v>
      </c>
      <c r="Z636" t="n">
        <v>4.2</v>
      </c>
      <c r="AA636" t="n">
        <v>5.4</v>
      </c>
      <c r="AB636" t="n">
        <v>3.657285</v>
      </c>
      <c r="AC636" t="n">
        <v>4</v>
      </c>
      <c r="AD636" t="n">
        <v>2.5</v>
      </c>
      <c r="AE636" t="n">
        <v>5.771046</v>
      </c>
      <c r="AF636" t="n">
        <v>8.699999999999999</v>
      </c>
      <c r="AG636" t="n">
        <v>9.4</v>
      </c>
      <c r="AH636" t="n">
        <v>10.6</v>
      </c>
      <c r="AI636" t="n">
        <v>4.7</v>
      </c>
      <c r="AJ636" t="n">
        <v>6</v>
      </c>
      <c r="AK636" t="n">
        <v>9.4</v>
      </c>
      <c r="AL636" t="n">
        <v>4.7</v>
      </c>
    </row>
    <row r="637">
      <c r="A637" s="78" t="n">
        <v>39417</v>
      </c>
      <c r="B637" t="n">
        <v>4.309566</v>
      </c>
      <c r="C637" t="n">
        <v>4.5</v>
      </c>
      <c r="D637" t="n">
        <v>7.1</v>
      </c>
      <c r="E637" t="n">
        <v>6.1</v>
      </c>
      <c r="G637" t="n">
        <v>7.77833</v>
      </c>
      <c r="H637" t="n">
        <v>4.8</v>
      </c>
      <c r="I637" t="n">
        <v>8.1</v>
      </c>
      <c r="J637" t="n">
        <v>3.3</v>
      </c>
      <c r="K637" t="n">
        <v>7.4</v>
      </c>
      <c r="L637" t="n">
        <v>8.800000000000001</v>
      </c>
      <c r="M637" t="n">
        <v>4.1</v>
      </c>
      <c r="N637" t="n">
        <v>6.6</v>
      </c>
      <c r="O637" t="n">
        <v>7.4</v>
      </c>
      <c r="P637" t="n">
        <v>5.466752</v>
      </c>
      <c r="Q637" t="n">
        <v>5.177152</v>
      </c>
      <c r="R637" t="n">
        <v>8.4</v>
      </c>
      <c r="S637" t="n">
        <v>8</v>
      </c>
      <c r="T637" t="n">
        <v>5.3</v>
      </c>
      <c r="U637" t="n">
        <v>2.6</v>
      </c>
      <c r="W637" t="n">
        <v>6.6</v>
      </c>
      <c r="X637" t="n">
        <v>3.7</v>
      </c>
      <c r="Y637" t="n">
        <v>3.2</v>
      </c>
      <c r="Z637" t="n">
        <v>4.2</v>
      </c>
      <c r="AA637" t="n">
        <v>5.6</v>
      </c>
      <c r="AB637" t="n">
        <v>3.796222</v>
      </c>
      <c r="AC637" t="n">
        <v>3.9</v>
      </c>
      <c r="AD637" t="n">
        <v>2.5</v>
      </c>
      <c r="AE637" t="n">
        <v>5.81792</v>
      </c>
      <c r="AF637" t="n">
        <v>8.300000000000001</v>
      </c>
      <c r="AG637" t="n">
        <v>9.199999999999999</v>
      </c>
      <c r="AH637" t="n">
        <v>10.5</v>
      </c>
      <c r="AI637" t="n">
        <v>4.7</v>
      </c>
      <c r="AJ637" t="n">
        <v>6</v>
      </c>
      <c r="AK637" t="n">
        <v>9.300000000000001</v>
      </c>
      <c r="AL637" t="n">
        <v>5</v>
      </c>
    </row>
    <row r="638">
      <c r="A638" s="78" t="n">
        <v>39448</v>
      </c>
      <c r="B638" t="n">
        <v>4.221169</v>
      </c>
      <c r="C638" t="n">
        <v>4.7</v>
      </c>
      <c r="D638" t="n">
        <v>7.1</v>
      </c>
      <c r="E638" t="n">
        <v>5.9</v>
      </c>
      <c r="G638" t="n">
        <v>7.809577</v>
      </c>
      <c r="H638" t="n">
        <v>4.8</v>
      </c>
      <c r="I638" t="n">
        <v>7.9</v>
      </c>
      <c r="J638" t="n">
        <v>3.2</v>
      </c>
      <c r="K638" t="n">
        <v>7.4</v>
      </c>
      <c r="L638" t="n">
        <v>9.1</v>
      </c>
      <c r="M638" t="n">
        <v>4.3</v>
      </c>
      <c r="N638" t="n">
        <v>6.5</v>
      </c>
      <c r="O638" t="n">
        <v>7.3</v>
      </c>
      <c r="P638" t="n">
        <v>5.471869</v>
      </c>
      <c r="Q638" t="n">
        <v>5.181248</v>
      </c>
      <c r="R638" t="n">
        <v>7.7</v>
      </c>
      <c r="S638" t="n">
        <v>7.8</v>
      </c>
      <c r="T638" t="n">
        <v>5.3</v>
      </c>
      <c r="U638" t="n">
        <v>2.6</v>
      </c>
      <c r="W638" t="n">
        <v>6.6</v>
      </c>
      <c r="X638" t="n">
        <v>3.9</v>
      </c>
      <c r="Y638" t="n">
        <v>3</v>
      </c>
      <c r="Z638" t="n">
        <v>4.3</v>
      </c>
      <c r="AA638" t="n">
        <v>6.2</v>
      </c>
      <c r="AB638" t="n">
        <v>3.787135</v>
      </c>
      <c r="AC638" t="n">
        <v>3.8</v>
      </c>
      <c r="AD638" t="n">
        <v>2.5</v>
      </c>
      <c r="AE638" t="n">
        <v>5.80398</v>
      </c>
      <c r="AF638" t="n">
        <v>7.8</v>
      </c>
      <c r="AG638" t="n">
        <v>9</v>
      </c>
      <c r="AH638" t="n">
        <v>10.4</v>
      </c>
      <c r="AI638" t="n">
        <v>4.8</v>
      </c>
      <c r="AJ638" t="n">
        <v>6</v>
      </c>
      <c r="AK638" t="n">
        <v>9.300000000000001</v>
      </c>
      <c r="AL638" t="n">
        <v>5</v>
      </c>
    </row>
    <row r="639">
      <c r="A639" s="78" t="n">
        <v>39479</v>
      </c>
      <c r="B639" t="n">
        <v>3.981161</v>
      </c>
      <c r="C639" t="n">
        <v>4.6</v>
      </c>
      <c r="D639" t="n">
        <v>6.9</v>
      </c>
      <c r="E639" t="n">
        <v>6</v>
      </c>
      <c r="G639" t="n">
        <v>7.674756</v>
      </c>
      <c r="H639" t="n">
        <v>4.5</v>
      </c>
      <c r="I639" t="n">
        <v>7.8</v>
      </c>
      <c r="J639" t="n">
        <v>3.2</v>
      </c>
      <c r="K639" t="n">
        <v>7.3</v>
      </c>
      <c r="L639" t="n">
        <v>9.300000000000001</v>
      </c>
      <c r="M639" t="n">
        <v>4.4</v>
      </c>
      <c r="N639" t="n">
        <v>6.1</v>
      </c>
      <c r="O639" t="n">
        <v>7.2</v>
      </c>
      <c r="P639" t="n">
        <v>5.434772</v>
      </c>
      <c r="Q639" t="n">
        <v>5.182662</v>
      </c>
      <c r="R639" t="n">
        <v>7.7</v>
      </c>
      <c r="S639" t="n">
        <v>7.6</v>
      </c>
      <c r="T639" t="n">
        <v>5.3</v>
      </c>
      <c r="U639" t="n">
        <v>2.6</v>
      </c>
      <c r="W639" t="n">
        <v>6.7</v>
      </c>
      <c r="X639" t="n">
        <v>4</v>
      </c>
      <c r="Y639" t="n">
        <v>3</v>
      </c>
      <c r="Z639" t="n">
        <v>4.5</v>
      </c>
      <c r="AA639" t="n">
        <v>6.5</v>
      </c>
      <c r="AB639" t="n">
        <v>3.81599</v>
      </c>
      <c r="AC639" t="n">
        <v>3.6</v>
      </c>
      <c r="AD639" t="n">
        <v>2.5</v>
      </c>
      <c r="AE639" t="n">
        <v>5.772988</v>
      </c>
      <c r="AF639" t="n">
        <v>7.5</v>
      </c>
      <c r="AG639" t="n">
        <v>8.9</v>
      </c>
      <c r="AH639" t="n">
        <v>10.3</v>
      </c>
      <c r="AI639" t="n">
        <v>4.7</v>
      </c>
      <c r="AJ639" t="n">
        <v>5.8</v>
      </c>
      <c r="AK639" t="n">
        <v>9.5</v>
      </c>
      <c r="AL639" t="n">
        <v>4.9</v>
      </c>
    </row>
    <row r="640">
      <c r="A640" s="78" t="n">
        <v>39508</v>
      </c>
      <c r="B640" t="n">
        <v>4.058254</v>
      </c>
      <c r="C640" t="n">
        <v>4.3</v>
      </c>
      <c r="D640" t="n">
        <v>6.7</v>
      </c>
      <c r="E640" t="n">
        <v>6.2</v>
      </c>
      <c r="G640" t="n">
        <v>7.654584</v>
      </c>
      <c r="H640" t="n">
        <v>4.3</v>
      </c>
      <c r="I640" t="n">
        <v>7.7</v>
      </c>
      <c r="J640" t="n">
        <v>3.3</v>
      </c>
      <c r="K640" t="n">
        <v>7.3</v>
      </c>
      <c r="L640" t="n">
        <v>9.5</v>
      </c>
      <c r="M640" t="n">
        <v>4.3</v>
      </c>
      <c r="N640" t="n">
        <v>6.4</v>
      </c>
      <c r="O640" t="n">
        <v>7.3</v>
      </c>
      <c r="P640" t="n">
        <v>5.483843</v>
      </c>
      <c r="Q640" t="n">
        <v>5.314263</v>
      </c>
      <c r="R640" t="n">
        <v>8.4</v>
      </c>
      <c r="S640" t="n">
        <v>7.5</v>
      </c>
      <c r="T640" t="n">
        <v>5.5</v>
      </c>
      <c r="U640" t="n">
        <v>2.7</v>
      </c>
      <c r="W640" t="n">
        <v>6.4</v>
      </c>
      <c r="X640" t="n">
        <v>3.8</v>
      </c>
      <c r="Y640" t="n">
        <v>3</v>
      </c>
      <c r="Z640" t="n">
        <v>4.4</v>
      </c>
      <c r="AA640" t="n">
        <v>6.5</v>
      </c>
      <c r="AB640" t="n">
        <v>4.007133</v>
      </c>
      <c r="AC640" t="n">
        <v>3.6</v>
      </c>
      <c r="AD640" t="n">
        <v>2.4</v>
      </c>
      <c r="AE640" t="n">
        <v>5.830436</v>
      </c>
      <c r="AF640" t="n">
        <v>7.3</v>
      </c>
      <c r="AG640" t="n">
        <v>9</v>
      </c>
      <c r="AH640" t="n">
        <v>10.2</v>
      </c>
      <c r="AI640" t="n">
        <v>4.6</v>
      </c>
      <c r="AJ640" t="n">
        <v>5.8</v>
      </c>
      <c r="AK640" t="n">
        <v>9.4</v>
      </c>
      <c r="AL640" t="n">
        <v>5.1</v>
      </c>
    </row>
    <row r="641">
      <c r="A641" s="78" t="n">
        <v>39539</v>
      </c>
      <c r="B641" t="n">
        <v>4.266881</v>
      </c>
      <c r="C641" t="n">
        <v>4.2</v>
      </c>
      <c r="D641" t="n">
        <v>6.5</v>
      </c>
      <c r="E641" t="n">
        <v>6.1</v>
      </c>
      <c r="G641" t="n">
        <v>7.705601</v>
      </c>
      <c r="H641" t="n">
        <v>4.4</v>
      </c>
      <c r="I641" t="n">
        <v>7.6</v>
      </c>
      <c r="J641" t="n">
        <v>3.3</v>
      </c>
      <c r="K641" t="n">
        <v>7.4</v>
      </c>
      <c r="L641" t="n">
        <v>10</v>
      </c>
      <c r="M641" t="n">
        <v>4.5</v>
      </c>
      <c r="N641" t="n">
        <v>5.7</v>
      </c>
      <c r="O641" t="n">
        <v>7.3</v>
      </c>
      <c r="P641" t="n">
        <v>5.460024</v>
      </c>
      <c r="Q641" t="n">
        <v>5.178626</v>
      </c>
      <c r="R641" t="n">
        <v>7.7</v>
      </c>
      <c r="S641" t="n">
        <v>7.6</v>
      </c>
      <c r="T641" t="n">
        <v>5.6</v>
      </c>
      <c r="U641" t="n">
        <v>2.7</v>
      </c>
      <c r="W641" t="n">
        <v>6.9</v>
      </c>
      <c r="X641" t="n">
        <v>3.9</v>
      </c>
      <c r="Y641" t="n">
        <v>3.1</v>
      </c>
      <c r="Z641" t="n">
        <v>4.7</v>
      </c>
      <c r="AA641" t="n">
        <v>6.3</v>
      </c>
      <c r="AB641" t="n">
        <v>3.694528</v>
      </c>
      <c r="AC641" t="n">
        <v>3.7</v>
      </c>
      <c r="AD641" t="n">
        <v>2.4</v>
      </c>
      <c r="AE641" t="n">
        <v>5.798192</v>
      </c>
      <c r="AF641" t="n">
        <v>7.2</v>
      </c>
      <c r="AG641" t="n">
        <v>9</v>
      </c>
      <c r="AH641" t="n">
        <v>10.2</v>
      </c>
      <c r="AI641" t="n">
        <v>4.4</v>
      </c>
      <c r="AJ641" t="n">
        <v>5.6</v>
      </c>
      <c r="AK641" t="n">
        <v>9.199999999999999</v>
      </c>
      <c r="AL641" t="n">
        <v>5</v>
      </c>
    </row>
    <row r="642">
      <c r="A642" s="78" t="n">
        <v>39569</v>
      </c>
      <c r="B642" t="n">
        <v>4.266643</v>
      </c>
      <c r="C642" t="n">
        <v>4.1</v>
      </c>
      <c r="D642" t="n">
        <v>6.5</v>
      </c>
      <c r="E642" t="n">
        <v>6.1</v>
      </c>
      <c r="G642" t="n">
        <v>7.980138</v>
      </c>
      <c r="H642" t="n">
        <v>4.1</v>
      </c>
      <c r="I642" t="n">
        <v>7.5</v>
      </c>
      <c r="J642" t="n">
        <v>3.5</v>
      </c>
      <c r="K642" t="n">
        <v>7.4</v>
      </c>
      <c r="L642" t="n">
        <v>10.4</v>
      </c>
      <c r="M642" t="n">
        <v>3.9</v>
      </c>
      <c r="N642" t="n">
        <v>6.4</v>
      </c>
      <c r="O642" t="n">
        <v>7.3</v>
      </c>
      <c r="P642" t="n">
        <v>5.660341</v>
      </c>
      <c r="Q642" t="n">
        <v>5.350488</v>
      </c>
      <c r="R642" t="n">
        <v>7.3</v>
      </c>
      <c r="S642" t="n">
        <v>7.7</v>
      </c>
      <c r="T642" t="n">
        <v>5.9</v>
      </c>
      <c r="U642" t="n">
        <v>2.8</v>
      </c>
      <c r="W642" t="n">
        <v>6.8</v>
      </c>
      <c r="X642" t="n">
        <v>4</v>
      </c>
      <c r="Y642" t="n">
        <v>3.2</v>
      </c>
      <c r="Z642" t="n">
        <v>4.8</v>
      </c>
      <c r="AA642" t="n">
        <v>6.4</v>
      </c>
      <c r="AB642" t="n">
        <v>3.539832</v>
      </c>
      <c r="AC642" t="n">
        <v>3.7</v>
      </c>
      <c r="AD642" t="n">
        <v>2.6</v>
      </c>
      <c r="AE642" t="n">
        <v>5.9237</v>
      </c>
      <c r="AF642" t="n">
        <v>7.2</v>
      </c>
      <c r="AG642" t="n">
        <v>9.1</v>
      </c>
      <c r="AH642" t="n">
        <v>10.2</v>
      </c>
      <c r="AI642" t="n">
        <v>4.4</v>
      </c>
      <c r="AJ642" t="n">
        <v>5.8</v>
      </c>
      <c r="AK642" t="n">
        <v>9.199999999999999</v>
      </c>
      <c r="AL642" t="n">
        <v>5.4</v>
      </c>
    </row>
    <row r="643">
      <c r="A643" s="78" t="n">
        <v>39600</v>
      </c>
      <c r="B643" t="n">
        <v>4.244201</v>
      </c>
      <c r="C643" t="n">
        <v>3.9</v>
      </c>
      <c r="D643" t="n">
        <v>6.9</v>
      </c>
      <c r="E643" t="n">
        <v>6.1</v>
      </c>
      <c r="G643" t="n">
        <v>7.88273</v>
      </c>
      <c r="H643" t="n">
        <v>4.5</v>
      </c>
      <c r="I643" t="n">
        <v>7.4</v>
      </c>
      <c r="J643" t="n">
        <v>3.7</v>
      </c>
      <c r="K643" t="n">
        <v>7.5</v>
      </c>
      <c r="L643" t="n">
        <v>10.8</v>
      </c>
      <c r="M643" t="n">
        <v>4.2</v>
      </c>
      <c r="N643" t="n">
        <v>6.4</v>
      </c>
      <c r="O643" t="n">
        <v>7.4</v>
      </c>
      <c r="P643" t="n">
        <v>5.7271</v>
      </c>
      <c r="Q643" t="n">
        <v>5.486731</v>
      </c>
      <c r="R643" t="n">
        <v>7.9</v>
      </c>
      <c r="S643" t="n">
        <v>7.6</v>
      </c>
      <c r="T643" t="n">
        <v>6.3</v>
      </c>
      <c r="U643" t="n">
        <v>2.9</v>
      </c>
      <c r="W643" t="n">
        <v>6.9</v>
      </c>
      <c r="X643" t="n">
        <v>4</v>
      </c>
      <c r="Y643" t="n">
        <v>3.1</v>
      </c>
      <c r="Z643" t="n">
        <v>4.9</v>
      </c>
      <c r="AA643" t="n">
        <v>6.6</v>
      </c>
      <c r="AB643" t="n">
        <v>3.699245</v>
      </c>
      <c r="AC643" t="n">
        <v>3.7</v>
      </c>
      <c r="AD643" t="n">
        <v>2.8</v>
      </c>
      <c r="AE643" t="n">
        <v>6.036861</v>
      </c>
      <c r="AF643" t="n">
        <v>7</v>
      </c>
      <c r="AG643" t="n">
        <v>9.300000000000001</v>
      </c>
      <c r="AH643" t="n">
        <v>9.9</v>
      </c>
      <c r="AI643" t="n">
        <v>4.3</v>
      </c>
      <c r="AJ643" t="n">
        <v>6.6</v>
      </c>
      <c r="AK643" t="n">
        <v>9.6</v>
      </c>
      <c r="AL643" t="n">
        <v>5.6</v>
      </c>
    </row>
    <row r="644">
      <c r="A644" s="78" t="n">
        <v>39630</v>
      </c>
      <c r="B644" t="n">
        <v>4.251085</v>
      </c>
      <c r="C644" t="n">
        <v>4.4</v>
      </c>
      <c r="D644" t="n">
        <v>7.5</v>
      </c>
      <c r="E644" t="n">
        <v>6.1</v>
      </c>
      <c r="G644" t="n">
        <v>7.686457</v>
      </c>
      <c r="H644" t="n">
        <v>4.3</v>
      </c>
      <c r="I644" t="n">
        <v>7.3</v>
      </c>
      <c r="J644" t="n">
        <v>3.8</v>
      </c>
      <c r="K644" t="n">
        <v>7.5</v>
      </c>
      <c r="L644" t="n">
        <v>11.1</v>
      </c>
      <c r="M644" t="n">
        <v>5.2</v>
      </c>
      <c r="N644" t="n">
        <v>6.1</v>
      </c>
      <c r="O644" t="n">
        <v>7.4</v>
      </c>
      <c r="P644" t="n">
        <v>5.80797</v>
      </c>
      <c r="Q644" t="n">
        <v>5.709657</v>
      </c>
      <c r="R644" t="n">
        <v>7.5</v>
      </c>
      <c r="S644" t="n">
        <v>7.6</v>
      </c>
      <c r="T644" t="n">
        <v>6.9</v>
      </c>
      <c r="U644" t="n">
        <v>4.3</v>
      </c>
      <c r="W644" t="n">
        <v>6.6</v>
      </c>
      <c r="X644" t="n">
        <v>3.9</v>
      </c>
      <c r="Y644" t="n">
        <v>3.1</v>
      </c>
      <c r="Z644" t="n">
        <v>4.9</v>
      </c>
      <c r="AA644" t="n">
        <v>7</v>
      </c>
      <c r="AB644" t="n">
        <v>3.821809</v>
      </c>
      <c r="AC644" t="n">
        <v>3.6</v>
      </c>
      <c r="AD644" t="n">
        <v>2.8</v>
      </c>
      <c r="AE644" t="n">
        <v>6.123864</v>
      </c>
      <c r="AF644" t="n">
        <v>6.9</v>
      </c>
      <c r="AG644" t="n">
        <v>9.199999999999999</v>
      </c>
      <c r="AH644" t="n">
        <v>9.4</v>
      </c>
      <c r="AI644" t="n">
        <v>4.3</v>
      </c>
      <c r="AJ644" t="n">
        <v>6.2</v>
      </c>
      <c r="AK644" t="n">
        <v>9.9</v>
      </c>
      <c r="AL644" t="n">
        <v>5.8</v>
      </c>
    </row>
    <row r="645">
      <c r="A645" s="78" t="n">
        <v>39661</v>
      </c>
      <c r="B645" t="n">
        <v>4.016149</v>
      </c>
      <c r="C645" t="n">
        <v>4.4</v>
      </c>
      <c r="D645" t="n">
        <v>7.6</v>
      </c>
      <c r="E645" t="n">
        <v>6.1</v>
      </c>
      <c r="G645" t="n">
        <v>7.397695</v>
      </c>
      <c r="H645" t="n">
        <v>4.1</v>
      </c>
      <c r="I645" t="n">
        <v>7.1</v>
      </c>
      <c r="J645" t="n">
        <v>3.9</v>
      </c>
      <c r="K645" t="n">
        <v>7.6</v>
      </c>
      <c r="L645" t="n">
        <v>11.5</v>
      </c>
      <c r="M645" t="n">
        <v>6.3</v>
      </c>
      <c r="N645" t="n">
        <v>6.4</v>
      </c>
      <c r="O645" t="n">
        <v>7.5</v>
      </c>
      <c r="P645" t="n">
        <v>5.974019</v>
      </c>
      <c r="Q645" t="n">
        <v>5.855467</v>
      </c>
      <c r="R645" t="n">
        <v>7.5</v>
      </c>
      <c r="S645" t="n">
        <v>7.8</v>
      </c>
      <c r="T645" t="n">
        <v>7.4</v>
      </c>
      <c r="U645" t="n">
        <v>4.4</v>
      </c>
      <c r="W645" t="n">
        <v>6.8</v>
      </c>
      <c r="X645" t="n">
        <v>4.1</v>
      </c>
      <c r="Y645" t="n">
        <v>3.3</v>
      </c>
      <c r="Z645" t="n">
        <v>5</v>
      </c>
      <c r="AA645" t="n">
        <v>7.6</v>
      </c>
      <c r="AB645" t="n">
        <v>3.885312</v>
      </c>
      <c r="AC645" t="n">
        <v>3.6</v>
      </c>
      <c r="AD645" t="n">
        <v>2.9</v>
      </c>
      <c r="AE645" t="n">
        <v>6.23838</v>
      </c>
      <c r="AF645" t="n">
        <v>6.8</v>
      </c>
      <c r="AG645" t="n">
        <v>9.4</v>
      </c>
      <c r="AH645" t="n">
        <v>9</v>
      </c>
      <c r="AI645" t="n">
        <v>4.3</v>
      </c>
      <c r="AJ645" t="n">
        <v>5.9</v>
      </c>
      <c r="AK645" t="n">
        <v>9.800000000000001</v>
      </c>
      <c r="AL645" t="n">
        <v>6.1</v>
      </c>
    </row>
    <row r="646">
      <c r="A646" s="78" t="n">
        <v>39692</v>
      </c>
      <c r="B646" t="n">
        <v>4.289724</v>
      </c>
      <c r="C646" t="n">
        <v>4.3</v>
      </c>
      <c r="D646" t="n">
        <v>7.4</v>
      </c>
      <c r="E646" t="n">
        <v>6.1</v>
      </c>
      <c r="G646" t="n">
        <v>7.394329</v>
      </c>
      <c r="H646" t="n">
        <v>4.4</v>
      </c>
      <c r="I646" t="n">
        <v>7</v>
      </c>
      <c r="J646" t="n">
        <v>3.8</v>
      </c>
      <c r="K646" t="n">
        <v>7.7</v>
      </c>
      <c r="L646" t="n">
        <v>12</v>
      </c>
      <c r="M646" t="n">
        <v>6.8</v>
      </c>
      <c r="N646" t="n">
        <v>6.7</v>
      </c>
      <c r="O646" t="n">
        <v>7.6</v>
      </c>
      <c r="P646" t="n">
        <v>5.986985</v>
      </c>
      <c r="Q646" t="n">
        <v>5.968081</v>
      </c>
      <c r="R646" t="n">
        <v>8</v>
      </c>
      <c r="S646" t="n">
        <v>7.9</v>
      </c>
      <c r="T646" t="n">
        <v>7.8</v>
      </c>
      <c r="U646" t="n">
        <v>4.6</v>
      </c>
      <c r="W646" t="n">
        <v>6.8</v>
      </c>
      <c r="X646" t="n">
        <v>4</v>
      </c>
      <c r="Y646" t="n">
        <v>3.2</v>
      </c>
      <c r="Z646" t="n">
        <v>5.1</v>
      </c>
      <c r="AA646" t="n">
        <v>8.5</v>
      </c>
      <c r="AB646" t="n">
        <v>3.959784</v>
      </c>
      <c r="AC646" t="n">
        <v>3.6</v>
      </c>
      <c r="AD646" t="n">
        <v>2.9</v>
      </c>
      <c r="AE646" t="n">
        <v>6.298918</v>
      </c>
      <c r="AF646" t="n">
        <v>6.7</v>
      </c>
      <c r="AG646" t="n">
        <v>9.4</v>
      </c>
      <c r="AH646" t="n">
        <v>8.800000000000001</v>
      </c>
      <c r="AI646" t="n">
        <v>4.2</v>
      </c>
      <c r="AJ646" t="n">
        <v>6.4</v>
      </c>
      <c r="AK646" t="n">
        <v>10.2</v>
      </c>
      <c r="AL646" t="n">
        <v>6.1</v>
      </c>
    </row>
    <row r="647">
      <c r="A647" s="78" t="n">
        <v>39722</v>
      </c>
      <c r="B647" t="n">
        <v>4.290961</v>
      </c>
      <c r="C647" t="n">
        <v>4.4</v>
      </c>
      <c r="D647" t="n">
        <v>6.9</v>
      </c>
      <c r="E647" t="n">
        <v>6.2</v>
      </c>
      <c r="G647" t="n">
        <v>7.766006</v>
      </c>
      <c r="H647" t="n">
        <v>4.1</v>
      </c>
      <c r="I647" t="n">
        <v>7</v>
      </c>
      <c r="J647" t="n">
        <v>3.9</v>
      </c>
      <c r="K647" t="n">
        <v>7.8</v>
      </c>
      <c r="L647" t="n">
        <v>12.9</v>
      </c>
      <c r="M647" t="n">
        <v>6.9</v>
      </c>
      <c r="N647" t="n">
        <v>6.3</v>
      </c>
      <c r="O647" t="n">
        <v>7.6</v>
      </c>
      <c r="P647" t="n">
        <v>6.1423</v>
      </c>
      <c r="Q647" t="n">
        <v>6.162873</v>
      </c>
      <c r="R647" t="n">
        <v>7.6</v>
      </c>
      <c r="S647" t="n">
        <v>8</v>
      </c>
      <c r="T647" t="n">
        <v>8.1</v>
      </c>
      <c r="U647" t="n">
        <v>4.9</v>
      </c>
      <c r="W647" t="n">
        <v>7</v>
      </c>
      <c r="X647" t="n">
        <v>3.8</v>
      </c>
      <c r="Y647" t="n">
        <v>3.3</v>
      </c>
      <c r="Z647" t="n">
        <v>5.2</v>
      </c>
      <c r="AA647" t="n">
        <v>9.6</v>
      </c>
      <c r="AB647" t="n">
        <v>3.994913</v>
      </c>
      <c r="AC647" t="n">
        <v>3.6</v>
      </c>
      <c r="AD647" t="n">
        <v>3</v>
      </c>
      <c r="AE647" t="n">
        <v>6.442119</v>
      </c>
      <c r="AF647" t="n">
        <v>6.6</v>
      </c>
      <c r="AG647" t="n">
        <v>9.4</v>
      </c>
      <c r="AH647" t="n">
        <v>8.699999999999999</v>
      </c>
      <c r="AI647" t="n">
        <v>4.2</v>
      </c>
      <c r="AJ647" t="n">
        <v>6.3</v>
      </c>
      <c r="AK647" t="n">
        <v>10.6</v>
      </c>
      <c r="AL647" t="n">
        <v>6.5</v>
      </c>
    </row>
    <row r="648">
      <c r="A648" s="78" t="n">
        <v>39753</v>
      </c>
      <c r="B648" t="n">
        <v>4.463317</v>
      </c>
      <c r="C648" t="n">
        <v>4.8</v>
      </c>
      <c r="D648" t="n">
        <v>6.7</v>
      </c>
      <c r="E648" t="n">
        <v>6.6</v>
      </c>
      <c r="G648" t="n">
        <v>8.141641</v>
      </c>
      <c r="H648" t="n">
        <v>4.4</v>
      </c>
      <c r="I648" t="n">
        <v>7.1</v>
      </c>
      <c r="J648" t="n">
        <v>4.2</v>
      </c>
      <c r="K648" t="n">
        <v>8.1</v>
      </c>
      <c r="L648" t="n">
        <v>13.8</v>
      </c>
      <c r="M648" t="n">
        <v>7.6</v>
      </c>
      <c r="N648" t="n">
        <v>6.7</v>
      </c>
      <c r="O648" t="n">
        <v>7.8</v>
      </c>
      <c r="P648" t="n">
        <v>6.375126</v>
      </c>
      <c r="Q648" t="n">
        <v>6.352929</v>
      </c>
      <c r="R648" t="n">
        <v>7.7</v>
      </c>
      <c r="S648" t="n">
        <v>8.199999999999999</v>
      </c>
      <c r="T648" t="n">
        <v>8.5</v>
      </c>
      <c r="U648" t="n">
        <v>5.2</v>
      </c>
      <c r="W648" t="n">
        <v>7.1</v>
      </c>
      <c r="X648" t="n">
        <v>4</v>
      </c>
      <c r="Y648" t="n">
        <v>3.4</v>
      </c>
      <c r="Z648" t="n">
        <v>5.2</v>
      </c>
      <c r="AA648" t="n">
        <v>10.6</v>
      </c>
      <c r="AB648" t="n">
        <v>4.662283</v>
      </c>
      <c r="AC648" t="n">
        <v>3.6</v>
      </c>
      <c r="AD648" t="n">
        <v>3.1</v>
      </c>
      <c r="AE648" t="n">
        <v>6.766683</v>
      </c>
      <c r="AF648" t="n">
        <v>6.8</v>
      </c>
      <c r="AG648" t="n">
        <v>9.4</v>
      </c>
      <c r="AH648" t="n">
        <v>8.9</v>
      </c>
      <c r="AI648" t="n">
        <v>4.3</v>
      </c>
      <c r="AJ648" t="n">
        <v>7</v>
      </c>
      <c r="AK648" t="n">
        <v>11.5</v>
      </c>
      <c r="AL648" t="n">
        <v>6.8</v>
      </c>
    </row>
    <row r="649">
      <c r="A649" s="78" t="n">
        <v>39783</v>
      </c>
      <c r="B649" t="n">
        <v>4.571092</v>
      </c>
      <c r="C649" t="n">
        <v>5.1</v>
      </c>
      <c r="D649" t="n">
        <v>6.9</v>
      </c>
      <c r="E649" t="n">
        <v>6.9</v>
      </c>
      <c r="G649" t="n">
        <v>8.616505</v>
      </c>
      <c r="H649" t="n">
        <v>4.8</v>
      </c>
      <c r="I649" t="n">
        <v>7.2</v>
      </c>
      <c r="J649" t="n">
        <v>4.7</v>
      </c>
      <c r="K649" t="n">
        <v>8.4</v>
      </c>
      <c r="L649" t="n">
        <v>14.8</v>
      </c>
      <c r="M649" t="n">
        <v>9.300000000000001</v>
      </c>
      <c r="N649" t="n">
        <v>6.7</v>
      </c>
      <c r="O649" t="n">
        <v>8</v>
      </c>
      <c r="P649" t="n">
        <v>6.686016</v>
      </c>
      <c r="Q649" t="n">
        <v>6.511285</v>
      </c>
      <c r="R649" t="n">
        <v>8.6</v>
      </c>
      <c r="S649" t="n">
        <v>8.4</v>
      </c>
      <c r="T649" t="n">
        <v>9</v>
      </c>
      <c r="U649" t="n">
        <v>5.6</v>
      </c>
      <c r="W649" t="n">
        <v>6.8</v>
      </c>
      <c r="X649" t="n">
        <v>4.4</v>
      </c>
      <c r="Y649" t="n">
        <v>3.4</v>
      </c>
      <c r="Z649" t="n">
        <v>5.3</v>
      </c>
      <c r="AA649" t="n">
        <v>11.4</v>
      </c>
      <c r="AB649" t="n">
        <v>4.826484</v>
      </c>
      <c r="AC649" t="n">
        <v>3.7</v>
      </c>
      <c r="AD649" t="n">
        <v>3.1</v>
      </c>
      <c r="AE649" t="n">
        <v>7.041367</v>
      </c>
      <c r="AF649" t="n">
        <v>7</v>
      </c>
      <c r="AG649" t="n">
        <v>9.699999999999999</v>
      </c>
      <c r="AH649" t="n">
        <v>9.1</v>
      </c>
      <c r="AI649" t="n">
        <v>4.3</v>
      </c>
      <c r="AJ649" t="n">
        <v>6.8</v>
      </c>
      <c r="AK649" t="n">
        <v>12</v>
      </c>
      <c r="AL649" t="n">
        <v>7.3</v>
      </c>
    </row>
    <row r="650">
      <c r="A650" s="78" t="n">
        <v>39814</v>
      </c>
      <c r="B650" t="n">
        <v>4.908084</v>
      </c>
      <c r="C650" t="n">
        <v>5</v>
      </c>
      <c r="D650" t="n">
        <v>7.5</v>
      </c>
      <c r="E650" t="n">
        <v>7.4</v>
      </c>
      <c r="G650" t="n">
        <v>9.068215</v>
      </c>
      <c r="H650" t="n">
        <v>5.2</v>
      </c>
      <c r="I650" t="n">
        <v>7.3</v>
      </c>
      <c r="J650" t="n">
        <v>4.9</v>
      </c>
      <c r="K650" t="n">
        <v>8.699999999999999</v>
      </c>
      <c r="L650" t="n">
        <v>15.9</v>
      </c>
      <c r="M650" t="n">
        <v>10.1</v>
      </c>
      <c r="N650" t="n">
        <v>7</v>
      </c>
      <c r="O650" t="n">
        <v>8.300000000000001</v>
      </c>
      <c r="P650" t="n">
        <v>6.995562</v>
      </c>
      <c r="Q650" t="n">
        <v>6.744484</v>
      </c>
      <c r="R650" t="n">
        <v>9</v>
      </c>
      <c r="S650" t="n">
        <v>8.9</v>
      </c>
      <c r="T650" t="n">
        <v>10.1</v>
      </c>
      <c r="U650" t="n">
        <v>6.3</v>
      </c>
      <c r="W650" t="n">
        <v>7.2</v>
      </c>
      <c r="X650" t="n">
        <v>4.3</v>
      </c>
      <c r="Y650" t="n">
        <v>3.3</v>
      </c>
      <c r="Z650" t="n">
        <v>5.4</v>
      </c>
      <c r="AA650" t="n">
        <v>12.4</v>
      </c>
      <c r="AB650" t="n">
        <v>4.777045</v>
      </c>
      <c r="AC650" t="n">
        <v>3.7</v>
      </c>
      <c r="AD650" t="n">
        <v>3.2</v>
      </c>
      <c r="AE650" t="n">
        <v>7.364966</v>
      </c>
      <c r="AF650" t="n">
        <v>7.4</v>
      </c>
      <c r="AG650" t="n">
        <v>10</v>
      </c>
      <c r="AH650" t="n">
        <v>9.6</v>
      </c>
      <c r="AI650" t="n">
        <v>4.6</v>
      </c>
      <c r="AJ650" t="n">
        <v>6.8</v>
      </c>
      <c r="AK650" t="n">
        <v>12.6</v>
      </c>
      <c r="AL650" t="n">
        <v>7.8</v>
      </c>
    </row>
    <row r="651">
      <c r="A651" s="78" t="n">
        <v>39845</v>
      </c>
      <c r="B651" t="n">
        <v>5.306102</v>
      </c>
      <c r="C651" t="n">
        <v>4.9</v>
      </c>
      <c r="D651" t="n">
        <v>7.8</v>
      </c>
      <c r="E651" t="n">
        <v>8</v>
      </c>
      <c r="G651" t="n">
        <v>9.367597</v>
      </c>
      <c r="H651" t="n">
        <v>5.6</v>
      </c>
      <c r="I651" t="n">
        <v>7.5</v>
      </c>
      <c r="J651" t="n">
        <v>5.1</v>
      </c>
      <c r="K651" t="n">
        <v>9.1</v>
      </c>
      <c r="L651" t="n">
        <v>16.8</v>
      </c>
      <c r="M651" t="n">
        <v>10.7</v>
      </c>
      <c r="N651" t="n">
        <v>7.4</v>
      </c>
      <c r="O651" t="n">
        <v>8.6</v>
      </c>
      <c r="P651" t="n">
        <v>7.37733</v>
      </c>
      <c r="Q651" t="n">
        <v>7.071686</v>
      </c>
      <c r="R651" t="n">
        <v>9</v>
      </c>
      <c r="S651" t="n">
        <v>9.199999999999999</v>
      </c>
      <c r="T651" t="n">
        <v>10.9</v>
      </c>
      <c r="U651" t="n">
        <v>6.7</v>
      </c>
      <c r="W651" t="n">
        <v>7.3</v>
      </c>
      <c r="X651" t="n">
        <v>4.6</v>
      </c>
      <c r="Y651" t="n">
        <v>3.3</v>
      </c>
      <c r="Z651" t="n">
        <v>5.4</v>
      </c>
      <c r="AA651" t="n">
        <v>13.7</v>
      </c>
      <c r="AB651" t="n">
        <v>5.202495</v>
      </c>
      <c r="AC651" t="n">
        <v>3.8</v>
      </c>
      <c r="AD651" t="n">
        <v>3.1</v>
      </c>
      <c r="AE651" t="n">
        <v>7.712421</v>
      </c>
      <c r="AF651" t="n">
        <v>7.7</v>
      </c>
      <c r="AG651" t="n">
        <v>10.2</v>
      </c>
      <c r="AH651" t="n">
        <v>10.2</v>
      </c>
      <c r="AI651" t="n">
        <v>4.9</v>
      </c>
      <c r="AJ651" t="n">
        <v>7.7</v>
      </c>
      <c r="AK651" t="n">
        <v>13</v>
      </c>
      <c r="AL651" t="n">
        <v>8.300000000000001</v>
      </c>
    </row>
    <row r="652">
      <c r="A652" s="78" t="n">
        <v>39873</v>
      </c>
      <c r="B652" t="n">
        <v>5.713026</v>
      </c>
      <c r="C652" t="n">
        <v>5.3</v>
      </c>
      <c r="D652" t="n">
        <v>8</v>
      </c>
      <c r="E652" t="n">
        <v>8.199999999999999</v>
      </c>
      <c r="G652" t="n">
        <v>9.862849000000001</v>
      </c>
      <c r="H652" t="n">
        <v>5.9</v>
      </c>
      <c r="I652" t="n">
        <v>7.6</v>
      </c>
      <c r="J652" t="n">
        <v>5.5</v>
      </c>
      <c r="K652" t="n">
        <v>9.4</v>
      </c>
      <c r="L652" t="n">
        <v>17.5</v>
      </c>
      <c r="M652" t="n">
        <v>11.6</v>
      </c>
      <c r="N652" t="n">
        <v>7.7</v>
      </c>
      <c r="O652" t="n">
        <v>8.800000000000001</v>
      </c>
      <c r="P652" t="n">
        <v>7.667302</v>
      </c>
      <c r="Q652" t="n">
        <v>7.274436</v>
      </c>
      <c r="R652" t="n">
        <v>9</v>
      </c>
      <c r="S652" t="n">
        <v>9.5</v>
      </c>
      <c r="T652" t="n">
        <v>11.6</v>
      </c>
      <c r="U652" t="n">
        <v>7.1</v>
      </c>
      <c r="W652" t="n">
        <v>7.7</v>
      </c>
      <c r="X652" t="n">
        <v>4.8</v>
      </c>
      <c r="Y652" t="n">
        <v>3.5</v>
      </c>
      <c r="Z652" t="n">
        <v>5.4</v>
      </c>
      <c r="AA652" t="n">
        <v>14.9</v>
      </c>
      <c r="AB652" t="n">
        <v>5.077722</v>
      </c>
      <c r="AC652" t="n">
        <v>3.9</v>
      </c>
      <c r="AD652" t="n">
        <v>3.1</v>
      </c>
      <c r="AE652" t="n">
        <v>8.009639</v>
      </c>
      <c r="AF652" t="n">
        <v>7.9</v>
      </c>
      <c r="AG652" t="n">
        <v>10.5</v>
      </c>
      <c r="AH652" t="n">
        <v>10.7</v>
      </c>
      <c r="AI652" t="n">
        <v>5.2</v>
      </c>
      <c r="AJ652" t="n">
        <v>7.8</v>
      </c>
      <c r="AK652" t="n">
        <v>13.7</v>
      </c>
      <c r="AL652" t="n">
        <v>8.699999999999999</v>
      </c>
    </row>
    <row r="653">
      <c r="A653" s="78" t="n">
        <v>39904</v>
      </c>
      <c r="B653" t="n">
        <v>5.514769</v>
      </c>
      <c r="C653" t="n">
        <v>5.7</v>
      </c>
      <c r="D653" t="n">
        <v>7.9</v>
      </c>
      <c r="E653" t="n">
        <v>8.300000000000001</v>
      </c>
      <c r="G653" t="n">
        <v>9.952970000000001</v>
      </c>
      <c r="H653" t="n">
        <v>6.3</v>
      </c>
      <c r="I653" t="n">
        <v>7.7</v>
      </c>
      <c r="J653" t="n">
        <v>5.9</v>
      </c>
      <c r="K653" t="n">
        <v>9.5</v>
      </c>
      <c r="L653" t="n">
        <v>17.8</v>
      </c>
      <c r="M653" t="n">
        <v>12.3</v>
      </c>
      <c r="N653" t="n">
        <v>8.300000000000001</v>
      </c>
      <c r="O653" t="n">
        <v>9</v>
      </c>
      <c r="P653" t="n">
        <v>7.843169</v>
      </c>
      <c r="Q653" t="n">
        <v>7.589929</v>
      </c>
      <c r="R653" t="n">
        <v>9.5</v>
      </c>
      <c r="S653" t="n">
        <v>9.5</v>
      </c>
      <c r="T653" t="n">
        <v>12.2</v>
      </c>
      <c r="U653" t="n">
        <v>7.5</v>
      </c>
      <c r="W653" t="n">
        <v>7.5</v>
      </c>
      <c r="X653" t="n">
        <v>5</v>
      </c>
      <c r="Y653" t="n">
        <v>3.6</v>
      </c>
      <c r="Z653" t="n">
        <v>5.3</v>
      </c>
      <c r="AA653" t="n">
        <v>16</v>
      </c>
      <c r="AB653" t="n">
        <v>5.41807</v>
      </c>
      <c r="AC653" t="n">
        <v>4.1</v>
      </c>
      <c r="AD653" t="n">
        <v>3.2</v>
      </c>
      <c r="AE653" t="n">
        <v>8.209861</v>
      </c>
      <c r="AF653" t="n">
        <v>7.9</v>
      </c>
      <c r="AG653" t="n">
        <v>10.8</v>
      </c>
      <c r="AH653" t="n">
        <v>11</v>
      </c>
      <c r="AI653" t="n">
        <v>5.5</v>
      </c>
      <c r="AJ653" t="n">
        <v>7.8</v>
      </c>
      <c r="AK653" t="n">
        <v>14</v>
      </c>
      <c r="AL653" t="n">
        <v>9</v>
      </c>
    </row>
    <row r="654">
      <c r="A654" s="78" t="n">
        <v>39934</v>
      </c>
      <c r="B654" t="n">
        <v>5.812155</v>
      </c>
      <c r="C654" t="n">
        <v>5.6</v>
      </c>
      <c r="D654" t="n">
        <v>7.7</v>
      </c>
      <c r="E654" t="n">
        <v>8.699999999999999</v>
      </c>
      <c r="G654" t="n">
        <v>10.24802</v>
      </c>
      <c r="H654" t="n">
        <v>6.6</v>
      </c>
      <c r="I654" t="n">
        <v>7.8</v>
      </c>
      <c r="J654" t="n">
        <v>6.5</v>
      </c>
      <c r="K654" t="n">
        <v>9.6</v>
      </c>
      <c r="L654" t="n">
        <v>17.9</v>
      </c>
      <c r="M654" t="n">
        <v>12.7</v>
      </c>
      <c r="N654" t="n">
        <v>8.699999999999999</v>
      </c>
      <c r="O654" t="n">
        <v>9.1</v>
      </c>
      <c r="P654" t="n">
        <v>8.096532</v>
      </c>
      <c r="Q654" t="n">
        <v>7.763806</v>
      </c>
      <c r="R654" t="n">
        <v>9.1</v>
      </c>
      <c r="S654" t="n">
        <v>9.4</v>
      </c>
      <c r="T654" t="n">
        <v>12.7</v>
      </c>
      <c r="U654" t="n">
        <v>7.7</v>
      </c>
      <c r="W654" t="n">
        <v>7.5</v>
      </c>
      <c r="X654" t="n">
        <v>5.1</v>
      </c>
      <c r="Y654" t="n">
        <v>3.9</v>
      </c>
      <c r="Z654" t="n">
        <v>5.2</v>
      </c>
      <c r="AA654" t="n">
        <v>17.1</v>
      </c>
      <c r="AB654" t="n">
        <v>5.694725</v>
      </c>
      <c r="AC654" t="n">
        <v>4.2</v>
      </c>
      <c r="AD654" t="n">
        <v>3.3</v>
      </c>
      <c r="AE654" t="n">
        <v>8.404239</v>
      </c>
      <c r="AF654" t="n">
        <v>7.9</v>
      </c>
      <c r="AG654" t="n">
        <v>11</v>
      </c>
      <c r="AH654" t="n">
        <v>11.4</v>
      </c>
      <c r="AI654" t="n">
        <v>5.8</v>
      </c>
      <c r="AJ654" t="n">
        <v>8.9</v>
      </c>
      <c r="AK654" t="n">
        <v>13.8</v>
      </c>
      <c r="AL654" t="n">
        <v>9.4</v>
      </c>
    </row>
    <row r="655">
      <c r="A655" s="78" t="n">
        <v>39965</v>
      </c>
      <c r="B655" t="n">
        <v>5.861667</v>
      </c>
      <c r="C655" t="n">
        <v>5.9</v>
      </c>
      <c r="D655" t="n">
        <v>7.9</v>
      </c>
      <c r="E655" t="n">
        <v>8.699999999999999</v>
      </c>
      <c r="G655" t="n">
        <v>10.18714</v>
      </c>
      <c r="H655" t="n">
        <v>6.6</v>
      </c>
      <c r="I655" t="n">
        <v>7.8</v>
      </c>
      <c r="J655" t="n">
        <v>6.3</v>
      </c>
      <c r="K655" t="n">
        <v>9.699999999999999</v>
      </c>
      <c r="L655" t="n">
        <v>17.9</v>
      </c>
      <c r="M655" t="n">
        <v>13</v>
      </c>
      <c r="N655" t="n">
        <v>8.699999999999999</v>
      </c>
      <c r="O655" t="n">
        <v>9.1</v>
      </c>
      <c r="P655" t="n">
        <v>8.208610999999999</v>
      </c>
      <c r="Q655" t="n">
        <v>7.868461</v>
      </c>
      <c r="R655" t="n">
        <v>9.300000000000001</v>
      </c>
      <c r="S655" t="n">
        <v>9.4</v>
      </c>
      <c r="T655" t="n">
        <v>12.9</v>
      </c>
      <c r="U655" t="n">
        <v>7.9</v>
      </c>
      <c r="W655" t="n">
        <v>7.8</v>
      </c>
      <c r="X655" t="n">
        <v>5.2</v>
      </c>
      <c r="Y655" t="n">
        <v>3.9</v>
      </c>
      <c r="Z655" t="n">
        <v>5.3</v>
      </c>
      <c r="AA655" t="n">
        <v>18</v>
      </c>
      <c r="AB655" t="n">
        <v>5.387307</v>
      </c>
      <c r="AC655" t="n">
        <v>4.3</v>
      </c>
      <c r="AD655" t="n">
        <v>3.3</v>
      </c>
      <c r="AE655" t="n">
        <v>8.445078000000001</v>
      </c>
      <c r="AF655" t="n">
        <v>8</v>
      </c>
      <c r="AG655" t="n">
        <v>11.3</v>
      </c>
      <c r="AH655" t="n">
        <v>11.8</v>
      </c>
      <c r="AI655" t="n">
        <v>6.1</v>
      </c>
      <c r="AJ655" t="n">
        <v>8.4</v>
      </c>
      <c r="AK655" t="n">
        <v>13.4</v>
      </c>
      <c r="AL655" t="n">
        <v>9.5</v>
      </c>
    </row>
    <row r="656">
      <c r="A656" s="78" t="n">
        <v>39995</v>
      </c>
      <c r="B656" t="n">
        <v>5.673621</v>
      </c>
      <c r="C656" t="n">
        <v>6.2</v>
      </c>
      <c r="D656" t="n">
        <v>7.9</v>
      </c>
      <c r="E656" t="n">
        <v>8.699999999999999</v>
      </c>
      <c r="G656" t="n">
        <v>10.15009</v>
      </c>
      <c r="H656" t="n">
        <v>7</v>
      </c>
      <c r="I656" t="n">
        <v>7.9</v>
      </c>
      <c r="J656" t="n">
        <v>6.4</v>
      </c>
      <c r="K656" t="n">
        <v>9.9</v>
      </c>
      <c r="L656" t="n">
        <v>18</v>
      </c>
      <c r="M656" t="n">
        <v>14.4</v>
      </c>
      <c r="N656" t="n">
        <v>8.5</v>
      </c>
      <c r="O656" t="n">
        <v>9.1</v>
      </c>
      <c r="P656" t="n">
        <v>8.247593</v>
      </c>
      <c r="Q656" t="n">
        <v>7.870161</v>
      </c>
      <c r="R656" t="n">
        <v>10.1</v>
      </c>
      <c r="S656" t="n">
        <v>9.800000000000001</v>
      </c>
      <c r="T656" t="n">
        <v>13</v>
      </c>
      <c r="U656" t="n">
        <v>8</v>
      </c>
      <c r="W656" t="n">
        <v>7.9</v>
      </c>
      <c r="X656" t="n">
        <v>5.5</v>
      </c>
      <c r="Y656" t="n">
        <v>3.8</v>
      </c>
      <c r="Z656" t="n">
        <v>5.1</v>
      </c>
      <c r="AA656" t="n">
        <v>19</v>
      </c>
      <c r="AB656" t="n">
        <v>5.730658</v>
      </c>
      <c r="AC656" t="n">
        <v>4.5</v>
      </c>
      <c r="AD656" t="n">
        <v>3.3</v>
      </c>
      <c r="AE656" t="n">
        <v>8.529885999999999</v>
      </c>
      <c r="AF656" t="n">
        <v>8.199999999999999</v>
      </c>
      <c r="AG656" t="n">
        <v>11.6</v>
      </c>
      <c r="AH656" t="n">
        <v>12.3</v>
      </c>
      <c r="AI656" t="n">
        <v>6.4</v>
      </c>
      <c r="AJ656" t="n">
        <v>8.4</v>
      </c>
      <c r="AK656" t="n">
        <v>13.1</v>
      </c>
      <c r="AL656" t="n">
        <v>9.5</v>
      </c>
    </row>
    <row r="657">
      <c r="A657" s="78" t="n">
        <v>40026</v>
      </c>
      <c r="B657" t="n">
        <v>5.716066</v>
      </c>
      <c r="C657" t="n">
        <v>5.8</v>
      </c>
      <c r="D657" t="n">
        <v>8</v>
      </c>
      <c r="E657" t="n">
        <v>8.6</v>
      </c>
      <c r="G657" t="n">
        <v>9.786841000000001</v>
      </c>
      <c r="H657" t="n">
        <v>7.6</v>
      </c>
      <c r="I657" t="n">
        <v>7.8</v>
      </c>
      <c r="J657" t="n">
        <v>6.8</v>
      </c>
      <c r="K657" t="n">
        <v>9.9</v>
      </c>
      <c r="L657" t="n">
        <v>18.2</v>
      </c>
      <c r="M657" t="n">
        <v>15</v>
      </c>
      <c r="N657" t="n">
        <v>8.800000000000001</v>
      </c>
      <c r="O657" t="n">
        <v>9.199999999999999</v>
      </c>
      <c r="P657" t="n">
        <v>8.288259999999999</v>
      </c>
      <c r="Q657" t="n">
        <v>7.84742</v>
      </c>
      <c r="R657" t="n">
        <v>9.800000000000001</v>
      </c>
      <c r="S657" t="n">
        <v>10</v>
      </c>
      <c r="T657" t="n">
        <v>13.2</v>
      </c>
      <c r="U657" t="n">
        <v>8</v>
      </c>
      <c r="W657" t="n">
        <v>8</v>
      </c>
      <c r="X657" t="n">
        <v>5.4</v>
      </c>
      <c r="Y657" t="n">
        <v>3.8</v>
      </c>
      <c r="Z657" t="n">
        <v>5</v>
      </c>
      <c r="AA657" t="n">
        <v>19.5</v>
      </c>
      <c r="AB657" t="n">
        <v>5.862494</v>
      </c>
      <c r="AC657" t="n">
        <v>4.6</v>
      </c>
      <c r="AD657" t="n">
        <v>3.3</v>
      </c>
      <c r="AE657" t="n">
        <v>8.585094</v>
      </c>
      <c r="AF657" t="n">
        <v>8.300000000000001</v>
      </c>
      <c r="AG657" t="n">
        <v>11.8</v>
      </c>
      <c r="AH657" t="n">
        <v>12.7</v>
      </c>
      <c r="AI657" t="n">
        <v>6.5</v>
      </c>
      <c r="AJ657" t="n">
        <v>8.800000000000001</v>
      </c>
      <c r="AK657" t="n">
        <v>13.2</v>
      </c>
      <c r="AL657" t="n">
        <v>9.6</v>
      </c>
    </row>
    <row r="658">
      <c r="A658" s="78" t="n">
        <v>40057</v>
      </c>
      <c r="B658" t="n">
        <v>5.661459</v>
      </c>
      <c r="C658" t="n">
        <v>6.5</v>
      </c>
      <c r="D658" t="n">
        <v>8</v>
      </c>
      <c r="E658" t="n">
        <v>8.4</v>
      </c>
      <c r="G658" t="n">
        <v>9.566000000000001</v>
      </c>
      <c r="H658" t="n">
        <v>7.4</v>
      </c>
      <c r="I658" t="n">
        <v>7.8</v>
      </c>
      <c r="J658" t="n">
        <v>7.3</v>
      </c>
      <c r="K658" t="n">
        <v>10.1</v>
      </c>
      <c r="L658" t="n">
        <v>18.4</v>
      </c>
      <c r="M658" t="n">
        <v>14.6</v>
      </c>
      <c r="N658" t="n">
        <v>8.4</v>
      </c>
      <c r="O658" t="n">
        <v>9.300000000000001</v>
      </c>
      <c r="P658" t="n">
        <v>8.369020000000001</v>
      </c>
      <c r="Q658" t="n">
        <v>7.868379</v>
      </c>
      <c r="R658" t="n">
        <v>9.6</v>
      </c>
      <c r="S658" t="n">
        <v>10.3</v>
      </c>
      <c r="T658" t="n">
        <v>13.7</v>
      </c>
      <c r="U658" t="n">
        <v>8.1</v>
      </c>
      <c r="W658" t="n">
        <v>8.300000000000001</v>
      </c>
      <c r="X658" t="n">
        <v>5.4</v>
      </c>
      <c r="Y658" t="n">
        <v>3.6</v>
      </c>
      <c r="Z658" t="n">
        <v>5</v>
      </c>
      <c r="AA658" t="n">
        <v>19.7</v>
      </c>
      <c r="AB658" t="n">
        <v>5.979885</v>
      </c>
      <c r="AC658" t="n">
        <v>4.7</v>
      </c>
      <c r="AD658" t="n">
        <v>3.3</v>
      </c>
      <c r="AE658" t="n">
        <v>8.666867999999999</v>
      </c>
      <c r="AF658" t="n">
        <v>8.4</v>
      </c>
      <c r="AG658" t="n">
        <v>11.9</v>
      </c>
      <c r="AH658" t="n">
        <v>13.2</v>
      </c>
      <c r="AI658" t="n">
        <v>6.5</v>
      </c>
      <c r="AJ658" t="n">
        <v>8.800000000000001</v>
      </c>
      <c r="AK658" t="n">
        <v>12.9</v>
      </c>
      <c r="AL658" t="n">
        <v>9.800000000000001</v>
      </c>
    </row>
    <row r="659">
      <c r="A659" s="78" t="n">
        <v>40087</v>
      </c>
      <c r="B659" t="n">
        <v>5.624306</v>
      </c>
      <c r="C659" t="n">
        <v>6</v>
      </c>
      <c r="D659" t="n">
        <v>7.9</v>
      </c>
      <c r="E659" t="n">
        <v>8.5</v>
      </c>
      <c r="G659" t="n">
        <v>9.438143</v>
      </c>
      <c r="H659" t="n">
        <v>7.2</v>
      </c>
      <c r="I659" t="n">
        <v>7.7</v>
      </c>
      <c r="J659" t="n">
        <v>7.5</v>
      </c>
      <c r="K659" t="n">
        <v>10.1</v>
      </c>
      <c r="L659" t="n">
        <v>18.6</v>
      </c>
      <c r="M659" t="n">
        <v>15.3</v>
      </c>
      <c r="N659" t="n">
        <v>9.199999999999999</v>
      </c>
      <c r="O659" t="n">
        <v>9.5</v>
      </c>
      <c r="P659" t="n">
        <v>8.436472999999999</v>
      </c>
      <c r="Q659" t="n">
        <v>7.781222</v>
      </c>
      <c r="R659" t="n">
        <v>10.3</v>
      </c>
      <c r="S659" t="n">
        <v>10</v>
      </c>
      <c r="T659" t="n">
        <v>13.8</v>
      </c>
      <c r="U659" t="n">
        <v>8.199999999999999</v>
      </c>
      <c r="W659" t="n">
        <v>8.300000000000001</v>
      </c>
      <c r="X659" t="n">
        <v>5.2</v>
      </c>
      <c r="Y659" t="n">
        <v>3.6</v>
      </c>
      <c r="Z659" t="n">
        <v>5</v>
      </c>
      <c r="AA659" t="n">
        <v>20</v>
      </c>
      <c r="AB659" t="n">
        <v>5.817032</v>
      </c>
      <c r="AC659" t="n">
        <v>4.7</v>
      </c>
      <c r="AD659" t="n">
        <v>3.4</v>
      </c>
      <c r="AE659" t="n">
        <v>8.698359999999999</v>
      </c>
      <c r="AF659" t="n">
        <v>8.4</v>
      </c>
      <c r="AG659" t="n">
        <v>11.9</v>
      </c>
      <c r="AH659" t="n">
        <v>13.7</v>
      </c>
      <c r="AI659" t="n">
        <v>6.5</v>
      </c>
      <c r="AJ659" t="n">
        <v>8.699999999999999</v>
      </c>
      <c r="AK659" t="n">
        <v>12.5</v>
      </c>
      <c r="AL659" t="n">
        <v>10</v>
      </c>
    </row>
    <row r="660">
      <c r="A660" s="78" t="n">
        <v>40118</v>
      </c>
      <c r="B660" t="n">
        <v>5.558989</v>
      </c>
      <c r="C660" t="n">
        <v>6</v>
      </c>
      <c r="D660" t="n">
        <v>8</v>
      </c>
      <c r="E660" t="n">
        <v>8.5</v>
      </c>
      <c r="G660" t="n">
        <v>9.362005999999999</v>
      </c>
      <c r="H660" t="n">
        <v>7.6</v>
      </c>
      <c r="I660" t="n">
        <v>7.6</v>
      </c>
      <c r="J660" t="n">
        <v>7.2</v>
      </c>
      <c r="K660" t="n">
        <v>10.2</v>
      </c>
      <c r="L660" t="n">
        <v>18.7</v>
      </c>
      <c r="M660" t="n">
        <v>15.9</v>
      </c>
      <c r="N660" t="n">
        <v>9.5</v>
      </c>
      <c r="O660" t="n">
        <v>9.6</v>
      </c>
      <c r="P660" t="n">
        <v>8.406518</v>
      </c>
      <c r="Q660" t="n">
        <v>7.772686</v>
      </c>
      <c r="R660" t="n">
        <v>10.9</v>
      </c>
      <c r="S660" t="n">
        <v>10.5</v>
      </c>
      <c r="T660" t="n">
        <v>13.8</v>
      </c>
      <c r="U660" t="n">
        <v>8.300000000000001</v>
      </c>
      <c r="W660" t="n">
        <v>8.4</v>
      </c>
      <c r="X660" t="n">
        <v>5.2</v>
      </c>
      <c r="Y660" t="n">
        <v>3.7</v>
      </c>
      <c r="Z660" t="n">
        <v>4.9</v>
      </c>
      <c r="AA660" t="n">
        <v>20.3</v>
      </c>
      <c r="AB660" t="n">
        <v>5.494137</v>
      </c>
      <c r="AC660" t="n">
        <v>4.9</v>
      </c>
      <c r="AD660" t="n">
        <v>3.5</v>
      </c>
      <c r="AE660" t="n">
        <v>8.662288</v>
      </c>
      <c r="AF660" t="n">
        <v>8.6</v>
      </c>
      <c r="AG660" t="n">
        <v>11.8</v>
      </c>
      <c r="AH660" t="n">
        <v>14.1</v>
      </c>
      <c r="AI660" t="n">
        <v>6.4</v>
      </c>
      <c r="AJ660" t="n">
        <v>8.699999999999999</v>
      </c>
      <c r="AK660" t="n">
        <v>12.2</v>
      </c>
      <c r="AL660" t="n">
        <v>9.9</v>
      </c>
    </row>
    <row r="661">
      <c r="A661" s="78" t="n">
        <v>40148</v>
      </c>
      <c r="B661" t="n">
        <v>5.492146</v>
      </c>
      <c r="C661" t="n">
        <v>5.4</v>
      </c>
      <c r="D661" t="n">
        <v>8.300000000000001</v>
      </c>
      <c r="E661" t="n">
        <v>8.5</v>
      </c>
      <c r="G661" t="n">
        <v>9.301741</v>
      </c>
      <c r="H661" t="n">
        <v>7.3</v>
      </c>
      <c r="I661" t="n">
        <v>7.5</v>
      </c>
      <c r="J661" t="n">
        <v>7.2</v>
      </c>
      <c r="K661" t="n">
        <v>10.2</v>
      </c>
      <c r="L661" t="n">
        <v>18.9</v>
      </c>
      <c r="M661" t="n">
        <v>17.1</v>
      </c>
      <c r="N661" t="n">
        <v>8.5</v>
      </c>
      <c r="O661" t="n">
        <v>9.5</v>
      </c>
      <c r="P661" t="n">
        <v>8.357526</v>
      </c>
      <c r="Q661" t="n">
        <v>7.729149</v>
      </c>
      <c r="R661" t="n">
        <v>10</v>
      </c>
      <c r="S661" t="n">
        <v>10.3</v>
      </c>
      <c r="T661" t="n">
        <v>13.8</v>
      </c>
      <c r="U661" t="n">
        <v>8.4</v>
      </c>
      <c r="W661" t="n">
        <v>8.5</v>
      </c>
      <c r="X661" t="n">
        <v>5.2</v>
      </c>
      <c r="Y661" t="n">
        <v>3.6</v>
      </c>
      <c r="Z661" t="n">
        <v>4.8</v>
      </c>
      <c r="AA661" t="n">
        <v>20.6</v>
      </c>
      <c r="AB661" t="n">
        <v>5.349325</v>
      </c>
      <c r="AC661" t="n">
        <v>5</v>
      </c>
      <c r="AD661" t="n">
        <v>3.6</v>
      </c>
      <c r="AE661" t="n">
        <v>8.603804</v>
      </c>
      <c r="AF661" t="n">
        <v>9</v>
      </c>
      <c r="AG661" t="n">
        <v>11.9</v>
      </c>
      <c r="AH661" t="n">
        <v>14.4</v>
      </c>
      <c r="AI661" t="n">
        <v>6.4</v>
      </c>
      <c r="AJ661" t="n">
        <v>9</v>
      </c>
      <c r="AK661" t="n">
        <v>12</v>
      </c>
      <c r="AL661" t="n">
        <v>9.9</v>
      </c>
    </row>
    <row r="662">
      <c r="A662" s="78" t="n">
        <v>40179</v>
      </c>
      <c r="B662" t="n">
        <v>5.266345</v>
      </c>
      <c r="C662" t="n">
        <v>5.3</v>
      </c>
      <c r="D662" t="n">
        <v>8.6</v>
      </c>
      <c r="E662" t="n">
        <v>8.300000000000001</v>
      </c>
      <c r="G662" t="n">
        <v>9.042315</v>
      </c>
      <c r="H662" t="n">
        <v>7.7</v>
      </c>
      <c r="I662" t="n">
        <v>7.4</v>
      </c>
      <c r="J662" t="n">
        <v>7.3</v>
      </c>
      <c r="K662" t="n">
        <v>10.3</v>
      </c>
      <c r="L662" t="n">
        <v>19.2</v>
      </c>
      <c r="M662" t="n">
        <v>17.8</v>
      </c>
      <c r="N662" t="n">
        <v>9.5</v>
      </c>
      <c r="O662" t="n">
        <v>9.4</v>
      </c>
      <c r="P662" t="n">
        <v>8.309233000000001</v>
      </c>
      <c r="Q662" t="n">
        <v>7.919652</v>
      </c>
      <c r="R662" t="n">
        <v>11.2</v>
      </c>
      <c r="S662" t="n">
        <v>10.8</v>
      </c>
      <c r="T662" t="n">
        <v>13.8</v>
      </c>
      <c r="U662" t="n">
        <v>8.4</v>
      </c>
      <c r="W662" t="n">
        <v>8.6</v>
      </c>
      <c r="X662" t="n">
        <v>5</v>
      </c>
      <c r="Y662" t="n">
        <v>4.7</v>
      </c>
      <c r="Z662" t="n">
        <v>4.6</v>
      </c>
      <c r="AA662" t="n">
        <v>20.6</v>
      </c>
      <c r="AB662" t="n">
        <v>5.604528</v>
      </c>
      <c r="AC662" t="n">
        <v>5.1</v>
      </c>
      <c r="AD662" t="n">
        <v>3.6</v>
      </c>
      <c r="AE662" t="n">
        <v>8.709063</v>
      </c>
      <c r="AF662" t="n">
        <v>9.9</v>
      </c>
      <c r="AG662" t="n">
        <v>11.8</v>
      </c>
      <c r="AH662" t="n">
        <v>15</v>
      </c>
      <c r="AI662" t="n">
        <v>6.6</v>
      </c>
      <c r="AJ662" t="n">
        <v>9.1</v>
      </c>
      <c r="AK662" t="n">
        <v>12.2</v>
      </c>
      <c r="AL662" t="n">
        <v>9.800000000000001</v>
      </c>
    </row>
    <row r="663">
      <c r="A663" s="78" t="n">
        <v>40210</v>
      </c>
      <c r="B663" t="n">
        <v>5.303343</v>
      </c>
      <c r="C663" t="n">
        <v>5.3</v>
      </c>
      <c r="D663" t="n">
        <v>8.5</v>
      </c>
      <c r="E663" t="n">
        <v>8.300000000000001</v>
      </c>
      <c r="G663" t="n">
        <v>9.351497999999999</v>
      </c>
      <c r="H663" t="n">
        <v>8</v>
      </c>
      <c r="I663" t="n">
        <v>7.3</v>
      </c>
      <c r="J663" t="n">
        <v>7.7</v>
      </c>
      <c r="K663" t="n">
        <v>10.3</v>
      </c>
      <c r="L663" t="n">
        <v>19.3</v>
      </c>
      <c r="M663" t="n">
        <v>18.5</v>
      </c>
      <c r="N663" t="n">
        <v>8.9</v>
      </c>
      <c r="O663" t="n">
        <v>9.4</v>
      </c>
      <c r="P663" t="n">
        <v>8.320579</v>
      </c>
      <c r="Q663" t="n">
        <v>8.009586000000001</v>
      </c>
      <c r="R663" t="n">
        <v>11.7</v>
      </c>
      <c r="S663" t="n">
        <v>11</v>
      </c>
      <c r="T663" t="n">
        <v>13.7</v>
      </c>
      <c r="U663" t="n">
        <v>8.5</v>
      </c>
      <c r="W663" t="n">
        <v>8.699999999999999</v>
      </c>
      <c r="X663" t="n">
        <v>5</v>
      </c>
      <c r="Y663" t="n">
        <v>4</v>
      </c>
      <c r="Z663" t="n">
        <v>4.7</v>
      </c>
      <c r="AA663" t="n">
        <v>20.5</v>
      </c>
      <c r="AB663" t="n">
        <v>5.38643</v>
      </c>
      <c r="AC663" t="n">
        <v>5.1</v>
      </c>
      <c r="AD663" t="n">
        <v>3.9</v>
      </c>
      <c r="AE663" t="n">
        <v>8.665603000000001</v>
      </c>
      <c r="AF663" t="n">
        <v>10</v>
      </c>
      <c r="AG663" t="n">
        <v>12.1</v>
      </c>
      <c r="AH663" t="n">
        <v>15</v>
      </c>
      <c r="AI663" t="n">
        <v>6.7</v>
      </c>
      <c r="AJ663" t="n">
        <v>8.9</v>
      </c>
      <c r="AK663" t="n">
        <v>12</v>
      </c>
      <c r="AL663" t="n">
        <v>9.800000000000001</v>
      </c>
    </row>
    <row r="664">
      <c r="A664" s="78" t="n">
        <v>40238</v>
      </c>
      <c r="B664" t="n">
        <v>5.42433</v>
      </c>
      <c r="C664" t="n">
        <v>5.5</v>
      </c>
      <c r="D664" t="n">
        <v>8.5</v>
      </c>
      <c r="E664" t="n">
        <v>8.300000000000001</v>
      </c>
      <c r="G664" t="n">
        <v>8.858817999999999</v>
      </c>
      <c r="H664" t="n">
        <v>7.6</v>
      </c>
      <c r="I664" t="n">
        <v>7.3</v>
      </c>
      <c r="J664" t="n">
        <v>7.9</v>
      </c>
      <c r="K664" t="n">
        <v>10.3</v>
      </c>
      <c r="L664" t="n">
        <v>19.5</v>
      </c>
      <c r="M664" t="n">
        <v>18.8</v>
      </c>
      <c r="N664" t="n">
        <v>8.6</v>
      </c>
      <c r="O664" t="n">
        <v>9.300000000000001</v>
      </c>
      <c r="P664" t="n">
        <v>8.331962000000001</v>
      </c>
      <c r="Q664" t="n">
        <v>7.952375</v>
      </c>
      <c r="R664" t="n">
        <v>11.2</v>
      </c>
      <c r="S664" t="n">
        <v>11</v>
      </c>
      <c r="T664" t="n">
        <v>13.9</v>
      </c>
      <c r="U664" t="n">
        <v>8.5</v>
      </c>
      <c r="W664" t="n">
        <v>8.6</v>
      </c>
      <c r="X664" t="n">
        <v>5.1</v>
      </c>
      <c r="Y664" t="n">
        <v>3.6</v>
      </c>
      <c r="Z664" t="n">
        <v>4.6</v>
      </c>
      <c r="AA664" t="n">
        <v>20.6</v>
      </c>
      <c r="AB664" t="n">
        <v>5.163355</v>
      </c>
      <c r="AC664" t="n">
        <v>5.1</v>
      </c>
      <c r="AD664" t="n">
        <v>3.8</v>
      </c>
      <c r="AE664" t="n">
        <v>8.643189</v>
      </c>
      <c r="AF664" t="n">
        <v>10</v>
      </c>
      <c r="AG664" t="n">
        <v>12.1</v>
      </c>
      <c r="AH664" t="n">
        <v>15</v>
      </c>
      <c r="AI664" t="n">
        <v>6.9</v>
      </c>
      <c r="AJ664" t="n">
        <v>8.800000000000001</v>
      </c>
      <c r="AK664" t="n">
        <v>12</v>
      </c>
      <c r="AL664" t="n">
        <v>9.9</v>
      </c>
    </row>
    <row r="665">
      <c r="A665" s="78" t="n">
        <v>40269</v>
      </c>
      <c r="B665" t="n">
        <v>5.499742</v>
      </c>
      <c r="C665" t="n">
        <v>5.5</v>
      </c>
      <c r="D665" t="n">
        <v>8.5</v>
      </c>
      <c r="E665" t="n">
        <v>8.199999999999999</v>
      </c>
      <c r="G665" t="n">
        <v>8.799738</v>
      </c>
      <c r="H665" t="n">
        <v>7.3</v>
      </c>
      <c r="I665" t="n">
        <v>7.2</v>
      </c>
      <c r="J665" t="n">
        <v>7.9</v>
      </c>
      <c r="K665" t="n">
        <v>10.4</v>
      </c>
      <c r="L665" t="n">
        <v>19.8</v>
      </c>
      <c r="M665" t="n">
        <v>18.6</v>
      </c>
      <c r="N665" t="n">
        <v>8.6</v>
      </c>
      <c r="O665" t="n">
        <v>9.300000000000001</v>
      </c>
      <c r="P665" t="n">
        <v>8.342138</v>
      </c>
      <c r="Q665" t="n">
        <v>7.922887</v>
      </c>
      <c r="R665" t="n">
        <v>12.1</v>
      </c>
      <c r="S665" t="n">
        <v>10.9</v>
      </c>
      <c r="T665" t="n">
        <v>14.2</v>
      </c>
      <c r="U665" t="n">
        <v>8.5</v>
      </c>
      <c r="W665" t="n">
        <v>8.699999999999999</v>
      </c>
      <c r="X665" t="n">
        <v>5.1</v>
      </c>
      <c r="Y665" t="n">
        <v>3.6</v>
      </c>
      <c r="Z665" t="n">
        <v>4.5</v>
      </c>
      <c r="AA665" t="n">
        <v>20.5</v>
      </c>
      <c r="AB665" t="n">
        <v>5.522908</v>
      </c>
      <c r="AC665" t="n">
        <v>5</v>
      </c>
      <c r="AD665" t="n">
        <v>3.9</v>
      </c>
      <c r="AE665" t="n">
        <v>8.692595000000001</v>
      </c>
      <c r="AF665" t="n">
        <v>9.800000000000001</v>
      </c>
      <c r="AG665" t="n">
        <v>12.5</v>
      </c>
      <c r="AH665" t="n">
        <v>14.9</v>
      </c>
      <c r="AI665" t="n">
        <v>7.2</v>
      </c>
      <c r="AJ665" t="n">
        <v>9.300000000000001</v>
      </c>
      <c r="AK665" t="n">
        <v>11.5</v>
      </c>
      <c r="AL665" t="n">
        <v>9.9</v>
      </c>
    </row>
    <row r="666">
      <c r="A666" s="78" t="n">
        <v>40299</v>
      </c>
      <c r="B666" t="n">
        <v>5.229443</v>
      </c>
      <c r="C666" t="n">
        <v>5.3</v>
      </c>
      <c r="D666" t="n">
        <v>8.5</v>
      </c>
      <c r="E666" t="n">
        <v>8.1</v>
      </c>
      <c r="G666" t="n">
        <v>8.285057999999999</v>
      </c>
      <c r="H666" t="n">
        <v>7.4</v>
      </c>
      <c r="I666" t="n">
        <v>7</v>
      </c>
      <c r="J666" t="n">
        <v>7.7</v>
      </c>
      <c r="K666" t="n">
        <v>10.4</v>
      </c>
      <c r="L666" t="n">
        <v>20</v>
      </c>
      <c r="M666" t="n">
        <v>17.7</v>
      </c>
      <c r="N666" t="n">
        <v>8.300000000000001</v>
      </c>
      <c r="O666" t="n">
        <v>9.300000000000001</v>
      </c>
      <c r="P666" t="n">
        <v>8.195957</v>
      </c>
      <c r="Q666" t="n">
        <v>7.852352</v>
      </c>
      <c r="R666" t="n">
        <v>12.4</v>
      </c>
      <c r="S666" t="n">
        <v>11</v>
      </c>
      <c r="T666" t="n">
        <v>14.5</v>
      </c>
      <c r="U666" t="n">
        <v>8.5</v>
      </c>
      <c r="W666" t="n">
        <v>8.699999999999999</v>
      </c>
      <c r="X666" t="n">
        <v>5.1</v>
      </c>
      <c r="Y666" t="n">
        <v>3.2</v>
      </c>
      <c r="Z666" t="n">
        <v>4.4</v>
      </c>
      <c r="AA666" t="n">
        <v>20.2</v>
      </c>
      <c r="AB666" t="n">
        <v>5.428061</v>
      </c>
      <c r="AC666" t="n">
        <v>5</v>
      </c>
      <c r="AD666" t="n">
        <v>3.9</v>
      </c>
      <c r="AE666" t="n">
        <v>8.556009</v>
      </c>
      <c r="AF666" t="n">
        <v>9.699999999999999</v>
      </c>
      <c r="AG666" t="n">
        <v>12.7</v>
      </c>
      <c r="AH666" t="n">
        <v>14.7</v>
      </c>
      <c r="AI666" t="n">
        <v>7.4</v>
      </c>
      <c r="AJ666" t="n">
        <v>8.800000000000001</v>
      </c>
      <c r="AK666" t="n">
        <v>11.2</v>
      </c>
      <c r="AL666" t="n">
        <v>9.6</v>
      </c>
    </row>
    <row r="667">
      <c r="A667" s="78" t="n">
        <v>40330</v>
      </c>
      <c r="B667" t="n">
        <v>5.144043</v>
      </c>
      <c r="C667" t="n">
        <v>5.3</v>
      </c>
      <c r="D667" t="n">
        <v>8.5</v>
      </c>
      <c r="E667" t="n">
        <v>8</v>
      </c>
      <c r="G667" t="n">
        <v>8.081142</v>
      </c>
      <c r="H667" t="n">
        <v>7.1</v>
      </c>
      <c r="I667" t="n">
        <v>6.9</v>
      </c>
      <c r="J667" t="n">
        <v>7.8</v>
      </c>
      <c r="K667" t="n">
        <v>10.3</v>
      </c>
      <c r="L667" t="n">
        <v>20</v>
      </c>
      <c r="M667" t="n">
        <v>16.9</v>
      </c>
      <c r="N667" t="n">
        <v>8.699999999999999</v>
      </c>
      <c r="O667" t="n">
        <v>9.300000000000001</v>
      </c>
      <c r="P667" t="n">
        <v>8.078571</v>
      </c>
      <c r="Q667" t="n">
        <v>7.820323</v>
      </c>
      <c r="R667" t="n">
        <v>12.3</v>
      </c>
      <c r="S667" t="n">
        <v>10.7</v>
      </c>
      <c r="T667" t="n">
        <v>14.4</v>
      </c>
      <c r="U667" t="n">
        <v>8.4</v>
      </c>
      <c r="W667" t="n">
        <v>8.5</v>
      </c>
      <c r="X667" t="n">
        <v>5.2</v>
      </c>
      <c r="Y667" t="n">
        <v>3.5</v>
      </c>
      <c r="Z667" t="n">
        <v>4.4</v>
      </c>
      <c r="AA667" t="n">
        <v>19.8</v>
      </c>
      <c r="AB667" t="n">
        <v>5.218817</v>
      </c>
      <c r="AC667" t="n">
        <v>5</v>
      </c>
      <c r="AD667" t="n">
        <v>3.8</v>
      </c>
      <c r="AE667" t="n">
        <v>8.451466999999999</v>
      </c>
      <c r="AF667" t="n">
        <v>9.6</v>
      </c>
      <c r="AG667" t="n">
        <v>12.9</v>
      </c>
      <c r="AH667" t="n">
        <v>14.5</v>
      </c>
      <c r="AI667" t="n">
        <v>7.4</v>
      </c>
      <c r="AJ667" t="n">
        <v>8.199999999999999</v>
      </c>
      <c r="AK667" t="n">
        <v>10.9</v>
      </c>
      <c r="AL667" t="n">
        <v>9.4</v>
      </c>
    </row>
    <row r="668">
      <c r="A668" s="78" t="n">
        <v>40360</v>
      </c>
      <c r="B668" t="n">
        <v>5.289492</v>
      </c>
      <c r="C668" t="n">
        <v>5.2</v>
      </c>
      <c r="D668" t="n">
        <v>8.5</v>
      </c>
      <c r="E668" t="n">
        <v>8</v>
      </c>
      <c r="G668" t="n">
        <v>7.988643</v>
      </c>
      <c r="H668" t="n">
        <v>7.3</v>
      </c>
      <c r="I668" t="n">
        <v>6.8</v>
      </c>
      <c r="J668" t="n">
        <v>7.7</v>
      </c>
      <c r="K668" t="n">
        <v>10.2</v>
      </c>
      <c r="L668" t="n">
        <v>19.9</v>
      </c>
      <c r="M668" t="n">
        <v>16</v>
      </c>
      <c r="N668" t="n">
        <v>8.6</v>
      </c>
      <c r="O668" t="n">
        <v>9.199999999999999</v>
      </c>
      <c r="P668" t="n">
        <v>8.034503000000001</v>
      </c>
      <c r="Q668" t="n">
        <v>7.782019</v>
      </c>
      <c r="R668" t="n">
        <v>12.9</v>
      </c>
      <c r="S668" t="n">
        <v>10.6</v>
      </c>
      <c r="T668" t="n">
        <v>14.3</v>
      </c>
      <c r="U668" t="n">
        <v>8.4</v>
      </c>
      <c r="W668" t="n">
        <v>8.4</v>
      </c>
      <c r="X668" t="n">
        <v>5</v>
      </c>
      <c r="Y668" t="n">
        <v>3.8</v>
      </c>
      <c r="Z668" t="n">
        <v>4.4</v>
      </c>
      <c r="AA668" t="n">
        <v>19.3</v>
      </c>
      <c r="AB668" t="n">
        <v>5.343622</v>
      </c>
      <c r="AC668" t="n">
        <v>5</v>
      </c>
      <c r="AD668" t="n">
        <v>3.8</v>
      </c>
      <c r="AE668" t="n">
        <v>8.434412999999999</v>
      </c>
      <c r="AF668" t="n">
        <v>9.4</v>
      </c>
      <c r="AG668" t="n">
        <v>12.9</v>
      </c>
      <c r="AH668" t="n">
        <v>14.4</v>
      </c>
      <c r="AI668" t="n">
        <v>7.3</v>
      </c>
      <c r="AJ668" t="n">
        <v>8.699999999999999</v>
      </c>
      <c r="AK668" t="n">
        <v>10.7</v>
      </c>
      <c r="AL668" t="n">
        <v>9.4</v>
      </c>
    </row>
    <row r="669">
      <c r="A669" s="78" t="n">
        <v>40391</v>
      </c>
      <c r="B669" t="n">
        <v>5.033607</v>
      </c>
      <c r="C669" t="n">
        <v>5.2</v>
      </c>
      <c r="D669" t="n">
        <v>8.300000000000001</v>
      </c>
      <c r="E669" t="n">
        <v>8.1</v>
      </c>
      <c r="G669" t="n">
        <v>7.791483</v>
      </c>
      <c r="H669" t="n">
        <v>7.2</v>
      </c>
      <c r="I669" t="n">
        <v>6.8</v>
      </c>
      <c r="J669" t="n">
        <v>7.7</v>
      </c>
      <c r="K669" t="n">
        <v>10.2</v>
      </c>
      <c r="L669" t="n">
        <v>20</v>
      </c>
      <c r="M669" t="n">
        <v>15.8</v>
      </c>
      <c r="N669" t="n">
        <v>8.5</v>
      </c>
      <c r="O669" t="n">
        <v>9.199999999999999</v>
      </c>
      <c r="P669" t="n">
        <v>8.064410000000001</v>
      </c>
      <c r="Q669" t="n">
        <v>7.754646</v>
      </c>
      <c r="R669" t="n">
        <v>13</v>
      </c>
      <c r="S669" t="n">
        <v>10.9</v>
      </c>
      <c r="T669" t="n">
        <v>14.5</v>
      </c>
      <c r="U669" t="n">
        <v>8.300000000000001</v>
      </c>
      <c r="W669" t="n">
        <v>8.300000000000001</v>
      </c>
      <c r="X669" t="n">
        <v>5.1</v>
      </c>
      <c r="Y669" t="n">
        <v>3.5</v>
      </c>
      <c r="Z669" t="n">
        <v>4.4</v>
      </c>
      <c r="AA669" t="n">
        <v>19.1</v>
      </c>
      <c r="AB669" t="n">
        <v>5.089085</v>
      </c>
      <c r="AC669" t="n">
        <v>5</v>
      </c>
      <c r="AD669" t="n">
        <v>3.6</v>
      </c>
      <c r="AE669" t="n">
        <v>8.40329</v>
      </c>
      <c r="AF669" t="n">
        <v>9.4</v>
      </c>
      <c r="AG669" t="n">
        <v>13</v>
      </c>
      <c r="AH669" t="n">
        <v>14.2</v>
      </c>
      <c r="AI669" t="n">
        <v>7.4</v>
      </c>
      <c r="AJ669" t="n">
        <v>8.4</v>
      </c>
      <c r="AK669" t="n">
        <v>11</v>
      </c>
      <c r="AL669" t="n">
        <v>9.5</v>
      </c>
    </row>
    <row r="670">
      <c r="A670" s="78" t="n">
        <v>40422</v>
      </c>
      <c r="B670" t="n">
        <v>5.053716</v>
      </c>
      <c r="C670" t="n">
        <v>5.1</v>
      </c>
      <c r="D670" t="n">
        <v>8.199999999999999</v>
      </c>
      <c r="E670" t="n">
        <v>8.199999999999999</v>
      </c>
      <c r="G670" t="n">
        <v>7.693734</v>
      </c>
      <c r="H670" t="n">
        <v>6.9</v>
      </c>
      <c r="I670" t="n">
        <v>6.7</v>
      </c>
      <c r="J670" t="n">
        <v>7.8</v>
      </c>
      <c r="K670" t="n">
        <v>10.2</v>
      </c>
      <c r="L670" t="n">
        <v>20</v>
      </c>
      <c r="M670" t="n">
        <v>15.4</v>
      </c>
      <c r="N670" t="n">
        <v>8.1</v>
      </c>
      <c r="O670" t="n">
        <v>9.199999999999999</v>
      </c>
      <c r="P670" t="n">
        <v>8.064557000000001</v>
      </c>
      <c r="Q670" t="n">
        <v>7.897151</v>
      </c>
      <c r="R670" t="n">
        <v>13.2</v>
      </c>
      <c r="S670" t="n">
        <v>10.5</v>
      </c>
      <c r="T670" t="n">
        <v>15</v>
      </c>
      <c r="U670" t="n">
        <v>8.300000000000001</v>
      </c>
      <c r="W670" t="n">
        <v>8.4</v>
      </c>
      <c r="X670" t="n">
        <v>5.1</v>
      </c>
      <c r="Y670" t="n">
        <v>3.8</v>
      </c>
      <c r="Z670" t="n">
        <v>4.5</v>
      </c>
      <c r="AA670" t="n">
        <v>18.9</v>
      </c>
      <c r="AB670" t="n">
        <v>5.296071</v>
      </c>
      <c r="AC670" t="n">
        <v>5</v>
      </c>
      <c r="AD670" t="n">
        <v>3.7</v>
      </c>
      <c r="AE670" t="n">
        <v>8.407583000000001</v>
      </c>
      <c r="AF670" t="n">
        <v>9.5</v>
      </c>
      <c r="AG670" t="n">
        <v>12.9</v>
      </c>
      <c r="AH670" t="n">
        <v>14.2</v>
      </c>
      <c r="AI670" t="n">
        <v>7.4</v>
      </c>
      <c r="AJ670" t="n">
        <v>8.4</v>
      </c>
      <c r="AK670" t="n">
        <v>10.9</v>
      </c>
      <c r="AL670" t="n">
        <v>9.5</v>
      </c>
    </row>
    <row r="671">
      <c r="A671" s="78" t="n">
        <v>40452</v>
      </c>
      <c r="B671" t="n">
        <v>5.286494</v>
      </c>
      <c r="C671" t="n">
        <v>5.2</v>
      </c>
      <c r="D671" t="n">
        <v>8.1</v>
      </c>
      <c r="E671" t="n">
        <v>8</v>
      </c>
      <c r="G671" t="n">
        <v>7.481162</v>
      </c>
      <c r="H671" t="n">
        <v>7.1</v>
      </c>
      <c r="I671" t="n">
        <v>6.7</v>
      </c>
      <c r="J671" t="n">
        <v>7.8</v>
      </c>
      <c r="K671" t="n">
        <v>10.3</v>
      </c>
      <c r="L671" t="n">
        <v>20.1</v>
      </c>
      <c r="M671" t="n">
        <v>14.7</v>
      </c>
      <c r="N671" t="n">
        <v>8.300000000000001</v>
      </c>
      <c r="O671" t="n">
        <v>9.199999999999999</v>
      </c>
      <c r="P671" t="n">
        <v>8.050978000000001</v>
      </c>
      <c r="Q671" t="n">
        <v>7.871097</v>
      </c>
      <c r="R671" t="n">
        <v>14</v>
      </c>
      <c r="S671" t="n">
        <v>10.5</v>
      </c>
      <c r="T671" t="n">
        <v>15.6</v>
      </c>
      <c r="U671" t="n">
        <v>8.300000000000001</v>
      </c>
      <c r="W671" t="n">
        <v>8.6</v>
      </c>
      <c r="X671" t="n">
        <v>5.1</v>
      </c>
      <c r="Y671" t="n">
        <v>3.7</v>
      </c>
      <c r="Z671" t="n">
        <v>4.6</v>
      </c>
      <c r="AA671" t="n">
        <v>18.5</v>
      </c>
      <c r="AB671" t="n">
        <v>5.541378</v>
      </c>
      <c r="AC671" t="n">
        <v>4.9</v>
      </c>
      <c r="AD671" t="n">
        <v>3.6</v>
      </c>
      <c r="AE671" t="n">
        <v>8.427565</v>
      </c>
      <c r="AF671" t="n">
        <v>9.6</v>
      </c>
      <c r="AG671" t="n">
        <v>12.6</v>
      </c>
      <c r="AH671" t="n">
        <v>14</v>
      </c>
      <c r="AI671" t="n">
        <v>7.6</v>
      </c>
      <c r="AJ671" t="n">
        <v>8.300000000000001</v>
      </c>
      <c r="AK671" t="n">
        <v>10.7</v>
      </c>
      <c r="AL671" t="n">
        <v>9.4</v>
      </c>
    </row>
    <row r="672">
      <c r="A672" s="78" t="n">
        <v>40483</v>
      </c>
      <c r="B672" t="n">
        <v>5.109102</v>
      </c>
      <c r="C672" t="n">
        <v>4.7</v>
      </c>
      <c r="D672" t="n">
        <v>7.9</v>
      </c>
      <c r="E672" t="n">
        <v>7.7</v>
      </c>
      <c r="G672" t="n">
        <v>7.801041</v>
      </c>
      <c r="H672" t="n">
        <v>7</v>
      </c>
      <c r="I672" t="n">
        <v>6.6</v>
      </c>
      <c r="J672" t="n">
        <v>7.8</v>
      </c>
      <c r="K672" t="n">
        <v>10.2</v>
      </c>
      <c r="L672" t="n">
        <v>20.2</v>
      </c>
      <c r="M672" t="n">
        <v>13.9</v>
      </c>
      <c r="N672" t="n">
        <v>8.1</v>
      </c>
      <c r="O672" t="n">
        <v>9.199999999999999</v>
      </c>
      <c r="P672" t="n">
        <v>8.150242</v>
      </c>
      <c r="Q672" t="n">
        <v>7.863269</v>
      </c>
      <c r="R672" t="n">
        <v>14.2</v>
      </c>
      <c r="S672" t="n">
        <v>10.8</v>
      </c>
      <c r="T672" t="n">
        <v>15.7</v>
      </c>
      <c r="U672" t="n">
        <v>8.300000000000001</v>
      </c>
      <c r="W672" t="n">
        <v>8.4</v>
      </c>
      <c r="X672" t="n">
        <v>5</v>
      </c>
      <c r="Y672" t="n">
        <v>3.3</v>
      </c>
      <c r="Z672" t="n">
        <v>4.8</v>
      </c>
      <c r="AA672" t="n">
        <v>18.1</v>
      </c>
      <c r="AB672" t="n">
        <v>5.491998</v>
      </c>
      <c r="AC672" t="n">
        <v>4.9</v>
      </c>
      <c r="AD672" t="n">
        <v>3.7</v>
      </c>
      <c r="AE672" t="n">
        <v>8.477641</v>
      </c>
      <c r="AF672" t="n">
        <v>9.6</v>
      </c>
      <c r="AG672" t="n">
        <v>12.8</v>
      </c>
      <c r="AH672" t="n">
        <v>13.9</v>
      </c>
      <c r="AI672" t="n">
        <v>7.7</v>
      </c>
      <c r="AJ672" t="n">
        <v>8</v>
      </c>
      <c r="AK672" t="n">
        <v>10.2</v>
      </c>
      <c r="AL672" t="n">
        <v>9.800000000000001</v>
      </c>
    </row>
    <row r="673">
      <c r="A673" s="78" t="n">
        <v>40513</v>
      </c>
      <c r="B673" t="n">
        <v>4.878179</v>
      </c>
      <c r="C673" t="n">
        <v>4.8</v>
      </c>
      <c r="D673" t="n">
        <v>7.7</v>
      </c>
      <c r="E673" t="n">
        <v>7.7</v>
      </c>
      <c r="G673" t="n">
        <v>7.939232</v>
      </c>
      <c r="H673" t="n">
        <v>6.8</v>
      </c>
      <c r="I673" t="n">
        <v>6.5</v>
      </c>
      <c r="J673" t="n">
        <v>7.9</v>
      </c>
      <c r="K673" t="n">
        <v>10.2</v>
      </c>
      <c r="L673" t="n">
        <v>20.4</v>
      </c>
      <c r="M673" t="n">
        <v>14.3</v>
      </c>
      <c r="N673" t="n">
        <v>8.6</v>
      </c>
      <c r="O673" t="n">
        <v>9.199999999999999</v>
      </c>
      <c r="P673" t="n">
        <v>7.91011</v>
      </c>
      <c r="Q673" t="n">
        <v>7.908611</v>
      </c>
      <c r="R673" t="n">
        <v>14.6</v>
      </c>
      <c r="S673" t="n">
        <v>10.7</v>
      </c>
      <c r="T673" t="n">
        <v>15.6</v>
      </c>
      <c r="U673" t="n">
        <v>8.300000000000001</v>
      </c>
      <c r="W673" t="n">
        <v>8.199999999999999</v>
      </c>
      <c r="X673" t="n">
        <v>4.9</v>
      </c>
      <c r="Y673" t="n">
        <v>3.6</v>
      </c>
      <c r="Z673" t="n">
        <v>4.8</v>
      </c>
      <c r="AA673" t="n">
        <v>17.6</v>
      </c>
      <c r="AB673" t="n">
        <v>5.487367</v>
      </c>
      <c r="AC673" t="n">
        <v>5</v>
      </c>
      <c r="AD673" t="n">
        <v>3.5</v>
      </c>
      <c r="AE673" t="n">
        <v>8.339292</v>
      </c>
      <c r="AF673" t="n">
        <v>9.5</v>
      </c>
      <c r="AG673" t="n">
        <v>12.7</v>
      </c>
      <c r="AH673" t="n">
        <v>13.9</v>
      </c>
      <c r="AI673" t="n">
        <v>7.9</v>
      </c>
      <c r="AJ673" t="n">
        <v>8</v>
      </c>
      <c r="AK673" t="n">
        <v>10.1</v>
      </c>
      <c r="AL673" t="n">
        <v>9.300000000000001</v>
      </c>
    </row>
    <row r="674">
      <c r="A674" s="78" t="n">
        <v>40544</v>
      </c>
      <c r="B674" t="n">
        <v>5.00418</v>
      </c>
      <c r="C674" t="n">
        <v>4.9</v>
      </c>
      <c r="D674" t="n">
        <v>7.3</v>
      </c>
      <c r="E674" t="n">
        <v>7.8</v>
      </c>
      <c r="G674" t="n">
        <v>7.837737</v>
      </c>
      <c r="H674" t="n">
        <v>7</v>
      </c>
      <c r="I674" t="n">
        <v>6.4</v>
      </c>
      <c r="J674" t="n">
        <v>7.9</v>
      </c>
      <c r="K674" t="n">
        <v>10.1</v>
      </c>
      <c r="L674" t="n">
        <v>20.5</v>
      </c>
      <c r="M674" t="n">
        <v>14.3</v>
      </c>
      <c r="N674" t="n">
        <v>8.300000000000001</v>
      </c>
      <c r="O674" t="n">
        <v>9.199999999999999</v>
      </c>
      <c r="P674" t="n">
        <v>7.801482</v>
      </c>
      <c r="Q674" t="n">
        <v>7.80266</v>
      </c>
      <c r="R674" t="n">
        <v>15</v>
      </c>
      <c r="S674" t="n">
        <v>10.8</v>
      </c>
      <c r="T674" t="n">
        <v>15.4</v>
      </c>
      <c r="U674" t="n">
        <v>8.300000000000001</v>
      </c>
      <c r="W674" t="n">
        <v>8.199999999999999</v>
      </c>
      <c r="X674" t="n">
        <v>4.8</v>
      </c>
      <c r="Y674" t="n">
        <v>3.6</v>
      </c>
      <c r="Z674" t="n">
        <v>4.7</v>
      </c>
      <c r="AA674" t="n">
        <v>17.1</v>
      </c>
      <c r="AB674" t="n">
        <v>5.199692</v>
      </c>
      <c r="AC674" t="n">
        <v>4.9</v>
      </c>
      <c r="AD674" t="n">
        <v>3.4</v>
      </c>
      <c r="AE674" t="n">
        <v>8.215915000000001</v>
      </c>
      <c r="AF674" t="n">
        <v>9.5</v>
      </c>
      <c r="AG674" t="n">
        <v>12.8</v>
      </c>
      <c r="AH674" t="n">
        <v>13.9</v>
      </c>
      <c r="AI674" t="n">
        <v>8</v>
      </c>
      <c r="AJ674" t="n">
        <v>8</v>
      </c>
      <c r="AK674" t="n">
        <v>9.9</v>
      </c>
      <c r="AL674" t="n">
        <v>9.1</v>
      </c>
    </row>
    <row r="675">
      <c r="A675" s="78" t="n">
        <v>40575</v>
      </c>
      <c r="B675" t="n">
        <v>4.978266</v>
      </c>
      <c r="C675" t="n">
        <v>5.5</v>
      </c>
      <c r="D675" t="n">
        <v>7.1</v>
      </c>
      <c r="E675" t="n">
        <v>7.7</v>
      </c>
      <c r="G675" t="n">
        <v>7.611103</v>
      </c>
      <c r="H675" t="n">
        <v>7</v>
      </c>
      <c r="I675" t="n">
        <v>6.2</v>
      </c>
      <c r="J675" t="n">
        <v>7.9</v>
      </c>
      <c r="K675" t="n">
        <v>10.1</v>
      </c>
      <c r="L675" t="n">
        <v>20.6</v>
      </c>
      <c r="M675" t="n">
        <v>13.6</v>
      </c>
      <c r="N675" t="n">
        <v>8.1</v>
      </c>
      <c r="O675" t="n">
        <v>9.199999999999999</v>
      </c>
      <c r="P675" t="n">
        <v>7.689581</v>
      </c>
      <c r="Q675" t="n">
        <v>7.778467</v>
      </c>
      <c r="R675" t="n">
        <v>15.5</v>
      </c>
      <c r="S675" t="n">
        <v>11.3</v>
      </c>
      <c r="T675" t="n">
        <v>15.1</v>
      </c>
      <c r="U675" t="n">
        <v>8.199999999999999</v>
      </c>
      <c r="W675" t="n">
        <v>8.1</v>
      </c>
      <c r="X675" t="n">
        <v>4.7</v>
      </c>
      <c r="Y675" t="n">
        <v>3.7</v>
      </c>
      <c r="Z675" t="n">
        <v>4.7</v>
      </c>
      <c r="AA675" t="n">
        <v>17</v>
      </c>
      <c r="AB675" t="n">
        <v>5.347421</v>
      </c>
      <c r="AC675" t="n">
        <v>4.9</v>
      </c>
      <c r="AD675" t="n">
        <v>3.2</v>
      </c>
      <c r="AE675" t="n">
        <v>8.162546000000001</v>
      </c>
      <c r="AF675" t="n">
        <v>9.4</v>
      </c>
      <c r="AG675" t="n">
        <v>12.8</v>
      </c>
      <c r="AH675" t="n">
        <v>13.8</v>
      </c>
      <c r="AI675" t="n">
        <v>8.1</v>
      </c>
      <c r="AJ675" t="n">
        <v>7.8</v>
      </c>
      <c r="AK675" t="n">
        <v>9.6</v>
      </c>
      <c r="AL675" t="n">
        <v>9</v>
      </c>
    </row>
    <row r="676">
      <c r="A676" s="78" t="n">
        <v>40603</v>
      </c>
      <c r="B676" t="n">
        <v>4.927809</v>
      </c>
      <c r="C676" t="n">
        <v>5</v>
      </c>
      <c r="D676" t="n">
        <v>6.9</v>
      </c>
      <c r="E676" t="n">
        <v>7.7</v>
      </c>
      <c r="G676" t="n">
        <v>7.214459</v>
      </c>
      <c r="H676" t="n">
        <v>6.8</v>
      </c>
      <c r="I676" t="n">
        <v>6.1</v>
      </c>
      <c r="J676" t="n">
        <v>7.7</v>
      </c>
      <c r="K676" t="n">
        <v>10.1</v>
      </c>
      <c r="L676" t="n">
        <v>20.6</v>
      </c>
      <c r="M676" t="n">
        <v>13.5</v>
      </c>
      <c r="N676" t="n">
        <v>8.9</v>
      </c>
      <c r="O676" t="n">
        <v>9.1</v>
      </c>
      <c r="P676" t="n">
        <v>7.645073</v>
      </c>
      <c r="Q676" t="n">
        <v>7.716984</v>
      </c>
      <c r="R676" t="n">
        <v>16.1</v>
      </c>
      <c r="S676" t="n">
        <v>10.8</v>
      </c>
      <c r="T676" t="n">
        <v>14.9</v>
      </c>
      <c r="U676" t="n">
        <v>8.1</v>
      </c>
      <c r="W676" t="n">
        <v>8.1</v>
      </c>
      <c r="X676" t="n">
        <v>4.7</v>
      </c>
      <c r="Y676" t="n">
        <v>3.8</v>
      </c>
      <c r="Z676" t="n">
        <v>4.7</v>
      </c>
      <c r="AA676" t="n">
        <v>16.9</v>
      </c>
      <c r="AB676" t="n">
        <v>4.964907</v>
      </c>
      <c r="AC676" t="n">
        <v>4.8</v>
      </c>
      <c r="AD676" t="n">
        <v>3.3</v>
      </c>
      <c r="AE676" t="n">
        <v>8.072037</v>
      </c>
      <c r="AF676" t="n">
        <v>9.5</v>
      </c>
      <c r="AG676" t="n">
        <v>13</v>
      </c>
      <c r="AH676" t="n">
        <v>13.8</v>
      </c>
      <c r="AI676" t="n">
        <v>8.1</v>
      </c>
      <c r="AJ676" t="n">
        <v>7.9</v>
      </c>
      <c r="AK676" t="n">
        <v>9.5</v>
      </c>
      <c r="AL676" t="n">
        <v>9</v>
      </c>
    </row>
    <row r="677">
      <c r="A677" s="78" t="n">
        <v>40634</v>
      </c>
      <c r="B677" t="n">
        <v>4.960418</v>
      </c>
      <c r="C677" t="n">
        <v>4.9</v>
      </c>
      <c r="D677" t="n">
        <v>6.8</v>
      </c>
      <c r="E677" t="n">
        <v>7.7</v>
      </c>
      <c r="G677" t="n">
        <v>7.051506</v>
      </c>
      <c r="H677" t="n">
        <v>6.9</v>
      </c>
      <c r="I677" t="n">
        <v>6</v>
      </c>
      <c r="J677" t="n">
        <v>7.6</v>
      </c>
      <c r="K677" t="n">
        <v>10</v>
      </c>
      <c r="L677" t="n">
        <v>20.6</v>
      </c>
      <c r="M677" t="n">
        <v>12.8</v>
      </c>
      <c r="N677" t="n">
        <v>7.6</v>
      </c>
      <c r="O677" t="n">
        <v>9.1</v>
      </c>
      <c r="P677" t="n">
        <v>7.688267</v>
      </c>
      <c r="Q677" t="n">
        <v>7.821959</v>
      </c>
      <c r="R677" t="n">
        <v>16.2</v>
      </c>
      <c r="S677" t="n">
        <v>10.5</v>
      </c>
      <c r="T677" t="n">
        <v>14.9</v>
      </c>
      <c r="U677" t="n">
        <v>8.1</v>
      </c>
      <c r="W677" t="n">
        <v>8</v>
      </c>
      <c r="X677" t="n">
        <v>4.7</v>
      </c>
      <c r="Y677" t="n">
        <v>3.5</v>
      </c>
      <c r="Z677" t="n">
        <v>4.7</v>
      </c>
      <c r="AA677" t="n">
        <v>17.2</v>
      </c>
      <c r="AB677" t="n">
        <v>5.23611</v>
      </c>
      <c r="AC677" t="n">
        <v>4.7</v>
      </c>
      <c r="AD677" t="n">
        <v>3.4</v>
      </c>
      <c r="AE677" t="n">
        <v>8.096698</v>
      </c>
      <c r="AF677" t="n">
        <v>9.6</v>
      </c>
      <c r="AG677" t="n">
        <v>13</v>
      </c>
      <c r="AH677" t="n">
        <v>13.7</v>
      </c>
      <c r="AI677" t="n">
        <v>8</v>
      </c>
      <c r="AJ677" t="n">
        <v>7.7</v>
      </c>
      <c r="AK677" t="n">
        <v>9.5</v>
      </c>
      <c r="AL677" t="n">
        <v>9.1</v>
      </c>
    </row>
    <row r="678">
      <c r="A678" s="78" t="n">
        <v>40664</v>
      </c>
      <c r="B678" t="n">
        <v>5.01334</v>
      </c>
      <c r="C678" t="n">
        <v>4.9</v>
      </c>
      <c r="D678" t="n">
        <v>6.9</v>
      </c>
      <c r="E678" t="n">
        <v>7.6</v>
      </c>
      <c r="G678" t="n">
        <v>6.914277</v>
      </c>
      <c r="H678" t="n">
        <v>6.8</v>
      </c>
      <c r="I678" t="n">
        <v>5.9</v>
      </c>
      <c r="J678" t="n">
        <v>7.5</v>
      </c>
      <c r="K678" t="n">
        <v>10.1</v>
      </c>
      <c r="L678" t="n">
        <v>20.6</v>
      </c>
      <c r="M678" t="n">
        <v>12.7</v>
      </c>
      <c r="N678" t="n">
        <v>7.7</v>
      </c>
      <c r="O678" t="n">
        <v>9</v>
      </c>
      <c r="P678" t="n">
        <v>7.661175</v>
      </c>
      <c r="Q678" t="n">
        <v>7.940033</v>
      </c>
      <c r="R678" t="n">
        <v>17.3</v>
      </c>
      <c r="S678" t="n">
        <v>10.7</v>
      </c>
      <c r="T678" t="n">
        <v>15</v>
      </c>
      <c r="U678" t="n">
        <v>7.9</v>
      </c>
      <c r="W678" t="n">
        <v>8.300000000000001</v>
      </c>
      <c r="X678" t="n">
        <v>4.6</v>
      </c>
      <c r="Y678" t="n">
        <v>3.3</v>
      </c>
      <c r="Z678" t="n">
        <v>4.8</v>
      </c>
      <c r="AA678" t="n">
        <v>17</v>
      </c>
      <c r="AB678" t="n">
        <v>5.448342</v>
      </c>
      <c r="AC678" t="n">
        <v>4.8</v>
      </c>
      <c r="AD678" t="n">
        <v>3.4</v>
      </c>
      <c r="AE678" t="n">
        <v>8.111255999999999</v>
      </c>
      <c r="AF678" t="n">
        <v>9.6</v>
      </c>
      <c r="AG678" t="n">
        <v>13.1</v>
      </c>
      <c r="AH678" t="n">
        <v>13.6</v>
      </c>
      <c r="AI678" t="n">
        <v>8</v>
      </c>
      <c r="AJ678" t="n">
        <v>7.8</v>
      </c>
      <c r="AK678" t="n">
        <v>9.6</v>
      </c>
      <c r="AL678" t="n">
        <v>9</v>
      </c>
    </row>
    <row r="679">
      <c r="A679" s="78" t="n">
        <v>40695</v>
      </c>
      <c r="B679" t="n">
        <v>4.915062</v>
      </c>
      <c r="C679" t="n">
        <v>4.6</v>
      </c>
      <c r="D679" t="n">
        <v>7.1</v>
      </c>
      <c r="E679" t="n">
        <v>7.6</v>
      </c>
      <c r="G679" t="n">
        <v>7.187836</v>
      </c>
      <c r="H679" t="n">
        <v>6.9</v>
      </c>
      <c r="I679" t="n">
        <v>5.8</v>
      </c>
      <c r="J679" t="n">
        <v>7.6</v>
      </c>
      <c r="K679" t="n">
        <v>10.1</v>
      </c>
      <c r="L679" t="n">
        <v>21</v>
      </c>
      <c r="M679" t="n">
        <v>12.7</v>
      </c>
      <c r="N679" t="n">
        <v>8.300000000000001</v>
      </c>
      <c r="O679" t="n">
        <v>9.1</v>
      </c>
      <c r="P679" t="n">
        <v>7.707698</v>
      </c>
      <c r="Q679" t="n">
        <v>8.012876</v>
      </c>
      <c r="R679" t="n">
        <v>17</v>
      </c>
      <c r="S679" t="n">
        <v>10.7</v>
      </c>
      <c r="T679" t="n">
        <v>15.2</v>
      </c>
      <c r="U679" t="n">
        <v>7.7</v>
      </c>
      <c r="W679" t="n">
        <v>8.300000000000001</v>
      </c>
      <c r="X679" t="n">
        <v>4.7</v>
      </c>
      <c r="Y679" t="n">
        <v>3.3</v>
      </c>
      <c r="Z679" t="n">
        <v>4.8</v>
      </c>
      <c r="AA679" t="n">
        <v>16.5</v>
      </c>
      <c r="AB679" t="n">
        <v>5.558125</v>
      </c>
      <c r="AC679" t="n">
        <v>4.7</v>
      </c>
      <c r="AD679" t="n">
        <v>3.4</v>
      </c>
      <c r="AE679" t="n">
        <v>8.152464</v>
      </c>
      <c r="AF679" t="n">
        <v>9.5</v>
      </c>
      <c r="AG679" t="n">
        <v>13</v>
      </c>
      <c r="AH679" t="n">
        <v>13.5</v>
      </c>
      <c r="AI679" t="n">
        <v>8</v>
      </c>
      <c r="AJ679" t="n">
        <v>7.9</v>
      </c>
      <c r="AK679" t="n">
        <v>9.5</v>
      </c>
      <c r="AL679" t="n">
        <v>9.1</v>
      </c>
    </row>
    <row r="680">
      <c r="A680" s="78" t="n">
        <v>40725</v>
      </c>
      <c r="B680" t="n">
        <v>5.094185</v>
      </c>
      <c r="C680" t="n">
        <v>4.3</v>
      </c>
      <c r="D680" t="n">
        <v>7.4</v>
      </c>
      <c r="E680" t="n">
        <v>7.3</v>
      </c>
      <c r="G680" t="n">
        <v>7.141572</v>
      </c>
      <c r="H680" t="n">
        <v>6.6</v>
      </c>
      <c r="I680" t="n">
        <v>5.8</v>
      </c>
      <c r="J680" t="n">
        <v>7.7</v>
      </c>
      <c r="K680" t="n">
        <v>10.2</v>
      </c>
      <c r="L680" t="n">
        <v>21.3</v>
      </c>
      <c r="M680" t="n">
        <v>11.9</v>
      </c>
      <c r="N680" t="n">
        <v>8.1</v>
      </c>
      <c r="O680" t="n">
        <v>9.199999999999999</v>
      </c>
      <c r="P680" t="n">
        <v>7.6734</v>
      </c>
      <c r="Q680" t="n">
        <v>8.181445999999999</v>
      </c>
      <c r="R680" t="n">
        <v>17.8</v>
      </c>
      <c r="S680" t="n">
        <v>10.4</v>
      </c>
      <c r="T680" t="n">
        <v>15.5</v>
      </c>
      <c r="U680" t="n">
        <v>7.6</v>
      </c>
      <c r="W680" t="n">
        <v>8.4</v>
      </c>
      <c r="X680" t="n">
        <v>4.7</v>
      </c>
      <c r="Y680" t="n">
        <v>3.3</v>
      </c>
      <c r="Z680" t="n">
        <v>4.9</v>
      </c>
      <c r="AA680" t="n">
        <v>15.8</v>
      </c>
      <c r="AB680" t="n">
        <v>5.264234</v>
      </c>
      <c r="AC680" t="n">
        <v>4.9</v>
      </c>
      <c r="AD680" t="n">
        <v>3.4</v>
      </c>
      <c r="AE680" t="n">
        <v>8.119356</v>
      </c>
      <c r="AF680" t="n">
        <v>9.6</v>
      </c>
      <c r="AG680" t="n">
        <v>13.1</v>
      </c>
      <c r="AH680" t="n">
        <v>13.4</v>
      </c>
      <c r="AI680" t="n">
        <v>8.1</v>
      </c>
      <c r="AJ680" t="n">
        <v>7.7</v>
      </c>
      <c r="AK680" t="n">
        <v>9.199999999999999</v>
      </c>
      <c r="AL680" t="n">
        <v>9</v>
      </c>
    </row>
    <row r="681">
      <c r="A681" s="78" t="n">
        <v>40756</v>
      </c>
      <c r="B681" t="n">
        <v>5.270551</v>
      </c>
      <c r="C681" t="n">
        <v>4.4</v>
      </c>
      <c r="D681" t="n">
        <v>7.5</v>
      </c>
      <c r="E681" t="n">
        <v>7.3</v>
      </c>
      <c r="G681" t="n">
        <v>7.335194</v>
      </c>
      <c r="H681" t="n">
        <v>6.3</v>
      </c>
      <c r="I681" t="n">
        <v>5.7</v>
      </c>
      <c r="J681" t="n">
        <v>7.7</v>
      </c>
      <c r="K681" t="n">
        <v>10.3</v>
      </c>
      <c r="L681" t="n">
        <v>21.7</v>
      </c>
      <c r="M681" t="n">
        <v>11.2</v>
      </c>
      <c r="N681" t="n">
        <v>7.6</v>
      </c>
      <c r="O681" t="n">
        <v>9.300000000000001</v>
      </c>
      <c r="P681" t="n">
        <v>7.655221</v>
      </c>
      <c r="Q681" t="n">
        <v>8.332914000000001</v>
      </c>
      <c r="R681" t="n">
        <v>19.1</v>
      </c>
      <c r="S681" t="n">
        <v>10.6</v>
      </c>
      <c r="T681" t="n">
        <v>15.6</v>
      </c>
      <c r="U681" t="n">
        <v>7.6</v>
      </c>
      <c r="W681" t="n">
        <v>8.6</v>
      </c>
      <c r="X681" t="n">
        <v>4.5</v>
      </c>
      <c r="Y681" t="n">
        <v>3.2</v>
      </c>
      <c r="Z681" t="n">
        <v>5.1</v>
      </c>
      <c r="AA681" t="n">
        <v>15.4</v>
      </c>
      <c r="AB681" t="n">
        <v>5.415507</v>
      </c>
      <c r="AC681" t="n">
        <v>4.9</v>
      </c>
      <c r="AD681" t="n">
        <v>3.4</v>
      </c>
      <c r="AE681" t="n">
        <v>8.101825</v>
      </c>
      <c r="AF681" t="n">
        <v>9.6</v>
      </c>
      <c r="AG681" t="n">
        <v>13.5</v>
      </c>
      <c r="AH681" t="n">
        <v>13.4</v>
      </c>
      <c r="AI681" t="n">
        <v>8.1</v>
      </c>
      <c r="AJ681" t="n">
        <v>7.7</v>
      </c>
      <c r="AK681" t="n">
        <v>8.800000000000001</v>
      </c>
      <c r="AL681" t="n">
        <v>9</v>
      </c>
    </row>
    <row r="682">
      <c r="A682" s="78" t="n">
        <v>40787</v>
      </c>
      <c r="B682" t="n">
        <v>5.219069</v>
      </c>
      <c r="C682" t="n">
        <v>4.4</v>
      </c>
      <c r="D682" t="n">
        <v>7.5</v>
      </c>
      <c r="E682" t="n">
        <v>7.4</v>
      </c>
      <c r="G682" t="n">
        <v>7.332012</v>
      </c>
      <c r="H682" t="n">
        <v>6.7</v>
      </c>
      <c r="I682" t="n">
        <v>5.7</v>
      </c>
      <c r="J682" t="n">
        <v>7.8</v>
      </c>
      <c r="K682" t="n">
        <v>10.4</v>
      </c>
      <c r="L682" t="n">
        <v>22.1</v>
      </c>
      <c r="M682" t="n">
        <v>11.1</v>
      </c>
      <c r="N682" t="n">
        <v>7.9</v>
      </c>
      <c r="O682" t="n">
        <v>9.300000000000001</v>
      </c>
      <c r="P682" t="n">
        <v>7.679541</v>
      </c>
      <c r="Q682" t="n">
        <v>8.371708</v>
      </c>
      <c r="R682" t="n">
        <v>18.5</v>
      </c>
      <c r="S682" t="n">
        <v>10.8</v>
      </c>
      <c r="T682" t="n">
        <v>15.7</v>
      </c>
      <c r="U682" t="n">
        <v>7.6</v>
      </c>
      <c r="W682" t="n">
        <v>9</v>
      </c>
      <c r="X682" t="n">
        <v>4.2</v>
      </c>
      <c r="Y682" t="n">
        <v>3.3</v>
      </c>
      <c r="Z682" t="n">
        <v>5</v>
      </c>
      <c r="AA682" t="n">
        <v>15.3</v>
      </c>
      <c r="AB682" t="n">
        <v>5.299814</v>
      </c>
      <c r="AC682" t="n">
        <v>5.1</v>
      </c>
      <c r="AD682" t="n">
        <v>3.5</v>
      </c>
      <c r="AE682" t="n">
        <v>8.114063</v>
      </c>
      <c r="AF682" t="n">
        <v>9.699999999999999</v>
      </c>
      <c r="AG682" t="n">
        <v>13.9</v>
      </c>
      <c r="AH682" t="n">
        <v>13.6</v>
      </c>
      <c r="AI682" t="n">
        <v>8.4</v>
      </c>
      <c r="AJ682" t="n">
        <v>7.5</v>
      </c>
      <c r="AK682" t="n">
        <v>8.4</v>
      </c>
      <c r="AL682" t="n">
        <v>9</v>
      </c>
    </row>
    <row r="683">
      <c r="A683" s="78" t="n">
        <v>40817</v>
      </c>
      <c r="B683" t="n">
        <v>5.189953</v>
      </c>
      <c r="C683" t="n">
        <v>5.2</v>
      </c>
      <c r="D683" t="n">
        <v>7.2</v>
      </c>
      <c r="E683" t="n">
        <v>7.4</v>
      </c>
      <c r="G683" t="n">
        <v>7.585805</v>
      </c>
      <c r="H683" t="n">
        <v>6.6</v>
      </c>
      <c r="I683" t="n">
        <v>5.6</v>
      </c>
      <c r="J683" t="n">
        <v>7.9</v>
      </c>
      <c r="K683" t="n">
        <v>10.5</v>
      </c>
      <c r="L683" t="n">
        <v>22.4</v>
      </c>
      <c r="M683" t="n">
        <v>11.6</v>
      </c>
      <c r="N683" t="n">
        <v>7.9</v>
      </c>
      <c r="O683" t="n">
        <v>9.300000000000001</v>
      </c>
      <c r="P683" t="n">
        <v>7.610341</v>
      </c>
      <c r="Q683" t="n">
        <v>8.467406</v>
      </c>
      <c r="R683" t="n">
        <v>20.3</v>
      </c>
      <c r="S683" t="n">
        <v>10.6</v>
      </c>
      <c r="T683" t="n">
        <v>15.6</v>
      </c>
      <c r="U683" t="n">
        <v>7.5</v>
      </c>
      <c r="W683" t="n">
        <v>8.9</v>
      </c>
      <c r="X683" t="n">
        <v>4.4</v>
      </c>
      <c r="Y683" t="n">
        <v>3.2</v>
      </c>
      <c r="Z683" t="n">
        <v>4.8</v>
      </c>
      <c r="AA683" t="n">
        <v>15.4</v>
      </c>
      <c r="AB683" t="n">
        <v>4.884418</v>
      </c>
      <c r="AC683" t="n">
        <v>5.2</v>
      </c>
      <c r="AD683" t="n">
        <v>3.5</v>
      </c>
      <c r="AE683" t="n">
        <v>8.076283999999999</v>
      </c>
      <c r="AF683" t="n">
        <v>9.9</v>
      </c>
      <c r="AG683" t="n">
        <v>14.2</v>
      </c>
      <c r="AH683" t="n">
        <v>13.7</v>
      </c>
      <c r="AI683" t="n">
        <v>8.699999999999999</v>
      </c>
      <c r="AJ683" t="n">
        <v>7.8</v>
      </c>
      <c r="AK683" t="n">
        <v>8.5</v>
      </c>
      <c r="AL683" t="n">
        <v>8.800000000000001</v>
      </c>
    </row>
    <row r="684">
      <c r="A684" s="78" t="n">
        <v>40848</v>
      </c>
      <c r="B684" t="n">
        <v>5.230527</v>
      </c>
      <c r="C684" t="n">
        <v>5.3</v>
      </c>
      <c r="D684" t="n">
        <v>7.1</v>
      </c>
      <c r="E684" t="n">
        <v>7.6</v>
      </c>
      <c r="G684" t="n">
        <v>7.352017</v>
      </c>
      <c r="H684" t="n">
        <v>6.4</v>
      </c>
      <c r="I684" t="n">
        <v>5.6</v>
      </c>
      <c r="J684" t="n">
        <v>8</v>
      </c>
      <c r="K684" t="n">
        <v>10.7</v>
      </c>
      <c r="L684" t="n">
        <v>22.7</v>
      </c>
      <c r="M684" t="n">
        <v>11.6</v>
      </c>
      <c r="N684" t="n">
        <v>7.2</v>
      </c>
      <c r="O684" t="n">
        <v>9.4</v>
      </c>
      <c r="P684" t="n">
        <v>7.582952</v>
      </c>
      <c r="Q684" t="n">
        <v>8.394073000000001</v>
      </c>
      <c r="R684" t="n">
        <v>20.8</v>
      </c>
      <c r="S684" t="n">
        <v>10.3</v>
      </c>
      <c r="T684" t="n">
        <v>15.8</v>
      </c>
      <c r="U684" t="n">
        <v>7.4</v>
      </c>
      <c r="W684" t="n">
        <v>9.5</v>
      </c>
      <c r="X684" t="n">
        <v>4.5</v>
      </c>
      <c r="Y684" t="n">
        <v>3.3</v>
      </c>
      <c r="Z684" t="n">
        <v>4.8</v>
      </c>
      <c r="AA684" t="n">
        <v>15.4</v>
      </c>
      <c r="AB684" t="n">
        <v>5.156708</v>
      </c>
      <c r="AC684" t="n">
        <v>5.4</v>
      </c>
      <c r="AD684" t="n">
        <v>3.5</v>
      </c>
      <c r="AE684" t="n">
        <v>8.103346999999999</v>
      </c>
      <c r="AF684" t="n">
        <v>9.9</v>
      </c>
      <c r="AG684" t="n">
        <v>14.6</v>
      </c>
      <c r="AH684" t="n">
        <v>13.8</v>
      </c>
      <c r="AI684" t="n">
        <v>8.9</v>
      </c>
      <c r="AJ684" t="n">
        <v>7.7</v>
      </c>
      <c r="AK684" t="n">
        <v>8.4</v>
      </c>
      <c r="AL684" t="n">
        <v>8.6</v>
      </c>
    </row>
    <row r="685">
      <c r="A685" s="78" t="n">
        <v>40878</v>
      </c>
      <c r="B685" t="n">
        <v>5.199093</v>
      </c>
      <c r="C685" t="n">
        <v>5.1</v>
      </c>
      <c r="D685" t="n">
        <v>7</v>
      </c>
      <c r="E685" t="n">
        <v>7.5</v>
      </c>
      <c r="G685" t="n">
        <v>7.287475</v>
      </c>
      <c r="H685" t="n">
        <v>6.6</v>
      </c>
      <c r="I685" t="n">
        <v>5.5</v>
      </c>
      <c r="J685" t="n">
        <v>7.9</v>
      </c>
      <c r="K685" t="n">
        <v>10.8</v>
      </c>
      <c r="L685" t="n">
        <v>23</v>
      </c>
      <c r="M685" t="n">
        <v>10.9</v>
      </c>
      <c r="N685" t="n">
        <v>8.1</v>
      </c>
      <c r="O685" t="n">
        <v>9.4</v>
      </c>
      <c r="P685" t="n">
        <v>7.536238</v>
      </c>
      <c r="Q685" t="n">
        <v>8.352232000000001</v>
      </c>
      <c r="R685" t="n">
        <v>21.1</v>
      </c>
      <c r="S685" t="n">
        <v>10.9</v>
      </c>
      <c r="T685" t="n">
        <v>16.1</v>
      </c>
      <c r="U685" t="n">
        <v>7.3</v>
      </c>
      <c r="W685" t="n">
        <v>9.800000000000001</v>
      </c>
      <c r="X685" t="n">
        <v>4.5</v>
      </c>
      <c r="Y685" t="n">
        <v>3.2</v>
      </c>
      <c r="Z685" t="n">
        <v>4.9</v>
      </c>
      <c r="AA685" t="n">
        <v>15.3</v>
      </c>
      <c r="AB685" t="n">
        <v>5.035961</v>
      </c>
      <c r="AC685" t="n">
        <v>5.4</v>
      </c>
      <c r="AD685" t="n">
        <v>3.5</v>
      </c>
      <c r="AE685" t="n">
        <v>8.092514</v>
      </c>
      <c r="AF685" t="n">
        <v>9.9</v>
      </c>
      <c r="AG685" t="n">
        <v>15</v>
      </c>
      <c r="AH685" t="n">
        <v>13.9</v>
      </c>
      <c r="AI685" t="n">
        <v>8.6</v>
      </c>
      <c r="AJ685" t="n">
        <v>7.8</v>
      </c>
      <c r="AK685" t="n">
        <v>8.5</v>
      </c>
      <c r="AL685" t="n">
        <v>8.5</v>
      </c>
    </row>
    <row r="686">
      <c r="A686" s="78" t="n">
        <v>40909</v>
      </c>
      <c r="B686" t="n">
        <v>5.048141</v>
      </c>
      <c r="C686" t="n">
        <v>4.6</v>
      </c>
      <c r="D686" t="n">
        <v>7.1</v>
      </c>
      <c r="E686" t="n">
        <v>7.7</v>
      </c>
      <c r="G686" t="n">
        <v>6.853442</v>
      </c>
      <c r="H686" t="n">
        <v>6.6</v>
      </c>
      <c r="I686" t="n">
        <v>5.5</v>
      </c>
      <c r="J686" t="n">
        <v>7.8</v>
      </c>
      <c r="K686" t="n">
        <v>10.8</v>
      </c>
      <c r="L686" t="n">
        <v>23.3</v>
      </c>
      <c r="M686" t="n">
        <v>10.7</v>
      </c>
      <c r="N686" t="n">
        <v>7.9</v>
      </c>
      <c r="O686" t="n">
        <v>9.5</v>
      </c>
      <c r="P686" t="n">
        <v>7.461652</v>
      </c>
      <c r="Q686" t="n">
        <v>8.288603</v>
      </c>
      <c r="R686" t="n">
        <v>21.4</v>
      </c>
      <c r="S686" t="n">
        <v>11.1</v>
      </c>
      <c r="T686" t="n">
        <v>15.6</v>
      </c>
      <c r="U686" t="n">
        <v>7.3</v>
      </c>
      <c r="V686" t="n">
        <v>7.012864</v>
      </c>
      <c r="W686" t="n">
        <v>9.699999999999999</v>
      </c>
      <c r="X686" t="n">
        <v>4.5</v>
      </c>
      <c r="Y686" t="n">
        <v>3.3</v>
      </c>
      <c r="Z686" t="n">
        <v>4.9</v>
      </c>
      <c r="AA686" t="n">
        <v>15.5</v>
      </c>
      <c r="AB686" t="n">
        <v>4.722454</v>
      </c>
      <c r="AC686" t="n">
        <v>5.5</v>
      </c>
      <c r="AD686" t="n">
        <v>3.5</v>
      </c>
      <c r="AE686" t="n">
        <v>8.024043000000001</v>
      </c>
      <c r="AF686" t="n">
        <v>9.9</v>
      </c>
      <c r="AG686" t="n">
        <v>15</v>
      </c>
      <c r="AH686" t="n">
        <v>13.9</v>
      </c>
      <c r="AI686" t="n">
        <v>8.199999999999999</v>
      </c>
      <c r="AJ686" t="n">
        <v>7.9</v>
      </c>
      <c r="AK686" t="n">
        <v>8.4</v>
      </c>
      <c r="AL686" t="n">
        <v>8.300000000000001</v>
      </c>
    </row>
    <row r="687">
      <c r="A687" s="78" t="n">
        <v>40940</v>
      </c>
      <c r="B687" t="n">
        <v>5.202077</v>
      </c>
      <c r="C687" t="n">
        <v>5</v>
      </c>
      <c r="D687" t="n">
        <v>7.2</v>
      </c>
      <c r="E687" t="n">
        <v>7.5</v>
      </c>
      <c r="G687" t="n">
        <v>6.820486</v>
      </c>
      <c r="H687" t="n">
        <v>7</v>
      </c>
      <c r="I687" t="n">
        <v>5.4</v>
      </c>
      <c r="J687" t="n">
        <v>7.8</v>
      </c>
      <c r="K687" t="n">
        <v>11</v>
      </c>
      <c r="L687" t="n">
        <v>23.7</v>
      </c>
      <c r="M687" t="n">
        <v>10.7</v>
      </c>
      <c r="N687" t="n">
        <v>7.3</v>
      </c>
      <c r="O687" t="n">
        <v>9.5</v>
      </c>
      <c r="P687" t="n">
        <v>7.450308</v>
      </c>
      <c r="Q687" t="n">
        <v>8.210361000000001</v>
      </c>
      <c r="R687" t="n">
        <v>22.3</v>
      </c>
      <c r="S687" t="n">
        <v>10.9</v>
      </c>
      <c r="T687" t="n">
        <v>16.1</v>
      </c>
      <c r="U687" t="n">
        <v>7.3</v>
      </c>
      <c r="V687" t="n">
        <v>6.95489</v>
      </c>
      <c r="W687" t="n">
        <v>10.1</v>
      </c>
      <c r="X687" t="n">
        <v>4.5</v>
      </c>
      <c r="Y687" t="n">
        <v>3.4</v>
      </c>
      <c r="Z687" t="n">
        <v>5</v>
      </c>
      <c r="AA687" t="n">
        <v>15.8</v>
      </c>
      <c r="AB687" t="n">
        <v>5.290742</v>
      </c>
      <c r="AC687" t="n">
        <v>5.5</v>
      </c>
      <c r="AD687" t="n">
        <v>3.2</v>
      </c>
      <c r="AE687" t="n">
        <v>8.113899</v>
      </c>
      <c r="AF687" t="n">
        <v>9.9</v>
      </c>
      <c r="AG687" t="n">
        <v>15.4</v>
      </c>
      <c r="AH687" t="n">
        <v>13.9</v>
      </c>
      <c r="AI687" t="n">
        <v>8.1</v>
      </c>
      <c r="AJ687" t="n">
        <v>7.8</v>
      </c>
      <c r="AK687" t="n">
        <v>8.6</v>
      </c>
      <c r="AL687" t="n">
        <v>8.300000000000001</v>
      </c>
    </row>
    <row r="688">
      <c r="A688" s="78" t="n">
        <v>40969</v>
      </c>
      <c r="B688" t="n">
        <v>5.185261</v>
      </c>
      <c r="C688" t="n">
        <v>4.9</v>
      </c>
      <c r="D688" t="n">
        <v>7.2</v>
      </c>
      <c r="E688" t="n">
        <v>7.3</v>
      </c>
      <c r="G688" t="n">
        <v>6.753968</v>
      </c>
      <c r="H688" t="n">
        <v>7</v>
      </c>
      <c r="I688" t="n">
        <v>5.4</v>
      </c>
      <c r="J688" t="n">
        <v>7.9</v>
      </c>
      <c r="K688" t="n">
        <v>11.2</v>
      </c>
      <c r="L688" t="n">
        <v>23.9</v>
      </c>
      <c r="M688" t="n">
        <v>10.8</v>
      </c>
      <c r="N688" t="n">
        <v>7.9</v>
      </c>
      <c r="O688" t="n">
        <v>9.6</v>
      </c>
      <c r="P688" t="n">
        <v>7.461562</v>
      </c>
      <c r="Q688" t="n">
        <v>8.173666000000001</v>
      </c>
      <c r="R688" t="n">
        <v>22.8</v>
      </c>
      <c r="S688" t="n">
        <v>11.1</v>
      </c>
      <c r="T688" t="n">
        <v>16.1</v>
      </c>
      <c r="U688" t="n">
        <v>7.2</v>
      </c>
      <c r="V688" t="n">
        <v>7.36226</v>
      </c>
      <c r="W688" t="n">
        <v>10.7</v>
      </c>
      <c r="X688" t="n">
        <v>4.5</v>
      </c>
      <c r="Y688" t="n">
        <v>3.3</v>
      </c>
      <c r="Z688" t="n">
        <v>5.1</v>
      </c>
      <c r="AA688" t="n">
        <v>16.1</v>
      </c>
      <c r="AB688" t="n">
        <v>5.011024</v>
      </c>
      <c r="AC688" t="n">
        <v>5.5</v>
      </c>
      <c r="AD688" t="n">
        <v>3.1</v>
      </c>
      <c r="AE688" t="n">
        <v>8.091191999999999</v>
      </c>
      <c r="AF688" t="n">
        <v>10</v>
      </c>
      <c r="AG688" t="n">
        <v>15.7</v>
      </c>
      <c r="AH688" t="n">
        <v>13.8</v>
      </c>
      <c r="AI688" t="n">
        <v>8</v>
      </c>
      <c r="AJ688" t="n">
        <v>7.5</v>
      </c>
      <c r="AK688" t="n">
        <v>8.6</v>
      </c>
      <c r="AL688" t="n">
        <v>8.199999999999999</v>
      </c>
    </row>
    <row r="689">
      <c r="A689" s="78" t="n">
        <v>41000</v>
      </c>
      <c r="B689" t="n">
        <v>4.995734</v>
      </c>
      <c r="C689" t="n">
        <v>5</v>
      </c>
      <c r="D689" t="n">
        <v>7.3</v>
      </c>
      <c r="E689" t="n">
        <v>7.3</v>
      </c>
      <c r="G689" t="n">
        <v>6.700045</v>
      </c>
      <c r="H689" t="n">
        <v>6.9</v>
      </c>
      <c r="I689" t="n">
        <v>5.4</v>
      </c>
      <c r="J689" t="n">
        <v>8.1</v>
      </c>
      <c r="K689" t="n">
        <v>11.3</v>
      </c>
      <c r="L689" t="n">
        <v>24.2</v>
      </c>
      <c r="M689" t="n">
        <v>9.9</v>
      </c>
      <c r="N689" t="n">
        <v>7.6</v>
      </c>
      <c r="O689" t="n">
        <v>9.6</v>
      </c>
      <c r="P689" t="n">
        <v>7.437593</v>
      </c>
      <c r="Q689" t="n">
        <v>8.080310000000001</v>
      </c>
      <c r="R689" t="n">
        <v>23.4</v>
      </c>
      <c r="S689" t="n">
        <v>11</v>
      </c>
      <c r="T689" t="n">
        <v>15.7</v>
      </c>
      <c r="U689" t="n">
        <v>7.1</v>
      </c>
      <c r="V689" t="n">
        <v>6.956991</v>
      </c>
      <c r="W689" t="n">
        <v>10.7</v>
      </c>
      <c r="X689" t="n">
        <v>4.5</v>
      </c>
      <c r="Y689" t="n">
        <v>3.3</v>
      </c>
      <c r="Z689" t="n">
        <v>5</v>
      </c>
      <c r="AA689" t="n">
        <v>16.5</v>
      </c>
      <c r="AB689" t="n">
        <v>4.950131</v>
      </c>
      <c r="AC689" t="n">
        <v>5.7</v>
      </c>
      <c r="AD689" t="n">
        <v>3.1</v>
      </c>
      <c r="AE689" t="n">
        <v>8.106698</v>
      </c>
      <c r="AF689" t="n">
        <v>10</v>
      </c>
      <c r="AG689" t="n">
        <v>16.2</v>
      </c>
      <c r="AH689" t="n">
        <v>14</v>
      </c>
      <c r="AI689" t="n">
        <v>8.1</v>
      </c>
      <c r="AJ689" t="n">
        <v>7.5</v>
      </c>
      <c r="AK689" t="n">
        <v>8.5</v>
      </c>
      <c r="AL689" t="n">
        <v>8.199999999999999</v>
      </c>
    </row>
    <row r="690">
      <c r="A690" s="78" t="n">
        <v>41030</v>
      </c>
      <c r="B690" t="n">
        <v>5.200192</v>
      </c>
      <c r="C690" t="n">
        <v>5.1</v>
      </c>
      <c r="D690" t="n">
        <v>7.4</v>
      </c>
      <c r="E690" t="n">
        <v>7.4</v>
      </c>
      <c r="G690" t="n">
        <v>6.509332</v>
      </c>
      <c r="H690" t="n">
        <v>6.8</v>
      </c>
      <c r="I690" t="n">
        <v>5.4</v>
      </c>
      <c r="J690" t="n">
        <v>8.199999999999999</v>
      </c>
      <c r="K690" t="n">
        <v>11.3</v>
      </c>
      <c r="L690" t="n">
        <v>24.6</v>
      </c>
      <c r="M690" t="n">
        <v>9.800000000000001</v>
      </c>
      <c r="N690" t="n">
        <v>7.7</v>
      </c>
      <c r="O690" t="n">
        <v>9.699999999999999</v>
      </c>
      <c r="P690" t="n">
        <v>7.423713</v>
      </c>
      <c r="Q690" t="n">
        <v>7.991643</v>
      </c>
      <c r="R690" t="n">
        <v>23.9</v>
      </c>
      <c r="S690" t="n">
        <v>10.7</v>
      </c>
      <c r="T690" t="n">
        <v>15.5</v>
      </c>
      <c r="U690" t="n">
        <v>7</v>
      </c>
      <c r="V690" t="n">
        <v>7.017148</v>
      </c>
      <c r="W690" t="n">
        <v>10.6</v>
      </c>
      <c r="X690" t="n">
        <v>4.4</v>
      </c>
      <c r="Y690" t="n">
        <v>3.2</v>
      </c>
      <c r="Z690" t="n">
        <v>5.1</v>
      </c>
      <c r="AA690" t="n">
        <v>16.3</v>
      </c>
      <c r="AB690" t="n">
        <v>5.003454</v>
      </c>
      <c r="AC690" t="n">
        <v>5.7</v>
      </c>
      <c r="AD690" t="n">
        <v>3.2</v>
      </c>
      <c r="AE690" t="n">
        <v>8.108908</v>
      </c>
      <c r="AF690" t="n">
        <v>10</v>
      </c>
      <c r="AG690" t="n">
        <v>16.2</v>
      </c>
      <c r="AH690" t="n">
        <v>13.9</v>
      </c>
      <c r="AI690" t="n">
        <v>8.5</v>
      </c>
      <c r="AJ690" t="n">
        <v>8.199999999999999</v>
      </c>
      <c r="AK690" t="n">
        <v>8.300000000000001</v>
      </c>
      <c r="AL690" t="n">
        <v>8.199999999999999</v>
      </c>
    </row>
    <row r="691">
      <c r="A691" s="78" t="n">
        <v>41061</v>
      </c>
      <c r="B691" t="n">
        <v>5.159878</v>
      </c>
      <c r="C691" t="n">
        <v>5.5</v>
      </c>
      <c r="D691" t="n">
        <v>7.4</v>
      </c>
      <c r="E691" t="n">
        <v>7.2</v>
      </c>
      <c r="G691" t="n">
        <v>6.358538</v>
      </c>
      <c r="H691" t="n">
        <v>6.7</v>
      </c>
      <c r="I691" t="n">
        <v>5.4</v>
      </c>
      <c r="J691" t="n">
        <v>8</v>
      </c>
      <c r="K691" t="n">
        <v>11.5</v>
      </c>
      <c r="L691" t="n">
        <v>24.8</v>
      </c>
      <c r="M691" t="n">
        <v>9.9</v>
      </c>
      <c r="N691" t="n">
        <v>7.7</v>
      </c>
      <c r="O691" t="n">
        <v>9.699999999999999</v>
      </c>
      <c r="P691" t="n">
        <v>7.427965</v>
      </c>
      <c r="Q691" t="n">
        <v>8.038418999999999</v>
      </c>
      <c r="R691" t="n">
        <v>25.1</v>
      </c>
      <c r="S691" t="n">
        <v>10.4</v>
      </c>
      <c r="T691" t="n">
        <v>15.4</v>
      </c>
      <c r="U691" t="n">
        <v>6.9</v>
      </c>
      <c r="V691" t="n">
        <v>6.599779</v>
      </c>
      <c r="W691" t="n">
        <v>10.9</v>
      </c>
      <c r="X691" t="n">
        <v>4.3</v>
      </c>
      <c r="Y691" t="n">
        <v>3.2</v>
      </c>
      <c r="Z691" t="n">
        <v>5.1</v>
      </c>
      <c r="AA691" t="n">
        <v>15.5</v>
      </c>
      <c r="AB691" t="n">
        <v>4.907892</v>
      </c>
      <c r="AC691" t="n">
        <v>5.7</v>
      </c>
      <c r="AD691" t="n">
        <v>3.2</v>
      </c>
      <c r="AE691" t="n">
        <v>8.085428</v>
      </c>
      <c r="AF691" t="n">
        <v>10.1</v>
      </c>
      <c r="AG691" t="n">
        <v>16.3</v>
      </c>
      <c r="AH691" t="n">
        <v>13.8</v>
      </c>
      <c r="AI691" t="n">
        <v>8.9</v>
      </c>
      <c r="AJ691" t="n">
        <v>7.9</v>
      </c>
      <c r="AK691" t="n">
        <v>8</v>
      </c>
      <c r="AL691" t="n">
        <v>8.199999999999999</v>
      </c>
    </row>
    <row r="692">
      <c r="A692" s="78" t="n">
        <v>41091</v>
      </c>
      <c r="B692" t="n">
        <v>5.182952</v>
      </c>
      <c r="C692" t="n">
        <v>5.4</v>
      </c>
      <c r="D692" t="n">
        <v>7.3</v>
      </c>
      <c r="E692" t="n">
        <v>7.3</v>
      </c>
      <c r="G692" t="n">
        <v>6.245996</v>
      </c>
      <c r="H692" t="n">
        <v>7</v>
      </c>
      <c r="I692" t="n">
        <v>5.4</v>
      </c>
      <c r="J692" t="n">
        <v>7.8</v>
      </c>
      <c r="K692" t="n">
        <v>11.5</v>
      </c>
      <c r="L692" t="n">
        <v>25.1</v>
      </c>
      <c r="M692" t="n">
        <v>9.9</v>
      </c>
      <c r="N692" t="n">
        <v>7.9</v>
      </c>
      <c r="O692" t="n">
        <v>9.699999999999999</v>
      </c>
      <c r="P692" t="n">
        <v>7.4267</v>
      </c>
      <c r="Q692" t="n">
        <v>7.889625</v>
      </c>
      <c r="R692" t="n">
        <v>25</v>
      </c>
      <c r="S692" t="n">
        <v>10.6</v>
      </c>
      <c r="T692" t="n">
        <v>15.6</v>
      </c>
      <c r="U692" t="n">
        <v>6.8</v>
      </c>
      <c r="V692" t="n">
        <v>6.570965</v>
      </c>
      <c r="W692" t="n">
        <v>11.1</v>
      </c>
      <c r="X692" t="n">
        <v>4.3</v>
      </c>
      <c r="Y692" t="n">
        <v>3.1</v>
      </c>
      <c r="Z692" t="n">
        <v>5</v>
      </c>
      <c r="AA692" t="n">
        <v>14.3</v>
      </c>
      <c r="AB692" t="n">
        <v>4.713666</v>
      </c>
      <c r="AC692" t="n">
        <v>5.9</v>
      </c>
      <c r="AD692" t="n">
        <v>3.2</v>
      </c>
      <c r="AE692" t="n">
        <v>8.101186999999999</v>
      </c>
      <c r="AF692" t="n">
        <v>10.2</v>
      </c>
      <c r="AG692" t="n">
        <v>16.5</v>
      </c>
      <c r="AH692" t="n">
        <v>13.9</v>
      </c>
      <c r="AI692" t="n">
        <v>9.4</v>
      </c>
      <c r="AJ692" t="n">
        <v>8</v>
      </c>
      <c r="AK692" t="n">
        <v>8.1</v>
      </c>
      <c r="AL692" t="n">
        <v>8.199999999999999</v>
      </c>
    </row>
    <row r="693">
      <c r="A693" s="78" t="n">
        <v>41122</v>
      </c>
      <c r="B693" t="n">
        <v>5.154801</v>
      </c>
      <c r="C693" t="n">
        <v>5.6</v>
      </c>
      <c r="D693" t="n">
        <v>7.4</v>
      </c>
      <c r="E693" t="n">
        <v>7.3</v>
      </c>
      <c r="G693" t="n">
        <v>6.352255</v>
      </c>
      <c r="H693" t="n">
        <v>7.1</v>
      </c>
      <c r="I693" t="n">
        <v>5.3</v>
      </c>
      <c r="J693" t="n">
        <v>7.8</v>
      </c>
      <c r="K693" t="n">
        <v>11.6</v>
      </c>
      <c r="L693" t="n">
        <v>25.2</v>
      </c>
      <c r="M693" t="n">
        <v>9.9</v>
      </c>
      <c r="N693" t="n">
        <v>8.4</v>
      </c>
      <c r="O693" t="n">
        <v>9.800000000000001</v>
      </c>
      <c r="P693" t="n">
        <v>7.337437</v>
      </c>
      <c r="Q693" t="n">
        <v>7.859896</v>
      </c>
      <c r="R693" t="n">
        <v>25.5</v>
      </c>
      <c r="S693" t="n">
        <v>10.2</v>
      </c>
      <c r="T693" t="n">
        <v>15.6</v>
      </c>
      <c r="U693" t="n">
        <v>6.7</v>
      </c>
      <c r="V693" t="n">
        <v>6.687819</v>
      </c>
      <c r="W693" t="n">
        <v>11</v>
      </c>
      <c r="X693" t="n">
        <v>4.2</v>
      </c>
      <c r="Y693" t="n">
        <v>3.1</v>
      </c>
      <c r="Z693" t="n">
        <v>5</v>
      </c>
      <c r="AA693" t="n">
        <v>13.8</v>
      </c>
      <c r="AB693" t="n">
        <v>5.012178</v>
      </c>
      <c r="AC693" t="n">
        <v>5.8</v>
      </c>
      <c r="AD693" t="n">
        <v>3.2</v>
      </c>
      <c r="AE693" t="n">
        <v>8.074846000000001</v>
      </c>
      <c r="AF693" t="n">
        <v>10.2</v>
      </c>
      <c r="AG693" t="n">
        <v>17.1</v>
      </c>
      <c r="AH693" t="n">
        <v>13.9</v>
      </c>
      <c r="AI693" t="n">
        <v>9.6</v>
      </c>
      <c r="AJ693" t="n">
        <v>8.199999999999999</v>
      </c>
      <c r="AK693" t="n">
        <v>8.199999999999999</v>
      </c>
      <c r="AL693" t="n">
        <v>8.1</v>
      </c>
    </row>
    <row r="694">
      <c r="A694" s="78" t="n">
        <v>41153</v>
      </c>
      <c r="B694" t="n">
        <v>5.482411</v>
      </c>
      <c r="C694" t="n">
        <v>5.5</v>
      </c>
      <c r="D694" t="n">
        <v>7.7</v>
      </c>
      <c r="E694" t="n">
        <v>7.3</v>
      </c>
      <c r="G694" t="n">
        <v>6.613137</v>
      </c>
      <c r="H694" t="n">
        <v>6.8</v>
      </c>
      <c r="I694" t="n">
        <v>5.3</v>
      </c>
      <c r="J694" t="n">
        <v>7.8</v>
      </c>
      <c r="K694" t="n">
        <v>11.7</v>
      </c>
      <c r="L694" t="n">
        <v>25.5</v>
      </c>
      <c r="M694" t="n">
        <v>9.1</v>
      </c>
      <c r="N694" t="n">
        <v>8</v>
      </c>
      <c r="O694" t="n">
        <v>9.800000000000001</v>
      </c>
      <c r="P694" t="n">
        <v>7.254272</v>
      </c>
      <c r="Q694" t="n">
        <v>7.8517</v>
      </c>
      <c r="R694" t="n">
        <v>26.1</v>
      </c>
      <c r="S694" t="n">
        <v>10.3</v>
      </c>
      <c r="T694" t="n">
        <v>15.4</v>
      </c>
      <c r="U694" t="n">
        <v>6.5</v>
      </c>
      <c r="V694" t="n">
        <v>6.827537</v>
      </c>
      <c r="W694" t="n">
        <v>11.2</v>
      </c>
      <c r="X694" t="n">
        <v>4.2</v>
      </c>
      <c r="Y694" t="n">
        <v>3.2</v>
      </c>
      <c r="Z694" t="n">
        <v>5.1</v>
      </c>
      <c r="AA694" t="n">
        <v>13.8</v>
      </c>
      <c r="AB694" t="n">
        <v>4.665679</v>
      </c>
      <c r="AC694" t="n">
        <v>6</v>
      </c>
      <c r="AD694" t="n">
        <v>3.3</v>
      </c>
      <c r="AE694" t="n">
        <v>8.043378000000001</v>
      </c>
      <c r="AF694" t="n">
        <v>10.2</v>
      </c>
      <c r="AG694" t="n">
        <v>17.1</v>
      </c>
      <c r="AH694" t="n">
        <v>13.9</v>
      </c>
      <c r="AI694" t="n">
        <v>9.6</v>
      </c>
      <c r="AJ694" t="n">
        <v>8.1</v>
      </c>
      <c r="AK694" t="n">
        <v>8.4</v>
      </c>
      <c r="AL694" t="n">
        <v>7.8</v>
      </c>
    </row>
    <row r="695">
      <c r="A695" s="78" t="n">
        <v>41183</v>
      </c>
      <c r="B695" t="n">
        <v>5.413185</v>
      </c>
      <c r="C695" t="n">
        <v>5.3</v>
      </c>
      <c r="D695" t="n">
        <v>8.1</v>
      </c>
      <c r="E695" t="n">
        <v>7.5</v>
      </c>
      <c r="G695" t="n">
        <v>6.586007</v>
      </c>
      <c r="H695" t="n">
        <v>7.3</v>
      </c>
      <c r="I695" t="n">
        <v>5.3</v>
      </c>
      <c r="J695" t="n">
        <v>7.6</v>
      </c>
      <c r="K695" t="n">
        <v>11.8</v>
      </c>
      <c r="L695" t="n">
        <v>25.7</v>
      </c>
      <c r="M695" t="n">
        <v>9.1</v>
      </c>
      <c r="N695" t="n">
        <v>7.7</v>
      </c>
      <c r="O695" t="n">
        <v>10</v>
      </c>
      <c r="P695" t="n">
        <v>7.292082</v>
      </c>
      <c r="Q695" t="n">
        <v>7.819722</v>
      </c>
      <c r="R695" t="n">
        <v>25.6</v>
      </c>
      <c r="S695" t="n">
        <v>10.6</v>
      </c>
      <c r="T695" t="n">
        <v>15.2</v>
      </c>
      <c r="U695" t="n">
        <v>6.4</v>
      </c>
      <c r="V695" t="n">
        <v>6.871569</v>
      </c>
      <c r="W695" t="n">
        <v>11.7</v>
      </c>
      <c r="X695" t="n">
        <v>4.1</v>
      </c>
      <c r="Y695" t="n">
        <v>3.1</v>
      </c>
      <c r="Z695" t="n">
        <v>5.2</v>
      </c>
      <c r="AA695" t="n">
        <v>14.4</v>
      </c>
      <c r="AB695" t="n">
        <v>4.92058</v>
      </c>
      <c r="AC695" t="n">
        <v>6.1</v>
      </c>
      <c r="AD695" t="n">
        <v>3.4</v>
      </c>
      <c r="AE695" t="n">
        <v>8.082165</v>
      </c>
      <c r="AF695" t="n">
        <v>10.2</v>
      </c>
      <c r="AG695" t="n">
        <v>17.6</v>
      </c>
      <c r="AH695" t="n">
        <v>14.1</v>
      </c>
      <c r="AI695" t="n">
        <v>9.5</v>
      </c>
      <c r="AJ695" t="n">
        <v>8</v>
      </c>
      <c r="AK695" t="n">
        <v>8.4</v>
      </c>
      <c r="AL695" t="n">
        <v>7.8</v>
      </c>
    </row>
    <row r="696">
      <c r="A696" s="78" t="n">
        <v>41214</v>
      </c>
      <c r="B696" t="n">
        <v>5.256284</v>
      </c>
      <c r="C696" t="n">
        <v>5.4</v>
      </c>
      <c r="D696" t="n">
        <v>8.300000000000001</v>
      </c>
      <c r="E696" t="n">
        <v>7.4</v>
      </c>
      <c r="G696" t="n">
        <v>6.707158</v>
      </c>
      <c r="H696" t="n">
        <v>7.6</v>
      </c>
      <c r="I696" t="n">
        <v>5.3</v>
      </c>
      <c r="J696" t="n">
        <v>7.4</v>
      </c>
      <c r="K696" t="n">
        <v>11.9</v>
      </c>
      <c r="L696" t="n">
        <v>26</v>
      </c>
      <c r="M696" t="n">
        <v>9.300000000000001</v>
      </c>
      <c r="N696" t="n">
        <v>8.199999999999999</v>
      </c>
      <c r="O696" t="n">
        <v>10.1</v>
      </c>
      <c r="P696" t="n">
        <v>7.2544</v>
      </c>
      <c r="Q696" t="n">
        <v>7.813578</v>
      </c>
      <c r="R696" t="n">
        <v>26.7</v>
      </c>
      <c r="S696" t="n">
        <v>10.6</v>
      </c>
      <c r="T696" t="n">
        <v>15</v>
      </c>
      <c r="U696" t="n">
        <v>6.3</v>
      </c>
      <c r="V696" t="n">
        <v>6.862677</v>
      </c>
      <c r="W696" t="n">
        <v>11.6</v>
      </c>
      <c r="X696" t="n">
        <v>4.1</v>
      </c>
      <c r="Y696" t="n">
        <v>3.2</v>
      </c>
      <c r="Z696" t="n">
        <v>5.3</v>
      </c>
      <c r="AA696" t="n">
        <v>14.4</v>
      </c>
      <c r="AB696" t="n">
        <v>5.283501</v>
      </c>
      <c r="AC696" t="n">
        <v>6.2</v>
      </c>
      <c r="AD696" t="n">
        <v>3.6</v>
      </c>
      <c r="AE696" t="n">
        <v>8.151608</v>
      </c>
      <c r="AF696" t="n">
        <v>10.3</v>
      </c>
      <c r="AG696" t="n">
        <v>17.8</v>
      </c>
      <c r="AH696" t="n">
        <v>14.3</v>
      </c>
      <c r="AI696" t="n">
        <v>9.5</v>
      </c>
      <c r="AJ696" t="n">
        <v>8.4</v>
      </c>
      <c r="AK696" t="n">
        <v>8.6</v>
      </c>
      <c r="AL696" t="n">
        <v>7.7</v>
      </c>
    </row>
    <row r="697">
      <c r="A697" s="78" t="n">
        <v>41244</v>
      </c>
      <c r="B697" t="n">
        <v>5.435501</v>
      </c>
      <c r="C697" t="n">
        <v>5.5</v>
      </c>
      <c r="D697" t="n">
        <v>8.4</v>
      </c>
      <c r="E697" t="n">
        <v>7.3</v>
      </c>
      <c r="G697" t="n">
        <v>6.485181</v>
      </c>
      <c r="H697" t="n">
        <v>6.9</v>
      </c>
      <c r="I697" t="n">
        <v>5.3</v>
      </c>
      <c r="J697" t="n">
        <v>7.5</v>
      </c>
      <c r="K697" t="n">
        <v>11.9</v>
      </c>
      <c r="L697" t="n">
        <v>26.1</v>
      </c>
      <c r="M697" t="n">
        <v>9.6</v>
      </c>
      <c r="N697" t="n">
        <v>7.7</v>
      </c>
      <c r="O697" t="n">
        <v>10.2</v>
      </c>
      <c r="P697" t="n">
        <v>7.359185</v>
      </c>
      <c r="Q697" t="n">
        <v>7.822212</v>
      </c>
      <c r="R697" t="n">
        <v>26.3</v>
      </c>
      <c r="S697" t="n">
        <v>10.3</v>
      </c>
      <c r="T697" t="n">
        <v>14.8</v>
      </c>
      <c r="U697" t="n">
        <v>6.2</v>
      </c>
      <c r="V697" t="n">
        <v>6.764923</v>
      </c>
      <c r="W697" t="n">
        <v>11.6</v>
      </c>
      <c r="X697" t="n">
        <v>4.3</v>
      </c>
      <c r="Y697" t="n">
        <v>3.1</v>
      </c>
      <c r="Z697" t="n">
        <v>5.4</v>
      </c>
      <c r="AA697" t="n">
        <v>13.8</v>
      </c>
      <c r="AB697" t="n">
        <v>4.964226</v>
      </c>
      <c r="AC697" t="n">
        <v>6.4</v>
      </c>
      <c r="AD697" t="n">
        <v>3.5</v>
      </c>
      <c r="AE697" t="n">
        <v>8.184355999999999</v>
      </c>
      <c r="AF697" t="n">
        <v>10.4</v>
      </c>
      <c r="AG697" t="n">
        <v>18.1</v>
      </c>
      <c r="AH697" t="n">
        <v>14.3</v>
      </c>
      <c r="AI697" t="n">
        <v>9.699999999999999</v>
      </c>
      <c r="AJ697" t="n">
        <v>8.1</v>
      </c>
      <c r="AK697" t="n">
        <v>8.800000000000001</v>
      </c>
      <c r="AL697" t="n">
        <v>7.9</v>
      </c>
    </row>
    <row r="698">
      <c r="A698" s="78" t="n">
        <v>41275</v>
      </c>
      <c r="B698" t="n">
        <v>5.390453</v>
      </c>
      <c r="C698" t="n">
        <v>5.9</v>
      </c>
      <c r="D698" t="n">
        <v>8.4</v>
      </c>
      <c r="E698" t="n">
        <v>7.1</v>
      </c>
      <c r="G698" t="n">
        <v>6.644245</v>
      </c>
      <c r="H698" t="n">
        <v>7</v>
      </c>
      <c r="I698" t="n">
        <v>5.4</v>
      </c>
      <c r="J698" t="n">
        <v>7.6</v>
      </c>
      <c r="K698" t="n">
        <v>12.1</v>
      </c>
      <c r="L698" t="n">
        <v>26.3</v>
      </c>
      <c r="M698" t="n">
        <v>9.699999999999999</v>
      </c>
      <c r="N698" t="n">
        <v>8.6</v>
      </c>
      <c r="O698" t="n">
        <v>10.3</v>
      </c>
      <c r="P698" t="n">
        <v>7.451756</v>
      </c>
      <c r="Q698" t="n">
        <v>7.975798</v>
      </c>
      <c r="R698" t="n">
        <v>26.8</v>
      </c>
      <c r="S698" t="n">
        <v>11.1</v>
      </c>
      <c r="T698" t="n">
        <v>14.7</v>
      </c>
      <c r="U698" t="n">
        <v>6.2</v>
      </c>
      <c r="V698" t="n">
        <v>6.756948</v>
      </c>
      <c r="W698" t="n">
        <v>12.1</v>
      </c>
      <c r="X698" t="n">
        <v>4.2</v>
      </c>
      <c r="Y698" t="n">
        <v>3.2</v>
      </c>
      <c r="Z698" t="n">
        <v>5.5</v>
      </c>
      <c r="AA698" t="n">
        <v>13</v>
      </c>
      <c r="AB698" t="n">
        <v>5.199577</v>
      </c>
      <c r="AC698" t="n">
        <v>6.6</v>
      </c>
      <c r="AD698" t="n">
        <v>3.7</v>
      </c>
      <c r="AE698" t="n">
        <v>8.279774</v>
      </c>
      <c r="AF698" t="n">
        <v>10.6</v>
      </c>
      <c r="AG698" t="n">
        <v>18.2</v>
      </c>
      <c r="AH698" t="n">
        <v>14.4</v>
      </c>
      <c r="AI698" t="n">
        <v>10.2</v>
      </c>
      <c r="AJ698" t="n">
        <v>7.9</v>
      </c>
      <c r="AK698" t="n">
        <v>8.800000000000001</v>
      </c>
      <c r="AL698" t="n">
        <v>8</v>
      </c>
    </row>
    <row r="699">
      <c r="A699" s="78" t="n">
        <v>41306</v>
      </c>
      <c r="B699" t="n">
        <v>5.410675</v>
      </c>
      <c r="C699" t="n">
        <v>5.6</v>
      </c>
      <c r="D699" t="n">
        <v>8.4</v>
      </c>
      <c r="E699" t="n">
        <v>7.1</v>
      </c>
      <c r="G699" t="n">
        <v>6.444475</v>
      </c>
      <c r="H699" t="n">
        <v>7.5</v>
      </c>
      <c r="I699" t="n">
        <v>5.4</v>
      </c>
      <c r="J699" t="n">
        <v>7.6</v>
      </c>
      <c r="K699" t="n">
        <v>12.1</v>
      </c>
      <c r="L699" t="n">
        <v>26.4</v>
      </c>
      <c r="M699" t="n">
        <v>9.300000000000001</v>
      </c>
      <c r="N699" t="n">
        <v>8.5</v>
      </c>
      <c r="O699" t="n">
        <v>10.3</v>
      </c>
      <c r="P699" t="n">
        <v>7.312534</v>
      </c>
      <c r="Q699" t="n">
        <v>7.844703</v>
      </c>
      <c r="R699" t="n">
        <v>27</v>
      </c>
      <c r="S699" t="n">
        <v>10.8</v>
      </c>
      <c r="T699" t="n">
        <v>14.6</v>
      </c>
      <c r="U699" t="n">
        <v>6.2</v>
      </c>
      <c r="V699" t="n">
        <v>6.793721</v>
      </c>
      <c r="W699" t="n">
        <v>12</v>
      </c>
      <c r="X699" t="n">
        <v>4.3</v>
      </c>
      <c r="Y699" t="n">
        <v>3.2</v>
      </c>
      <c r="Z699" t="n">
        <v>5.6</v>
      </c>
      <c r="AA699" t="n">
        <v>12.6</v>
      </c>
      <c r="AB699" t="n">
        <v>4.854958</v>
      </c>
      <c r="AC699" t="n">
        <v>6.8</v>
      </c>
      <c r="AD699" t="n">
        <v>3.7</v>
      </c>
      <c r="AE699" t="n">
        <v>8.190967000000001</v>
      </c>
      <c r="AF699" t="n">
        <v>10.7</v>
      </c>
      <c r="AG699" t="n">
        <v>18.1</v>
      </c>
      <c r="AH699" t="n">
        <v>14.4</v>
      </c>
      <c r="AI699" t="n">
        <v>10.6</v>
      </c>
      <c r="AJ699" t="n">
        <v>8</v>
      </c>
      <c r="AK699" t="n">
        <v>8.800000000000001</v>
      </c>
      <c r="AL699" t="n">
        <v>7.7</v>
      </c>
    </row>
    <row r="700">
      <c r="A700" s="78" t="n">
        <v>41334</v>
      </c>
      <c r="B700" t="n">
        <v>5.64447</v>
      </c>
      <c r="C700" t="n">
        <v>5.9</v>
      </c>
      <c r="D700" t="n">
        <v>8.4</v>
      </c>
      <c r="E700" t="n">
        <v>7.3</v>
      </c>
      <c r="G700" t="n">
        <v>6.533291</v>
      </c>
      <c r="H700" t="n">
        <v>7.2</v>
      </c>
      <c r="I700" t="n">
        <v>5.4</v>
      </c>
      <c r="J700" t="n">
        <v>7.6</v>
      </c>
      <c r="K700" t="n">
        <v>12.1</v>
      </c>
      <c r="L700" t="n">
        <v>26.3</v>
      </c>
      <c r="M700" t="n">
        <v>8.800000000000001</v>
      </c>
      <c r="N700" t="n">
        <v>8.199999999999999</v>
      </c>
      <c r="O700" t="n">
        <v>10.4</v>
      </c>
      <c r="P700" t="n">
        <v>7.234004</v>
      </c>
      <c r="Q700" t="n">
        <v>7.792031</v>
      </c>
      <c r="R700" t="n">
        <v>27.1</v>
      </c>
      <c r="S700" t="n">
        <v>10.3</v>
      </c>
      <c r="T700" t="n">
        <v>14.3</v>
      </c>
      <c r="U700" t="n">
        <v>6.2</v>
      </c>
      <c r="V700" t="n">
        <v>6.618608</v>
      </c>
      <c r="W700" t="n">
        <v>12</v>
      </c>
      <c r="X700" t="n">
        <v>4.1</v>
      </c>
      <c r="Y700" t="n">
        <v>3</v>
      </c>
      <c r="Z700" t="n">
        <v>5.7</v>
      </c>
      <c r="AA700" t="n">
        <v>12.1</v>
      </c>
      <c r="AB700" t="n">
        <v>4.898612</v>
      </c>
      <c r="AC700" t="n">
        <v>6.9</v>
      </c>
      <c r="AD700" t="n">
        <v>3.8</v>
      </c>
      <c r="AE700" t="n">
        <v>8.132770000000001</v>
      </c>
      <c r="AF700" t="n">
        <v>10.8</v>
      </c>
      <c r="AG700" t="n">
        <v>18</v>
      </c>
      <c r="AH700" t="n">
        <v>14.4</v>
      </c>
      <c r="AI700" t="n">
        <v>10.8</v>
      </c>
      <c r="AJ700" t="n">
        <v>8.300000000000001</v>
      </c>
      <c r="AK700" t="n">
        <v>9</v>
      </c>
      <c r="AL700" t="n">
        <v>7.5</v>
      </c>
    </row>
    <row r="701">
      <c r="A701" s="78" t="n">
        <v>41365</v>
      </c>
      <c r="B701" t="n">
        <v>5.590552</v>
      </c>
      <c r="C701" t="n">
        <v>5.5</v>
      </c>
      <c r="D701" t="n">
        <v>8.4</v>
      </c>
      <c r="E701" t="n">
        <v>7.2</v>
      </c>
      <c r="G701" t="n">
        <v>6.310322</v>
      </c>
      <c r="H701" t="n">
        <v>6.9</v>
      </c>
      <c r="I701" t="n">
        <v>5.3</v>
      </c>
      <c r="J701" t="n">
        <v>7.5</v>
      </c>
      <c r="K701" t="n">
        <v>12.1</v>
      </c>
      <c r="L701" t="n">
        <v>26.2</v>
      </c>
      <c r="M701" t="n">
        <v>8</v>
      </c>
      <c r="N701" t="n">
        <v>8.199999999999999</v>
      </c>
      <c r="O701" t="n">
        <v>10.4</v>
      </c>
      <c r="P701" t="n">
        <v>7.242922</v>
      </c>
      <c r="Q701" t="n">
        <v>7.758052</v>
      </c>
      <c r="R701" t="n">
        <v>27.7</v>
      </c>
      <c r="S701" t="n">
        <v>9.800000000000001</v>
      </c>
      <c r="T701" t="n">
        <v>14.5</v>
      </c>
      <c r="U701" t="n">
        <v>6.2</v>
      </c>
      <c r="V701" t="n">
        <v>6.74213</v>
      </c>
      <c r="W701" t="n">
        <v>12.3</v>
      </c>
      <c r="X701" t="n">
        <v>4.1</v>
      </c>
      <c r="Y701" t="n">
        <v>3</v>
      </c>
      <c r="Z701" t="n">
        <v>5.7</v>
      </c>
      <c r="AA701" t="n">
        <v>11.6</v>
      </c>
      <c r="AB701" t="n">
        <v>5.138086</v>
      </c>
      <c r="AC701" t="n">
        <v>7</v>
      </c>
      <c r="AD701" t="n">
        <v>3.8</v>
      </c>
      <c r="AE701" t="n">
        <v>8.147451999999999</v>
      </c>
      <c r="AF701" t="n">
        <v>10.8</v>
      </c>
      <c r="AG701" t="n">
        <v>17.8</v>
      </c>
      <c r="AH701" t="n">
        <v>14.4</v>
      </c>
      <c r="AI701" t="n">
        <v>10.9</v>
      </c>
      <c r="AJ701" t="n">
        <v>8.199999999999999</v>
      </c>
      <c r="AK701" t="n">
        <v>9.1</v>
      </c>
      <c r="AL701" t="n">
        <v>7.6</v>
      </c>
    </row>
    <row r="702">
      <c r="A702" s="78" t="n">
        <v>41395</v>
      </c>
      <c r="B702" t="n">
        <v>5.610126</v>
      </c>
      <c r="C702" t="n">
        <v>5.4</v>
      </c>
      <c r="D702" t="n">
        <v>8.5</v>
      </c>
      <c r="E702" t="n">
        <v>7</v>
      </c>
      <c r="G702" t="n">
        <v>6.006396</v>
      </c>
      <c r="H702" t="n">
        <v>7.3</v>
      </c>
      <c r="I702" t="n">
        <v>5.3</v>
      </c>
      <c r="J702" t="n">
        <v>7.5</v>
      </c>
      <c r="K702" t="n">
        <v>12.1</v>
      </c>
      <c r="L702" t="n">
        <v>26.2</v>
      </c>
      <c r="M702" t="n">
        <v>7.8</v>
      </c>
      <c r="N702" t="n">
        <v>8.6</v>
      </c>
      <c r="O702" t="n">
        <v>10.4</v>
      </c>
      <c r="P702" t="n">
        <v>7.209114</v>
      </c>
      <c r="Q702" t="n">
        <v>7.748236</v>
      </c>
      <c r="R702" t="n">
        <v>27.8</v>
      </c>
      <c r="S702" t="n">
        <v>10.2</v>
      </c>
      <c r="T702" t="n">
        <v>14.5</v>
      </c>
      <c r="U702" t="n">
        <v>6.1</v>
      </c>
      <c r="V702" t="n">
        <v>6.641911</v>
      </c>
      <c r="W702" t="n">
        <v>12.4</v>
      </c>
      <c r="X702" t="n">
        <v>4.1</v>
      </c>
      <c r="Y702" t="n">
        <v>3.1</v>
      </c>
      <c r="Z702" t="n">
        <v>5.8</v>
      </c>
      <c r="AA702" t="n">
        <v>11.3</v>
      </c>
      <c r="AB702" t="n">
        <v>5.082216</v>
      </c>
      <c r="AC702" t="n">
        <v>7.1</v>
      </c>
      <c r="AD702" t="n">
        <v>3.7</v>
      </c>
      <c r="AE702" t="n">
        <v>8.087028999999999</v>
      </c>
      <c r="AF702" t="n">
        <v>10.6</v>
      </c>
      <c r="AG702" t="n">
        <v>17.8</v>
      </c>
      <c r="AH702" t="n">
        <v>14.3</v>
      </c>
      <c r="AI702" t="n">
        <v>10.7</v>
      </c>
      <c r="AJ702" t="n">
        <v>7.9</v>
      </c>
      <c r="AK702" t="n">
        <v>9</v>
      </c>
      <c r="AL702" t="n">
        <v>7.5</v>
      </c>
    </row>
    <row r="703">
      <c r="A703" s="78" t="n">
        <v>41426</v>
      </c>
      <c r="B703" t="n">
        <v>5.689666</v>
      </c>
      <c r="C703" t="n">
        <v>5.5</v>
      </c>
      <c r="D703" t="n">
        <v>8.4</v>
      </c>
      <c r="E703" t="n">
        <v>7.2</v>
      </c>
      <c r="G703" t="n">
        <v>5.597162</v>
      </c>
      <c r="H703" t="n">
        <v>6.6</v>
      </c>
      <c r="I703" t="n">
        <v>5.2</v>
      </c>
      <c r="J703" t="n">
        <v>7.2</v>
      </c>
      <c r="K703" t="n">
        <v>12.1</v>
      </c>
      <c r="L703" t="n">
        <v>26.1</v>
      </c>
      <c r="M703" t="n">
        <v>7.7</v>
      </c>
      <c r="N703" t="n">
        <v>7.4</v>
      </c>
      <c r="O703" t="n">
        <v>10.4</v>
      </c>
      <c r="P703" t="n">
        <v>7.182556</v>
      </c>
      <c r="Q703" t="n">
        <v>7.671113</v>
      </c>
      <c r="R703" t="n">
        <v>27.5</v>
      </c>
      <c r="S703" t="n">
        <v>9.699999999999999</v>
      </c>
      <c r="T703" t="n">
        <v>14.1</v>
      </c>
      <c r="U703" t="n">
        <v>6.1</v>
      </c>
      <c r="V703" t="n">
        <v>6.174284</v>
      </c>
      <c r="W703" t="n">
        <v>12.4</v>
      </c>
      <c r="X703" t="n">
        <v>3.9</v>
      </c>
      <c r="Y703" t="n">
        <v>3.1</v>
      </c>
      <c r="Z703" t="n">
        <v>5.9</v>
      </c>
      <c r="AA703" t="n">
        <v>11.2</v>
      </c>
      <c r="AB703" t="n">
        <v>5.074368</v>
      </c>
      <c r="AC703" t="n">
        <v>7.3</v>
      </c>
      <c r="AD703" t="n">
        <v>3.6</v>
      </c>
      <c r="AE703" t="n">
        <v>8.036231000000001</v>
      </c>
      <c r="AF703" t="n">
        <v>10.5</v>
      </c>
      <c r="AG703" t="n">
        <v>17.5</v>
      </c>
      <c r="AH703" t="n">
        <v>14.3</v>
      </c>
      <c r="AI703" t="n">
        <v>10.3</v>
      </c>
      <c r="AJ703" t="n">
        <v>8</v>
      </c>
      <c r="AK703" t="n">
        <v>8.9</v>
      </c>
      <c r="AL703" t="n">
        <v>7.5</v>
      </c>
    </row>
    <row r="704">
      <c r="A704" s="78" t="n">
        <v>41456</v>
      </c>
      <c r="B704" t="n">
        <v>5.634674</v>
      </c>
      <c r="C704" t="n">
        <v>5.7</v>
      </c>
      <c r="D704" t="n">
        <v>8.4</v>
      </c>
      <c r="E704" t="n">
        <v>7.1</v>
      </c>
      <c r="G704" t="n">
        <v>5.585345</v>
      </c>
      <c r="H704" t="n">
        <v>6.7</v>
      </c>
      <c r="I704" t="n">
        <v>5.2</v>
      </c>
      <c r="J704" t="n">
        <v>7.4</v>
      </c>
      <c r="K704" t="n">
        <v>12.1</v>
      </c>
      <c r="L704" t="n">
        <v>26.2</v>
      </c>
      <c r="M704" t="n">
        <v>7.8</v>
      </c>
      <c r="N704" t="n">
        <v>7.8</v>
      </c>
      <c r="O704" t="n">
        <v>10.3</v>
      </c>
      <c r="P704" t="n">
        <v>7.040149</v>
      </c>
      <c r="Q704" t="n">
        <v>7.697585</v>
      </c>
      <c r="R704" t="n">
        <v>28</v>
      </c>
      <c r="S704" t="n">
        <v>9.6</v>
      </c>
      <c r="T704" t="n">
        <v>13.6</v>
      </c>
      <c r="U704" t="n">
        <v>6</v>
      </c>
      <c r="V704" t="n">
        <v>6.132238</v>
      </c>
      <c r="W704" t="n">
        <v>12.2</v>
      </c>
      <c r="X704" t="n">
        <v>3.8</v>
      </c>
      <c r="Y704" t="n">
        <v>3.2</v>
      </c>
      <c r="Z704" t="n">
        <v>5.9</v>
      </c>
      <c r="AA704" t="n">
        <v>11.8</v>
      </c>
      <c r="AB704" t="n">
        <v>4.82622</v>
      </c>
      <c r="AC704" t="n">
        <v>7.5</v>
      </c>
      <c r="AD704" t="n">
        <v>3.7</v>
      </c>
      <c r="AE704" t="n">
        <v>7.947853</v>
      </c>
      <c r="AF704" t="n">
        <v>10.3</v>
      </c>
      <c r="AG704" t="n">
        <v>17.5</v>
      </c>
      <c r="AH704" t="n">
        <v>14.2</v>
      </c>
      <c r="AI704" t="n">
        <v>10</v>
      </c>
      <c r="AJ704" t="n">
        <v>7.9</v>
      </c>
      <c r="AK704" t="n">
        <v>9.1</v>
      </c>
      <c r="AL704" t="n">
        <v>7.3</v>
      </c>
    </row>
    <row r="705">
      <c r="A705" s="78" t="n">
        <v>41487</v>
      </c>
      <c r="B705" t="n">
        <v>5.838285</v>
      </c>
      <c r="C705" t="n">
        <v>5.6</v>
      </c>
      <c r="D705" t="n">
        <v>8.4</v>
      </c>
      <c r="E705" t="n">
        <v>7.1</v>
      </c>
      <c r="G705" t="n">
        <v>5.656894</v>
      </c>
      <c r="H705" t="n">
        <v>7.2</v>
      </c>
      <c r="I705" t="n">
        <v>5.2</v>
      </c>
      <c r="J705" t="n">
        <v>7.4</v>
      </c>
      <c r="K705" t="n">
        <v>12.1</v>
      </c>
      <c r="L705" t="n">
        <v>26.1</v>
      </c>
      <c r="M705" t="n">
        <v>8.199999999999999</v>
      </c>
      <c r="N705" t="n">
        <v>8.199999999999999</v>
      </c>
      <c r="O705" t="n">
        <v>10.2</v>
      </c>
      <c r="P705" t="n">
        <v>7.073875</v>
      </c>
      <c r="Q705" t="n">
        <v>7.618197</v>
      </c>
      <c r="R705" t="n">
        <v>27.5</v>
      </c>
      <c r="S705" t="n">
        <v>9.9</v>
      </c>
      <c r="T705" t="n">
        <v>13.3</v>
      </c>
      <c r="U705" t="n">
        <v>5.9</v>
      </c>
      <c r="V705" t="n">
        <v>5.757135</v>
      </c>
      <c r="W705" t="n">
        <v>12.5</v>
      </c>
      <c r="X705" t="n">
        <v>4.1</v>
      </c>
      <c r="Y705" t="n">
        <v>3.2</v>
      </c>
      <c r="Z705" t="n">
        <v>5.9</v>
      </c>
      <c r="AA705" t="n">
        <v>12</v>
      </c>
      <c r="AB705" t="n">
        <v>4.837063</v>
      </c>
      <c r="AC705" t="n">
        <v>7.5</v>
      </c>
      <c r="AD705" t="n">
        <v>3.8</v>
      </c>
      <c r="AE705" t="n">
        <v>7.964105</v>
      </c>
      <c r="AF705" t="n">
        <v>10.1</v>
      </c>
      <c r="AG705" t="n">
        <v>16.8</v>
      </c>
      <c r="AH705" t="n">
        <v>14.1</v>
      </c>
      <c r="AI705" t="n">
        <v>9.800000000000001</v>
      </c>
      <c r="AJ705" t="n">
        <v>8</v>
      </c>
      <c r="AK705" t="n">
        <v>9.199999999999999</v>
      </c>
      <c r="AL705" t="n">
        <v>7.2</v>
      </c>
    </row>
    <row r="706">
      <c r="A706" s="78" t="n">
        <v>41518</v>
      </c>
      <c r="B706" t="n">
        <v>5.695109</v>
      </c>
      <c r="C706" t="n">
        <v>6.1</v>
      </c>
      <c r="D706" t="n">
        <v>8.5</v>
      </c>
      <c r="E706" t="n">
        <v>7.1</v>
      </c>
      <c r="G706" t="n">
        <v>5.883557</v>
      </c>
      <c r="H706" t="n">
        <v>7</v>
      </c>
      <c r="I706" t="n">
        <v>5.2</v>
      </c>
      <c r="J706" t="n">
        <v>7.1</v>
      </c>
      <c r="K706" t="n">
        <v>12.1</v>
      </c>
      <c r="L706" t="n">
        <v>26.1</v>
      </c>
      <c r="M706" t="n">
        <v>8.4</v>
      </c>
      <c r="N706" t="n">
        <v>8.5</v>
      </c>
      <c r="O706" t="n">
        <v>10.3</v>
      </c>
      <c r="P706" t="n">
        <v>7.032052</v>
      </c>
      <c r="Q706" t="n">
        <v>7.368819</v>
      </c>
      <c r="R706" t="n">
        <v>27.8</v>
      </c>
      <c r="S706" t="n">
        <v>9.300000000000001</v>
      </c>
      <c r="T706" t="n">
        <v>13.1</v>
      </c>
      <c r="U706" t="n">
        <v>5.9</v>
      </c>
      <c r="V706" t="n">
        <v>5.856009</v>
      </c>
      <c r="W706" t="n">
        <v>12.6</v>
      </c>
      <c r="X706" t="n">
        <v>3.9</v>
      </c>
      <c r="Y706" t="n">
        <v>3</v>
      </c>
      <c r="Z706" t="n">
        <v>6</v>
      </c>
      <c r="AA706" t="n">
        <v>12</v>
      </c>
      <c r="AB706" t="n">
        <v>4.946442</v>
      </c>
      <c r="AC706" t="n">
        <v>7.6</v>
      </c>
      <c r="AD706" t="n">
        <v>3.8</v>
      </c>
      <c r="AE706" t="n">
        <v>7.937083</v>
      </c>
      <c r="AF706" t="n">
        <v>10</v>
      </c>
      <c r="AG706" t="n">
        <v>16.5</v>
      </c>
      <c r="AH706" t="n">
        <v>14.2</v>
      </c>
      <c r="AI706" t="n">
        <v>9.699999999999999</v>
      </c>
      <c r="AJ706" t="n">
        <v>8.1</v>
      </c>
      <c r="AK706" t="n">
        <v>9.300000000000001</v>
      </c>
      <c r="AL706" t="n">
        <v>7.2</v>
      </c>
    </row>
    <row r="707">
      <c r="A707" s="78" t="n">
        <v>41548</v>
      </c>
      <c r="B707" t="n">
        <v>5.825334</v>
      </c>
      <c r="C707" t="n">
        <v>5.8</v>
      </c>
      <c r="D707" t="n">
        <v>8.5</v>
      </c>
      <c r="E707" t="n">
        <v>7.1</v>
      </c>
      <c r="G707" t="n">
        <v>6.074152</v>
      </c>
      <c r="H707" t="n">
        <v>6.6</v>
      </c>
      <c r="I707" t="n">
        <v>5.1</v>
      </c>
      <c r="J707" t="n">
        <v>7.2</v>
      </c>
      <c r="K707" t="n">
        <v>12</v>
      </c>
      <c r="L707" t="n">
        <v>26</v>
      </c>
      <c r="M707" t="n">
        <v>8.699999999999999</v>
      </c>
      <c r="N707" t="n">
        <v>8.1</v>
      </c>
      <c r="O707" t="n">
        <v>10.2</v>
      </c>
      <c r="P707" t="n">
        <v>6.98724</v>
      </c>
      <c r="Q707" t="n">
        <v>7.169614</v>
      </c>
      <c r="R707" t="n">
        <v>27.5</v>
      </c>
      <c r="S707" t="n">
        <v>9.1</v>
      </c>
      <c r="T707" t="n">
        <v>12.9</v>
      </c>
      <c r="U707" t="n">
        <v>5.8</v>
      </c>
      <c r="V707" t="n">
        <v>5.660604</v>
      </c>
      <c r="W707" t="n">
        <v>12.6</v>
      </c>
      <c r="X707" t="n">
        <v>4</v>
      </c>
      <c r="Y707" t="n">
        <v>3.1</v>
      </c>
      <c r="Z707" t="n">
        <v>6</v>
      </c>
      <c r="AA707" t="n">
        <v>11.6</v>
      </c>
      <c r="AB707" t="n">
        <v>4.897743</v>
      </c>
      <c r="AC707" t="n">
        <v>7.6</v>
      </c>
      <c r="AD707" t="n">
        <v>3.7</v>
      </c>
      <c r="AE707" t="n">
        <v>7.860134</v>
      </c>
      <c r="AF707" t="n">
        <v>9.9</v>
      </c>
      <c r="AG707" t="n">
        <v>16.3</v>
      </c>
      <c r="AH707" t="n">
        <v>14.1</v>
      </c>
      <c r="AI707" t="n">
        <v>9.6</v>
      </c>
      <c r="AJ707" t="n">
        <v>7.8</v>
      </c>
      <c r="AK707" t="n">
        <v>9.1</v>
      </c>
      <c r="AL707" t="n">
        <v>7.2</v>
      </c>
    </row>
    <row r="708">
      <c r="A708" s="78" t="n">
        <v>41579</v>
      </c>
      <c r="B708" t="n">
        <v>5.796578</v>
      </c>
      <c r="C708" t="n">
        <v>6</v>
      </c>
      <c r="D708" t="n">
        <v>8.5</v>
      </c>
      <c r="E708" t="n">
        <v>7</v>
      </c>
      <c r="G708" t="n">
        <v>6.223021</v>
      </c>
      <c r="H708" t="n">
        <v>7</v>
      </c>
      <c r="I708" t="n">
        <v>5.1</v>
      </c>
      <c r="J708" t="n">
        <v>7.1</v>
      </c>
      <c r="K708" t="n">
        <v>12</v>
      </c>
      <c r="L708" t="n">
        <v>25.9</v>
      </c>
      <c r="M708" t="n">
        <v>8.9</v>
      </c>
      <c r="N708" t="n">
        <v>8.9</v>
      </c>
      <c r="O708" t="n">
        <v>10.2</v>
      </c>
      <c r="P708" t="n">
        <v>6.852035</v>
      </c>
      <c r="Q708" t="n">
        <v>7.2206</v>
      </c>
      <c r="R708" t="n">
        <v>27.8</v>
      </c>
      <c r="S708" t="n">
        <v>9</v>
      </c>
      <c r="T708" t="n">
        <v>12.8</v>
      </c>
      <c r="U708" t="n">
        <v>5.8</v>
      </c>
      <c r="V708" t="n">
        <v>5.683481</v>
      </c>
      <c r="W708" t="n">
        <v>12.5</v>
      </c>
      <c r="X708" t="n">
        <v>3.9</v>
      </c>
      <c r="Y708" t="n">
        <v>3.1</v>
      </c>
      <c r="Z708" t="n">
        <v>6</v>
      </c>
      <c r="AA708" t="n">
        <v>11.4</v>
      </c>
      <c r="AB708" t="n">
        <v>4.629704</v>
      </c>
      <c r="AC708" t="n">
        <v>7.6</v>
      </c>
      <c r="AD708" t="n">
        <v>3.8</v>
      </c>
      <c r="AE708" t="n">
        <v>7.790421</v>
      </c>
      <c r="AF708" t="n">
        <v>9.9</v>
      </c>
      <c r="AG708" t="n">
        <v>16.1</v>
      </c>
      <c r="AH708" t="n">
        <v>14.1</v>
      </c>
      <c r="AI708" t="n">
        <v>9.699999999999999</v>
      </c>
      <c r="AJ708" t="n">
        <v>8.1</v>
      </c>
      <c r="AK708" t="n">
        <v>9.199999999999999</v>
      </c>
      <c r="AL708" t="n">
        <v>6.9</v>
      </c>
    </row>
    <row r="709">
      <c r="A709" s="78" t="n">
        <v>41609</v>
      </c>
      <c r="B709" t="n">
        <v>5.90414</v>
      </c>
      <c r="C709" t="n">
        <v>5.9</v>
      </c>
      <c r="D709" t="n">
        <v>8.6</v>
      </c>
      <c r="E709" t="n">
        <v>7.3</v>
      </c>
      <c r="G709" t="n">
        <v>6.590264</v>
      </c>
      <c r="H709" t="n">
        <v>6.8</v>
      </c>
      <c r="I709" t="n">
        <v>5.1</v>
      </c>
      <c r="J709" t="n">
        <v>7.4</v>
      </c>
      <c r="K709" t="n">
        <v>11.9</v>
      </c>
      <c r="L709" t="n">
        <v>25.6</v>
      </c>
      <c r="M709" t="n">
        <v>8.6</v>
      </c>
      <c r="N709" t="n">
        <v>8.5</v>
      </c>
      <c r="O709" t="n">
        <v>10.2</v>
      </c>
      <c r="P709" t="n">
        <v>6.728749</v>
      </c>
      <c r="Q709" t="n">
        <v>7.161771</v>
      </c>
      <c r="R709" t="n">
        <v>27.5</v>
      </c>
      <c r="S709" t="n">
        <v>8.699999999999999</v>
      </c>
      <c r="T709" t="n">
        <v>12.8</v>
      </c>
      <c r="U709" t="n">
        <v>5.8</v>
      </c>
      <c r="V709" t="n">
        <v>5.88177</v>
      </c>
      <c r="W709" t="n">
        <v>12.6</v>
      </c>
      <c r="X709" t="n">
        <v>3.7</v>
      </c>
      <c r="Y709" t="n">
        <v>3.2</v>
      </c>
      <c r="Z709" t="n">
        <v>6</v>
      </c>
      <c r="AA709" t="n">
        <v>11.5</v>
      </c>
      <c r="AB709" t="n">
        <v>4.765339</v>
      </c>
      <c r="AC709" t="n">
        <v>7.7</v>
      </c>
      <c r="AD709" t="n">
        <v>4</v>
      </c>
      <c r="AE709" t="n">
        <v>7.699629</v>
      </c>
      <c r="AF709" t="n">
        <v>10</v>
      </c>
      <c r="AG709" t="n">
        <v>15.7</v>
      </c>
      <c r="AH709" t="n">
        <v>14</v>
      </c>
      <c r="AI709" t="n">
        <v>9.9</v>
      </c>
      <c r="AJ709" t="n">
        <v>8</v>
      </c>
      <c r="AK709" t="n">
        <v>9.1</v>
      </c>
      <c r="AL709" t="n">
        <v>6.7</v>
      </c>
    </row>
    <row r="710">
      <c r="A710" s="78" t="n">
        <v>41640</v>
      </c>
      <c r="B710" t="n">
        <v>5.944219</v>
      </c>
      <c r="C710" t="n">
        <v>6.2</v>
      </c>
      <c r="D710" t="n">
        <v>8.699999999999999</v>
      </c>
      <c r="E710" t="n">
        <v>7.1</v>
      </c>
      <c r="G710" t="n">
        <v>6.454486</v>
      </c>
      <c r="H710" t="n">
        <v>6.4</v>
      </c>
      <c r="I710" t="n">
        <v>5.1</v>
      </c>
      <c r="J710" t="n">
        <v>7.1</v>
      </c>
      <c r="K710" t="n">
        <v>12</v>
      </c>
      <c r="L710" t="n">
        <v>25.6</v>
      </c>
      <c r="M710" t="n">
        <v>8.6</v>
      </c>
      <c r="N710" t="n">
        <v>8.4</v>
      </c>
      <c r="O710" t="n">
        <v>10.2</v>
      </c>
      <c r="P710" t="n">
        <v>6.665275</v>
      </c>
      <c r="Q710" t="n">
        <v>6.88947</v>
      </c>
      <c r="R710" t="n">
        <v>27</v>
      </c>
      <c r="S710" t="n">
        <v>7.9</v>
      </c>
      <c r="T710" t="n">
        <v>12.9</v>
      </c>
      <c r="U710" t="n">
        <v>5.7</v>
      </c>
      <c r="V710" t="n">
        <v>5.745458</v>
      </c>
      <c r="W710" t="n">
        <v>13</v>
      </c>
      <c r="X710" t="n">
        <v>3.7</v>
      </c>
      <c r="Y710" t="n">
        <v>3.3</v>
      </c>
      <c r="Z710" t="n">
        <v>6</v>
      </c>
      <c r="AA710" t="n">
        <v>11.4</v>
      </c>
      <c r="AB710" t="n">
        <v>4.876752</v>
      </c>
      <c r="AC710" t="n">
        <v>7.8</v>
      </c>
      <c r="AD710" t="n">
        <v>3.7</v>
      </c>
      <c r="AE710" t="n">
        <v>7.675793</v>
      </c>
      <c r="AF710" t="n">
        <v>10.1</v>
      </c>
      <c r="AG710" t="n">
        <v>15.4</v>
      </c>
      <c r="AH710" t="n">
        <v>13.9</v>
      </c>
      <c r="AI710" t="n">
        <v>10.2</v>
      </c>
      <c r="AJ710" t="n">
        <v>8.1</v>
      </c>
      <c r="AK710" t="n">
        <v>9.199999999999999</v>
      </c>
      <c r="AL710" t="n">
        <v>6.6</v>
      </c>
    </row>
    <row r="711">
      <c r="A711" s="78" t="n">
        <v>41671</v>
      </c>
      <c r="B711" t="n">
        <v>5.895029</v>
      </c>
      <c r="C711" t="n">
        <v>5.8</v>
      </c>
      <c r="D711" t="n">
        <v>8.6</v>
      </c>
      <c r="E711" t="n">
        <v>7.1</v>
      </c>
      <c r="G711" t="n">
        <v>6.521886</v>
      </c>
      <c r="H711" t="n">
        <v>6.6</v>
      </c>
      <c r="I711" t="n">
        <v>5.1</v>
      </c>
      <c r="J711" t="n">
        <v>7.1</v>
      </c>
      <c r="K711" t="n">
        <v>12</v>
      </c>
      <c r="L711" t="n">
        <v>25.3</v>
      </c>
      <c r="M711" t="n">
        <v>8</v>
      </c>
      <c r="N711" t="n">
        <v>8.699999999999999</v>
      </c>
      <c r="O711" t="n">
        <v>10.2</v>
      </c>
      <c r="P711" t="n">
        <v>6.679863</v>
      </c>
      <c r="Q711" t="n">
        <v>6.754525</v>
      </c>
      <c r="R711" t="n">
        <v>27.5</v>
      </c>
      <c r="S711" t="n">
        <v>7.6</v>
      </c>
      <c r="T711" t="n">
        <v>12.9</v>
      </c>
      <c r="U711" t="n">
        <v>5.7</v>
      </c>
      <c r="V711" t="n">
        <v>5.886781</v>
      </c>
      <c r="W711" t="n">
        <v>13</v>
      </c>
      <c r="X711" t="n">
        <v>3.6</v>
      </c>
      <c r="Y711" t="n">
        <v>3.6</v>
      </c>
      <c r="Z711" t="n">
        <v>5.9</v>
      </c>
      <c r="AA711" t="n">
        <v>11.5</v>
      </c>
      <c r="AB711" t="n">
        <v>4.683901</v>
      </c>
      <c r="AC711" t="n">
        <v>7.9</v>
      </c>
      <c r="AD711" t="n">
        <v>3.5</v>
      </c>
      <c r="AE711" t="n">
        <v>7.692539</v>
      </c>
      <c r="AF711" t="n">
        <v>10</v>
      </c>
      <c r="AG711" t="n">
        <v>15.4</v>
      </c>
      <c r="AH711" t="n">
        <v>13.9</v>
      </c>
      <c r="AI711" t="n">
        <v>10.3</v>
      </c>
      <c r="AJ711" t="n">
        <v>8</v>
      </c>
      <c r="AK711" t="n">
        <v>9.5</v>
      </c>
      <c r="AL711" t="n">
        <v>6.7</v>
      </c>
    </row>
    <row r="712">
      <c r="A712" s="78" t="n">
        <v>41699</v>
      </c>
      <c r="B712" t="n">
        <v>5.882296</v>
      </c>
      <c r="C712" t="n">
        <v>6.2</v>
      </c>
      <c r="D712" t="n">
        <v>8.6</v>
      </c>
      <c r="E712" t="n">
        <v>7</v>
      </c>
      <c r="G712" t="n">
        <v>6.167099</v>
      </c>
      <c r="H712" t="n">
        <v>6.8</v>
      </c>
      <c r="I712" t="n">
        <v>5.1</v>
      </c>
      <c r="J712" t="n">
        <v>6.8</v>
      </c>
      <c r="K712" t="n">
        <v>11.8</v>
      </c>
      <c r="L712" t="n">
        <v>25.1</v>
      </c>
      <c r="M712" t="n">
        <v>7.8</v>
      </c>
      <c r="N712" t="n">
        <v>8.9</v>
      </c>
      <c r="O712" t="n">
        <v>10.2</v>
      </c>
      <c r="P712" t="n">
        <v>6.652312</v>
      </c>
      <c r="Q712" t="n">
        <v>6.588041</v>
      </c>
      <c r="R712" t="n">
        <v>26.9</v>
      </c>
      <c r="S712" t="n">
        <v>7.9</v>
      </c>
      <c r="T712" t="n">
        <v>12.7</v>
      </c>
      <c r="U712" t="n">
        <v>5.7</v>
      </c>
      <c r="V712" t="n">
        <v>5.798051</v>
      </c>
      <c r="W712" t="n">
        <v>12.7</v>
      </c>
      <c r="X712" t="n">
        <v>3.7</v>
      </c>
      <c r="Y712" t="n">
        <v>3.4</v>
      </c>
      <c r="Z712" t="n">
        <v>6</v>
      </c>
      <c r="AA712" t="n">
        <v>11.3</v>
      </c>
      <c r="AB712" t="n">
        <v>5.210101</v>
      </c>
      <c r="AC712" t="n">
        <v>7.8</v>
      </c>
      <c r="AD712" t="n">
        <v>3.4</v>
      </c>
      <c r="AE712" t="n">
        <v>7.689249</v>
      </c>
      <c r="AF712" t="n">
        <v>9.9</v>
      </c>
      <c r="AG712" t="n">
        <v>15.2</v>
      </c>
      <c r="AH712" t="n">
        <v>13.8</v>
      </c>
      <c r="AI712" t="n">
        <v>10.2</v>
      </c>
      <c r="AJ712" t="n">
        <v>8.1</v>
      </c>
      <c r="AK712" t="n">
        <v>9.5</v>
      </c>
      <c r="AL712" t="n">
        <v>6.7</v>
      </c>
    </row>
    <row r="713">
      <c r="A713" s="78" t="n">
        <v>41730</v>
      </c>
      <c r="B713" t="n">
        <v>5.809099</v>
      </c>
      <c r="C713" t="n">
        <v>5.5</v>
      </c>
      <c r="D713" t="n">
        <v>8.6</v>
      </c>
      <c r="E713" t="n">
        <v>7.1</v>
      </c>
      <c r="G713" t="n">
        <v>6.110686</v>
      </c>
      <c r="H713" t="n">
        <v>6.2</v>
      </c>
      <c r="I713" t="n">
        <v>5</v>
      </c>
      <c r="J713" t="n">
        <v>6.7</v>
      </c>
      <c r="K713" t="n">
        <v>11.7</v>
      </c>
      <c r="L713" t="n">
        <v>24.8</v>
      </c>
      <c r="M713" t="n">
        <v>7.4</v>
      </c>
      <c r="N713" t="n">
        <v>8.300000000000001</v>
      </c>
      <c r="O713" t="n">
        <v>10.1</v>
      </c>
      <c r="P713" t="n">
        <v>6.447657</v>
      </c>
      <c r="Q713" t="n">
        <v>6.428294</v>
      </c>
      <c r="R713" t="n">
        <v>27.1</v>
      </c>
      <c r="S713" t="n">
        <v>7.7</v>
      </c>
      <c r="T713" t="n">
        <v>12.4</v>
      </c>
      <c r="U713" t="n">
        <v>5.7</v>
      </c>
      <c r="V713" t="n">
        <v>5.834956</v>
      </c>
      <c r="W713" t="n">
        <v>12.8</v>
      </c>
      <c r="X713" t="n">
        <v>3.6</v>
      </c>
      <c r="Y713" t="n">
        <v>3.6</v>
      </c>
      <c r="Z713" t="n">
        <v>5.9</v>
      </c>
      <c r="AA713" t="n">
        <v>11</v>
      </c>
      <c r="AB713" t="n">
        <v>4.936545</v>
      </c>
      <c r="AC713" t="n">
        <v>7.7</v>
      </c>
      <c r="AD713" t="n">
        <v>3.4</v>
      </c>
      <c r="AE713" t="n">
        <v>7.501745</v>
      </c>
      <c r="AF713" t="n">
        <v>9.6</v>
      </c>
      <c r="AG713" t="n">
        <v>15.1</v>
      </c>
      <c r="AH713" t="n">
        <v>13.6</v>
      </c>
      <c r="AI713" t="n">
        <v>9.699999999999999</v>
      </c>
      <c r="AJ713" t="n">
        <v>8.1</v>
      </c>
      <c r="AK713" t="n">
        <v>9.699999999999999</v>
      </c>
      <c r="AL713" t="n">
        <v>6.2</v>
      </c>
    </row>
    <row r="714">
      <c r="A714" s="78" t="n">
        <v>41760</v>
      </c>
      <c r="B714" t="n">
        <v>5.930977</v>
      </c>
      <c r="C714" t="n">
        <v>5.9</v>
      </c>
      <c r="D714" t="n">
        <v>8.6</v>
      </c>
      <c r="E714" t="n">
        <v>7.1</v>
      </c>
      <c r="G714" t="n">
        <v>6.249398</v>
      </c>
      <c r="H714" t="n">
        <v>6.2</v>
      </c>
      <c r="I714" t="n">
        <v>5</v>
      </c>
      <c r="J714" t="n">
        <v>6.8</v>
      </c>
      <c r="K714" t="n">
        <v>11.7</v>
      </c>
      <c r="L714" t="n">
        <v>24.6</v>
      </c>
      <c r="M714" t="n">
        <v>6.8</v>
      </c>
      <c r="N714" t="n">
        <v>8.699999999999999</v>
      </c>
      <c r="O714" t="n">
        <v>10.1</v>
      </c>
      <c r="P714" t="n">
        <v>6.45624</v>
      </c>
      <c r="Q714" t="n">
        <v>6.289253</v>
      </c>
      <c r="R714" t="n">
        <v>27.2</v>
      </c>
      <c r="S714" t="n">
        <v>7.9</v>
      </c>
      <c r="T714" t="n">
        <v>12.1</v>
      </c>
      <c r="U714" t="n">
        <v>5.7</v>
      </c>
      <c r="V714" t="n">
        <v>6.028623</v>
      </c>
      <c r="W714" t="n">
        <v>12.7</v>
      </c>
      <c r="X714" t="n">
        <v>3.6</v>
      </c>
      <c r="Y714" t="n">
        <v>3.5</v>
      </c>
      <c r="Z714" t="n">
        <v>6</v>
      </c>
      <c r="AA714" t="n">
        <v>10.6</v>
      </c>
      <c r="AB714" t="n">
        <v>5.061787</v>
      </c>
      <c r="AC714" t="n">
        <v>7.6</v>
      </c>
      <c r="AD714" t="n">
        <v>3.3</v>
      </c>
      <c r="AE714" t="n">
        <v>7.502263</v>
      </c>
      <c r="AF714" t="n">
        <v>9.300000000000001</v>
      </c>
      <c r="AG714" t="n">
        <v>14.9</v>
      </c>
      <c r="AH714" t="n">
        <v>13.4</v>
      </c>
      <c r="AI714" t="n">
        <v>9.6</v>
      </c>
      <c r="AJ714" t="n">
        <v>7.6</v>
      </c>
      <c r="AK714" t="n">
        <v>9.699999999999999</v>
      </c>
      <c r="AL714" t="n">
        <v>6.3</v>
      </c>
    </row>
    <row r="715">
      <c r="A715" s="78" t="n">
        <v>41791</v>
      </c>
      <c r="B715" t="n">
        <v>6.036907</v>
      </c>
      <c r="C715" t="n">
        <v>6.1</v>
      </c>
      <c r="D715" t="n">
        <v>8.5</v>
      </c>
      <c r="E715" t="n">
        <v>7.1</v>
      </c>
      <c r="G715" t="n">
        <v>6.267398</v>
      </c>
      <c r="H715" t="n">
        <v>6.2</v>
      </c>
      <c r="I715" t="n">
        <v>5</v>
      </c>
      <c r="J715" t="n">
        <v>6.8</v>
      </c>
      <c r="K715" t="n">
        <v>11.6</v>
      </c>
      <c r="L715" t="n">
        <v>24.3</v>
      </c>
      <c r="M715" t="n">
        <v>6.8</v>
      </c>
      <c r="N715" t="n">
        <v>8.9</v>
      </c>
      <c r="O715" t="n">
        <v>10.2</v>
      </c>
      <c r="P715" t="n">
        <v>6.336878</v>
      </c>
      <c r="Q715" t="n">
        <v>6.14313</v>
      </c>
      <c r="R715" t="n">
        <v>26.5</v>
      </c>
      <c r="S715" t="n">
        <v>8.1</v>
      </c>
      <c r="T715" t="n">
        <v>12</v>
      </c>
      <c r="U715" t="n">
        <v>5.6</v>
      </c>
      <c r="V715" t="n">
        <v>5.997649</v>
      </c>
      <c r="W715" t="n">
        <v>12.3</v>
      </c>
      <c r="X715" t="n">
        <v>3.7</v>
      </c>
      <c r="Y715" t="n">
        <v>3.5</v>
      </c>
      <c r="Z715" t="n">
        <v>6</v>
      </c>
      <c r="AA715" t="n">
        <v>10.4</v>
      </c>
      <c r="AB715" t="n">
        <v>4.874528</v>
      </c>
      <c r="AC715" t="n">
        <v>7.4</v>
      </c>
      <c r="AD715" t="n">
        <v>3.5</v>
      </c>
      <c r="AE715" t="n">
        <v>7.42587</v>
      </c>
      <c r="AF715" t="n">
        <v>9</v>
      </c>
      <c r="AG715" t="n">
        <v>14.9</v>
      </c>
      <c r="AH715" t="n">
        <v>13.3</v>
      </c>
      <c r="AI715" t="n">
        <v>9.5</v>
      </c>
      <c r="AJ715" t="n">
        <v>8.1</v>
      </c>
      <c r="AK715" t="n">
        <v>9.699999999999999</v>
      </c>
      <c r="AL715" t="n">
        <v>6.1</v>
      </c>
    </row>
    <row r="716">
      <c r="A716" s="78" t="n">
        <v>41821</v>
      </c>
      <c r="B716" t="n">
        <v>6.158658</v>
      </c>
      <c r="C716" t="n">
        <v>6.1</v>
      </c>
      <c r="D716" t="n">
        <v>8.4</v>
      </c>
      <c r="E716" t="n">
        <v>7.1</v>
      </c>
      <c r="G716" t="n">
        <v>6.518901</v>
      </c>
      <c r="H716" t="n">
        <v>5.7</v>
      </c>
      <c r="I716" t="n">
        <v>5</v>
      </c>
      <c r="J716" t="n">
        <v>6.9</v>
      </c>
      <c r="K716" t="n">
        <v>11.6</v>
      </c>
      <c r="L716" t="n">
        <v>24.3</v>
      </c>
      <c r="M716" t="n">
        <v>7.2</v>
      </c>
      <c r="N716" t="n">
        <v>8</v>
      </c>
      <c r="O716" t="n">
        <v>10.2</v>
      </c>
      <c r="P716" t="n">
        <v>6.412701</v>
      </c>
      <c r="Q716" t="n">
        <v>6.018725</v>
      </c>
      <c r="R716" t="n">
        <v>26.2</v>
      </c>
      <c r="S716" t="n">
        <v>7.6</v>
      </c>
      <c r="T716" t="n">
        <v>11.9</v>
      </c>
      <c r="U716" t="n">
        <v>5.6</v>
      </c>
      <c r="V716" t="n">
        <v>6.094118</v>
      </c>
      <c r="W716" t="n">
        <v>12.9</v>
      </c>
      <c r="X716" t="n">
        <v>3.7</v>
      </c>
      <c r="Y716" t="n">
        <v>3.5</v>
      </c>
      <c r="Z716" t="n">
        <v>6</v>
      </c>
      <c r="AA716" t="n">
        <v>10.7</v>
      </c>
      <c r="AB716" t="n">
        <v>5.165568</v>
      </c>
      <c r="AC716" t="n">
        <v>7.3</v>
      </c>
      <c r="AD716" t="n">
        <v>3.6</v>
      </c>
      <c r="AE716" t="n">
        <v>7.452156</v>
      </c>
      <c r="AF716" t="n">
        <v>8.6</v>
      </c>
      <c r="AG716" t="n">
        <v>14.7</v>
      </c>
      <c r="AH716" t="n">
        <v>13.1</v>
      </c>
      <c r="AI716" t="n">
        <v>9.6</v>
      </c>
      <c r="AJ716" t="n">
        <v>7.8</v>
      </c>
      <c r="AK716" t="n">
        <v>9.9</v>
      </c>
      <c r="AL716" t="n">
        <v>6.2</v>
      </c>
    </row>
    <row r="717">
      <c r="A717" s="78" t="n">
        <v>41852</v>
      </c>
      <c r="B717" t="n">
        <v>6.085177</v>
      </c>
      <c r="C717" t="n">
        <v>6.1</v>
      </c>
      <c r="D717" t="n">
        <v>8.4</v>
      </c>
      <c r="E717" t="n">
        <v>7</v>
      </c>
      <c r="G717" t="n">
        <v>6.535319</v>
      </c>
      <c r="H717" t="n">
        <v>6.2</v>
      </c>
      <c r="I717" t="n">
        <v>5</v>
      </c>
      <c r="J717" t="n">
        <v>6.9</v>
      </c>
      <c r="K717" t="n">
        <v>11.5</v>
      </c>
      <c r="L717" t="n">
        <v>24.1</v>
      </c>
      <c r="M717" t="n">
        <v>7.8</v>
      </c>
      <c r="N717" t="n">
        <v>8.6</v>
      </c>
      <c r="O717" t="n">
        <v>10.3</v>
      </c>
      <c r="P717" t="n">
        <v>6.333052</v>
      </c>
      <c r="Q717" t="n">
        <v>5.980584</v>
      </c>
      <c r="R717" t="n">
        <v>26.3</v>
      </c>
      <c r="S717" t="n">
        <v>6.9</v>
      </c>
      <c r="T717" t="n">
        <v>11.7</v>
      </c>
      <c r="U717" t="n">
        <v>5.5</v>
      </c>
      <c r="V717" t="n">
        <v>6.205281</v>
      </c>
      <c r="W717" t="n">
        <v>12.6</v>
      </c>
      <c r="X717" t="n">
        <v>3.5</v>
      </c>
      <c r="Y717" t="n">
        <v>3.5</v>
      </c>
      <c r="Z717" t="n">
        <v>6</v>
      </c>
      <c r="AA717" t="n">
        <v>10.8</v>
      </c>
      <c r="AB717" t="n">
        <v>4.842624</v>
      </c>
      <c r="AC717" t="n">
        <v>7.2</v>
      </c>
      <c r="AD717" t="n">
        <v>3.8</v>
      </c>
      <c r="AE717" t="n">
        <v>7.390471</v>
      </c>
      <c r="AF717" t="n">
        <v>8.4</v>
      </c>
      <c r="AG717" t="n">
        <v>14.1</v>
      </c>
      <c r="AH717" t="n">
        <v>13</v>
      </c>
      <c r="AI717" t="n">
        <v>9.6</v>
      </c>
      <c r="AJ717" t="n">
        <v>8</v>
      </c>
      <c r="AK717" t="n">
        <v>10.2</v>
      </c>
      <c r="AL717" t="n">
        <v>6.1</v>
      </c>
    </row>
    <row r="718">
      <c r="A718" s="78" t="n">
        <v>41883</v>
      </c>
      <c r="B718" t="n">
        <v>6.216553</v>
      </c>
      <c r="C718" t="n">
        <v>6.1</v>
      </c>
      <c r="D718" t="n">
        <v>8.5</v>
      </c>
      <c r="E718" t="n">
        <v>6.9</v>
      </c>
      <c r="G718" t="n">
        <v>6.497932</v>
      </c>
      <c r="H718" t="n">
        <v>5.8</v>
      </c>
      <c r="I718" t="n">
        <v>5</v>
      </c>
      <c r="J718" t="n">
        <v>6.9</v>
      </c>
      <c r="K718" t="n">
        <v>11.5</v>
      </c>
      <c r="L718" t="n">
        <v>24</v>
      </c>
      <c r="M718" t="n">
        <v>7.5</v>
      </c>
      <c r="N718" t="n">
        <v>9.199999999999999</v>
      </c>
      <c r="O718" t="n">
        <v>10.4</v>
      </c>
      <c r="P718" t="n">
        <v>6.27777</v>
      </c>
      <c r="Q718" t="n">
        <v>5.955225</v>
      </c>
      <c r="R718" t="n">
        <v>26</v>
      </c>
      <c r="S718" t="n">
        <v>7.4</v>
      </c>
      <c r="T718" t="n">
        <v>11.4</v>
      </c>
      <c r="U718" t="n">
        <v>5.4</v>
      </c>
      <c r="V718" t="n">
        <v>6.010983</v>
      </c>
      <c r="W718" t="n">
        <v>12.9</v>
      </c>
      <c r="X718" t="n">
        <v>3.5</v>
      </c>
      <c r="Y718" t="n">
        <v>3.5</v>
      </c>
      <c r="Z718" t="n">
        <v>6.1</v>
      </c>
      <c r="AA718" t="n">
        <v>10.8</v>
      </c>
      <c r="AB718" t="n">
        <v>4.771177</v>
      </c>
      <c r="AC718" t="n">
        <v>7.1</v>
      </c>
      <c r="AD718" t="n">
        <v>3.8</v>
      </c>
      <c r="AE718" t="n">
        <v>7.316769</v>
      </c>
      <c r="AF718" t="n">
        <v>8.300000000000001</v>
      </c>
      <c r="AG718" t="n">
        <v>13.9</v>
      </c>
      <c r="AH718" t="n">
        <v>12.7</v>
      </c>
      <c r="AI718" t="n">
        <v>9.699999999999999</v>
      </c>
      <c r="AJ718" t="n">
        <v>7.8</v>
      </c>
      <c r="AK718" t="n">
        <v>10.1</v>
      </c>
      <c r="AL718" t="n">
        <v>5.9</v>
      </c>
    </row>
    <row r="719">
      <c r="A719" s="78" t="n">
        <v>41913</v>
      </c>
      <c r="B719" t="n">
        <v>6.359546</v>
      </c>
      <c r="C719" t="n">
        <v>6</v>
      </c>
      <c r="D719" t="n">
        <v>8.6</v>
      </c>
      <c r="E719" t="n">
        <v>6.7</v>
      </c>
      <c r="G719" t="n">
        <v>6.448819</v>
      </c>
      <c r="H719" t="n">
        <v>5.5</v>
      </c>
      <c r="I719" t="n">
        <v>5</v>
      </c>
      <c r="J719" t="n">
        <v>6.9</v>
      </c>
      <c r="K719" t="n">
        <v>11.6</v>
      </c>
      <c r="L719" t="n">
        <v>23.9</v>
      </c>
      <c r="M719" t="n">
        <v>6.9</v>
      </c>
      <c r="N719" t="n">
        <v>9.199999999999999</v>
      </c>
      <c r="O719" t="n">
        <v>10.4</v>
      </c>
      <c r="P719" t="n">
        <v>6.201934</v>
      </c>
      <c r="Q719" t="n">
        <v>5.870946</v>
      </c>
      <c r="R719" t="n">
        <v>25.9</v>
      </c>
      <c r="S719" t="n">
        <v>6.9</v>
      </c>
      <c r="T719" t="n">
        <v>11</v>
      </c>
      <c r="U719" t="n">
        <v>5.3</v>
      </c>
      <c r="V719" t="n">
        <v>5.631916</v>
      </c>
      <c r="W719" t="n">
        <v>13</v>
      </c>
      <c r="X719" t="n">
        <v>3.6</v>
      </c>
      <c r="Y719" t="n">
        <v>3.6</v>
      </c>
      <c r="Z719" t="n">
        <v>6.1</v>
      </c>
      <c r="AA719" t="n">
        <v>10.7</v>
      </c>
      <c r="AB719" t="n">
        <v>4.645809</v>
      </c>
      <c r="AC719" t="n">
        <v>7.1</v>
      </c>
      <c r="AD719" t="n">
        <v>3.9</v>
      </c>
      <c r="AE719" t="n">
        <v>7.277056</v>
      </c>
      <c r="AF719" t="n">
        <v>8.300000000000001</v>
      </c>
      <c r="AG719" t="n">
        <v>14</v>
      </c>
      <c r="AH719" t="n">
        <v>12.6</v>
      </c>
      <c r="AI719" t="n">
        <v>9.699999999999999</v>
      </c>
      <c r="AJ719" t="n">
        <v>8</v>
      </c>
      <c r="AK719" t="n">
        <v>10.4</v>
      </c>
      <c r="AL719" t="n">
        <v>5.7</v>
      </c>
    </row>
    <row r="720">
      <c r="A720" s="78" t="n">
        <v>41944</v>
      </c>
      <c r="B720" t="n">
        <v>6.297723</v>
      </c>
      <c r="C720" t="n">
        <v>6.3</v>
      </c>
      <c r="D720" t="n">
        <v>8.6</v>
      </c>
      <c r="E720" t="n">
        <v>6.7</v>
      </c>
      <c r="G720" t="n">
        <v>6.684264</v>
      </c>
      <c r="H720" t="n">
        <v>6.1</v>
      </c>
      <c r="I720" t="n">
        <v>4.9</v>
      </c>
      <c r="J720" t="n">
        <v>6.8</v>
      </c>
      <c r="K720" t="n">
        <v>11.6</v>
      </c>
      <c r="L720" t="n">
        <v>23.8</v>
      </c>
      <c r="M720" t="n">
        <v>6.5</v>
      </c>
      <c r="N720" t="n">
        <v>9</v>
      </c>
      <c r="O720" t="n">
        <v>10.5</v>
      </c>
      <c r="P720" t="n">
        <v>6.201145</v>
      </c>
      <c r="Q720" t="n">
        <v>5.698751</v>
      </c>
      <c r="R720" t="n">
        <v>25.7</v>
      </c>
      <c r="S720" t="n">
        <v>7</v>
      </c>
      <c r="T720" t="n">
        <v>10.8</v>
      </c>
      <c r="U720" t="n">
        <v>5.1</v>
      </c>
      <c r="V720" t="n">
        <v>5.735507</v>
      </c>
      <c r="W720" t="n">
        <v>13.3</v>
      </c>
      <c r="X720" t="n">
        <v>3.4</v>
      </c>
      <c r="Y720" t="n">
        <v>3.5</v>
      </c>
      <c r="Z720" t="n">
        <v>6.2</v>
      </c>
      <c r="AA720" t="n">
        <v>10.5</v>
      </c>
      <c r="AB720" t="n">
        <v>4.683821</v>
      </c>
      <c r="AC720" t="n">
        <v>7.1</v>
      </c>
      <c r="AD720" t="n">
        <v>3.8</v>
      </c>
      <c r="AE720" t="n">
        <v>7.277818</v>
      </c>
      <c r="AF720" t="n">
        <v>8.300000000000001</v>
      </c>
      <c r="AG720" t="n">
        <v>13.9</v>
      </c>
      <c r="AH720" t="n">
        <v>12.5</v>
      </c>
      <c r="AI720" t="n">
        <v>9.699999999999999</v>
      </c>
      <c r="AJ720" t="n">
        <v>7.9</v>
      </c>
      <c r="AK720" t="n">
        <v>10.5</v>
      </c>
      <c r="AL720" t="n">
        <v>5.8</v>
      </c>
    </row>
    <row r="721">
      <c r="A721" s="78" t="n">
        <v>41974</v>
      </c>
      <c r="B721" t="n">
        <v>6.109701</v>
      </c>
      <c r="C721" t="n">
        <v>6.1</v>
      </c>
      <c r="D721" t="n">
        <v>8.6</v>
      </c>
      <c r="E721" t="n">
        <v>6.7</v>
      </c>
      <c r="G721" t="n">
        <v>6.588545</v>
      </c>
      <c r="H721" t="n">
        <v>5.8</v>
      </c>
      <c r="I721" t="n">
        <v>4.9</v>
      </c>
      <c r="J721" t="n">
        <v>6.5</v>
      </c>
      <c r="K721" t="n">
        <v>11.4</v>
      </c>
      <c r="L721" t="n">
        <v>23.7</v>
      </c>
      <c r="M721" t="n">
        <v>6.5</v>
      </c>
      <c r="N721" t="n">
        <v>9.4</v>
      </c>
      <c r="O721" t="n">
        <v>10.4</v>
      </c>
      <c r="P721" t="n">
        <v>6.027965</v>
      </c>
      <c r="Q721" t="n">
        <v>5.654739</v>
      </c>
      <c r="R721" t="n">
        <v>26.1</v>
      </c>
      <c r="S721" t="n">
        <v>7.3</v>
      </c>
      <c r="T721" t="n">
        <v>10.8</v>
      </c>
      <c r="U721" t="n">
        <v>5.1</v>
      </c>
      <c r="V721" t="n">
        <v>5.653881</v>
      </c>
      <c r="W721" t="n">
        <v>12.5</v>
      </c>
      <c r="X721" t="n">
        <v>3.4</v>
      </c>
      <c r="Y721" t="n">
        <v>3.7</v>
      </c>
      <c r="Z721" t="n">
        <v>6.2</v>
      </c>
      <c r="AA721" t="n">
        <v>10.1</v>
      </c>
      <c r="AB721" t="n">
        <v>4.195462</v>
      </c>
      <c r="AC721" t="n">
        <v>7.2</v>
      </c>
      <c r="AD721" t="n">
        <v>3.9</v>
      </c>
      <c r="AE721" t="n">
        <v>7.144966</v>
      </c>
      <c r="AF721" t="n">
        <v>8.300000000000001</v>
      </c>
      <c r="AG721" t="n">
        <v>14</v>
      </c>
      <c r="AH721" t="n">
        <v>12.4</v>
      </c>
      <c r="AI721" t="n">
        <v>9.6</v>
      </c>
      <c r="AJ721" t="n">
        <v>7.5</v>
      </c>
      <c r="AK721" t="n">
        <v>10.3</v>
      </c>
      <c r="AL721" t="n">
        <v>5.6</v>
      </c>
    </row>
    <row r="722">
      <c r="A722" s="78" t="n">
        <v>42005</v>
      </c>
      <c r="B722" t="n">
        <v>6.352143</v>
      </c>
      <c r="C722" t="n">
        <v>5.9</v>
      </c>
      <c r="D722" t="n">
        <v>8.6</v>
      </c>
      <c r="E722" t="n">
        <v>6.7</v>
      </c>
      <c r="G722" t="n">
        <v>6.482692</v>
      </c>
      <c r="H722" t="n">
        <v>5.8</v>
      </c>
      <c r="I722" t="n">
        <v>4.8</v>
      </c>
      <c r="J722" t="n">
        <v>6.4</v>
      </c>
      <c r="K722" t="n">
        <v>11.3</v>
      </c>
      <c r="L722" t="n">
        <v>23.5</v>
      </c>
      <c r="M722" t="n">
        <v>6.4</v>
      </c>
      <c r="N722" t="n">
        <v>8.699999999999999</v>
      </c>
      <c r="O722" t="n">
        <v>10.3</v>
      </c>
      <c r="P722" t="n">
        <v>6.058817</v>
      </c>
      <c r="Q722" t="n">
        <v>5.582787</v>
      </c>
      <c r="R722" t="n">
        <v>25.7</v>
      </c>
      <c r="S722" t="n">
        <v>7.2</v>
      </c>
      <c r="T722" t="n">
        <v>10.7</v>
      </c>
      <c r="U722" t="n">
        <v>5</v>
      </c>
      <c r="V722" t="n">
        <v>5.614357</v>
      </c>
      <c r="W722" t="n">
        <v>12.4</v>
      </c>
      <c r="X722" t="n">
        <v>3.6</v>
      </c>
      <c r="Y722" t="n">
        <v>3.6</v>
      </c>
      <c r="Z722" t="n">
        <v>6.3</v>
      </c>
      <c r="AA722" t="n">
        <v>9.699999999999999</v>
      </c>
      <c r="AB722" t="n">
        <v>4.326836</v>
      </c>
      <c r="AC722" t="n">
        <v>7.2</v>
      </c>
      <c r="AD722" t="n">
        <v>4.1</v>
      </c>
      <c r="AE722" t="n">
        <v>7.138727</v>
      </c>
      <c r="AF722" t="n">
        <v>8.199999999999999</v>
      </c>
      <c r="AG722" t="n">
        <v>14.1</v>
      </c>
      <c r="AH722" t="n">
        <v>12.4</v>
      </c>
      <c r="AI722" t="n">
        <v>9.300000000000001</v>
      </c>
      <c r="AJ722" t="n">
        <v>7.8</v>
      </c>
      <c r="AK722" t="n">
        <v>10.5</v>
      </c>
      <c r="AL722" t="n">
        <v>5.7</v>
      </c>
    </row>
    <row r="723">
      <c r="A723" s="78" t="n">
        <v>42036</v>
      </c>
      <c r="B723" t="n">
        <v>6.166001</v>
      </c>
      <c r="C723" t="n">
        <v>6</v>
      </c>
      <c r="D723" t="n">
        <v>8.6</v>
      </c>
      <c r="E723" t="n">
        <v>6.8</v>
      </c>
      <c r="G723" t="n">
        <v>6.239196</v>
      </c>
      <c r="H723" t="n">
        <v>5.8</v>
      </c>
      <c r="I723" t="n">
        <v>4.8</v>
      </c>
      <c r="J723" t="n">
        <v>6.4</v>
      </c>
      <c r="K723" t="n">
        <v>11.3</v>
      </c>
      <c r="L723" t="n">
        <v>23.2</v>
      </c>
      <c r="M723" t="n">
        <v>6.2</v>
      </c>
      <c r="N723" t="n">
        <v>9.699999999999999</v>
      </c>
      <c r="O723" t="n">
        <v>10.3</v>
      </c>
      <c r="P723" t="n">
        <v>5.984242</v>
      </c>
      <c r="Q723" t="n">
        <v>5.536309</v>
      </c>
      <c r="R723" t="n">
        <v>25.8</v>
      </c>
      <c r="S723" t="n">
        <v>7.4</v>
      </c>
      <c r="T723" t="n">
        <v>10.7</v>
      </c>
      <c r="U723" t="n">
        <v>5</v>
      </c>
      <c r="V723" t="n">
        <v>5.301457</v>
      </c>
      <c r="W723" t="n">
        <v>12.5</v>
      </c>
      <c r="X723" t="n">
        <v>3.5</v>
      </c>
      <c r="Y723" t="n">
        <v>3.6</v>
      </c>
      <c r="Z723" t="n">
        <v>6.4</v>
      </c>
      <c r="AA723" t="n">
        <v>9.800000000000001</v>
      </c>
      <c r="AB723" t="n">
        <v>4.359907</v>
      </c>
      <c r="AC723" t="n">
        <v>7.1</v>
      </c>
      <c r="AD723" t="n">
        <v>4.3</v>
      </c>
      <c r="AE723" t="n">
        <v>7.086856</v>
      </c>
      <c r="AF723" t="n">
        <v>8.1</v>
      </c>
      <c r="AG723" t="n">
        <v>13.9</v>
      </c>
      <c r="AH723" t="n">
        <v>12.2</v>
      </c>
      <c r="AI723" t="n">
        <v>9.199999999999999</v>
      </c>
      <c r="AJ723" t="n">
        <v>7.9</v>
      </c>
      <c r="AK723" t="n">
        <v>10.7</v>
      </c>
      <c r="AL723" t="n">
        <v>5.5</v>
      </c>
    </row>
    <row r="724">
      <c r="A724" s="78" t="n">
        <v>42064</v>
      </c>
      <c r="B724" t="n">
        <v>6.114974</v>
      </c>
      <c r="C724" t="n">
        <v>5.9</v>
      </c>
      <c r="D724" t="n">
        <v>8.800000000000001</v>
      </c>
      <c r="E724" t="n">
        <v>6.9</v>
      </c>
      <c r="G724" t="n">
        <v>6.365548</v>
      </c>
      <c r="H724" t="n">
        <v>5.7</v>
      </c>
      <c r="I724" t="n">
        <v>4.7</v>
      </c>
      <c r="J724" t="n">
        <v>6.6</v>
      </c>
      <c r="K724" t="n">
        <v>11.2</v>
      </c>
      <c r="L724" t="n">
        <v>22.9</v>
      </c>
      <c r="M724" t="n">
        <v>6.5</v>
      </c>
      <c r="N724" t="n">
        <v>9.4</v>
      </c>
      <c r="O724" t="n">
        <v>10.4</v>
      </c>
      <c r="P724" t="n">
        <v>5.951463</v>
      </c>
      <c r="Q724" t="n">
        <v>5.503917</v>
      </c>
      <c r="R724" t="n">
        <v>26.2</v>
      </c>
      <c r="S724" t="n">
        <v>7.2</v>
      </c>
      <c r="T724" t="n">
        <v>10.5</v>
      </c>
      <c r="U724" t="n">
        <v>4.9</v>
      </c>
      <c r="V724" t="n">
        <v>5.412548</v>
      </c>
      <c r="W724" t="n">
        <v>12.6</v>
      </c>
      <c r="X724" t="n">
        <v>3.4</v>
      </c>
      <c r="Y724" t="n">
        <v>3.5</v>
      </c>
      <c r="Z724" t="n">
        <v>6.4</v>
      </c>
      <c r="AA724" t="n">
        <v>10</v>
      </c>
      <c r="AB724" t="n">
        <v>4.219649</v>
      </c>
      <c r="AC724" t="n">
        <v>7</v>
      </c>
      <c r="AD724" t="n">
        <v>4.4</v>
      </c>
      <c r="AE724" t="n">
        <v>7.017682</v>
      </c>
      <c r="AF724" t="n">
        <v>7.9</v>
      </c>
      <c r="AG724" t="n">
        <v>13.5</v>
      </c>
      <c r="AH724" t="n">
        <v>12</v>
      </c>
      <c r="AI724" t="n">
        <v>9.300000000000001</v>
      </c>
      <c r="AJ724" t="n">
        <v>7.5</v>
      </c>
      <c r="AK724" t="n">
        <v>10.5</v>
      </c>
      <c r="AL724" t="n">
        <v>5.4</v>
      </c>
    </row>
    <row r="725">
      <c r="A725" s="78" t="n">
        <v>42095</v>
      </c>
      <c r="B725" t="n">
        <v>6.121676</v>
      </c>
      <c r="C725" t="n">
        <v>6.3</v>
      </c>
      <c r="D725" t="n">
        <v>8.800000000000001</v>
      </c>
      <c r="E725" t="n">
        <v>6.9</v>
      </c>
      <c r="G725" t="n">
        <v>6.509901</v>
      </c>
      <c r="H725" t="n">
        <v>5.3</v>
      </c>
      <c r="I725" t="n">
        <v>4.7</v>
      </c>
      <c r="J725" t="n">
        <v>6.5</v>
      </c>
      <c r="K725" t="n">
        <v>11.1</v>
      </c>
      <c r="L725" t="n">
        <v>22.7</v>
      </c>
      <c r="M725" t="n">
        <v>6.8</v>
      </c>
      <c r="N725" t="n">
        <v>9.4</v>
      </c>
      <c r="O725" t="n">
        <v>10.5</v>
      </c>
      <c r="P725" t="n">
        <v>5.941012</v>
      </c>
      <c r="Q725" t="n">
        <v>5.617446</v>
      </c>
      <c r="R725" t="n">
        <v>25.2</v>
      </c>
      <c r="S725" t="n">
        <v>6.8</v>
      </c>
      <c r="T725" t="n">
        <v>10.3</v>
      </c>
      <c r="U725" t="n">
        <v>4.8</v>
      </c>
      <c r="V725" t="n">
        <v>4.893561</v>
      </c>
      <c r="W725" t="n">
        <v>12.2</v>
      </c>
      <c r="X725" t="n">
        <v>3.4</v>
      </c>
      <c r="Y725" t="n">
        <v>3.6</v>
      </c>
      <c r="Z725" t="n">
        <v>6.4</v>
      </c>
      <c r="AA725" t="n">
        <v>9.6</v>
      </c>
      <c r="AB725" t="n">
        <v>4.404274</v>
      </c>
      <c r="AC725" t="n">
        <v>7</v>
      </c>
      <c r="AD725" t="n">
        <v>4.3</v>
      </c>
      <c r="AE725" t="n">
        <v>7.036644</v>
      </c>
      <c r="AF725" t="n">
        <v>7.7</v>
      </c>
      <c r="AG725" t="n">
        <v>13.2</v>
      </c>
      <c r="AH725" t="n">
        <v>11.7</v>
      </c>
      <c r="AI725" t="n">
        <v>9.5</v>
      </c>
      <c r="AJ725" t="n">
        <v>7.8</v>
      </c>
      <c r="AK725" t="n">
        <v>10.5</v>
      </c>
      <c r="AL725" t="n">
        <v>5.4</v>
      </c>
    </row>
    <row r="726">
      <c r="A726" s="78" t="n">
        <v>42125</v>
      </c>
      <c r="B726" t="n">
        <v>5.933183</v>
      </c>
      <c r="C726" t="n">
        <v>6.4</v>
      </c>
      <c r="D726" t="n">
        <v>8.699999999999999</v>
      </c>
      <c r="E726" t="n">
        <v>6.9</v>
      </c>
      <c r="G726" t="n">
        <v>6.407218</v>
      </c>
      <c r="H726" t="n">
        <v>4.9</v>
      </c>
      <c r="I726" t="n">
        <v>4.7</v>
      </c>
      <c r="J726" t="n">
        <v>6.4</v>
      </c>
      <c r="K726" t="n">
        <v>11.1</v>
      </c>
      <c r="L726" t="n">
        <v>22.4</v>
      </c>
      <c r="M726" t="n">
        <v>6.3</v>
      </c>
      <c r="N726" t="n">
        <v>9.300000000000001</v>
      </c>
      <c r="O726" t="n">
        <v>10.5</v>
      </c>
      <c r="P726" t="n">
        <v>6.007294</v>
      </c>
      <c r="Q726" t="n">
        <v>5.60876</v>
      </c>
      <c r="R726" t="n">
        <v>24.7</v>
      </c>
      <c r="S726" t="n">
        <v>6.7</v>
      </c>
      <c r="T726" t="n">
        <v>10</v>
      </c>
      <c r="U726" t="n">
        <v>4.7</v>
      </c>
      <c r="V726" t="n">
        <v>5.082511</v>
      </c>
      <c r="W726" t="n">
        <v>12.3</v>
      </c>
      <c r="X726" t="n">
        <v>3.3</v>
      </c>
      <c r="Y726" t="n">
        <v>3.7</v>
      </c>
      <c r="Z726" t="n">
        <v>6.6</v>
      </c>
      <c r="AA726" t="n">
        <v>9.699999999999999</v>
      </c>
      <c r="AB726" t="n">
        <v>4.538599</v>
      </c>
      <c r="AC726" t="n">
        <v>6.9</v>
      </c>
      <c r="AD726" t="n">
        <v>4.5</v>
      </c>
      <c r="AE726" t="n">
        <v>7.019913</v>
      </c>
      <c r="AF726" t="n">
        <v>7.5</v>
      </c>
      <c r="AG726" t="n">
        <v>12.8</v>
      </c>
      <c r="AH726" t="n">
        <v>11.5</v>
      </c>
      <c r="AI726" t="n">
        <v>9.5</v>
      </c>
      <c r="AJ726" t="n">
        <v>7.6</v>
      </c>
      <c r="AK726" t="n">
        <v>10.2</v>
      </c>
      <c r="AL726" t="n">
        <v>5.6</v>
      </c>
    </row>
    <row r="727">
      <c r="A727" s="78" t="n">
        <v>42156</v>
      </c>
      <c r="B727" t="n">
        <v>5.988641</v>
      </c>
      <c r="C727" t="n">
        <v>6.1</v>
      </c>
      <c r="D727" t="n">
        <v>8.5</v>
      </c>
      <c r="E727" t="n">
        <v>6.9</v>
      </c>
      <c r="G727" t="n">
        <v>6.368819</v>
      </c>
      <c r="H727" t="n">
        <v>5</v>
      </c>
      <c r="I727" t="n">
        <v>4.7</v>
      </c>
      <c r="J727" t="n">
        <v>6.3</v>
      </c>
      <c r="K727" t="n">
        <v>11</v>
      </c>
      <c r="L727" t="n">
        <v>22.2</v>
      </c>
      <c r="M727" t="n">
        <v>5.8</v>
      </c>
      <c r="N727" t="n">
        <v>9.9</v>
      </c>
      <c r="O727" t="n">
        <v>10.5</v>
      </c>
      <c r="P727" t="n">
        <v>5.864732</v>
      </c>
      <c r="Q727" t="n">
        <v>5.518803</v>
      </c>
      <c r="R727" t="n">
        <v>25.1</v>
      </c>
      <c r="S727" t="n">
        <v>7</v>
      </c>
      <c r="T727" t="n">
        <v>9.800000000000001</v>
      </c>
      <c r="U727" t="n">
        <v>4.6</v>
      </c>
      <c r="V727" t="n">
        <v>5.345158</v>
      </c>
      <c r="W727" t="n">
        <v>12.4</v>
      </c>
      <c r="X727" t="n">
        <v>3.4</v>
      </c>
      <c r="Y727" t="n">
        <v>3.8</v>
      </c>
      <c r="Z727" t="n">
        <v>6.5</v>
      </c>
      <c r="AA727" t="n">
        <v>9.9</v>
      </c>
      <c r="AB727" t="n">
        <v>4.436723</v>
      </c>
      <c r="AC727" t="n">
        <v>6.9</v>
      </c>
      <c r="AD727" t="n">
        <v>4.7</v>
      </c>
      <c r="AE727" t="n">
        <v>6.91275</v>
      </c>
      <c r="AF727" t="n">
        <v>7.4</v>
      </c>
      <c r="AG727" t="n">
        <v>12.7</v>
      </c>
      <c r="AH727" t="n">
        <v>11.5</v>
      </c>
      <c r="AI727" t="n">
        <v>9.4</v>
      </c>
      <c r="AJ727" t="n">
        <v>7.5</v>
      </c>
      <c r="AK727" t="n">
        <v>10.2</v>
      </c>
      <c r="AL727" t="n">
        <v>5.3</v>
      </c>
    </row>
    <row r="728">
      <c r="A728" s="78" t="n">
        <v>42186</v>
      </c>
      <c r="B728" t="n">
        <v>6.256232</v>
      </c>
      <c r="C728" t="n">
        <v>6.1</v>
      </c>
      <c r="D728" t="n">
        <v>8</v>
      </c>
      <c r="E728" t="n">
        <v>6.9</v>
      </c>
      <c r="G728" t="n">
        <v>6.277244</v>
      </c>
      <c r="H728" t="n">
        <v>5</v>
      </c>
      <c r="I728" t="n">
        <v>4.6</v>
      </c>
      <c r="J728" t="n">
        <v>6.3</v>
      </c>
      <c r="K728" t="n">
        <v>10.8</v>
      </c>
      <c r="L728" t="n">
        <v>21.9</v>
      </c>
      <c r="M728" t="n">
        <v>5.3</v>
      </c>
      <c r="N728" t="n">
        <v>9.5</v>
      </c>
      <c r="O728" t="n">
        <v>10.4</v>
      </c>
      <c r="P728" t="n">
        <v>5.766605</v>
      </c>
      <c r="Q728" t="n">
        <v>5.392117</v>
      </c>
      <c r="R728" t="n">
        <v>25</v>
      </c>
      <c r="S728" t="n">
        <v>6.4</v>
      </c>
      <c r="T728" t="n">
        <v>9.6</v>
      </c>
      <c r="U728" t="n">
        <v>4.5</v>
      </c>
      <c r="V728" t="n">
        <v>5.423064</v>
      </c>
      <c r="W728" t="n">
        <v>11.8</v>
      </c>
      <c r="X728" t="n">
        <v>3.3</v>
      </c>
      <c r="Y728" t="n">
        <v>3.7</v>
      </c>
      <c r="Z728" t="n">
        <v>6.5</v>
      </c>
      <c r="AA728" t="n">
        <v>9.9</v>
      </c>
      <c r="AB728" t="n">
        <v>4.456516</v>
      </c>
      <c r="AC728" t="n">
        <v>6.8</v>
      </c>
      <c r="AD728" t="n">
        <v>4.6</v>
      </c>
      <c r="AE728" t="n">
        <v>6.821686</v>
      </c>
      <c r="AF728" t="n">
        <v>7.4</v>
      </c>
      <c r="AG728" t="n">
        <v>12.7</v>
      </c>
      <c r="AH728" t="n">
        <v>11.4</v>
      </c>
      <c r="AI728" t="n">
        <v>9.1</v>
      </c>
      <c r="AJ728" t="n">
        <v>7.1</v>
      </c>
      <c r="AK728" t="n">
        <v>10.1</v>
      </c>
      <c r="AL728" t="n">
        <v>5.2</v>
      </c>
    </row>
    <row r="729">
      <c r="A729" s="78" t="n">
        <v>42217</v>
      </c>
      <c r="B729" t="n">
        <v>6.067544</v>
      </c>
      <c r="C729" t="n">
        <v>6</v>
      </c>
      <c r="D729" t="n">
        <v>7.8</v>
      </c>
      <c r="E729" t="n">
        <v>7</v>
      </c>
      <c r="G729" t="n">
        <v>6.340359</v>
      </c>
      <c r="H729" t="n">
        <v>4.7</v>
      </c>
      <c r="I729" t="n">
        <v>4.6</v>
      </c>
      <c r="J729" t="n">
        <v>6.2</v>
      </c>
      <c r="K729" t="n">
        <v>10.7</v>
      </c>
      <c r="L729" t="n">
        <v>21.6</v>
      </c>
      <c r="M729" t="n">
        <v>5.5</v>
      </c>
      <c r="N729" t="n">
        <v>9.5</v>
      </c>
      <c r="O729" t="n">
        <v>10.3</v>
      </c>
      <c r="P729" t="n">
        <v>5.706097</v>
      </c>
      <c r="Q729" t="n">
        <v>5.319322</v>
      </c>
      <c r="R729" t="n">
        <v>24.3</v>
      </c>
      <c r="S729" t="n">
        <v>6.3</v>
      </c>
      <c r="T729" t="n">
        <v>9.5</v>
      </c>
      <c r="U729" t="n">
        <v>4.4</v>
      </c>
      <c r="V729" t="n">
        <v>5.075087</v>
      </c>
      <c r="W729" t="n">
        <v>11.6</v>
      </c>
      <c r="X729" t="n">
        <v>3.4</v>
      </c>
      <c r="Y729" t="n">
        <v>3.6</v>
      </c>
      <c r="Z729" t="n">
        <v>6.5</v>
      </c>
      <c r="AA729" t="n">
        <v>9.9</v>
      </c>
      <c r="AB729" t="n">
        <v>4.382725</v>
      </c>
      <c r="AC729" t="n">
        <v>6.8</v>
      </c>
      <c r="AD729" t="n">
        <v>4.6</v>
      </c>
      <c r="AE729" t="n">
        <v>6.776974</v>
      </c>
      <c r="AF729" t="n">
        <v>7.3</v>
      </c>
      <c r="AG729" t="n">
        <v>12.7</v>
      </c>
      <c r="AH729" t="n">
        <v>11.3</v>
      </c>
      <c r="AI729" t="n">
        <v>8.800000000000001</v>
      </c>
      <c r="AJ729" t="n">
        <v>6.9</v>
      </c>
      <c r="AK729" t="n">
        <v>10.1</v>
      </c>
      <c r="AL729" t="n">
        <v>5.1</v>
      </c>
    </row>
    <row r="730">
      <c r="A730" s="78" t="n">
        <v>42248</v>
      </c>
      <c r="B730" t="n">
        <v>6.146586</v>
      </c>
      <c r="C730" t="n">
        <v>6.2</v>
      </c>
      <c r="D730" t="n">
        <v>8.1</v>
      </c>
      <c r="E730" t="n">
        <v>7.1</v>
      </c>
      <c r="G730" t="n">
        <v>6.3942</v>
      </c>
      <c r="H730" t="n">
        <v>4.7</v>
      </c>
      <c r="I730" t="n">
        <v>4.5</v>
      </c>
      <c r="J730" t="n">
        <v>6.1</v>
      </c>
      <c r="K730" t="n">
        <v>10.7</v>
      </c>
      <c r="L730" t="n">
        <v>21.4</v>
      </c>
      <c r="M730" t="n">
        <v>5.7</v>
      </c>
      <c r="N730" t="n">
        <v>9.300000000000001</v>
      </c>
      <c r="O730" t="n">
        <v>10.3</v>
      </c>
      <c r="P730" t="n">
        <v>5.66731</v>
      </c>
      <c r="Q730" t="n">
        <v>5.174273</v>
      </c>
      <c r="R730" t="n">
        <v>24.9</v>
      </c>
      <c r="S730" t="n">
        <v>6.3</v>
      </c>
      <c r="T730" t="n">
        <v>9.6</v>
      </c>
      <c r="U730" t="n">
        <v>4.3</v>
      </c>
      <c r="V730" t="n">
        <v>5.063864</v>
      </c>
      <c r="W730" t="n">
        <v>11.6</v>
      </c>
      <c r="X730" t="n">
        <v>3.4</v>
      </c>
      <c r="Y730" t="n">
        <v>3.5</v>
      </c>
      <c r="Z730" t="n">
        <v>6.5</v>
      </c>
      <c r="AA730" t="n">
        <v>9.9</v>
      </c>
      <c r="AB730" t="n">
        <v>4.187684</v>
      </c>
      <c r="AC730" t="n">
        <v>6.8</v>
      </c>
      <c r="AD730" t="n">
        <v>4.5</v>
      </c>
      <c r="AE730" t="n">
        <v>6.742606</v>
      </c>
      <c r="AF730" t="n">
        <v>7.2</v>
      </c>
      <c r="AG730" t="n">
        <v>12.9</v>
      </c>
      <c r="AH730" t="n">
        <v>11.2</v>
      </c>
      <c r="AI730" t="n">
        <v>8.6</v>
      </c>
      <c r="AJ730" t="n">
        <v>7.3</v>
      </c>
      <c r="AK730" t="n">
        <v>10.2</v>
      </c>
      <c r="AL730" t="n">
        <v>5</v>
      </c>
    </row>
    <row r="731">
      <c r="A731" s="78" t="n">
        <v>42278</v>
      </c>
      <c r="B731" t="n">
        <v>5.911436</v>
      </c>
      <c r="C731" t="n">
        <v>6.1</v>
      </c>
      <c r="D731" t="n">
        <v>8.6</v>
      </c>
      <c r="E731" t="n">
        <v>6.9</v>
      </c>
      <c r="G731" t="n">
        <v>6.418559</v>
      </c>
      <c r="H731" t="n">
        <v>4.6</v>
      </c>
      <c r="I731" t="n">
        <v>4.5</v>
      </c>
      <c r="J731" t="n">
        <v>6.1</v>
      </c>
      <c r="K731" t="n">
        <v>10.7</v>
      </c>
      <c r="L731" t="n">
        <v>21.2</v>
      </c>
      <c r="M731" t="n">
        <v>6.2</v>
      </c>
      <c r="N731" t="n">
        <v>9.6</v>
      </c>
      <c r="O731" t="n">
        <v>10.2</v>
      </c>
      <c r="P731" t="n">
        <v>5.620857</v>
      </c>
      <c r="Q731" t="n">
        <v>5.081397</v>
      </c>
      <c r="R731" t="n">
        <v>24.6</v>
      </c>
      <c r="S731" t="n">
        <v>6.2</v>
      </c>
      <c r="T731" t="n">
        <v>9.6</v>
      </c>
      <c r="U731" t="n">
        <v>4.1</v>
      </c>
      <c r="V731" t="n">
        <v>5.258824</v>
      </c>
      <c r="W731" t="n">
        <v>11.8</v>
      </c>
      <c r="X731" t="n">
        <v>3.2</v>
      </c>
      <c r="Y731" t="n">
        <v>3.5</v>
      </c>
      <c r="Z731" t="n">
        <v>6.5</v>
      </c>
      <c r="AA731" t="n">
        <v>10</v>
      </c>
      <c r="AB731" t="n">
        <v>4.456226</v>
      </c>
      <c r="AC731" t="n">
        <v>6.9</v>
      </c>
      <c r="AD731" t="n">
        <v>4.6</v>
      </c>
      <c r="AE731" t="n">
        <v>6.719797</v>
      </c>
      <c r="AF731" t="n">
        <v>7.2</v>
      </c>
      <c r="AG731" t="n">
        <v>12.8</v>
      </c>
      <c r="AH731" t="n">
        <v>11.1</v>
      </c>
      <c r="AI731" t="n">
        <v>8.6</v>
      </c>
      <c r="AJ731" t="n">
        <v>7.2</v>
      </c>
      <c r="AK731" t="n">
        <v>10.2</v>
      </c>
      <c r="AL731" t="n">
        <v>5</v>
      </c>
    </row>
    <row r="732">
      <c r="A732" s="78" t="n">
        <v>42309</v>
      </c>
      <c r="B732" t="n">
        <v>5.853846</v>
      </c>
      <c r="C732" t="n">
        <v>6.7</v>
      </c>
      <c r="D732" t="n">
        <v>8.800000000000001</v>
      </c>
      <c r="E732" t="n">
        <v>7.1</v>
      </c>
      <c r="G732" t="n">
        <v>6.33367</v>
      </c>
      <c r="H732" t="n">
        <v>4.5</v>
      </c>
      <c r="I732" t="n">
        <v>4.5</v>
      </c>
      <c r="J732" t="n">
        <v>6.1</v>
      </c>
      <c r="K732" t="n">
        <v>10.5</v>
      </c>
      <c r="L732" t="n">
        <v>20.9</v>
      </c>
      <c r="M732" t="n">
        <v>6.6</v>
      </c>
      <c r="N732" t="n">
        <v>9.199999999999999</v>
      </c>
      <c r="O732" t="n">
        <v>10.2</v>
      </c>
      <c r="P732" t="n">
        <v>5.63875</v>
      </c>
      <c r="Q732" t="n">
        <v>5.078842</v>
      </c>
      <c r="R732" t="n">
        <v>24.1</v>
      </c>
      <c r="S732" t="n">
        <v>6</v>
      </c>
      <c r="T732" t="n">
        <v>9.6</v>
      </c>
      <c r="U732" t="n">
        <v>3.9</v>
      </c>
      <c r="V732" t="n">
        <v>5.188719</v>
      </c>
      <c r="W732" t="n">
        <v>11.5</v>
      </c>
      <c r="X732" t="n">
        <v>3.3</v>
      </c>
      <c r="Y732" t="n">
        <v>3.6</v>
      </c>
      <c r="Z732" t="n">
        <v>6.5</v>
      </c>
      <c r="AA732" t="n">
        <v>10</v>
      </c>
      <c r="AB732" t="n">
        <v>4.089667</v>
      </c>
      <c r="AC732" t="n">
        <v>6.7</v>
      </c>
      <c r="AD732" t="n">
        <v>4.8</v>
      </c>
      <c r="AE732" t="n">
        <v>6.646169</v>
      </c>
      <c r="AF732" t="n">
        <v>7.1</v>
      </c>
      <c r="AG732" t="n">
        <v>12.6</v>
      </c>
      <c r="AH732" t="n">
        <v>10.9</v>
      </c>
      <c r="AI732" t="n">
        <v>8.5</v>
      </c>
      <c r="AJ732" t="n">
        <v>6.9</v>
      </c>
      <c r="AK732" t="n">
        <v>10.2</v>
      </c>
      <c r="AL732" t="n">
        <v>5.1</v>
      </c>
    </row>
    <row r="733">
      <c r="A733" s="78" t="n">
        <v>42339</v>
      </c>
      <c r="B733" t="n">
        <v>5.747006</v>
      </c>
      <c r="C733" t="n">
        <v>6.4</v>
      </c>
      <c r="D733" t="n">
        <v>8.800000000000001</v>
      </c>
      <c r="E733" t="n">
        <v>7.2</v>
      </c>
      <c r="G733" t="n">
        <v>6.27144</v>
      </c>
      <c r="H733" t="n">
        <v>4.5</v>
      </c>
      <c r="I733" t="n">
        <v>4.5</v>
      </c>
      <c r="J733" t="n">
        <v>6.1</v>
      </c>
      <c r="K733" t="n">
        <v>10.5</v>
      </c>
      <c r="L733" t="n">
        <v>20.8</v>
      </c>
      <c r="M733" t="n">
        <v>6.5</v>
      </c>
      <c r="N733" t="n">
        <v>9.699999999999999</v>
      </c>
      <c r="O733" t="n">
        <v>10.2</v>
      </c>
      <c r="P733" t="n">
        <v>5.621417</v>
      </c>
      <c r="Q733" t="n">
        <v>5.069228</v>
      </c>
      <c r="R733" t="n">
        <v>24</v>
      </c>
      <c r="S733" t="n">
        <v>6.1</v>
      </c>
      <c r="T733" t="n">
        <v>9.1</v>
      </c>
      <c r="U733" t="n">
        <v>3.7</v>
      </c>
      <c r="V733" t="n">
        <v>5.230975</v>
      </c>
      <c r="W733" t="n">
        <v>11.7</v>
      </c>
      <c r="X733" t="n">
        <v>3.3</v>
      </c>
      <c r="Y733" t="n">
        <v>3.5</v>
      </c>
      <c r="Z733" t="n">
        <v>6.5</v>
      </c>
      <c r="AA733" t="n">
        <v>10</v>
      </c>
      <c r="AB733" t="n">
        <v>4.381741</v>
      </c>
      <c r="AC733" t="n">
        <v>6.6</v>
      </c>
      <c r="AD733" t="n">
        <v>4.8</v>
      </c>
      <c r="AE733" t="n">
        <v>6.684801</v>
      </c>
      <c r="AF733" t="n">
        <v>6.9</v>
      </c>
      <c r="AG733" t="n">
        <v>12.5</v>
      </c>
      <c r="AH733" t="n">
        <v>10.7</v>
      </c>
      <c r="AI733" t="n">
        <v>8.5</v>
      </c>
      <c r="AJ733" t="n">
        <v>7.2</v>
      </c>
      <c r="AK733" t="n">
        <v>10.4</v>
      </c>
      <c r="AL733" t="n">
        <v>5</v>
      </c>
    </row>
    <row r="734">
      <c r="A734" s="78" t="n">
        <v>42370</v>
      </c>
      <c r="B734" t="n">
        <v>6.043354</v>
      </c>
      <c r="C734" t="n">
        <v>6.5</v>
      </c>
      <c r="D734" t="n">
        <v>8.4</v>
      </c>
      <c r="E734" t="n">
        <v>7.2</v>
      </c>
      <c r="G734" t="n">
        <v>6.302926</v>
      </c>
      <c r="H734" t="n">
        <v>4.3</v>
      </c>
      <c r="I734" t="n">
        <v>4.4</v>
      </c>
      <c r="J734" t="n">
        <v>6</v>
      </c>
      <c r="K734" t="n">
        <v>10.4</v>
      </c>
      <c r="L734" t="n">
        <v>20.6</v>
      </c>
      <c r="M734" t="n">
        <v>6.4</v>
      </c>
      <c r="N734" t="n">
        <v>9.1</v>
      </c>
      <c r="O734" t="n">
        <v>10.2</v>
      </c>
      <c r="P734" t="n">
        <v>5.524059</v>
      </c>
      <c r="Q734" t="n">
        <v>5.113179</v>
      </c>
      <c r="R734" t="n">
        <v>24.6</v>
      </c>
      <c r="S734" t="n">
        <v>5.7</v>
      </c>
      <c r="T734" t="n">
        <v>9.1</v>
      </c>
      <c r="U734" t="n">
        <v>3.6</v>
      </c>
      <c r="V734" t="n">
        <v>5.144413</v>
      </c>
      <c r="W734" t="n">
        <v>11.6</v>
      </c>
      <c r="X734" t="n">
        <v>3.2</v>
      </c>
      <c r="Y734" t="n">
        <v>3.6</v>
      </c>
      <c r="Z734" t="n">
        <v>6.4</v>
      </c>
      <c r="AA734" t="n">
        <v>10</v>
      </c>
      <c r="AB734" t="n">
        <v>4.072435</v>
      </c>
      <c r="AC734" t="n">
        <v>6.5</v>
      </c>
      <c r="AD734" t="n">
        <v>5.1</v>
      </c>
      <c r="AE734" t="n">
        <v>6.596577</v>
      </c>
      <c r="AF734" t="n">
        <v>6.7</v>
      </c>
      <c r="AG734" t="n">
        <v>12.3</v>
      </c>
      <c r="AH734" t="n">
        <v>10.5</v>
      </c>
      <c r="AI734" t="n">
        <v>8.4</v>
      </c>
      <c r="AJ734" t="n">
        <v>7</v>
      </c>
      <c r="AK734" t="n">
        <v>10.2</v>
      </c>
      <c r="AL734" t="n">
        <v>4.8</v>
      </c>
    </row>
    <row r="735">
      <c r="A735" s="78" t="n">
        <v>42401</v>
      </c>
      <c r="B735" t="n">
        <v>5.717444</v>
      </c>
      <c r="C735" t="n">
        <v>6.4</v>
      </c>
      <c r="D735" t="n">
        <v>8.199999999999999</v>
      </c>
      <c r="E735" t="n">
        <v>7.3</v>
      </c>
      <c r="G735" t="n">
        <v>6.501279</v>
      </c>
      <c r="H735" t="n">
        <v>4.2</v>
      </c>
      <c r="I735" t="n">
        <v>4.3</v>
      </c>
      <c r="J735" t="n">
        <v>6</v>
      </c>
      <c r="K735" t="n">
        <v>10.4</v>
      </c>
      <c r="L735" t="n">
        <v>20.5</v>
      </c>
      <c r="M735" t="n">
        <v>6.1</v>
      </c>
      <c r="N735" t="n">
        <v>9.1</v>
      </c>
      <c r="O735" t="n">
        <v>10.3</v>
      </c>
      <c r="P735" t="n">
        <v>5.557192</v>
      </c>
      <c r="Q735" t="n">
        <v>5.071035</v>
      </c>
      <c r="R735" t="n">
        <v>23.7</v>
      </c>
      <c r="S735" t="n">
        <v>5.6</v>
      </c>
      <c r="T735" t="n">
        <v>8.9</v>
      </c>
      <c r="U735" t="n">
        <v>3.6</v>
      </c>
      <c r="V735" t="n">
        <v>5.355523</v>
      </c>
      <c r="W735" t="n">
        <v>11.8</v>
      </c>
      <c r="X735" t="n">
        <v>3.3</v>
      </c>
      <c r="Y735" t="n">
        <v>3.9</v>
      </c>
      <c r="Z735" t="n">
        <v>6.4</v>
      </c>
      <c r="AA735" t="n">
        <v>9.9</v>
      </c>
      <c r="AB735" t="n">
        <v>4.175591</v>
      </c>
      <c r="AC735" t="n">
        <v>6.5</v>
      </c>
      <c r="AD735" t="n">
        <v>5</v>
      </c>
      <c r="AE735" t="n">
        <v>6.578678</v>
      </c>
      <c r="AF735" t="n">
        <v>6.6</v>
      </c>
      <c r="AG735" t="n">
        <v>12.4</v>
      </c>
      <c r="AH735" t="n">
        <v>10.3</v>
      </c>
      <c r="AI735" t="n">
        <v>8.300000000000001</v>
      </c>
      <c r="AJ735" t="n">
        <v>7.1</v>
      </c>
      <c r="AK735" t="n">
        <v>10.1</v>
      </c>
      <c r="AL735" t="n">
        <v>4.9</v>
      </c>
    </row>
    <row r="736">
      <c r="A736" s="78" t="n">
        <v>42430</v>
      </c>
      <c r="B736" t="n">
        <v>5.672294</v>
      </c>
      <c r="C736" t="n">
        <v>6.3</v>
      </c>
      <c r="D736" t="n">
        <v>8.199999999999999</v>
      </c>
      <c r="E736" t="n">
        <v>7.1</v>
      </c>
      <c r="G736" t="n">
        <v>6.626491</v>
      </c>
      <c r="H736" t="n">
        <v>4.1</v>
      </c>
      <c r="I736" t="n">
        <v>4.3</v>
      </c>
      <c r="J736" t="n">
        <v>6</v>
      </c>
      <c r="K736" t="n">
        <v>10.3</v>
      </c>
      <c r="L736" t="n">
        <v>20.3</v>
      </c>
      <c r="M736" t="n">
        <v>6.6</v>
      </c>
      <c r="N736" t="n">
        <v>9.300000000000001</v>
      </c>
      <c r="O736" t="n">
        <v>10.2</v>
      </c>
      <c r="P736" t="n">
        <v>5.57545</v>
      </c>
      <c r="Q736" t="n">
        <v>5.00705</v>
      </c>
      <c r="R736" t="n">
        <v>24</v>
      </c>
      <c r="S736" t="n">
        <v>5.6</v>
      </c>
      <c r="T736" t="n">
        <v>8.800000000000001</v>
      </c>
      <c r="U736" t="n">
        <v>3.6</v>
      </c>
      <c r="V736" t="n">
        <v>5.313126</v>
      </c>
      <c r="W736" t="n">
        <v>11.6</v>
      </c>
      <c r="X736" t="n">
        <v>3.2</v>
      </c>
      <c r="Y736" t="n">
        <v>3.7</v>
      </c>
      <c r="Z736" t="n">
        <v>6.4</v>
      </c>
      <c r="AA736" t="n">
        <v>9.699999999999999</v>
      </c>
      <c r="AB736" t="n">
        <v>4.081142</v>
      </c>
      <c r="AC736" t="n">
        <v>6.4</v>
      </c>
      <c r="AD736" t="n">
        <v>5</v>
      </c>
      <c r="AE736" t="n">
        <v>6.602957</v>
      </c>
      <c r="AF736" t="n">
        <v>6.4</v>
      </c>
      <c r="AG736" t="n">
        <v>12.2</v>
      </c>
      <c r="AH736" t="n">
        <v>10.2</v>
      </c>
      <c r="AI736" t="n">
        <v>8.300000000000001</v>
      </c>
      <c r="AJ736" t="n">
        <v>7.3</v>
      </c>
      <c r="AK736" t="n">
        <v>10.2</v>
      </c>
      <c r="AL736" t="n">
        <v>5</v>
      </c>
    </row>
    <row r="737">
      <c r="A737" s="78" t="n">
        <v>42461</v>
      </c>
      <c r="B737" t="n">
        <v>5.660189</v>
      </c>
      <c r="C737" t="n">
        <v>6.2</v>
      </c>
      <c r="D737" t="n">
        <v>8.300000000000001</v>
      </c>
      <c r="E737" t="n">
        <v>7.2</v>
      </c>
      <c r="G737" t="n">
        <v>6.789126</v>
      </c>
      <c r="H737" t="n">
        <v>4</v>
      </c>
      <c r="I737" t="n">
        <v>4.3</v>
      </c>
      <c r="J737" t="n">
        <v>6.1</v>
      </c>
      <c r="K737" t="n">
        <v>10.3</v>
      </c>
      <c r="L737" t="n">
        <v>20.3</v>
      </c>
      <c r="M737" t="n">
        <v>6.3</v>
      </c>
      <c r="N737" t="n">
        <v>8.800000000000001</v>
      </c>
      <c r="O737" t="n">
        <v>10.1</v>
      </c>
      <c r="P737" t="n">
        <v>5.60758</v>
      </c>
      <c r="Q737" t="n">
        <v>4.938966</v>
      </c>
      <c r="R737" t="n">
        <v>23.5</v>
      </c>
      <c r="S737" t="n">
        <v>5.4</v>
      </c>
      <c r="T737" t="n">
        <v>8.9</v>
      </c>
      <c r="U737" t="n">
        <v>3.5</v>
      </c>
      <c r="V737" t="n">
        <v>5.104277</v>
      </c>
      <c r="W737" t="n">
        <v>11.8</v>
      </c>
      <c r="X737" t="n">
        <v>3.2</v>
      </c>
      <c r="Y737" t="n">
        <v>3.6</v>
      </c>
      <c r="Z737" t="n">
        <v>6.3</v>
      </c>
      <c r="AA737" t="n">
        <v>9.5</v>
      </c>
      <c r="AB737" t="n">
        <v>3.899071</v>
      </c>
      <c r="AC737" t="n">
        <v>6.4</v>
      </c>
      <c r="AD737" t="n">
        <v>4.8</v>
      </c>
      <c r="AE737" t="n">
        <v>6.548238</v>
      </c>
      <c r="AF737" t="n">
        <v>6.4</v>
      </c>
      <c r="AG737" t="n">
        <v>11.9</v>
      </c>
      <c r="AH737" t="n">
        <v>10</v>
      </c>
      <c r="AI737" t="n">
        <v>8.1</v>
      </c>
      <c r="AJ737" t="n">
        <v>6.7</v>
      </c>
      <c r="AK737" t="n">
        <v>10.1</v>
      </c>
      <c r="AL737" t="n">
        <v>5.1</v>
      </c>
    </row>
    <row r="738">
      <c r="A738" s="78" t="n">
        <v>42491</v>
      </c>
      <c r="B738" t="n">
        <v>5.71953</v>
      </c>
      <c r="C738" t="n">
        <v>6.8</v>
      </c>
      <c r="D738" t="n">
        <v>8.199999999999999</v>
      </c>
      <c r="E738" t="n">
        <v>7</v>
      </c>
      <c r="G738" t="n">
        <v>6.73561</v>
      </c>
      <c r="H738" t="n">
        <v>3.9</v>
      </c>
      <c r="I738" t="n">
        <v>4.2</v>
      </c>
      <c r="J738" t="n">
        <v>6.1</v>
      </c>
      <c r="K738" t="n">
        <v>10.2</v>
      </c>
      <c r="L738" t="n">
        <v>20.1</v>
      </c>
      <c r="M738" t="n">
        <v>6.3</v>
      </c>
      <c r="N738" t="n">
        <v>8.699999999999999</v>
      </c>
      <c r="O738" t="n">
        <v>10.1</v>
      </c>
      <c r="P738" t="n">
        <v>5.457465</v>
      </c>
      <c r="Q738" t="n">
        <v>4.921363</v>
      </c>
      <c r="R738" t="n">
        <v>23.5</v>
      </c>
      <c r="S738" t="n">
        <v>5.1</v>
      </c>
      <c r="T738" t="n">
        <v>8.800000000000001</v>
      </c>
      <c r="U738" t="n">
        <v>3.5</v>
      </c>
      <c r="V738" t="n">
        <v>4.846683</v>
      </c>
      <c r="W738" t="n">
        <v>11.6</v>
      </c>
      <c r="X738" t="n">
        <v>3.2</v>
      </c>
      <c r="Y738" t="n">
        <v>3.6</v>
      </c>
      <c r="Z738" t="n">
        <v>6.3</v>
      </c>
      <c r="AA738" t="n">
        <v>9.5</v>
      </c>
      <c r="AB738" t="n">
        <v>4.116607</v>
      </c>
      <c r="AC738" t="n">
        <v>6.3</v>
      </c>
      <c r="AD738" t="n">
        <v>4.8</v>
      </c>
      <c r="AE738" t="n">
        <v>6.465358</v>
      </c>
      <c r="AF738" t="n">
        <v>6.3</v>
      </c>
      <c r="AG738" t="n">
        <v>11.6</v>
      </c>
      <c r="AH738" t="n">
        <v>9.800000000000001</v>
      </c>
      <c r="AI738" t="n">
        <v>8.1</v>
      </c>
      <c r="AJ738" t="n">
        <v>7.2</v>
      </c>
      <c r="AK738" t="n">
        <v>10.3</v>
      </c>
      <c r="AL738" t="n">
        <v>4.8</v>
      </c>
    </row>
    <row r="739">
      <c r="A739" s="78" t="n">
        <v>42522</v>
      </c>
      <c r="B739" t="n">
        <v>5.66641</v>
      </c>
      <c r="C739" t="n">
        <v>6.7</v>
      </c>
      <c r="D739" t="n">
        <v>8.199999999999999</v>
      </c>
      <c r="E739" t="n">
        <v>6.9</v>
      </c>
      <c r="G739" t="n">
        <v>6.899583</v>
      </c>
      <c r="H739" t="n">
        <v>4.2</v>
      </c>
      <c r="I739" t="n">
        <v>4.2</v>
      </c>
      <c r="J739" t="n">
        <v>6</v>
      </c>
      <c r="K739" t="n">
        <v>10.1</v>
      </c>
      <c r="L739" t="n">
        <v>19.8</v>
      </c>
      <c r="M739" t="n">
        <v>6.7</v>
      </c>
      <c r="N739" t="n">
        <v>9.300000000000001</v>
      </c>
      <c r="O739" t="n">
        <v>10</v>
      </c>
      <c r="P739" t="n">
        <v>5.458089</v>
      </c>
      <c r="Q739" t="n">
        <v>4.89368</v>
      </c>
      <c r="R739" t="n">
        <v>23.5</v>
      </c>
      <c r="S739" t="n">
        <v>4.6</v>
      </c>
      <c r="T739" t="n">
        <v>8.699999999999999</v>
      </c>
      <c r="U739" t="n">
        <v>3.4</v>
      </c>
      <c r="V739" t="n">
        <v>4.537465</v>
      </c>
      <c r="W739" t="n">
        <v>11.7</v>
      </c>
      <c r="X739" t="n">
        <v>3.1</v>
      </c>
      <c r="Y739" t="n">
        <v>3.6</v>
      </c>
      <c r="Z739" t="n">
        <v>6.3</v>
      </c>
      <c r="AA739" t="n">
        <v>9.6</v>
      </c>
      <c r="AB739" t="n">
        <v>3.959159</v>
      </c>
      <c r="AC739" t="n">
        <v>6.1</v>
      </c>
      <c r="AD739" t="n">
        <v>4.8</v>
      </c>
      <c r="AE739" t="n">
        <v>6.464808</v>
      </c>
      <c r="AF739" t="n">
        <v>6.2</v>
      </c>
      <c r="AG739" t="n">
        <v>11.4</v>
      </c>
      <c r="AH739" t="n">
        <v>9.699999999999999</v>
      </c>
      <c r="AI739" t="n">
        <v>7.9</v>
      </c>
      <c r="AJ739" t="n">
        <v>6.7</v>
      </c>
      <c r="AK739" t="n">
        <v>10.7</v>
      </c>
      <c r="AL739" t="n">
        <v>4.9</v>
      </c>
    </row>
    <row r="740">
      <c r="A740" s="78" t="n">
        <v>42552</v>
      </c>
      <c r="B740" t="n">
        <v>5.672841</v>
      </c>
      <c r="C740" t="n">
        <v>6.5</v>
      </c>
      <c r="D740" t="n">
        <v>7.8</v>
      </c>
      <c r="E740" t="n">
        <v>7</v>
      </c>
      <c r="G740" t="n">
        <v>6.774218</v>
      </c>
      <c r="H740" t="n">
        <v>4.2</v>
      </c>
      <c r="I740" t="n">
        <v>4.2</v>
      </c>
      <c r="J740" t="n">
        <v>6</v>
      </c>
      <c r="K740" t="n">
        <v>10</v>
      </c>
      <c r="L740" t="n">
        <v>19.5</v>
      </c>
      <c r="M740" t="n">
        <v>6.9</v>
      </c>
      <c r="N740" t="n">
        <v>9.1</v>
      </c>
      <c r="O740" t="n">
        <v>9.800000000000001</v>
      </c>
      <c r="P740" t="n">
        <v>5.40885</v>
      </c>
      <c r="Q740" t="n">
        <v>4.983163</v>
      </c>
      <c r="R740" t="n">
        <v>23.3</v>
      </c>
      <c r="S740" t="n">
        <v>5</v>
      </c>
      <c r="T740" t="n">
        <v>8.4</v>
      </c>
      <c r="U740" t="n">
        <v>3.4</v>
      </c>
      <c r="V740" t="n">
        <v>4.724415</v>
      </c>
      <c r="W740" t="n">
        <v>11.7</v>
      </c>
      <c r="X740" t="n">
        <v>3</v>
      </c>
      <c r="Y740" t="n">
        <v>3.6</v>
      </c>
      <c r="Z740" t="n">
        <v>6.2</v>
      </c>
      <c r="AA740" t="n">
        <v>9.800000000000001</v>
      </c>
      <c r="AB740" t="n">
        <v>3.799098</v>
      </c>
      <c r="AC740" t="n">
        <v>6</v>
      </c>
      <c r="AD740" t="n">
        <v>4.8</v>
      </c>
      <c r="AE740" t="n">
        <v>6.429979</v>
      </c>
      <c r="AF740" t="n">
        <v>6.2</v>
      </c>
      <c r="AG740" t="n">
        <v>11.3</v>
      </c>
      <c r="AH740" t="n">
        <v>9.6</v>
      </c>
      <c r="AI740" t="n">
        <v>7.6</v>
      </c>
      <c r="AJ740" t="n">
        <v>6.8</v>
      </c>
      <c r="AK740" t="n">
        <v>11.1</v>
      </c>
      <c r="AL740" t="n">
        <v>4.8</v>
      </c>
    </row>
    <row r="741">
      <c r="A741" s="78" t="n">
        <v>42583</v>
      </c>
      <c r="B741" t="n">
        <v>5.587458</v>
      </c>
      <c r="C741" t="n">
        <v>7</v>
      </c>
      <c r="D741" t="n">
        <v>7.7</v>
      </c>
      <c r="E741" t="n">
        <v>7</v>
      </c>
      <c r="G741" t="n">
        <v>6.823781</v>
      </c>
      <c r="H741" t="n">
        <v>3.7</v>
      </c>
      <c r="I741" t="n">
        <v>4.1</v>
      </c>
      <c r="J741" t="n">
        <v>6</v>
      </c>
      <c r="K741" t="n">
        <v>9.9</v>
      </c>
      <c r="L741" t="n">
        <v>19.2</v>
      </c>
      <c r="M741" t="n">
        <v>7.8</v>
      </c>
      <c r="N741" t="n">
        <v>8.5</v>
      </c>
      <c r="O741" t="n">
        <v>9.800000000000001</v>
      </c>
      <c r="P741" t="n">
        <v>5.426617</v>
      </c>
      <c r="Q741" t="n">
        <v>4.838883</v>
      </c>
      <c r="R741" t="n">
        <v>23.5</v>
      </c>
      <c r="S741" t="n">
        <v>4.7</v>
      </c>
      <c r="T741" t="n">
        <v>8.300000000000001</v>
      </c>
      <c r="U741" t="n">
        <v>3.4</v>
      </c>
      <c r="V741" t="n">
        <v>4.650024</v>
      </c>
      <c r="W741" t="n">
        <v>11.6</v>
      </c>
      <c r="X741" t="n">
        <v>3.1</v>
      </c>
      <c r="Y741" t="n">
        <v>3.8</v>
      </c>
      <c r="Z741" t="n">
        <v>6.3</v>
      </c>
      <c r="AA741" t="n">
        <v>9.800000000000001</v>
      </c>
      <c r="AB741" t="n">
        <v>3.746764</v>
      </c>
      <c r="AC741" t="n">
        <v>5.8</v>
      </c>
      <c r="AD741" t="n">
        <v>4.8</v>
      </c>
      <c r="AE741" t="n">
        <v>6.425171</v>
      </c>
      <c r="AF741" t="n">
        <v>6.1</v>
      </c>
      <c r="AG741" t="n">
        <v>11.2</v>
      </c>
      <c r="AH741" t="n">
        <v>9.5</v>
      </c>
      <c r="AI741" t="n">
        <v>7.5</v>
      </c>
      <c r="AJ741" t="n">
        <v>7.1</v>
      </c>
      <c r="AK741" t="n">
        <v>11.1</v>
      </c>
      <c r="AL741" t="n">
        <v>4.9</v>
      </c>
    </row>
    <row r="742">
      <c r="A742" s="78" t="n">
        <v>42614</v>
      </c>
      <c r="B742" t="n">
        <v>5.624491</v>
      </c>
      <c r="C742" t="n">
        <v>6.6</v>
      </c>
      <c r="D742" t="n">
        <v>7.5</v>
      </c>
      <c r="E742" t="n">
        <v>7</v>
      </c>
      <c r="G742" t="n">
        <v>6.643842</v>
      </c>
      <c r="H742" t="n">
        <v>4</v>
      </c>
      <c r="I742" t="n">
        <v>4.1</v>
      </c>
      <c r="J742" t="n">
        <v>6.1</v>
      </c>
      <c r="K742" t="n">
        <v>9.9</v>
      </c>
      <c r="L742" t="n">
        <v>19.1</v>
      </c>
      <c r="M742" t="n">
        <v>7.2</v>
      </c>
      <c r="N742" t="n">
        <v>8.4</v>
      </c>
      <c r="O742" t="n">
        <v>9.9</v>
      </c>
      <c r="P742" t="n">
        <v>5.482182</v>
      </c>
      <c r="Q742" t="n">
        <v>4.828989</v>
      </c>
      <c r="R742" t="n">
        <v>23.1</v>
      </c>
      <c r="S742" t="n">
        <v>4.5</v>
      </c>
      <c r="T742" t="n">
        <v>7.9</v>
      </c>
      <c r="U742" t="n">
        <v>3.4</v>
      </c>
      <c r="V742" t="n">
        <v>4.846487</v>
      </c>
      <c r="W742" t="n">
        <v>11.9</v>
      </c>
      <c r="X742" t="n">
        <v>3</v>
      </c>
      <c r="Y742" t="n">
        <v>3.9</v>
      </c>
      <c r="Z742" t="n">
        <v>6.4</v>
      </c>
      <c r="AA742" t="n">
        <v>9.699999999999999</v>
      </c>
      <c r="AB742" t="n">
        <v>3.849123</v>
      </c>
      <c r="AC742" t="n">
        <v>5.7</v>
      </c>
      <c r="AD742" t="n">
        <v>4.7</v>
      </c>
      <c r="AE742" t="n">
        <v>6.454476</v>
      </c>
      <c r="AF742" t="n">
        <v>6</v>
      </c>
      <c r="AG742" t="n">
        <v>11.2</v>
      </c>
      <c r="AH742" t="n">
        <v>9.4</v>
      </c>
      <c r="AI742" t="n">
        <v>7.7</v>
      </c>
      <c r="AJ742" t="n">
        <v>6.7</v>
      </c>
      <c r="AK742" t="n">
        <v>11.6</v>
      </c>
      <c r="AL742" t="n">
        <v>5</v>
      </c>
    </row>
    <row r="743">
      <c r="A743" s="78" t="n">
        <v>42644</v>
      </c>
      <c r="B743" t="n">
        <v>5.572135</v>
      </c>
      <c r="C743" t="n">
        <v>6.3</v>
      </c>
      <c r="D743" t="n">
        <v>7.3</v>
      </c>
      <c r="E743" t="n">
        <v>7</v>
      </c>
      <c r="G743" t="n">
        <v>6.663792</v>
      </c>
      <c r="H743" t="n">
        <v>3.8</v>
      </c>
      <c r="I743" t="n">
        <v>4</v>
      </c>
      <c r="J743" t="n">
        <v>6</v>
      </c>
      <c r="K743" t="n">
        <v>9.800000000000001</v>
      </c>
      <c r="L743" t="n">
        <v>18.8</v>
      </c>
      <c r="M743" t="n">
        <v>7.3</v>
      </c>
      <c r="N743" t="n">
        <v>9</v>
      </c>
      <c r="O743" t="n">
        <v>10</v>
      </c>
      <c r="P743" t="n">
        <v>5.415773</v>
      </c>
      <c r="Q743" t="n">
        <v>4.79412</v>
      </c>
      <c r="R743" t="n">
        <v>23.1</v>
      </c>
      <c r="S743" t="n">
        <v>4.7</v>
      </c>
      <c r="T743" t="n">
        <v>7.7</v>
      </c>
      <c r="U743" t="n">
        <v>3.4</v>
      </c>
      <c r="V743" t="n">
        <v>4.7</v>
      </c>
      <c r="W743" t="n">
        <v>11.7</v>
      </c>
      <c r="X743" t="n">
        <v>3</v>
      </c>
      <c r="Y743" t="n">
        <v>3.8</v>
      </c>
      <c r="Z743" t="n">
        <v>6.3</v>
      </c>
      <c r="AA743" t="n">
        <v>9.5</v>
      </c>
      <c r="AB743" t="n">
        <v>3.584767</v>
      </c>
      <c r="AC743" t="n">
        <v>5.6</v>
      </c>
      <c r="AD743" t="n">
        <v>4.6</v>
      </c>
      <c r="AE743" t="n">
        <v>6.381025</v>
      </c>
      <c r="AF743" t="n">
        <v>5.9</v>
      </c>
      <c r="AG743" t="n">
        <v>10.9</v>
      </c>
      <c r="AH743" t="n">
        <v>9.199999999999999</v>
      </c>
      <c r="AI743" t="n">
        <v>8.1</v>
      </c>
      <c r="AJ743" t="n">
        <v>6.9</v>
      </c>
      <c r="AK743" t="n">
        <v>11.5</v>
      </c>
      <c r="AL743" t="n">
        <v>4.9</v>
      </c>
    </row>
    <row r="744">
      <c r="A744" s="78" t="n">
        <v>42675</v>
      </c>
      <c r="B744" t="n">
        <v>5.762642</v>
      </c>
      <c r="C744" t="n">
        <v>6.3</v>
      </c>
      <c r="D744" t="n">
        <v>7.2</v>
      </c>
      <c r="E744" t="n">
        <v>6.9</v>
      </c>
      <c r="G744" t="n">
        <v>6.685637</v>
      </c>
      <c r="H744" t="n">
        <v>3.6</v>
      </c>
      <c r="I744" t="n">
        <v>3.9</v>
      </c>
      <c r="J744" t="n">
        <v>5.9</v>
      </c>
      <c r="K744" t="n">
        <v>9.800000000000001</v>
      </c>
      <c r="L744" t="n">
        <v>18.8</v>
      </c>
      <c r="M744" t="n">
        <v>6.8</v>
      </c>
      <c r="N744" t="n">
        <v>9.300000000000001</v>
      </c>
      <c r="O744" t="n">
        <v>10.1</v>
      </c>
      <c r="P744" t="n">
        <v>5.36485</v>
      </c>
      <c r="Q744" t="n">
        <v>4.742106</v>
      </c>
      <c r="R744" t="n">
        <v>23.5</v>
      </c>
      <c r="S744" t="n">
        <v>4.1</v>
      </c>
      <c r="T744" t="n">
        <v>7.5</v>
      </c>
      <c r="U744" t="n">
        <v>3.3</v>
      </c>
      <c r="V744" t="n">
        <v>4.537095</v>
      </c>
      <c r="W744" t="n">
        <v>12</v>
      </c>
      <c r="X744" t="n">
        <v>3</v>
      </c>
      <c r="Y744" t="n">
        <v>3.7</v>
      </c>
      <c r="Z744" t="n">
        <v>6.3</v>
      </c>
      <c r="AA744" t="n">
        <v>9.4</v>
      </c>
      <c r="AB744" t="n">
        <v>3.621977</v>
      </c>
      <c r="AC744" t="n">
        <v>5.6</v>
      </c>
      <c r="AD744" t="n">
        <v>4.5</v>
      </c>
      <c r="AE744" t="n">
        <v>6.322755</v>
      </c>
      <c r="AF744" t="n">
        <v>5.7</v>
      </c>
      <c r="AG744" t="n">
        <v>10.8</v>
      </c>
      <c r="AH744" t="n">
        <v>9.1</v>
      </c>
      <c r="AI744" t="n">
        <v>8.300000000000001</v>
      </c>
      <c r="AJ744" t="n">
        <v>6.8</v>
      </c>
      <c r="AK744" t="n">
        <v>11.6</v>
      </c>
      <c r="AL744" t="n">
        <v>4.7</v>
      </c>
    </row>
    <row r="745">
      <c r="A745" s="78" t="n">
        <v>42705</v>
      </c>
      <c r="B745" t="n">
        <v>5.833465</v>
      </c>
      <c r="C745" t="n">
        <v>6.1</v>
      </c>
      <c r="D745" t="n">
        <v>7.3</v>
      </c>
      <c r="E745" t="n">
        <v>7</v>
      </c>
      <c r="G745" t="n">
        <v>6.747226</v>
      </c>
      <c r="H745" t="n">
        <v>3.5</v>
      </c>
      <c r="I745" t="n">
        <v>3.9</v>
      </c>
      <c r="J745" t="n">
        <v>5.9</v>
      </c>
      <c r="K745" t="n">
        <v>9.699999999999999</v>
      </c>
      <c r="L745" t="n">
        <v>18.6</v>
      </c>
      <c r="M745" t="n">
        <v>6.3</v>
      </c>
      <c r="N745" t="n">
        <v>8.5</v>
      </c>
      <c r="O745" t="n">
        <v>10</v>
      </c>
      <c r="P745" t="n">
        <v>5.336776</v>
      </c>
      <c r="Q745" t="n">
        <v>4.707117</v>
      </c>
      <c r="R745" t="n">
        <v>23.5</v>
      </c>
      <c r="S745" t="n">
        <v>4.4</v>
      </c>
      <c r="T745" t="n">
        <v>7.5</v>
      </c>
      <c r="U745" t="n">
        <v>3.3</v>
      </c>
      <c r="V745" t="n">
        <v>4.267953</v>
      </c>
      <c r="W745" t="n">
        <v>11.8</v>
      </c>
      <c r="X745" t="n">
        <v>3</v>
      </c>
      <c r="Y745" t="n">
        <v>3.5</v>
      </c>
      <c r="Z745" t="n">
        <v>6.3</v>
      </c>
      <c r="AA745" t="n">
        <v>9.4</v>
      </c>
      <c r="AB745" t="n">
        <v>3.717002</v>
      </c>
      <c r="AC745" t="n">
        <v>5.4</v>
      </c>
      <c r="AD745" t="n">
        <v>4.2</v>
      </c>
      <c r="AE745" t="n">
        <v>6.33195</v>
      </c>
      <c r="AF745" t="n">
        <v>5.5</v>
      </c>
      <c r="AG745" t="n">
        <v>10.3</v>
      </c>
      <c r="AH745" t="n">
        <v>8.9</v>
      </c>
      <c r="AI745" t="n">
        <v>8.1</v>
      </c>
      <c r="AJ745" t="n">
        <v>6.9</v>
      </c>
      <c r="AK745" t="n">
        <v>12.1</v>
      </c>
      <c r="AL745" t="n">
        <v>4.7</v>
      </c>
    </row>
    <row r="746">
      <c r="A746" s="78" t="n">
        <v>42736</v>
      </c>
      <c r="B746" t="n">
        <v>5.70919</v>
      </c>
      <c r="C746" t="n">
        <v>6.1</v>
      </c>
      <c r="D746" t="n">
        <v>7.6</v>
      </c>
      <c r="E746" t="n">
        <v>6.8</v>
      </c>
      <c r="G746" t="n">
        <v>7.048145</v>
      </c>
      <c r="H746" t="n">
        <v>3.5</v>
      </c>
      <c r="I746" t="n">
        <v>3.9</v>
      </c>
      <c r="J746" t="n">
        <v>6.1</v>
      </c>
      <c r="K746" t="n">
        <v>9.6</v>
      </c>
      <c r="L746" t="n">
        <v>18.4</v>
      </c>
      <c r="M746" t="n">
        <v>5.8</v>
      </c>
      <c r="N746" t="n">
        <v>8.9</v>
      </c>
      <c r="O746" t="n">
        <v>9.699999999999999</v>
      </c>
      <c r="P746" t="n">
        <v>5.277194</v>
      </c>
      <c r="Q746" t="n">
        <v>4.640486</v>
      </c>
      <c r="R746" t="n">
        <v>22.9</v>
      </c>
      <c r="S746" t="n">
        <v>4.1</v>
      </c>
      <c r="T746" t="n">
        <v>7.4</v>
      </c>
      <c r="U746" t="n">
        <v>3.3</v>
      </c>
      <c r="V746" t="n">
        <v>4.535178</v>
      </c>
      <c r="W746" t="n">
        <v>11.8</v>
      </c>
      <c r="X746" t="n">
        <v>3</v>
      </c>
      <c r="Y746" t="n">
        <v>3.6</v>
      </c>
      <c r="Z746" t="n">
        <v>6</v>
      </c>
      <c r="AA746" t="n">
        <v>9.300000000000001</v>
      </c>
      <c r="AB746" t="n">
        <v>3.441546</v>
      </c>
      <c r="AC746" t="n">
        <v>5.3</v>
      </c>
      <c r="AD746" t="n">
        <v>4.1</v>
      </c>
      <c r="AE746" t="n">
        <v>6.262793</v>
      </c>
      <c r="AF746" t="n">
        <v>5.2</v>
      </c>
      <c r="AG746" t="n">
        <v>10.3</v>
      </c>
      <c r="AH746" t="n">
        <v>8.699999999999999</v>
      </c>
      <c r="AI746" t="n">
        <v>7.7</v>
      </c>
      <c r="AJ746" t="n">
        <v>6.8</v>
      </c>
      <c r="AK746" t="n">
        <v>12</v>
      </c>
      <c r="AL746" t="n">
        <v>4.7</v>
      </c>
    </row>
    <row r="747">
      <c r="A747" s="78" t="n">
        <v>42767</v>
      </c>
      <c r="B747" t="n">
        <v>5.885886</v>
      </c>
      <c r="C747" t="n">
        <v>6</v>
      </c>
      <c r="D747" t="n">
        <v>7.8</v>
      </c>
      <c r="E747" t="n">
        <v>6.6</v>
      </c>
      <c r="G747" t="n">
        <v>7.034715</v>
      </c>
      <c r="H747" t="n">
        <v>3.3</v>
      </c>
      <c r="I747" t="n">
        <v>3.9</v>
      </c>
      <c r="J747" t="n">
        <v>6.2</v>
      </c>
      <c r="K747" t="n">
        <v>9.5</v>
      </c>
      <c r="L747" t="n">
        <v>18.3</v>
      </c>
      <c r="M747" t="n">
        <v>5.3</v>
      </c>
      <c r="N747" t="n">
        <v>9</v>
      </c>
      <c r="O747" t="n">
        <v>9.6</v>
      </c>
      <c r="P747" t="n">
        <v>5.195549</v>
      </c>
      <c r="Q747" t="n">
        <v>4.5633</v>
      </c>
      <c r="R747" t="n">
        <v>22.8</v>
      </c>
      <c r="S747" t="n">
        <v>4.2</v>
      </c>
      <c r="T747" t="n">
        <v>7.3</v>
      </c>
      <c r="U747" t="n">
        <v>3.3</v>
      </c>
      <c r="V747" t="n">
        <v>4.341269</v>
      </c>
      <c r="W747" t="n">
        <v>11.5</v>
      </c>
      <c r="X747" t="n">
        <v>2.9</v>
      </c>
      <c r="Y747" t="n">
        <v>3.9</v>
      </c>
      <c r="Z747" t="n">
        <v>5.9</v>
      </c>
      <c r="AA747" t="n">
        <v>9</v>
      </c>
      <c r="AB747" t="n">
        <v>3.400923</v>
      </c>
      <c r="AC747" t="n">
        <v>5.3</v>
      </c>
      <c r="AD747" t="n">
        <v>4.3</v>
      </c>
      <c r="AE747" t="n">
        <v>6.202578</v>
      </c>
      <c r="AF747" t="n">
        <v>5</v>
      </c>
      <c r="AG747" t="n">
        <v>10</v>
      </c>
      <c r="AH747" t="n">
        <v>8.6</v>
      </c>
      <c r="AI747" t="n">
        <v>7.3</v>
      </c>
      <c r="AJ747" t="n">
        <v>6.9</v>
      </c>
      <c r="AK747" t="n">
        <v>11.9</v>
      </c>
      <c r="AL747" t="n">
        <v>4.6</v>
      </c>
    </row>
    <row r="748">
      <c r="A748" s="78" t="n">
        <v>42795</v>
      </c>
      <c r="B748" t="n">
        <v>5.887271</v>
      </c>
      <c r="C748" t="n">
        <v>6.1</v>
      </c>
      <c r="D748" t="n">
        <v>7.7</v>
      </c>
      <c r="E748" t="n">
        <v>6.7</v>
      </c>
      <c r="G748" t="n">
        <v>7.086277</v>
      </c>
      <c r="H748" t="n">
        <v>3.2</v>
      </c>
      <c r="I748" t="n">
        <v>3.9</v>
      </c>
      <c r="J748" t="n">
        <v>6</v>
      </c>
      <c r="K748" t="n">
        <v>9.4</v>
      </c>
      <c r="L748" t="n">
        <v>18.1</v>
      </c>
      <c r="M748" t="n">
        <v>5.4</v>
      </c>
      <c r="N748" t="n">
        <v>8.9</v>
      </c>
      <c r="O748" t="n">
        <v>9.6</v>
      </c>
      <c r="P748" t="n">
        <v>5.113244</v>
      </c>
      <c r="Q748" t="n">
        <v>4.540287</v>
      </c>
      <c r="R748" t="n">
        <v>22.1</v>
      </c>
      <c r="S748" t="n">
        <v>4.4</v>
      </c>
      <c r="T748" t="n">
        <v>7.1</v>
      </c>
      <c r="U748" t="n">
        <v>3.2</v>
      </c>
      <c r="V748" t="n">
        <v>4.437414</v>
      </c>
      <c r="W748" t="n">
        <v>11.7</v>
      </c>
      <c r="X748" t="n">
        <v>2.8</v>
      </c>
      <c r="Y748" t="n">
        <v>3.6</v>
      </c>
      <c r="Z748" t="n">
        <v>5.7</v>
      </c>
      <c r="AA748" t="n">
        <v>8.800000000000001</v>
      </c>
      <c r="AB748" t="n">
        <v>3.483728</v>
      </c>
      <c r="AC748" t="n">
        <v>5.1</v>
      </c>
      <c r="AD748" t="n">
        <v>4.5</v>
      </c>
      <c r="AE748" t="n">
        <v>6.129354</v>
      </c>
      <c r="AF748" t="n">
        <v>5</v>
      </c>
      <c r="AG748" t="n">
        <v>9.9</v>
      </c>
      <c r="AH748" t="n">
        <v>8.5</v>
      </c>
      <c r="AI748" t="n">
        <v>6.9</v>
      </c>
      <c r="AJ748" t="n">
        <v>6.4</v>
      </c>
      <c r="AK748" t="n">
        <v>11.9</v>
      </c>
      <c r="AL748" t="n">
        <v>4.4</v>
      </c>
    </row>
    <row r="749">
      <c r="A749" s="78" t="n">
        <v>42826</v>
      </c>
      <c r="B749" t="n">
        <v>5.636843</v>
      </c>
      <c r="C749" t="n">
        <v>5.8</v>
      </c>
      <c r="D749" t="n">
        <v>7.4</v>
      </c>
      <c r="E749" t="n">
        <v>6.5</v>
      </c>
      <c r="G749" t="n">
        <v>7.062993</v>
      </c>
      <c r="H749" t="n">
        <v>3.4</v>
      </c>
      <c r="I749" t="n">
        <v>3.8</v>
      </c>
      <c r="J749" t="n">
        <v>5.8</v>
      </c>
      <c r="K749" t="n">
        <v>9.199999999999999</v>
      </c>
      <c r="L749" t="n">
        <v>17.6</v>
      </c>
      <c r="M749" t="n">
        <v>6.1</v>
      </c>
      <c r="N749" t="n">
        <v>9.300000000000001</v>
      </c>
      <c r="O749" t="n">
        <v>9.5</v>
      </c>
      <c r="P749" t="n">
        <v>5.057689</v>
      </c>
      <c r="Q749" t="n">
        <v>4.445372</v>
      </c>
      <c r="R749" t="n">
        <v>21.4</v>
      </c>
      <c r="S749" t="n">
        <v>4.3</v>
      </c>
      <c r="T749" t="n">
        <v>6.8</v>
      </c>
      <c r="U749" t="n">
        <v>3.2</v>
      </c>
      <c r="V749" t="n">
        <v>4.395878</v>
      </c>
      <c r="W749" t="n">
        <v>11.2</v>
      </c>
      <c r="X749" t="n">
        <v>2.8</v>
      </c>
      <c r="Y749" t="n">
        <v>3.8</v>
      </c>
      <c r="Z749" t="n">
        <v>5.6</v>
      </c>
      <c r="AA749" t="n">
        <v>8.800000000000001</v>
      </c>
      <c r="AB749" t="n">
        <v>3.543953</v>
      </c>
      <c r="AC749" t="n">
        <v>5.1</v>
      </c>
      <c r="AD749" t="n">
        <v>4.5</v>
      </c>
      <c r="AE749" t="n">
        <v>6.047562</v>
      </c>
      <c r="AF749" t="n">
        <v>5.1</v>
      </c>
      <c r="AG749" t="n">
        <v>9.699999999999999</v>
      </c>
      <c r="AH749" t="n">
        <v>8.4</v>
      </c>
      <c r="AI749" t="n">
        <v>6.7</v>
      </c>
      <c r="AJ749" t="n">
        <v>6.8</v>
      </c>
      <c r="AK749" t="n">
        <v>11.6</v>
      </c>
      <c r="AL749" t="n">
        <v>4.5</v>
      </c>
    </row>
    <row r="750">
      <c r="A750" s="78" t="n">
        <v>42856</v>
      </c>
      <c r="B750" t="n">
        <v>5.539797</v>
      </c>
      <c r="C750" t="n">
        <v>6</v>
      </c>
      <c r="D750" t="n">
        <v>7.3</v>
      </c>
      <c r="E750" t="n">
        <v>6.6</v>
      </c>
      <c r="G750" t="n">
        <v>7.019598</v>
      </c>
      <c r="H750" t="n">
        <v>2.9</v>
      </c>
      <c r="I750" t="n">
        <v>3.8</v>
      </c>
      <c r="J750" t="n">
        <v>5.9</v>
      </c>
      <c r="K750" t="n">
        <v>9.199999999999999</v>
      </c>
      <c r="L750" t="n">
        <v>17.3</v>
      </c>
      <c r="M750" t="n">
        <v>6.7</v>
      </c>
      <c r="N750" t="n">
        <v>8.800000000000001</v>
      </c>
      <c r="O750" t="n">
        <v>9.5</v>
      </c>
      <c r="P750" t="n">
        <v>5.0871</v>
      </c>
      <c r="Q750" t="n">
        <v>4.425402</v>
      </c>
      <c r="R750" t="n">
        <v>21.8</v>
      </c>
      <c r="S750" t="n">
        <v>4.1</v>
      </c>
      <c r="T750" t="n">
        <v>6.6</v>
      </c>
      <c r="U750" t="n">
        <v>3.2</v>
      </c>
      <c r="V750" t="n">
        <v>4.491292</v>
      </c>
      <c r="W750" t="n">
        <v>11.5</v>
      </c>
      <c r="X750" t="n">
        <v>3</v>
      </c>
      <c r="Y750" t="n">
        <v>3.4</v>
      </c>
      <c r="Z750" t="n">
        <v>5.5</v>
      </c>
      <c r="AA750" t="n">
        <v>8.9</v>
      </c>
      <c r="AB750" t="n">
        <v>3.624101</v>
      </c>
      <c r="AC750" t="n">
        <v>5.1</v>
      </c>
      <c r="AD750" t="n">
        <v>4.5</v>
      </c>
      <c r="AE750" t="n">
        <v>6.027173</v>
      </c>
      <c r="AF750" t="n">
        <v>5.1</v>
      </c>
      <c r="AG750" t="n">
        <v>9.5</v>
      </c>
      <c r="AH750" t="n">
        <v>8.300000000000001</v>
      </c>
      <c r="AI750" t="n">
        <v>6.6</v>
      </c>
      <c r="AJ750" t="n">
        <v>6.7</v>
      </c>
      <c r="AK750" t="n">
        <v>11.1</v>
      </c>
      <c r="AL750" t="n">
        <v>4.4</v>
      </c>
    </row>
    <row r="751">
      <c r="A751" s="78" t="n">
        <v>42887</v>
      </c>
      <c r="B751" t="n">
        <v>5.560977</v>
      </c>
      <c r="C751" t="n">
        <v>5.7</v>
      </c>
      <c r="D751" t="n">
        <v>7.2</v>
      </c>
      <c r="E751" t="n">
        <v>6.5</v>
      </c>
      <c r="G751" t="n">
        <v>6.844752</v>
      </c>
      <c r="H751" t="n">
        <v>2.9</v>
      </c>
      <c r="I751" t="n">
        <v>3.8</v>
      </c>
      <c r="J751" t="n">
        <v>5.9</v>
      </c>
      <c r="K751" t="n">
        <v>9.1</v>
      </c>
      <c r="L751" t="n">
        <v>17</v>
      </c>
      <c r="M751" t="n">
        <v>6.4</v>
      </c>
      <c r="N751" t="n">
        <v>8.9</v>
      </c>
      <c r="O751" t="n">
        <v>9.5</v>
      </c>
      <c r="P751" t="n">
        <v>4.970033</v>
      </c>
      <c r="Q751" t="n">
        <v>4.337695</v>
      </c>
      <c r="R751" t="n">
        <v>21.3</v>
      </c>
      <c r="S751" t="n">
        <v>4.2</v>
      </c>
      <c r="T751" t="n">
        <v>6.6</v>
      </c>
      <c r="U751" t="n">
        <v>3.3</v>
      </c>
      <c r="V751" t="n">
        <v>4.294963</v>
      </c>
      <c r="W751" t="n">
        <v>11.2</v>
      </c>
      <c r="X751" t="n">
        <v>2.8</v>
      </c>
      <c r="Y751" t="n">
        <v>3.7</v>
      </c>
      <c r="Z751" t="n">
        <v>5.5</v>
      </c>
      <c r="AA751" t="n">
        <v>8.9</v>
      </c>
      <c r="AB751" t="n">
        <v>3.281959</v>
      </c>
      <c r="AC751" t="n">
        <v>4.9</v>
      </c>
      <c r="AD751" t="n">
        <v>4.3</v>
      </c>
      <c r="AE751" t="n">
        <v>5.895446</v>
      </c>
      <c r="AF751" t="n">
        <v>5</v>
      </c>
      <c r="AG751" t="n">
        <v>9.4</v>
      </c>
      <c r="AH751" t="n">
        <v>8</v>
      </c>
      <c r="AI751" t="n">
        <v>6.6</v>
      </c>
      <c r="AJ751" t="n">
        <v>6.6</v>
      </c>
      <c r="AK751" t="n">
        <v>11</v>
      </c>
      <c r="AL751" t="n">
        <v>4.3</v>
      </c>
    </row>
    <row r="752">
      <c r="A752" s="78" t="n">
        <v>42917</v>
      </c>
      <c r="B752" t="n">
        <v>5.565654</v>
      </c>
      <c r="C752" t="n">
        <v>5.8</v>
      </c>
      <c r="D752" t="n">
        <v>7.2</v>
      </c>
      <c r="E752" t="n">
        <v>6.3</v>
      </c>
      <c r="G752" t="n">
        <v>6.614769</v>
      </c>
      <c r="H752" t="n">
        <v>2.8</v>
      </c>
      <c r="I752" t="n">
        <v>3.7</v>
      </c>
      <c r="J752" t="n">
        <v>6</v>
      </c>
      <c r="K752" t="n">
        <v>9</v>
      </c>
      <c r="L752" t="n">
        <v>16.8</v>
      </c>
      <c r="M752" t="n">
        <v>5.9</v>
      </c>
      <c r="N752" t="n">
        <v>8.5</v>
      </c>
      <c r="O752" t="n">
        <v>9.6</v>
      </c>
      <c r="P752" t="n">
        <v>4.95728</v>
      </c>
      <c r="Q752" t="n">
        <v>4.32804</v>
      </c>
      <c r="R752" t="n">
        <v>20.9</v>
      </c>
      <c r="S752" t="n">
        <v>4</v>
      </c>
      <c r="T752" t="n">
        <v>6.6</v>
      </c>
      <c r="U752" t="n">
        <v>3.3</v>
      </c>
      <c r="V752" t="n">
        <v>3.883762</v>
      </c>
      <c r="W752" t="n">
        <v>11.4</v>
      </c>
      <c r="X752" t="n">
        <v>2.8</v>
      </c>
      <c r="Y752" t="n">
        <v>3.5</v>
      </c>
      <c r="Z752" t="n">
        <v>5.6</v>
      </c>
      <c r="AA752" t="n">
        <v>8.800000000000001</v>
      </c>
      <c r="AB752" t="n">
        <v>3.246809</v>
      </c>
      <c r="AC752" t="n">
        <v>4.8</v>
      </c>
      <c r="AD752" t="n">
        <v>4.2</v>
      </c>
      <c r="AE752" t="n">
        <v>5.847017</v>
      </c>
      <c r="AF752" t="n">
        <v>4.9</v>
      </c>
      <c r="AG752" t="n">
        <v>9.199999999999999</v>
      </c>
      <c r="AH752" t="n">
        <v>7.9</v>
      </c>
      <c r="AI752" t="n">
        <v>6.6</v>
      </c>
      <c r="AJ752" t="n">
        <v>6.9</v>
      </c>
      <c r="AK752" t="n">
        <v>10.6</v>
      </c>
      <c r="AL752" t="n">
        <v>4.3</v>
      </c>
    </row>
    <row r="753">
      <c r="A753" s="78" t="n">
        <v>42948</v>
      </c>
      <c r="B753" t="n">
        <v>5.489003</v>
      </c>
      <c r="C753" t="n">
        <v>6</v>
      </c>
      <c r="D753" t="n">
        <v>7.1</v>
      </c>
      <c r="E753" t="n">
        <v>6.2</v>
      </c>
      <c r="G753" t="n">
        <v>6.790987</v>
      </c>
      <c r="H753" t="n">
        <v>2.7</v>
      </c>
      <c r="I753" t="n">
        <v>3.7</v>
      </c>
      <c r="J753" t="n">
        <v>5.9</v>
      </c>
      <c r="K753" t="n">
        <v>9</v>
      </c>
      <c r="L753" t="n">
        <v>16.7</v>
      </c>
      <c r="M753" t="n">
        <v>5.4</v>
      </c>
      <c r="N753" t="n">
        <v>8.4</v>
      </c>
      <c r="O753" t="n">
        <v>9.5</v>
      </c>
      <c r="P753" t="n">
        <v>4.987273</v>
      </c>
      <c r="Q753" t="n">
        <v>4.266815</v>
      </c>
      <c r="R753" t="n">
        <v>20.9</v>
      </c>
      <c r="S753" t="n">
        <v>3.9</v>
      </c>
      <c r="T753" t="n">
        <v>6.6</v>
      </c>
      <c r="U753" t="n">
        <v>3.3</v>
      </c>
      <c r="V753" t="n">
        <v>4.10302</v>
      </c>
      <c r="W753" t="n">
        <v>11.4</v>
      </c>
      <c r="X753" t="n">
        <v>2.8</v>
      </c>
      <c r="Y753" t="n">
        <v>3.8</v>
      </c>
      <c r="Z753" t="n">
        <v>5.5</v>
      </c>
      <c r="AA753" t="n">
        <v>8.699999999999999</v>
      </c>
      <c r="AB753" t="n">
        <v>3.291859</v>
      </c>
      <c r="AC753" t="n">
        <v>4.7</v>
      </c>
      <c r="AD753" t="n">
        <v>4.1</v>
      </c>
      <c r="AE753" t="n">
        <v>5.869779</v>
      </c>
      <c r="AF753" t="n">
        <v>4.9</v>
      </c>
      <c r="AG753" t="n">
        <v>9</v>
      </c>
      <c r="AH753" t="n">
        <v>7.9</v>
      </c>
      <c r="AI753" t="n">
        <v>6.5</v>
      </c>
      <c r="AJ753" t="n">
        <v>6.4</v>
      </c>
      <c r="AK753" t="n">
        <v>10.5</v>
      </c>
      <c r="AL753" t="n">
        <v>4.4</v>
      </c>
    </row>
    <row r="754">
      <c r="A754" s="78" t="n">
        <v>42979</v>
      </c>
      <c r="B754" t="n">
        <v>5.421041</v>
      </c>
      <c r="C754" t="n">
        <v>6</v>
      </c>
      <c r="D754" t="n">
        <v>6.9</v>
      </c>
      <c r="E754" t="n">
        <v>6.2</v>
      </c>
      <c r="G754" t="n">
        <v>6.956134</v>
      </c>
      <c r="H754" t="n">
        <v>2.7</v>
      </c>
      <c r="I754" t="n">
        <v>3.7</v>
      </c>
      <c r="J754" t="n">
        <v>5.7</v>
      </c>
      <c r="K754" t="n">
        <v>8.9</v>
      </c>
      <c r="L754" t="n">
        <v>16.6</v>
      </c>
      <c r="M754" t="n">
        <v>5.8</v>
      </c>
      <c r="N754" t="n">
        <v>9.1</v>
      </c>
      <c r="O754" t="n">
        <v>9.4</v>
      </c>
      <c r="P754" t="n">
        <v>4.900719</v>
      </c>
      <c r="Q754" t="n">
        <v>4.243337</v>
      </c>
      <c r="R754" t="n">
        <v>20.9</v>
      </c>
      <c r="S754" t="n">
        <v>3.9</v>
      </c>
      <c r="T754" t="n">
        <v>6.6</v>
      </c>
      <c r="U754" t="n">
        <v>3.3</v>
      </c>
      <c r="V754" t="n">
        <v>4.006534</v>
      </c>
      <c r="W754" t="n">
        <v>11.2</v>
      </c>
      <c r="X754" t="n">
        <v>2.8</v>
      </c>
      <c r="Y754" t="n">
        <v>3.7</v>
      </c>
      <c r="Z754" t="n">
        <v>5.5</v>
      </c>
      <c r="AA754" t="n">
        <v>8.6</v>
      </c>
      <c r="AB754" t="n">
        <v>3.341208</v>
      </c>
      <c r="AC754" t="n">
        <v>4.7</v>
      </c>
      <c r="AD754" t="n">
        <v>4</v>
      </c>
      <c r="AE754" t="n">
        <v>5.820357</v>
      </c>
      <c r="AF754" t="n">
        <v>4.8</v>
      </c>
      <c r="AG754" t="n">
        <v>8.800000000000001</v>
      </c>
      <c r="AH754" t="n">
        <v>7.9</v>
      </c>
      <c r="AI754" t="n">
        <v>6.3</v>
      </c>
      <c r="AJ754" t="n">
        <v>6.8</v>
      </c>
      <c r="AK754" t="n">
        <v>10.3</v>
      </c>
      <c r="AL754" t="n">
        <v>4.2</v>
      </c>
    </row>
    <row r="755">
      <c r="A755" s="78" t="n">
        <v>43009</v>
      </c>
      <c r="B755" t="n">
        <v>5.35039</v>
      </c>
      <c r="C755" t="n">
        <v>5.7</v>
      </c>
      <c r="D755" t="n">
        <v>6.7</v>
      </c>
      <c r="E755" t="n">
        <v>6.3</v>
      </c>
      <c r="G755" t="n">
        <v>6.976187</v>
      </c>
      <c r="H755" t="n">
        <v>2.6</v>
      </c>
      <c r="I755" t="n">
        <v>3.7</v>
      </c>
      <c r="J755" t="n">
        <v>5.6</v>
      </c>
      <c r="K755" t="n">
        <v>8.800000000000001</v>
      </c>
      <c r="L755" t="n">
        <v>16.6</v>
      </c>
      <c r="M755" t="n">
        <v>5.3</v>
      </c>
      <c r="N755" t="n">
        <v>8.300000000000001</v>
      </c>
      <c r="O755" t="n">
        <v>9.199999999999999</v>
      </c>
      <c r="P755" t="n">
        <v>4.832273</v>
      </c>
      <c r="Q755" t="n">
        <v>4.271856</v>
      </c>
      <c r="R755" t="n">
        <v>20.9</v>
      </c>
      <c r="S755" t="n">
        <v>3.9</v>
      </c>
      <c r="T755" t="n">
        <v>6.5</v>
      </c>
      <c r="U755" t="n">
        <v>3.3</v>
      </c>
      <c r="V755" t="n">
        <v>4.140328</v>
      </c>
      <c r="W755" t="n">
        <v>11.1</v>
      </c>
      <c r="X755" t="n">
        <v>2.7</v>
      </c>
      <c r="Y755" t="n">
        <v>3.7</v>
      </c>
      <c r="Z755" t="n">
        <v>5.4</v>
      </c>
      <c r="AA755" t="n">
        <v>8.4</v>
      </c>
      <c r="AB755" t="n">
        <v>3.438705</v>
      </c>
      <c r="AC755" t="n">
        <v>4.5</v>
      </c>
      <c r="AD755" t="n">
        <v>3.9</v>
      </c>
      <c r="AE755" t="n">
        <v>5.762092</v>
      </c>
      <c r="AF755" t="n">
        <v>4.7</v>
      </c>
      <c r="AG755" t="n">
        <v>8.6</v>
      </c>
      <c r="AH755" t="n">
        <v>7.8</v>
      </c>
      <c r="AI755" t="n">
        <v>6.1</v>
      </c>
      <c r="AJ755" t="n">
        <v>6.8</v>
      </c>
      <c r="AK755" t="n">
        <v>10.3</v>
      </c>
      <c r="AL755" t="n">
        <v>4.1</v>
      </c>
    </row>
    <row r="756">
      <c r="A756" s="78" t="n">
        <v>43040</v>
      </c>
      <c r="B756" t="n">
        <v>5.421287</v>
      </c>
      <c r="C756" t="n">
        <v>6</v>
      </c>
      <c r="D756" t="n">
        <v>6.4</v>
      </c>
      <c r="E756" t="n">
        <v>6</v>
      </c>
      <c r="G756" t="n">
        <v>7.013191</v>
      </c>
      <c r="H756" t="n">
        <v>2.4</v>
      </c>
      <c r="I756" t="n">
        <v>3.6</v>
      </c>
      <c r="J756" t="n">
        <v>5.4</v>
      </c>
      <c r="K756" t="n">
        <v>8.699999999999999</v>
      </c>
      <c r="L756" t="n">
        <v>16.7</v>
      </c>
      <c r="M756" t="n">
        <v>5.5</v>
      </c>
      <c r="N756" t="n">
        <v>7.9</v>
      </c>
      <c r="O756" t="n">
        <v>9.1</v>
      </c>
      <c r="P756" t="n">
        <v>4.82836</v>
      </c>
      <c r="Q756" t="n">
        <v>4.352217</v>
      </c>
      <c r="R756" t="n">
        <v>21.1</v>
      </c>
      <c r="S756" t="n">
        <v>3.7</v>
      </c>
      <c r="T756" t="n">
        <v>6.4</v>
      </c>
      <c r="U756" t="n">
        <v>3.2</v>
      </c>
      <c r="V756" t="n">
        <v>4.057659</v>
      </c>
      <c r="W756" t="n">
        <v>11</v>
      </c>
      <c r="X756" t="n">
        <v>2.7</v>
      </c>
      <c r="Y756" t="n">
        <v>3.7</v>
      </c>
      <c r="Z756" t="n">
        <v>5.4</v>
      </c>
      <c r="AA756" t="n">
        <v>8.300000000000001</v>
      </c>
      <c r="AB756" t="n">
        <v>3.497492</v>
      </c>
      <c r="AC756" t="n">
        <v>4.4</v>
      </c>
      <c r="AD756" t="n">
        <v>4</v>
      </c>
      <c r="AE756" t="n">
        <v>5.747877</v>
      </c>
      <c r="AF756" t="n">
        <v>4.6</v>
      </c>
      <c r="AG756" t="n">
        <v>8.199999999999999</v>
      </c>
      <c r="AH756" t="n">
        <v>7.7</v>
      </c>
      <c r="AI756" t="n">
        <v>5.9</v>
      </c>
      <c r="AJ756" t="n">
        <v>6.4</v>
      </c>
      <c r="AK756" t="n">
        <v>10.1</v>
      </c>
      <c r="AL756" t="n">
        <v>4.2</v>
      </c>
    </row>
    <row r="757">
      <c r="A757" s="78" t="n">
        <v>43070</v>
      </c>
      <c r="B757" t="n">
        <v>5.606496</v>
      </c>
      <c r="C757" t="n">
        <v>5.9</v>
      </c>
      <c r="D757" t="n">
        <v>6.2</v>
      </c>
      <c r="E757" t="n">
        <v>5.9</v>
      </c>
      <c r="G757" t="n">
        <v>7.214796</v>
      </c>
      <c r="H757" t="n">
        <v>2.3</v>
      </c>
      <c r="I757" t="n">
        <v>3.6</v>
      </c>
      <c r="J757" t="n">
        <v>5.4</v>
      </c>
      <c r="K757" t="n">
        <v>8.699999999999999</v>
      </c>
      <c r="L757" t="n">
        <v>16.6</v>
      </c>
      <c r="M757" t="n">
        <v>5.7</v>
      </c>
      <c r="N757" t="n">
        <v>9</v>
      </c>
      <c r="O757" t="n">
        <v>9.1</v>
      </c>
      <c r="P757" t="n">
        <v>4.778918</v>
      </c>
      <c r="Q757" t="n">
        <v>4.306048</v>
      </c>
      <c r="R757" t="n">
        <v>21</v>
      </c>
      <c r="S757" t="n">
        <v>3.9</v>
      </c>
      <c r="T757" t="n">
        <v>6.3</v>
      </c>
      <c r="U757" t="n">
        <v>3.2</v>
      </c>
      <c r="V757" t="n">
        <v>4.101596</v>
      </c>
      <c r="W757" t="n">
        <v>10.9</v>
      </c>
      <c r="X757" t="n">
        <v>2.7</v>
      </c>
      <c r="Y757" t="n">
        <v>3.7</v>
      </c>
      <c r="Z757" t="n">
        <v>5.6</v>
      </c>
      <c r="AA757" t="n">
        <v>8.1</v>
      </c>
      <c r="AB757" t="n">
        <v>3.432755</v>
      </c>
      <c r="AC757" t="n">
        <v>4.4</v>
      </c>
      <c r="AD757" t="n">
        <v>4</v>
      </c>
      <c r="AE757" t="n">
        <v>5.687124</v>
      </c>
      <c r="AF757" t="n">
        <v>4.4</v>
      </c>
      <c r="AG757" t="n">
        <v>8.1</v>
      </c>
      <c r="AH757" t="n">
        <v>7.6</v>
      </c>
      <c r="AI757" t="n">
        <v>5.7</v>
      </c>
      <c r="AJ757" t="n">
        <v>6.6</v>
      </c>
      <c r="AK757" t="n">
        <v>9.9</v>
      </c>
      <c r="AL757" t="n">
        <v>4.1</v>
      </c>
    </row>
    <row r="758">
      <c r="A758" s="78" t="n">
        <v>43101</v>
      </c>
      <c r="B758" t="n">
        <v>5.535525</v>
      </c>
      <c r="C758" t="n">
        <v>5.5</v>
      </c>
      <c r="D758" t="n">
        <v>6.1</v>
      </c>
      <c r="E758" t="n">
        <v>6</v>
      </c>
      <c r="G758" t="n">
        <v>7.272851</v>
      </c>
      <c r="H758" t="n">
        <v>2.5</v>
      </c>
      <c r="I758" t="n">
        <v>3.5</v>
      </c>
      <c r="J758" t="n">
        <v>5.1</v>
      </c>
      <c r="K758" t="n">
        <v>8.699999999999999</v>
      </c>
      <c r="L758" t="n">
        <v>16.5</v>
      </c>
      <c r="M758" t="n">
        <v>6.9</v>
      </c>
      <c r="N758" t="n">
        <v>8.5</v>
      </c>
      <c r="O758" t="n">
        <v>9.199999999999999</v>
      </c>
      <c r="P758" t="n">
        <v>4.681341</v>
      </c>
      <c r="Q758" t="n">
        <v>4.213097</v>
      </c>
      <c r="R758" t="n">
        <v>20.4</v>
      </c>
      <c r="S758" t="n">
        <v>3.6</v>
      </c>
      <c r="T758" t="n">
        <v>6</v>
      </c>
      <c r="U758" t="n">
        <v>3.2</v>
      </c>
      <c r="V758" t="n">
        <v>3.637541</v>
      </c>
      <c r="W758" t="n">
        <v>11.1</v>
      </c>
      <c r="X758" t="n">
        <v>2.4</v>
      </c>
      <c r="Y758" t="n">
        <v>3.6</v>
      </c>
      <c r="Z758" t="n">
        <v>5.4</v>
      </c>
      <c r="AA758" t="n">
        <v>8</v>
      </c>
      <c r="AB758" t="n">
        <v>3.244341</v>
      </c>
      <c r="AC758" t="n">
        <v>4.2</v>
      </c>
      <c r="AD758" t="n">
        <v>4</v>
      </c>
      <c r="AE758" t="n">
        <v>5.588243</v>
      </c>
      <c r="AF758" t="n">
        <v>4.1</v>
      </c>
      <c r="AG758" t="n">
        <v>8</v>
      </c>
      <c r="AH758" t="n">
        <v>7.3</v>
      </c>
      <c r="AI758" t="n">
        <v>5.6</v>
      </c>
      <c r="AJ758" t="n">
        <v>6.6</v>
      </c>
      <c r="AK758" t="n">
        <v>9.800000000000001</v>
      </c>
      <c r="AL758" t="n">
        <v>4</v>
      </c>
    </row>
    <row r="759">
      <c r="A759" s="78" t="n">
        <v>43132</v>
      </c>
      <c r="B759" t="n">
        <v>5.609531</v>
      </c>
      <c r="C759" t="n">
        <v>5.3</v>
      </c>
      <c r="D759" t="n">
        <v>6.1</v>
      </c>
      <c r="E759" t="n">
        <v>5.9</v>
      </c>
      <c r="G759" t="n">
        <v>7.345586</v>
      </c>
      <c r="H759" t="n">
        <v>2.4</v>
      </c>
      <c r="I759" t="n">
        <v>3.5</v>
      </c>
      <c r="J759" t="n">
        <v>5.2</v>
      </c>
      <c r="K759" t="n">
        <v>8.6</v>
      </c>
      <c r="L759" t="n">
        <v>16.4</v>
      </c>
      <c r="M759" t="n">
        <v>6.8</v>
      </c>
      <c r="N759" t="n">
        <v>8.300000000000001</v>
      </c>
      <c r="O759" t="n">
        <v>9.199999999999999</v>
      </c>
      <c r="P759" t="n">
        <v>4.698386</v>
      </c>
      <c r="Q759" t="n">
        <v>4.198035</v>
      </c>
      <c r="R759" t="n">
        <v>20.7</v>
      </c>
      <c r="S759" t="n">
        <v>3.6</v>
      </c>
      <c r="T759" t="n">
        <v>6</v>
      </c>
      <c r="U759" t="n">
        <v>3.2</v>
      </c>
      <c r="V759" t="n">
        <v>3.878706</v>
      </c>
      <c r="W759" t="n">
        <v>10.8</v>
      </c>
      <c r="X759" t="n">
        <v>2.5</v>
      </c>
      <c r="Y759" t="n">
        <v>3.7</v>
      </c>
      <c r="Z759" t="n">
        <v>5.5</v>
      </c>
      <c r="AA759" t="n">
        <v>7.8</v>
      </c>
      <c r="AB759" t="n">
        <v>3.225454</v>
      </c>
      <c r="AC759" t="n">
        <v>4.1</v>
      </c>
      <c r="AD759" t="n">
        <v>3.9</v>
      </c>
      <c r="AE759" t="n">
        <v>5.593095</v>
      </c>
      <c r="AF759" t="n">
        <v>3.9</v>
      </c>
      <c r="AG759" t="n">
        <v>7.7</v>
      </c>
      <c r="AH759" t="n">
        <v>7.1</v>
      </c>
      <c r="AI759" t="n">
        <v>5.6</v>
      </c>
      <c r="AJ759" t="n">
        <v>5.7</v>
      </c>
      <c r="AK759" t="n">
        <v>10</v>
      </c>
      <c r="AL759" t="n">
        <v>4.1</v>
      </c>
    </row>
    <row r="760">
      <c r="A760" s="78" t="n">
        <v>43160</v>
      </c>
      <c r="B760" t="n">
        <v>5.555048</v>
      </c>
      <c r="C760" t="n">
        <v>5.2</v>
      </c>
      <c r="D760" t="n">
        <v>6.2</v>
      </c>
      <c r="E760" t="n">
        <v>5.9</v>
      </c>
      <c r="G760" t="n">
        <v>6.996631</v>
      </c>
      <c r="H760" t="n">
        <v>2.1</v>
      </c>
      <c r="I760" t="n">
        <v>3.5</v>
      </c>
      <c r="J760" t="n">
        <v>5.1</v>
      </c>
      <c r="K760" t="n">
        <v>8.5</v>
      </c>
      <c r="L760" t="n">
        <v>16</v>
      </c>
      <c r="M760" t="n">
        <v>5.9</v>
      </c>
      <c r="N760" t="n">
        <v>8.199999999999999</v>
      </c>
      <c r="O760" t="n">
        <v>9.199999999999999</v>
      </c>
      <c r="P760" t="n">
        <v>4.675569</v>
      </c>
      <c r="Q760" t="n">
        <v>4.188944</v>
      </c>
      <c r="R760" t="n">
        <v>20.2</v>
      </c>
      <c r="S760" t="n">
        <v>3.7</v>
      </c>
      <c r="T760" t="n">
        <v>5.8</v>
      </c>
      <c r="U760" t="n">
        <v>3.1</v>
      </c>
      <c r="V760" t="n">
        <v>3.809202</v>
      </c>
      <c r="W760" t="n">
        <v>11</v>
      </c>
      <c r="X760" t="n">
        <v>2.5</v>
      </c>
      <c r="Y760" t="n">
        <v>4</v>
      </c>
      <c r="Z760" t="n">
        <v>5.6</v>
      </c>
      <c r="AA760" t="n">
        <v>7.7</v>
      </c>
      <c r="AB760" t="n">
        <v>3.214171</v>
      </c>
      <c r="AC760" t="n">
        <v>3.9</v>
      </c>
      <c r="AD760" t="n">
        <v>4</v>
      </c>
      <c r="AE760" t="n">
        <v>5.5414</v>
      </c>
      <c r="AF760" t="n">
        <v>3.8</v>
      </c>
      <c r="AG760" t="n">
        <v>7.6</v>
      </c>
      <c r="AH760" t="n">
        <v>6.9</v>
      </c>
      <c r="AI760" t="n">
        <v>5.5</v>
      </c>
      <c r="AJ760" t="n">
        <v>6.1</v>
      </c>
      <c r="AK760" t="n">
        <v>10</v>
      </c>
      <c r="AL760" t="n">
        <v>4</v>
      </c>
    </row>
    <row r="761">
      <c r="A761" s="78" t="n">
        <v>43191</v>
      </c>
      <c r="B761" t="n">
        <v>5.559155</v>
      </c>
      <c r="C761" t="n">
        <v>5</v>
      </c>
      <c r="D761" t="n">
        <v>6.4</v>
      </c>
      <c r="E761" t="n">
        <v>5.9</v>
      </c>
      <c r="G761" t="n">
        <v>7.123734</v>
      </c>
      <c r="H761" t="n">
        <v>2.3</v>
      </c>
      <c r="I761" t="n">
        <v>3.4</v>
      </c>
      <c r="J761" t="n">
        <v>5.3</v>
      </c>
      <c r="K761" t="n">
        <v>8.4</v>
      </c>
      <c r="L761" t="n">
        <v>15.7</v>
      </c>
      <c r="M761" t="n">
        <v>5.3</v>
      </c>
      <c r="N761" t="n">
        <v>7.7</v>
      </c>
      <c r="O761" t="n">
        <v>9.199999999999999</v>
      </c>
      <c r="P761" t="n">
        <v>4.679347</v>
      </c>
      <c r="Q761" t="n">
        <v>4.16536</v>
      </c>
      <c r="R761" t="n">
        <v>19.8</v>
      </c>
      <c r="S761" t="n">
        <v>3.7</v>
      </c>
      <c r="T761" t="n">
        <v>5.9</v>
      </c>
      <c r="U761" t="n">
        <v>3.1</v>
      </c>
      <c r="V761" t="n">
        <v>3.944331</v>
      </c>
      <c r="W761" t="n">
        <v>11.1</v>
      </c>
      <c r="X761" t="n">
        <v>2.5</v>
      </c>
      <c r="Y761" t="n">
        <v>3.8</v>
      </c>
      <c r="Z761" t="n">
        <v>5.5</v>
      </c>
      <c r="AA761" t="n">
        <v>7.7</v>
      </c>
      <c r="AB761" t="n">
        <v>3.479377</v>
      </c>
      <c r="AC761" t="n">
        <v>3.9</v>
      </c>
      <c r="AD761" t="n">
        <v>3.8</v>
      </c>
      <c r="AE761" t="n">
        <v>5.561867</v>
      </c>
      <c r="AF761" t="n">
        <v>3.7</v>
      </c>
      <c r="AG761" t="n">
        <v>7.3</v>
      </c>
      <c r="AH761" t="n">
        <v>6.8</v>
      </c>
      <c r="AI761" t="n">
        <v>5.4</v>
      </c>
      <c r="AJ761" t="n">
        <v>6.4</v>
      </c>
      <c r="AK761" t="n">
        <v>10.2</v>
      </c>
      <c r="AL761" t="n">
        <v>4</v>
      </c>
    </row>
    <row r="762">
      <c r="A762" s="78" t="n">
        <v>43221</v>
      </c>
      <c r="B762" t="n">
        <v>5.386026</v>
      </c>
      <c r="C762" t="n">
        <v>4.9</v>
      </c>
      <c r="D762" t="n">
        <v>6.4</v>
      </c>
      <c r="E762" t="n">
        <v>6</v>
      </c>
      <c r="G762" t="n">
        <v>7.227033</v>
      </c>
      <c r="H762" t="n">
        <v>2.3</v>
      </c>
      <c r="I762" t="n">
        <v>3.4</v>
      </c>
      <c r="J762" t="n">
        <v>5.3</v>
      </c>
      <c r="K762" t="n">
        <v>8.300000000000001</v>
      </c>
      <c r="L762" t="n">
        <v>15.4</v>
      </c>
      <c r="M762" t="n">
        <v>5.2</v>
      </c>
      <c r="N762" t="n">
        <v>7.3</v>
      </c>
      <c r="O762" t="n">
        <v>9.199999999999999</v>
      </c>
      <c r="P762" t="n">
        <v>4.509356</v>
      </c>
      <c r="Q762" t="n">
        <v>4.036543</v>
      </c>
      <c r="R762" t="n">
        <v>19.2</v>
      </c>
      <c r="S762" t="n">
        <v>3.3</v>
      </c>
      <c r="T762" t="n">
        <v>5.9</v>
      </c>
      <c r="U762" t="n">
        <v>3.1</v>
      </c>
      <c r="V762" t="n">
        <v>4.000537</v>
      </c>
      <c r="W762" t="n">
        <v>10.6</v>
      </c>
      <c r="X762" t="n">
        <v>2.2</v>
      </c>
      <c r="Y762" t="n">
        <v>3.8</v>
      </c>
      <c r="Z762" t="n">
        <v>5.6</v>
      </c>
      <c r="AA762" t="n">
        <v>7.7</v>
      </c>
      <c r="AB762" t="n">
        <v>3.297195</v>
      </c>
      <c r="AC762" t="n">
        <v>3.9</v>
      </c>
      <c r="AD762" t="n">
        <v>3.9</v>
      </c>
      <c r="AE762" t="n">
        <v>5.44604</v>
      </c>
      <c r="AF762" t="n">
        <v>3.7</v>
      </c>
      <c r="AG762" t="n">
        <v>7.2</v>
      </c>
      <c r="AH762" t="n">
        <v>6.7</v>
      </c>
      <c r="AI762" t="n">
        <v>5.4</v>
      </c>
      <c r="AJ762" t="n">
        <v>5.9</v>
      </c>
      <c r="AK762" t="n">
        <v>10.6</v>
      </c>
      <c r="AL762" t="n">
        <v>3.8</v>
      </c>
    </row>
    <row r="763">
      <c r="A763" s="78" t="n">
        <v>43252</v>
      </c>
      <c r="B763" t="n">
        <v>5.277534</v>
      </c>
      <c r="C763" t="n">
        <v>5</v>
      </c>
      <c r="D763" t="n">
        <v>6.2</v>
      </c>
      <c r="E763" t="n">
        <v>6.1</v>
      </c>
      <c r="G763" t="n">
        <v>7.457622</v>
      </c>
      <c r="H763" t="n">
        <v>2.2</v>
      </c>
      <c r="I763" t="n">
        <v>3.4</v>
      </c>
      <c r="J763" t="n">
        <v>5.1</v>
      </c>
      <c r="K763" t="n">
        <v>8.199999999999999</v>
      </c>
      <c r="L763" t="n">
        <v>15.1</v>
      </c>
      <c r="M763" t="n">
        <v>5.2</v>
      </c>
      <c r="N763" t="n">
        <v>7</v>
      </c>
      <c r="O763" t="n">
        <v>9</v>
      </c>
      <c r="P763" t="n">
        <v>4.607821</v>
      </c>
      <c r="Q763" t="n">
        <v>4.021197</v>
      </c>
      <c r="R763" t="n">
        <v>19.2</v>
      </c>
      <c r="S763" t="n">
        <v>3.5</v>
      </c>
      <c r="T763" t="n">
        <v>5.8</v>
      </c>
      <c r="U763" t="n">
        <v>3.1</v>
      </c>
      <c r="V763" t="n">
        <v>3.919903</v>
      </c>
      <c r="W763" t="n">
        <v>10.9</v>
      </c>
      <c r="X763" t="n">
        <v>2.4</v>
      </c>
      <c r="Y763" t="n">
        <v>3.6</v>
      </c>
      <c r="Z763" t="n">
        <v>5.6</v>
      </c>
      <c r="AA763" t="n">
        <v>7.6</v>
      </c>
      <c r="AB763" t="n">
        <v>3.378366</v>
      </c>
      <c r="AC763" t="n">
        <v>3.9</v>
      </c>
      <c r="AD763" t="n">
        <v>3.9</v>
      </c>
      <c r="AE763" t="n">
        <v>5.489472</v>
      </c>
      <c r="AF763" t="n">
        <v>3.8</v>
      </c>
      <c r="AG763" t="n">
        <v>7</v>
      </c>
      <c r="AH763" t="n">
        <v>6.6</v>
      </c>
      <c r="AI763" t="n">
        <v>5.3</v>
      </c>
      <c r="AJ763" t="n">
        <v>6.4</v>
      </c>
      <c r="AK763" t="n">
        <v>10.7</v>
      </c>
      <c r="AL763" t="n">
        <v>4</v>
      </c>
    </row>
    <row r="764">
      <c r="A764" s="78" t="n">
        <v>43282</v>
      </c>
      <c r="B764" t="n">
        <v>5.259318</v>
      </c>
      <c r="C764" t="n">
        <v>5.2</v>
      </c>
      <c r="D764" t="n">
        <v>5.9</v>
      </c>
      <c r="E764" t="n">
        <v>5.8</v>
      </c>
      <c r="G764" t="n">
        <v>7.409598</v>
      </c>
      <c r="H764" t="n">
        <v>2.3</v>
      </c>
      <c r="I764" t="n">
        <v>3.4</v>
      </c>
      <c r="J764" t="n">
        <v>5.1</v>
      </c>
      <c r="K764" t="n">
        <v>8.1</v>
      </c>
      <c r="L764" t="n">
        <v>14.9</v>
      </c>
      <c r="M764" t="n">
        <v>5.4</v>
      </c>
      <c r="N764" t="n">
        <v>7.3</v>
      </c>
      <c r="O764" t="n">
        <v>8.9</v>
      </c>
      <c r="P764" t="n">
        <v>4.491546</v>
      </c>
      <c r="Q764" t="n">
        <v>4.034669</v>
      </c>
      <c r="R764" t="n">
        <v>19</v>
      </c>
      <c r="S764" t="n">
        <v>3.7</v>
      </c>
      <c r="T764" t="n">
        <v>5.7</v>
      </c>
      <c r="U764" t="n">
        <v>3.1</v>
      </c>
      <c r="V764" t="n">
        <v>4.141659</v>
      </c>
      <c r="W764" t="n">
        <v>10.5</v>
      </c>
      <c r="X764" t="n">
        <v>2.5</v>
      </c>
      <c r="Y764" t="n">
        <v>3.8</v>
      </c>
      <c r="Z764" t="n">
        <v>5.6</v>
      </c>
      <c r="AA764" t="n">
        <v>7.3</v>
      </c>
      <c r="AB764" t="n">
        <v>3.315292</v>
      </c>
      <c r="AC764" t="n">
        <v>3.8</v>
      </c>
      <c r="AD764" t="n">
        <v>4</v>
      </c>
      <c r="AE764" t="n">
        <v>5.420562</v>
      </c>
      <c r="AF764" t="n">
        <v>3.9</v>
      </c>
      <c r="AG764" t="n">
        <v>7</v>
      </c>
      <c r="AH764" t="n">
        <v>6.4</v>
      </c>
      <c r="AI764" t="n">
        <v>5.3</v>
      </c>
      <c r="AJ764" t="n">
        <v>6.4</v>
      </c>
      <c r="AK764" t="n">
        <v>10.8</v>
      </c>
      <c r="AL764" t="n">
        <v>3.8</v>
      </c>
    </row>
    <row r="765">
      <c r="A765" s="78" t="n">
        <v>43313</v>
      </c>
      <c r="B765" t="n">
        <v>5.239898</v>
      </c>
      <c r="C765" t="n">
        <v>5.6</v>
      </c>
      <c r="D765" t="n">
        <v>5.6</v>
      </c>
      <c r="E765" t="n">
        <v>6</v>
      </c>
      <c r="G765" t="n">
        <v>7.269454</v>
      </c>
      <c r="H765" t="n">
        <v>2.4</v>
      </c>
      <c r="I765" t="n">
        <v>3.4</v>
      </c>
      <c r="J765" t="n">
        <v>4.9</v>
      </c>
      <c r="K765" t="n">
        <v>8</v>
      </c>
      <c r="L765" t="n">
        <v>14.8</v>
      </c>
      <c r="M765" t="n">
        <v>5.5</v>
      </c>
      <c r="N765" t="n">
        <v>7.4</v>
      </c>
      <c r="O765" t="n">
        <v>8.9</v>
      </c>
      <c r="P765" t="n">
        <v>4.486647</v>
      </c>
      <c r="Q765" t="n">
        <v>4.073369</v>
      </c>
      <c r="R765" t="n">
        <v>19</v>
      </c>
      <c r="S765" t="n">
        <v>3.5</v>
      </c>
      <c r="T765" t="n">
        <v>5.6</v>
      </c>
      <c r="U765" t="n">
        <v>3</v>
      </c>
      <c r="V765" t="n">
        <v>3.918523</v>
      </c>
      <c r="W765" t="n">
        <v>10.2</v>
      </c>
      <c r="X765" t="n">
        <v>2.5</v>
      </c>
      <c r="Y765" t="n">
        <v>4.3</v>
      </c>
      <c r="Z765" t="n">
        <v>5.7</v>
      </c>
      <c r="AA765" t="n">
        <v>7.1</v>
      </c>
      <c r="AB765" t="n">
        <v>3.246278</v>
      </c>
      <c r="AC765" t="n">
        <v>3.9</v>
      </c>
      <c r="AD765" t="n">
        <v>4</v>
      </c>
      <c r="AE765" t="n">
        <v>5.453468</v>
      </c>
      <c r="AF765" t="n">
        <v>4</v>
      </c>
      <c r="AG765" t="n">
        <v>7.1</v>
      </c>
      <c r="AH765" t="n">
        <v>6.3</v>
      </c>
      <c r="AI765" t="n">
        <v>5.1</v>
      </c>
      <c r="AJ765" t="n">
        <v>6.3</v>
      </c>
      <c r="AK765" t="n">
        <v>11.2</v>
      </c>
      <c r="AL765" t="n">
        <v>3.8</v>
      </c>
    </row>
    <row r="766">
      <c r="A766" s="78" t="n">
        <v>43344</v>
      </c>
      <c r="B766" t="n">
        <v>4.986863</v>
      </c>
      <c r="C766" t="n">
        <v>5.5</v>
      </c>
      <c r="D766" t="n">
        <v>5.6</v>
      </c>
      <c r="E766" t="n">
        <v>5.9</v>
      </c>
      <c r="G766" t="n">
        <v>7.387994</v>
      </c>
      <c r="H766" t="n">
        <v>2.2</v>
      </c>
      <c r="I766" t="n">
        <v>3.4</v>
      </c>
      <c r="J766" t="n">
        <v>4.9</v>
      </c>
      <c r="K766" t="n">
        <v>8</v>
      </c>
      <c r="L766" t="n">
        <v>14.7</v>
      </c>
      <c r="M766" t="n">
        <v>5.7</v>
      </c>
      <c r="N766" t="n">
        <v>7.1</v>
      </c>
      <c r="O766" t="n">
        <v>8.9</v>
      </c>
      <c r="P766" t="n">
        <v>4.433599</v>
      </c>
      <c r="Q766" t="n">
        <v>4.055318</v>
      </c>
      <c r="R766" t="n">
        <v>18.8</v>
      </c>
      <c r="S766" t="n">
        <v>3.7</v>
      </c>
      <c r="T766" t="n">
        <v>5.7</v>
      </c>
      <c r="U766" t="n">
        <v>3</v>
      </c>
      <c r="V766" t="n">
        <v>4.151308</v>
      </c>
      <c r="W766" t="n">
        <v>10.4</v>
      </c>
      <c r="X766" t="n">
        <v>2.3</v>
      </c>
      <c r="Y766" t="n">
        <v>4.1</v>
      </c>
      <c r="Z766" t="n">
        <v>5.6</v>
      </c>
      <c r="AA766" t="n">
        <v>7</v>
      </c>
      <c r="AB766" t="n">
        <v>3.331217</v>
      </c>
      <c r="AC766" t="n">
        <v>3.7</v>
      </c>
      <c r="AD766" t="n">
        <v>3.9</v>
      </c>
      <c r="AE766" t="n">
        <v>5.444346</v>
      </c>
      <c r="AF766" t="n">
        <v>4</v>
      </c>
      <c r="AG766" t="n">
        <v>6.8</v>
      </c>
      <c r="AH766" t="n">
        <v>6.2</v>
      </c>
      <c r="AI766" t="n">
        <v>4.9</v>
      </c>
      <c r="AJ766" t="n">
        <v>6.5</v>
      </c>
      <c r="AK766" t="n">
        <v>11.5</v>
      </c>
      <c r="AL766" t="n">
        <v>3.7</v>
      </c>
    </row>
    <row r="767">
      <c r="A767" s="78" t="n">
        <v>43374</v>
      </c>
      <c r="B767" t="n">
        <v>4.979814</v>
      </c>
      <c r="C767" t="n">
        <v>5.2</v>
      </c>
      <c r="D767" t="n">
        <v>5.7</v>
      </c>
      <c r="E767" t="n">
        <v>5.9</v>
      </c>
      <c r="G767" t="n">
        <v>7.609375</v>
      </c>
      <c r="H767" t="n">
        <v>2.1</v>
      </c>
      <c r="I767" t="n">
        <v>3.3</v>
      </c>
      <c r="J767" t="n">
        <v>4.8</v>
      </c>
      <c r="K767" t="n">
        <v>8</v>
      </c>
      <c r="L767" t="n">
        <v>14.6</v>
      </c>
      <c r="M767" t="n">
        <v>5.2</v>
      </c>
      <c r="N767" t="n">
        <v>7.2</v>
      </c>
      <c r="O767" t="n">
        <v>8.800000000000001</v>
      </c>
      <c r="P767" t="n">
        <v>4.480894</v>
      </c>
      <c r="Q767" t="n">
        <v>4.039087</v>
      </c>
      <c r="R767" t="n">
        <v>18.5</v>
      </c>
      <c r="S767" t="n">
        <v>3.6</v>
      </c>
      <c r="T767" t="n">
        <v>5.8</v>
      </c>
      <c r="U767" t="n">
        <v>3</v>
      </c>
      <c r="V767" t="n">
        <v>4.070617</v>
      </c>
      <c r="W767" t="n">
        <v>10.8</v>
      </c>
      <c r="X767" t="n">
        <v>2.4</v>
      </c>
      <c r="Y767" t="n">
        <v>4</v>
      </c>
      <c r="Z767" t="n">
        <v>5.5</v>
      </c>
      <c r="AA767" t="n">
        <v>7.1</v>
      </c>
      <c r="AB767" t="n">
        <v>3.16918</v>
      </c>
      <c r="AC767" t="n">
        <v>3.7</v>
      </c>
      <c r="AD767" t="n">
        <v>3.9</v>
      </c>
      <c r="AE767" t="n">
        <v>5.462248</v>
      </c>
      <c r="AF767" t="n">
        <v>3.9</v>
      </c>
      <c r="AG767" t="n">
        <v>6.8</v>
      </c>
      <c r="AH767" t="n">
        <v>6.2</v>
      </c>
      <c r="AI767" t="n">
        <v>4.7</v>
      </c>
      <c r="AJ767" t="n">
        <v>6.4</v>
      </c>
      <c r="AK767" t="n">
        <v>11.6</v>
      </c>
      <c r="AL767" t="n">
        <v>3.8</v>
      </c>
    </row>
    <row r="768">
      <c r="A768" s="78" t="n">
        <v>43405</v>
      </c>
      <c r="B768" t="n">
        <v>5.108513</v>
      </c>
      <c r="C768" t="n">
        <v>5</v>
      </c>
      <c r="D768" t="n">
        <v>5.8</v>
      </c>
      <c r="E768" t="n">
        <v>5.7</v>
      </c>
      <c r="G768" t="n">
        <v>7.682779</v>
      </c>
      <c r="H768" t="n">
        <v>1.9</v>
      </c>
      <c r="I768" t="n">
        <v>3.3</v>
      </c>
      <c r="J768" t="n">
        <v>5.2</v>
      </c>
      <c r="K768" t="n">
        <v>7.9</v>
      </c>
      <c r="L768" t="n">
        <v>14.5</v>
      </c>
      <c r="M768" t="n">
        <v>4.7</v>
      </c>
      <c r="N768" t="n">
        <v>7.1</v>
      </c>
      <c r="O768" t="n">
        <v>8.800000000000001</v>
      </c>
      <c r="P768" t="n">
        <v>4.464057</v>
      </c>
      <c r="Q768" t="n">
        <v>4.013542</v>
      </c>
      <c r="R768" t="n">
        <v>18.6</v>
      </c>
      <c r="S768" t="n">
        <v>3.4</v>
      </c>
      <c r="T768" t="n">
        <v>5.7</v>
      </c>
      <c r="U768" t="n">
        <v>3</v>
      </c>
      <c r="V768" t="n">
        <v>4.037029</v>
      </c>
      <c r="W768" t="n">
        <v>10.6</v>
      </c>
      <c r="X768" t="n">
        <v>2.5</v>
      </c>
      <c r="Y768" t="n">
        <v>3.9</v>
      </c>
      <c r="Z768" t="n">
        <v>5.4</v>
      </c>
      <c r="AA768" t="n">
        <v>7</v>
      </c>
      <c r="AB768" t="n">
        <v>3.354652</v>
      </c>
      <c r="AC768" t="n">
        <v>3.5</v>
      </c>
      <c r="AD768" t="n">
        <v>3.7</v>
      </c>
      <c r="AE768" t="n">
        <v>5.481585</v>
      </c>
      <c r="AF768" t="n">
        <v>3.9</v>
      </c>
      <c r="AG768" t="n">
        <v>6.8</v>
      </c>
      <c r="AH768" t="n">
        <v>6.1</v>
      </c>
      <c r="AI768" t="n">
        <v>4.5</v>
      </c>
      <c r="AJ768" t="n">
        <v>6.5</v>
      </c>
      <c r="AK768" t="n">
        <v>12.2</v>
      </c>
      <c r="AL768" t="n">
        <v>3.8</v>
      </c>
    </row>
    <row r="769">
      <c r="A769" s="78" t="n">
        <v>43435</v>
      </c>
      <c r="B769" t="n">
        <v>5.004922</v>
      </c>
      <c r="C769" t="n">
        <v>5.2</v>
      </c>
      <c r="D769" t="n">
        <v>5.7</v>
      </c>
      <c r="E769" t="n">
        <v>5.8</v>
      </c>
      <c r="G769" t="n">
        <v>7.518938</v>
      </c>
      <c r="H769" t="n">
        <v>2.2</v>
      </c>
      <c r="I769" t="n">
        <v>3.3</v>
      </c>
      <c r="J769" t="n">
        <v>5.1</v>
      </c>
      <c r="K769" t="n">
        <v>7.8</v>
      </c>
      <c r="L769" t="n">
        <v>14.4</v>
      </c>
      <c r="M769" t="n">
        <v>4.4</v>
      </c>
      <c r="N769" t="n">
        <v>5.9</v>
      </c>
      <c r="O769" t="n">
        <v>8.800000000000001</v>
      </c>
      <c r="P769" t="n">
        <v>4.491553</v>
      </c>
      <c r="Q769" t="n">
        <v>3.930562</v>
      </c>
      <c r="R769" t="n">
        <v>18.4</v>
      </c>
      <c r="S769" t="n">
        <v>3.6</v>
      </c>
      <c r="T769" t="n">
        <v>5.5</v>
      </c>
      <c r="U769" t="n">
        <v>3.1</v>
      </c>
      <c r="V769" t="n">
        <v>4.207644</v>
      </c>
      <c r="W769" t="n">
        <v>10.3</v>
      </c>
      <c r="X769" t="n">
        <v>2.5</v>
      </c>
      <c r="Y769" t="n">
        <v>3.8</v>
      </c>
      <c r="Z769" t="n">
        <v>5.2</v>
      </c>
      <c r="AA769" t="n">
        <v>7</v>
      </c>
      <c r="AB769" t="n">
        <v>3.689434</v>
      </c>
      <c r="AC769" t="n">
        <v>3.6</v>
      </c>
      <c r="AD769" t="n">
        <v>3.7</v>
      </c>
      <c r="AE769" t="n">
        <v>5.561248</v>
      </c>
      <c r="AF769" t="n">
        <v>3.8</v>
      </c>
      <c r="AG769" t="n">
        <v>6.7</v>
      </c>
      <c r="AH769" t="n">
        <v>6</v>
      </c>
      <c r="AI769" t="n">
        <v>4.4</v>
      </c>
      <c r="AJ769" t="n">
        <v>6.6</v>
      </c>
      <c r="AK769" t="n">
        <v>12.7</v>
      </c>
      <c r="AL769" t="n">
        <v>3.9</v>
      </c>
    </row>
    <row r="770">
      <c r="A770" s="78" t="n">
        <v>43466</v>
      </c>
      <c r="B770" t="n">
        <v>5.081373</v>
      </c>
      <c r="C770" t="n">
        <v>4.9</v>
      </c>
      <c r="D770" t="n">
        <v>5.6</v>
      </c>
      <c r="E770" t="n">
        <v>5.9</v>
      </c>
      <c r="G770" t="n">
        <v>7.281941</v>
      </c>
      <c r="H770" t="n">
        <v>2.1</v>
      </c>
      <c r="I770" t="n">
        <v>3.3</v>
      </c>
      <c r="J770" t="n">
        <v>5.2</v>
      </c>
      <c r="K770" t="n">
        <v>7.8</v>
      </c>
      <c r="L770" t="n">
        <v>14.4</v>
      </c>
      <c r="M770" t="n">
        <v>4.2</v>
      </c>
      <c r="N770" t="n">
        <v>6.7</v>
      </c>
      <c r="O770" t="n">
        <v>8.699999999999999</v>
      </c>
      <c r="P770" t="n">
        <v>4.527225</v>
      </c>
      <c r="Q770" t="n">
        <v>3.941531</v>
      </c>
      <c r="R770" t="n">
        <v>18.9</v>
      </c>
      <c r="S770" t="n">
        <v>3.5</v>
      </c>
      <c r="T770" t="n">
        <v>5.1</v>
      </c>
      <c r="U770" t="n">
        <v>3.2</v>
      </c>
      <c r="V770" t="n">
        <v>4.246346</v>
      </c>
      <c r="W770" t="n">
        <v>10.5</v>
      </c>
      <c r="X770" t="n">
        <v>2.5</v>
      </c>
      <c r="Y770" t="n">
        <v>4.3</v>
      </c>
      <c r="Z770" t="n">
        <v>5.2</v>
      </c>
      <c r="AA770" t="n">
        <v>6.8</v>
      </c>
      <c r="AB770" t="n">
        <v>3.386521</v>
      </c>
      <c r="AC770" t="n">
        <v>3.6</v>
      </c>
      <c r="AD770" t="n">
        <v>3.8</v>
      </c>
      <c r="AE770" t="n">
        <v>5.598772</v>
      </c>
      <c r="AF770" t="n">
        <v>3.8</v>
      </c>
      <c r="AG770" t="n">
        <v>6.7</v>
      </c>
      <c r="AH770" t="n">
        <v>5.9</v>
      </c>
      <c r="AI770" t="n">
        <v>4.5</v>
      </c>
      <c r="AJ770" t="n">
        <v>6.2</v>
      </c>
      <c r="AK770" t="n">
        <v>13.5</v>
      </c>
      <c r="AL770" t="n">
        <v>4</v>
      </c>
    </row>
    <row r="771">
      <c r="A771" s="78" t="n">
        <v>43497</v>
      </c>
      <c r="B771" t="n">
        <v>5.007784</v>
      </c>
      <c r="C771" t="n">
        <v>5.1</v>
      </c>
      <c r="D771" t="n">
        <v>5.5</v>
      </c>
      <c r="E771" t="n">
        <v>5.9</v>
      </c>
      <c r="G771" t="n">
        <v>7.209768</v>
      </c>
      <c r="H771" t="n">
        <v>1.7</v>
      </c>
      <c r="I771" t="n">
        <v>3.2</v>
      </c>
      <c r="J771" t="n">
        <v>5.1</v>
      </c>
      <c r="K771" t="n">
        <v>7.8</v>
      </c>
      <c r="L771" t="n">
        <v>14.4</v>
      </c>
      <c r="M771" t="n">
        <v>4.4</v>
      </c>
      <c r="N771" t="n">
        <v>7</v>
      </c>
      <c r="O771" t="n">
        <v>8.6</v>
      </c>
      <c r="P771" t="n">
        <v>4.391026</v>
      </c>
      <c r="Q771" t="n">
        <v>3.817801</v>
      </c>
      <c r="R771" t="n">
        <v>18.6</v>
      </c>
      <c r="S771" t="n">
        <v>3.2</v>
      </c>
      <c r="T771" t="n">
        <v>4.9</v>
      </c>
      <c r="U771" t="n">
        <v>3.3</v>
      </c>
      <c r="V771" t="n">
        <v>4.074925</v>
      </c>
      <c r="W771" t="n">
        <v>10.5</v>
      </c>
      <c r="X771" t="n">
        <v>2.4</v>
      </c>
      <c r="Y771" t="n">
        <v>3.8</v>
      </c>
      <c r="Z771" t="n">
        <v>5.4</v>
      </c>
      <c r="AA771" t="n">
        <v>6.6</v>
      </c>
      <c r="AB771" t="n">
        <v>3.322337</v>
      </c>
      <c r="AC771" t="n">
        <v>3.4</v>
      </c>
      <c r="AD771" t="n">
        <v>3.8</v>
      </c>
      <c r="AE771" t="n">
        <v>5.50283</v>
      </c>
      <c r="AF771" t="n">
        <v>3.7</v>
      </c>
      <c r="AG771" t="n">
        <v>6.6</v>
      </c>
      <c r="AH771" t="n">
        <v>5.8</v>
      </c>
      <c r="AI771" t="n">
        <v>4.5</v>
      </c>
      <c r="AJ771" t="n">
        <v>6.7</v>
      </c>
      <c r="AK771" t="n">
        <v>13.9</v>
      </c>
      <c r="AL771" t="n">
        <v>3.8</v>
      </c>
    </row>
    <row r="772">
      <c r="A772" s="78" t="n">
        <v>43525</v>
      </c>
      <c r="B772" t="n">
        <v>5.135801</v>
      </c>
      <c r="C772" t="n">
        <v>4.9</v>
      </c>
      <c r="D772" t="n">
        <v>5.5</v>
      </c>
      <c r="E772" t="n">
        <v>5.8</v>
      </c>
      <c r="G772" t="n">
        <v>7.09234</v>
      </c>
      <c r="H772" t="n">
        <v>2</v>
      </c>
      <c r="I772" t="n">
        <v>3.2</v>
      </c>
      <c r="J772" t="n">
        <v>5.4</v>
      </c>
      <c r="K772" t="n">
        <v>7.7</v>
      </c>
      <c r="L772" t="n">
        <v>14.3</v>
      </c>
      <c r="M772" t="n">
        <v>4.5</v>
      </c>
      <c r="N772" t="n">
        <v>6.4</v>
      </c>
      <c r="O772" t="n">
        <v>8.699999999999999</v>
      </c>
      <c r="P772" t="n">
        <v>4.403529</v>
      </c>
      <c r="Q772" t="n">
        <v>3.830274</v>
      </c>
      <c r="R772" t="n">
        <v>17.9</v>
      </c>
      <c r="S772" t="n">
        <v>3.3</v>
      </c>
      <c r="T772" t="n">
        <v>5</v>
      </c>
      <c r="U772" t="n">
        <v>3.4</v>
      </c>
      <c r="V772" t="n">
        <v>3.952036</v>
      </c>
      <c r="W772" t="n">
        <v>10.1</v>
      </c>
      <c r="X772" t="n">
        <v>2.5</v>
      </c>
      <c r="Y772" t="n">
        <v>3.8</v>
      </c>
      <c r="Z772" t="n">
        <v>5.6</v>
      </c>
      <c r="AA772" t="n">
        <v>6.4</v>
      </c>
      <c r="AB772" t="n">
        <v>3.563519</v>
      </c>
      <c r="AC772" t="n">
        <v>3.3</v>
      </c>
      <c r="AD772" t="n">
        <v>3.6</v>
      </c>
      <c r="AE772" t="n">
        <v>5.525627</v>
      </c>
      <c r="AF772" t="n">
        <v>3.6</v>
      </c>
      <c r="AG772" t="n">
        <v>6.6</v>
      </c>
      <c r="AH772" t="n">
        <v>5.7</v>
      </c>
      <c r="AI772" t="n">
        <v>4.4</v>
      </c>
      <c r="AJ772" t="n">
        <v>7.2</v>
      </c>
      <c r="AK772" t="n">
        <v>13.9</v>
      </c>
      <c r="AL772" t="n">
        <v>3.8</v>
      </c>
    </row>
    <row r="773">
      <c r="A773" s="78" t="n">
        <v>43556</v>
      </c>
      <c r="B773" t="n">
        <v>5.242968</v>
      </c>
      <c r="C773" t="n">
        <v>5.1</v>
      </c>
      <c r="D773" t="n">
        <v>5.6</v>
      </c>
      <c r="E773" t="n">
        <v>5.8</v>
      </c>
      <c r="G773" t="n">
        <v>6.977934</v>
      </c>
      <c r="H773" t="n">
        <v>2.1</v>
      </c>
      <c r="I773" t="n">
        <v>3.2</v>
      </c>
      <c r="J773" t="n">
        <v>5.2</v>
      </c>
      <c r="K773" t="n">
        <v>7.7</v>
      </c>
      <c r="L773" t="n">
        <v>14.1</v>
      </c>
      <c r="M773" t="n">
        <v>4.9</v>
      </c>
      <c r="N773" t="n">
        <v>7.2</v>
      </c>
      <c r="O773" t="n">
        <v>8.6</v>
      </c>
      <c r="P773" t="n">
        <v>4.355738</v>
      </c>
      <c r="Q773" t="n">
        <v>3.795611</v>
      </c>
      <c r="R773" t="n">
        <v>18</v>
      </c>
      <c r="S773" t="n">
        <v>3.4</v>
      </c>
      <c r="T773" t="n">
        <v>5.1</v>
      </c>
      <c r="U773" t="n">
        <v>3.6</v>
      </c>
      <c r="V773" t="n">
        <v>3.914618</v>
      </c>
      <c r="W773" t="n">
        <v>10.4</v>
      </c>
      <c r="X773" t="n">
        <v>2.4</v>
      </c>
      <c r="Y773" t="n">
        <v>4</v>
      </c>
      <c r="Z773" t="n">
        <v>5.7</v>
      </c>
      <c r="AA773" t="n">
        <v>6.3</v>
      </c>
      <c r="AB773" t="n">
        <v>3.573986</v>
      </c>
      <c r="AC773" t="n">
        <v>3.3</v>
      </c>
      <c r="AD773" t="n">
        <v>3.3</v>
      </c>
      <c r="AE773" t="n">
        <v>5.47233</v>
      </c>
      <c r="AF773" t="n">
        <v>3.4</v>
      </c>
      <c r="AG773" t="n">
        <v>6.7</v>
      </c>
      <c r="AH773" t="n">
        <v>5.7</v>
      </c>
      <c r="AI773" t="n">
        <v>4.3</v>
      </c>
      <c r="AJ773" t="n">
        <v>6.4</v>
      </c>
      <c r="AK773" t="n">
        <v>13.7</v>
      </c>
      <c r="AL773" t="n">
        <v>3.7</v>
      </c>
    </row>
    <row r="774">
      <c r="A774" s="78" t="n">
        <v>43586</v>
      </c>
      <c r="B774" t="n">
        <v>5.199353</v>
      </c>
      <c r="C774" t="n">
        <v>4.9</v>
      </c>
      <c r="D774" t="n">
        <v>5.5</v>
      </c>
      <c r="E774" t="n">
        <v>5.4</v>
      </c>
      <c r="G774" t="n">
        <v>6.971884</v>
      </c>
      <c r="H774" t="n">
        <v>2.1</v>
      </c>
      <c r="I774" t="n">
        <v>3.1</v>
      </c>
      <c r="J774" t="n">
        <v>5</v>
      </c>
      <c r="K774" t="n">
        <v>7.6</v>
      </c>
      <c r="L774" t="n">
        <v>14.1</v>
      </c>
      <c r="M774" t="n">
        <v>4.8</v>
      </c>
      <c r="N774" t="n">
        <v>6.8</v>
      </c>
      <c r="O774" t="n">
        <v>8.800000000000001</v>
      </c>
      <c r="P774" t="n">
        <v>4.306758</v>
      </c>
      <c r="Q774" t="n">
        <v>3.892838</v>
      </c>
      <c r="R774" t="n">
        <v>17</v>
      </c>
      <c r="S774" t="n">
        <v>3.3</v>
      </c>
      <c r="T774" t="n">
        <v>5.2</v>
      </c>
      <c r="U774" t="n">
        <v>3.8</v>
      </c>
      <c r="V774" t="n">
        <v>3.706298</v>
      </c>
      <c r="W774" t="n">
        <v>10.1</v>
      </c>
      <c r="X774" t="n">
        <v>2.3</v>
      </c>
      <c r="Y774" t="n">
        <v>3.8</v>
      </c>
      <c r="Z774" t="n">
        <v>5.7</v>
      </c>
      <c r="AA774" t="n">
        <v>6.3</v>
      </c>
      <c r="AB774" t="n">
        <v>3.617482</v>
      </c>
      <c r="AC774" t="n">
        <v>3.3</v>
      </c>
      <c r="AD774" t="n">
        <v>3.4</v>
      </c>
      <c r="AE774" t="n">
        <v>5.432035</v>
      </c>
      <c r="AF774" t="n">
        <v>3.3</v>
      </c>
      <c r="AG774" t="n">
        <v>6.7</v>
      </c>
      <c r="AH774" t="n">
        <v>5.7</v>
      </c>
      <c r="AI774" t="n">
        <v>4.3</v>
      </c>
      <c r="AJ774" t="n">
        <v>6.5</v>
      </c>
      <c r="AK774" t="n">
        <v>13.7</v>
      </c>
      <c r="AL774" t="n">
        <v>3.7</v>
      </c>
    </row>
    <row r="775">
      <c r="A775" s="78" t="n">
        <v>43617</v>
      </c>
      <c r="B775" t="n">
        <v>5.201538</v>
      </c>
      <c r="C775" t="n">
        <v>4.6</v>
      </c>
      <c r="D775" t="n">
        <v>5.4</v>
      </c>
      <c r="E775" t="n">
        <v>5.6</v>
      </c>
      <c r="G775" t="n">
        <v>7.152627</v>
      </c>
      <c r="H775" t="n">
        <v>1.8</v>
      </c>
      <c r="I775" t="n">
        <v>3.1</v>
      </c>
      <c r="J775" t="n">
        <v>4.7</v>
      </c>
      <c r="K775" t="n">
        <v>7.5</v>
      </c>
      <c r="L775" t="n">
        <v>14.1</v>
      </c>
      <c r="M775" t="n">
        <v>4.4</v>
      </c>
      <c r="N775" t="n">
        <v>6.2</v>
      </c>
      <c r="O775" t="n">
        <v>8.699999999999999</v>
      </c>
      <c r="P775" t="n">
        <v>4.254694</v>
      </c>
      <c r="Q775" t="n">
        <v>3.797049</v>
      </c>
      <c r="R775" t="n">
        <v>16.9</v>
      </c>
      <c r="S775" t="n">
        <v>3.2</v>
      </c>
      <c r="T775" t="n">
        <v>5.2</v>
      </c>
      <c r="U775" t="n">
        <v>3.9</v>
      </c>
      <c r="V775" t="n">
        <v>3.923645</v>
      </c>
      <c r="W775" t="n">
        <v>9.699999999999999</v>
      </c>
      <c r="X775" t="n">
        <v>2.3</v>
      </c>
      <c r="Y775" t="n">
        <v>3.9</v>
      </c>
      <c r="Z775" t="n">
        <v>5.7</v>
      </c>
      <c r="AA775" t="n">
        <v>6.4</v>
      </c>
      <c r="AB775" t="n">
        <v>3.571352</v>
      </c>
      <c r="AC775" t="n">
        <v>3.4</v>
      </c>
      <c r="AD775" t="n">
        <v>3.6</v>
      </c>
      <c r="AE775" t="n">
        <v>5.366097</v>
      </c>
      <c r="AF775" t="n">
        <v>3.2</v>
      </c>
      <c r="AG775" t="n">
        <v>6.7</v>
      </c>
      <c r="AH775" t="n">
        <v>5.8</v>
      </c>
      <c r="AI775" t="n">
        <v>4.5</v>
      </c>
      <c r="AJ775" t="n">
        <v>6.4</v>
      </c>
      <c r="AK775" t="n">
        <v>13.7</v>
      </c>
      <c r="AL775" t="n">
        <v>3.6</v>
      </c>
    </row>
    <row r="776">
      <c r="A776" s="78" t="n">
        <v>43647</v>
      </c>
      <c r="B776" t="n">
        <v>5.228508</v>
      </c>
      <c r="C776" t="n">
        <v>4.9</v>
      </c>
      <c r="D776" t="n">
        <v>5.2</v>
      </c>
      <c r="E776" t="n">
        <v>5.8</v>
      </c>
      <c r="G776" t="n">
        <v>7.258013</v>
      </c>
      <c r="H776" t="n">
        <v>2.1</v>
      </c>
      <c r="I776" t="n">
        <v>3.1</v>
      </c>
      <c r="J776" t="n">
        <v>4.7</v>
      </c>
      <c r="K776" t="n">
        <v>7.5</v>
      </c>
      <c r="L776" t="n">
        <v>14.2</v>
      </c>
      <c r="M776" t="n">
        <v>4.2</v>
      </c>
      <c r="N776" t="n">
        <v>6.6</v>
      </c>
      <c r="O776" t="n">
        <v>8.4</v>
      </c>
      <c r="P776" t="n">
        <v>4.240666</v>
      </c>
      <c r="Q776" t="n">
        <v>3.862741</v>
      </c>
      <c r="R776" t="n">
        <v>17.2</v>
      </c>
      <c r="S776" t="n">
        <v>3.4</v>
      </c>
      <c r="T776" t="n">
        <v>5.1</v>
      </c>
      <c r="U776" t="n">
        <v>4</v>
      </c>
      <c r="V776" t="n">
        <v>3.60441</v>
      </c>
      <c r="W776" t="n">
        <v>9.699999999999999</v>
      </c>
      <c r="X776" t="n">
        <v>2.3</v>
      </c>
      <c r="Y776" t="n">
        <v>3.9</v>
      </c>
      <c r="Z776" t="n">
        <v>5.7</v>
      </c>
      <c r="AA776" t="n">
        <v>6.3</v>
      </c>
      <c r="AB776" t="n">
        <v>3.525071</v>
      </c>
      <c r="AC776" t="n">
        <v>3.4</v>
      </c>
      <c r="AD776" t="n">
        <v>3.8</v>
      </c>
      <c r="AE776" t="n">
        <v>5.407093</v>
      </c>
      <c r="AF776" t="n">
        <v>3.2</v>
      </c>
      <c r="AG776" t="n">
        <v>6.6</v>
      </c>
      <c r="AH776" t="n">
        <v>5.8</v>
      </c>
      <c r="AI776" t="n">
        <v>4.8</v>
      </c>
      <c r="AJ776" t="n">
        <v>7.1</v>
      </c>
      <c r="AK776" t="n">
        <v>13.9</v>
      </c>
      <c r="AL776" t="n">
        <v>3.6</v>
      </c>
    </row>
    <row r="777">
      <c r="A777" s="78" t="n">
        <v>43678</v>
      </c>
      <c r="B777" t="n">
        <v>5.223804</v>
      </c>
      <c r="C777" t="n">
        <v>5.1</v>
      </c>
      <c r="D777" t="n">
        <v>5.1</v>
      </c>
      <c r="E777" t="n">
        <v>5.8</v>
      </c>
      <c r="G777" t="n">
        <v>7.145577</v>
      </c>
      <c r="H777" t="n">
        <v>2</v>
      </c>
      <c r="I777" t="n">
        <v>3.1</v>
      </c>
      <c r="J777" t="n">
        <v>4.9</v>
      </c>
      <c r="K777" t="n">
        <v>7.4</v>
      </c>
      <c r="L777" t="n">
        <v>14.2</v>
      </c>
      <c r="M777" t="n">
        <v>4.4</v>
      </c>
      <c r="N777" t="n">
        <v>7</v>
      </c>
      <c r="O777" t="n">
        <v>8.199999999999999</v>
      </c>
      <c r="P777" t="n">
        <v>4.220118</v>
      </c>
      <c r="Q777" t="n">
        <v>3.833198</v>
      </c>
      <c r="R777" t="n">
        <v>16.7</v>
      </c>
      <c r="S777" t="n">
        <v>3.3</v>
      </c>
      <c r="T777" t="n">
        <v>4.9</v>
      </c>
      <c r="U777" t="n">
        <v>4.1</v>
      </c>
      <c r="V777" t="n">
        <v>3.59838</v>
      </c>
      <c r="W777" t="n">
        <v>9.6</v>
      </c>
      <c r="X777" t="n">
        <v>2.3</v>
      </c>
      <c r="Y777" t="n">
        <v>3.2</v>
      </c>
      <c r="Z777" t="n">
        <v>5.7</v>
      </c>
      <c r="AA777" t="n">
        <v>6.2</v>
      </c>
      <c r="AB777" t="n">
        <v>3.506585</v>
      </c>
      <c r="AC777" t="n">
        <v>3.5</v>
      </c>
      <c r="AD777" t="n">
        <v>3.7</v>
      </c>
      <c r="AE777" t="n">
        <v>5.38902</v>
      </c>
      <c r="AF777" t="n">
        <v>3.1</v>
      </c>
      <c r="AG777" t="n">
        <v>6.5</v>
      </c>
      <c r="AH777" t="n">
        <v>5.8</v>
      </c>
      <c r="AI777" t="n">
        <v>4.9</v>
      </c>
      <c r="AJ777" t="n">
        <v>7.1</v>
      </c>
      <c r="AK777" t="n">
        <v>14</v>
      </c>
      <c r="AL777" t="n">
        <v>3.7</v>
      </c>
    </row>
    <row r="778">
      <c r="A778" s="78" t="n">
        <v>43709</v>
      </c>
      <c r="B778" t="n">
        <v>5.160942</v>
      </c>
      <c r="C778" t="n">
        <v>4.6</v>
      </c>
      <c r="D778" t="n">
        <v>5.1</v>
      </c>
      <c r="E778" t="n">
        <v>5.6</v>
      </c>
      <c r="G778" t="n">
        <v>7.131635</v>
      </c>
      <c r="H778" t="n">
        <v>2.1</v>
      </c>
      <c r="I778" t="n">
        <v>3.1</v>
      </c>
      <c r="J778" t="n">
        <v>5.2</v>
      </c>
      <c r="K778" t="n">
        <v>7.4</v>
      </c>
      <c r="L778" t="n">
        <v>14</v>
      </c>
      <c r="M778" t="n">
        <v>4.8</v>
      </c>
      <c r="N778" t="n">
        <v>6.7</v>
      </c>
      <c r="O778" t="n">
        <v>8.1</v>
      </c>
      <c r="P778" t="n">
        <v>4.162924</v>
      </c>
      <c r="Q778" t="n">
        <v>3.757134</v>
      </c>
      <c r="R778" t="n">
        <v>16.8</v>
      </c>
      <c r="S778" t="n">
        <v>3.4</v>
      </c>
      <c r="T778" t="n">
        <v>4.8</v>
      </c>
      <c r="U778" t="n">
        <v>4.2</v>
      </c>
      <c r="V778" t="n">
        <v>3.561684</v>
      </c>
      <c r="W778" t="n">
        <v>9.800000000000001</v>
      </c>
      <c r="X778" t="n">
        <v>2.4</v>
      </c>
      <c r="Y778" t="n">
        <v>3.5</v>
      </c>
      <c r="Z778" t="n">
        <v>5.5</v>
      </c>
      <c r="AA778" t="n">
        <v>6</v>
      </c>
      <c r="AB778" t="n">
        <v>3.539734</v>
      </c>
      <c r="AC778" t="n">
        <v>3.5</v>
      </c>
      <c r="AD778" t="n">
        <v>3.9</v>
      </c>
      <c r="AE778" t="n">
        <v>5.346506</v>
      </c>
      <c r="AF778" t="n">
        <v>3.1</v>
      </c>
      <c r="AG778" t="n">
        <v>6.7</v>
      </c>
      <c r="AH778" t="n">
        <v>5.8</v>
      </c>
      <c r="AI778" t="n">
        <v>4.8</v>
      </c>
      <c r="AJ778" t="n">
        <v>6.7</v>
      </c>
      <c r="AK778" t="n">
        <v>14</v>
      </c>
      <c r="AL778" t="n">
        <v>3.5</v>
      </c>
    </row>
    <row r="779">
      <c r="A779" s="78" t="n">
        <v>43739</v>
      </c>
      <c r="B779" t="n">
        <v>5.271043</v>
      </c>
      <c r="C779" t="n">
        <v>4.9</v>
      </c>
      <c r="D779" t="n">
        <v>5.2</v>
      </c>
      <c r="E779" t="n">
        <v>5.6</v>
      </c>
      <c r="G779" t="n">
        <v>7.251832</v>
      </c>
      <c r="H779" t="n">
        <v>2.2</v>
      </c>
      <c r="I779" t="n">
        <v>3.1</v>
      </c>
      <c r="J779" t="n">
        <v>5.1</v>
      </c>
      <c r="K779" t="n">
        <v>7.4</v>
      </c>
      <c r="L779" t="n">
        <v>13.9</v>
      </c>
      <c r="M779" t="n">
        <v>4.7</v>
      </c>
      <c r="N779" t="n">
        <v>6.9</v>
      </c>
      <c r="O779" t="n">
        <v>8.199999999999999</v>
      </c>
      <c r="P779" t="n">
        <v>4.209391</v>
      </c>
      <c r="Q779" t="n">
        <v>3.818563</v>
      </c>
      <c r="R779" t="n">
        <v>16.8</v>
      </c>
      <c r="S779" t="n">
        <v>3.5</v>
      </c>
      <c r="T779" t="n">
        <v>4.7</v>
      </c>
      <c r="U779" t="n">
        <v>4.3</v>
      </c>
      <c r="V779" t="n">
        <v>3.595006</v>
      </c>
      <c r="W779" t="n">
        <v>9.699999999999999</v>
      </c>
      <c r="X779" t="n">
        <v>2.4</v>
      </c>
      <c r="Y779" t="n">
        <v>3.5</v>
      </c>
      <c r="Z779" t="n">
        <v>5.5</v>
      </c>
      <c r="AA779" t="n">
        <v>5.8</v>
      </c>
      <c r="AB779" t="n">
        <v>3.574347</v>
      </c>
      <c r="AC779" t="n">
        <v>3.5</v>
      </c>
      <c r="AD779" t="n">
        <v>3.8</v>
      </c>
      <c r="AE779" t="n">
        <v>5.355586</v>
      </c>
      <c r="AF779" t="n">
        <v>3</v>
      </c>
      <c r="AG779" t="n">
        <v>6.6</v>
      </c>
      <c r="AH779" t="n">
        <v>5.7</v>
      </c>
      <c r="AI779" t="n">
        <v>4.4</v>
      </c>
      <c r="AJ779" t="n">
        <v>6.8</v>
      </c>
      <c r="AK779" t="n">
        <v>13.5</v>
      </c>
      <c r="AL779" t="n">
        <v>3.6</v>
      </c>
    </row>
    <row r="780">
      <c r="A780" s="78" t="n">
        <v>43770</v>
      </c>
      <c r="B780" t="n">
        <v>5.15723</v>
      </c>
      <c r="C780" t="n">
        <v>4.4</v>
      </c>
      <c r="D780" t="n">
        <v>5.2</v>
      </c>
      <c r="E780" t="n">
        <v>5.9</v>
      </c>
      <c r="G780" t="n">
        <v>7.591222</v>
      </c>
      <c r="H780" t="n">
        <v>2.1</v>
      </c>
      <c r="I780" t="n">
        <v>3.2</v>
      </c>
      <c r="J780" t="n">
        <v>5.1</v>
      </c>
      <c r="K780" t="n">
        <v>7.5</v>
      </c>
      <c r="L780" t="n">
        <v>13.8</v>
      </c>
      <c r="M780" t="n">
        <v>4.5</v>
      </c>
      <c r="N780" t="n">
        <v>6.9</v>
      </c>
      <c r="O780" t="n">
        <v>8.1</v>
      </c>
      <c r="P780" t="n">
        <v>4.222203</v>
      </c>
      <c r="Q780" t="n">
        <v>3.768513</v>
      </c>
      <c r="R780" t="n">
        <v>16.6</v>
      </c>
      <c r="S780" t="n">
        <v>3.5</v>
      </c>
      <c r="T780" t="n">
        <v>4.8</v>
      </c>
      <c r="U780" t="n">
        <v>4.4</v>
      </c>
      <c r="V780" t="n">
        <v>4.003242</v>
      </c>
      <c r="W780" t="n">
        <v>10</v>
      </c>
      <c r="X780" t="n">
        <v>2.3</v>
      </c>
      <c r="Y780" t="n">
        <v>3.7</v>
      </c>
      <c r="Z780" t="n">
        <v>5.6</v>
      </c>
      <c r="AA780" t="n">
        <v>6</v>
      </c>
      <c r="AB780" t="n">
        <v>3.529698</v>
      </c>
      <c r="AC780" t="n">
        <v>3.5</v>
      </c>
      <c r="AD780" t="n">
        <v>4</v>
      </c>
      <c r="AE780" t="n">
        <v>5.36119</v>
      </c>
      <c r="AF780" t="n">
        <v>3</v>
      </c>
      <c r="AG780" t="n">
        <v>6.8</v>
      </c>
      <c r="AH780" t="n">
        <v>5.7</v>
      </c>
      <c r="AI780" t="n">
        <v>4.1</v>
      </c>
      <c r="AJ780" t="n">
        <v>7.5</v>
      </c>
      <c r="AK780" t="n">
        <v>13.4</v>
      </c>
      <c r="AL780" t="n">
        <v>3.6</v>
      </c>
    </row>
    <row r="781">
      <c r="A781" s="78" t="n">
        <v>43800</v>
      </c>
      <c r="B781" t="n">
        <v>5.046326</v>
      </c>
      <c r="C781" t="n">
        <v>4.5</v>
      </c>
      <c r="D781" t="n">
        <v>5.3</v>
      </c>
      <c r="E781" t="n">
        <v>5.7</v>
      </c>
      <c r="G781" t="n">
        <v>7.846459</v>
      </c>
      <c r="H781" t="n">
        <v>2</v>
      </c>
      <c r="I781" t="n">
        <v>3.3</v>
      </c>
      <c r="J781" t="n">
        <v>4.9</v>
      </c>
      <c r="K781" t="n">
        <v>7.4</v>
      </c>
      <c r="L781" t="n">
        <v>13.8</v>
      </c>
      <c r="M781" t="n">
        <v>4.6</v>
      </c>
      <c r="N781" t="n">
        <v>6.5</v>
      </c>
      <c r="O781" t="n">
        <v>8.1</v>
      </c>
      <c r="P781" t="n">
        <v>4.2042</v>
      </c>
      <c r="Q781" t="n">
        <v>3.912849</v>
      </c>
      <c r="R781" t="n">
        <v>16.4</v>
      </c>
      <c r="S781" t="n">
        <v>3</v>
      </c>
      <c r="T781" t="n">
        <v>4.8</v>
      </c>
      <c r="U781" t="n">
        <v>4.6</v>
      </c>
      <c r="V781" t="n">
        <v>3.640188</v>
      </c>
      <c r="W781" t="n">
        <v>9.9</v>
      </c>
      <c r="X781" t="n">
        <v>2.2</v>
      </c>
      <c r="Y781" t="n">
        <v>3.7</v>
      </c>
      <c r="Z781" t="n">
        <v>5.6</v>
      </c>
      <c r="AA781" t="n">
        <v>6.6</v>
      </c>
      <c r="AB781" t="n">
        <v>3.225099</v>
      </c>
      <c r="AC781" t="n">
        <v>3.2</v>
      </c>
      <c r="AD781" t="n">
        <v>3.9</v>
      </c>
      <c r="AE781" t="n">
        <v>5.287609</v>
      </c>
      <c r="AF781" t="n">
        <v>2.9</v>
      </c>
      <c r="AG781" t="n">
        <v>6.8</v>
      </c>
      <c r="AH781" t="n">
        <v>5.8</v>
      </c>
      <c r="AI781" t="n">
        <v>4</v>
      </c>
      <c r="AJ781" t="n">
        <v>6.7</v>
      </c>
      <c r="AK781" t="n">
        <v>13.4</v>
      </c>
      <c r="AL781" t="n">
        <v>3.6</v>
      </c>
    </row>
    <row r="782">
      <c r="A782" s="78" t="n">
        <v>43831</v>
      </c>
      <c r="B782" t="n">
        <v>5.311689</v>
      </c>
      <c r="C782" t="n">
        <v>4.5</v>
      </c>
      <c r="D782" t="n">
        <v>5.1</v>
      </c>
      <c r="E782" t="n">
        <v>5.6</v>
      </c>
      <c r="G782" t="n">
        <v>8.086425999999999</v>
      </c>
      <c r="H782" t="n">
        <v>1.9</v>
      </c>
      <c r="I782" t="n">
        <v>3.4</v>
      </c>
      <c r="J782" t="n">
        <v>4.9</v>
      </c>
      <c r="K782" t="n">
        <v>7.5</v>
      </c>
      <c r="L782" t="n">
        <v>13.9</v>
      </c>
      <c r="M782" t="n">
        <v>4.8</v>
      </c>
      <c r="N782" t="n">
        <v>6.9</v>
      </c>
      <c r="O782" t="n">
        <v>8.1</v>
      </c>
      <c r="P782" t="n">
        <v>4.22001</v>
      </c>
      <c r="Q782" t="n">
        <v>3.961213</v>
      </c>
      <c r="R782" t="n">
        <v>16.6</v>
      </c>
      <c r="S782" t="n">
        <v>3.6</v>
      </c>
      <c r="T782" t="n">
        <v>4.9</v>
      </c>
      <c r="U782" t="n">
        <v>4.8</v>
      </c>
      <c r="V782" t="n">
        <v>3.694457</v>
      </c>
      <c r="W782" t="n">
        <v>9.699999999999999</v>
      </c>
      <c r="X782" t="n">
        <v>2.4</v>
      </c>
      <c r="Y782" t="n">
        <v>3.9</v>
      </c>
      <c r="Z782" t="n">
        <v>5.7</v>
      </c>
      <c r="AA782" t="n">
        <v>7.2</v>
      </c>
      <c r="AB782" t="n">
        <v>3.594449</v>
      </c>
      <c r="AC782" t="n">
        <v>3</v>
      </c>
      <c r="AD782" t="n">
        <v>3.7</v>
      </c>
      <c r="AE782" t="n">
        <v>5.359634</v>
      </c>
      <c r="AF782" t="n">
        <v>3</v>
      </c>
      <c r="AG782" t="n">
        <v>6.9</v>
      </c>
      <c r="AH782" t="n">
        <v>5.9</v>
      </c>
      <c r="AI782" t="n">
        <v>4.1</v>
      </c>
      <c r="AJ782" t="n">
        <v>7.2</v>
      </c>
      <c r="AK782" t="n">
        <v>13.2</v>
      </c>
      <c r="AL782" t="n">
        <v>3.5</v>
      </c>
    </row>
    <row r="783">
      <c r="A783" s="78" t="n">
        <v>43862</v>
      </c>
      <c r="B783" t="n">
        <v>5.13366</v>
      </c>
      <c r="C783" t="n">
        <v>4.5</v>
      </c>
      <c r="D783" t="n">
        <v>5</v>
      </c>
      <c r="E783" t="n">
        <v>5.7</v>
      </c>
      <c r="G783" t="n">
        <v>8.191955999999999</v>
      </c>
      <c r="H783" t="n">
        <v>1.8</v>
      </c>
      <c r="I783" t="n">
        <v>3.5</v>
      </c>
      <c r="J783" t="n">
        <v>4.8</v>
      </c>
      <c r="K783" t="n">
        <v>7.4</v>
      </c>
      <c r="L783" t="n">
        <v>13.7</v>
      </c>
      <c r="M783" t="n">
        <v>4.8</v>
      </c>
      <c r="N783" t="n">
        <v>6.6</v>
      </c>
      <c r="O783" t="n">
        <v>7.7</v>
      </c>
      <c r="P783" t="n">
        <v>4.187521</v>
      </c>
      <c r="Q783" t="n">
        <v>3.996721</v>
      </c>
      <c r="R783" t="n">
        <v>15.7</v>
      </c>
      <c r="S783" t="n">
        <v>3.5</v>
      </c>
      <c r="T783" t="n">
        <v>4.9</v>
      </c>
      <c r="U783" t="n">
        <v>5</v>
      </c>
      <c r="V783" t="n">
        <v>3.380798</v>
      </c>
      <c r="W783" t="n">
        <v>9.699999999999999</v>
      </c>
      <c r="X783" t="n">
        <v>2.4</v>
      </c>
      <c r="Y783" t="n">
        <v>3.4</v>
      </c>
      <c r="Z783" t="n">
        <v>5.7</v>
      </c>
      <c r="AA783" t="n">
        <v>7.2</v>
      </c>
      <c r="AB783" t="n">
        <v>3.551699</v>
      </c>
      <c r="AC783" t="n">
        <v>2.9</v>
      </c>
      <c r="AD783" t="n">
        <v>3.5</v>
      </c>
      <c r="AE783" t="n">
        <v>5.277813</v>
      </c>
      <c r="AF783" t="n">
        <v>3</v>
      </c>
      <c r="AG783" t="n">
        <v>6.6</v>
      </c>
      <c r="AH783" t="n">
        <v>6</v>
      </c>
      <c r="AI783" t="n">
        <v>4.2</v>
      </c>
      <c r="AJ783" t="n">
        <v>7.6</v>
      </c>
      <c r="AK783" t="n">
        <v>12.8</v>
      </c>
      <c r="AL783" t="n">
        <v>3.5</v>
      </c>
    </row>
    <row r="784">
      <c r="A784" s="78" t="n">
        <v>43891</v>
      </c>
      <c r="B784" t="n">
        <v>5.271841</v>
      </c>
      <c r="C784" t="n">
        <v>4.9</v>
      </c>
      <c r="D784" t="n">
        <v>4.9</v>
      </c>
      <c r="E784" t="n">
        <v>7.9</v>
      </c>
      <c r="G784" t="n">
        <v>9.026889000000001</v>
      </c>
      <c r="H784" t="n">
        <v>1.9</v>
      </c>
      <c r="I784" t="n">
        <v>3.6</v>
      </c>
      <c r="J784" t="n">
        <v>4.8</v>
      </c>
      <c r="K784" t="n">
        <v>7.1</v>
      </c>
      <c r="L784" t="n">
        <v>14.5</v>
      </c>
      <c r="M784" t="n">
        <v>4.9</v>
      </c>
      <c r="N784" t="n">
        <v>6.7</v>
      </c>
      <c r="O784" t="n">
        <v>7.5</v>
      </c>
      <c r="P784" t="n">
        <v>4.538774</v>
      </c>
      <c r="Q784" t="n">
        <v>4.04138</v>
      </c>
      <c r="R784" t="n">
        <v>15.8</v>
      </c>
      <c r="S784" t="n">
        <v>3.4</v>
      </c>
      <c r="T784" t="n">
        <v>5</v>
      </c>
      <c r="U784" t="n">
        <v>5.3</v>
      </c>
      <c r="V784" t="n">
        <v>3.536839</v>
      </c>
      <c r="W784" t="n">
        <v>7.3</v>
      </c>
      <c r="X784" t="n">
        <v>2.5</v>
      </c>
      <c r="Y784" t="n">
        <v>3.8</v>
      </c>
      <c r="Z784" t="n">
        <v>6.5</v>
      </c>
      <c r="AA784" t="n">
        <v>7.5</v>
      </c>
      <c r="AB784" t="n">
        <v>3.215592</v>
      </c>
      <c r="AC784" t="n">
        <v>2.9</v>
      </c>
      <c r="AD784" t="n">
        <v>3.6</v>
      </c>
      <c r="AE784" t="n">
        <v>5.554512</v>
      </c>
      <c r="AF784" t="n">
        <v>2.9</v>
      </c>
      <c r="AG784" t="n">
        <v>6.3</v>
      </c>
      <c r="AH784" t="n">
        <v>5.9</v>
      </c>
      <c r="AI784" t="n">
        <v>4.4</v>
      </c>
      <c r="AJ784" t="n">
        <v>6.6</v>
      </c>
      <c r="AK784" t="n">
        <v>13.1</v>
      </c>
      <c r="AL784" t="n">
        <v>4.4</v>
      </c>
    </row>
    <row r="785">
      <c r="A785" s="78" t="n">
        <v>43922</v>
      </c>
      <c r="B785" t="n">
        <v>6.37428</v>
      </c>
      <c r="C785" t="n">
        <v>6</v>
      </c>
      <c r="D785" t="n">
        <v>4.9</v>
      </c>
      <c r="E785" t="n">
        <v>13.1</v>
      </c>
      <c r="G785" t="n">
        <v>10.8812</v>
      </c>
      <c r="H785" t="n">
        <v>2.2</v>
      </c>
      <c r="I785" t="n">
        <v>3.7</v>
      </c>
      <c r="J785" t="n">
        <v>4.9</v>
      </c>
      <c r="K785" t="n">
        <v>7.3</v>
      </c>
      <c r="L785" t="n">
        <v>15.1</v>
      </c>
      <c r="M785" t="n">
        <v>5.9</v>
      </c>
      <c r="N785" t="n">
        <v>7.1</v>
      </c>
      <c r="O785" t="n">
        <v>7.5</v>
      </c>
      <c r="P785" t="n">
        <v>9.166790000000001</v>
      </c>
      <c r="Q785" t="n">
        <v>4.14699</v>
      </c>
      <c r="R785" t="n">
        <v>16.1</v>
      </c>
      <c r="S785" t="n">
        <v>3.6</v>
      </c>
      <c r="T785" t="n">
        <v>4.8</v>
      </c>
      <c r="U785" t="n">
        <v>5.6</v>
      </c>
      <c r="V785" t="n">
        <v>3.607703</v>
      </c>
      <c r="W785" t="n">
        <v>7.4</v>
      </c>
      <c r="X785" t="n">
        <v>2.6</v>
      </c>
      <c r="Y785" t="n">
        <v>3.8</v>
      </c>
      <c r="Z785" t="n">
        <v>7.4</v>
      </c>
      <c r="AA785" t="n">
        <v>8.300000000000001</v>
      </c>
      <c r="AB785" t="n">
        <v>4.820841</v>
      </c>
      <c r="AC785" t="n">
        <v>3.4</v>
      </c>
      <c r="AD785" t="n">
        <v>4.1</v>
      </c>
      <c r="AE785" t="n">
        <v>8.80424</v>
      </c>
      <c r="AF785" t="n">
        <v>3.1</v>
      </c>
      <c r="AG785" t="n">
        <v>6.4</v>
      </c>
      <c r="AH785" t="n">
        <v>6.5</v>
      </c>
      <c r="AI785" t="n">
        <v>5.2</v>
      </c>
      <c r="AJ785" t="n">
        <v>7.9</v>
      </c>
      <c r="AK785" t="n">
        <v>13.4</v>
      </c>
      <c r="AL785" t="n">
        <v>14.8</v>
      </c>
    </row>
    <row r="786">
      <c r="A786" s="78" t="n">
        <v>43952</v>
      </c>
      <c r="B786" t="n">
        <v>7.01855</v>
      </c>
      <c r="C786" t="n">
        <v>7.1</v>
      </c>
      <c r="D786" t="n">
        <v>5</v>
      </c>
      <c r="E786" t="n">
        <v>13.7</v>
      </c>
      <c r="G786" t="n">
        <v>11.76835</v>
      </c>
      <c r="H786" t="n">
        <v>2.4</v>
      </c>
      <c r="I786" t="n">
        <v>3.8</v>
      </c>
      <c r="J786" t="n">
        <v>5.6</v>
      </c>
      <c r="K786" t="n">
        <v>7.5</v>
      </c>
      <c r="L786" t="n">
        <v>15.3</v>
      </c>
      <c r="M786" t="n">
        <v>6.9</v>
      </c>
      <c r="N786" t="n">
        <v>8.6</v>
      </c>
      <c r="O786" t="n">
        <v>7.1</v>
      </c>
      <c r="P786" t="n">
        <v>8.681888000000001</v>
      </c>
      <c r="Q786" t="n">
        <v>4.137189</v>
      </c>
      <c r="R786" t="n">
        <v>16.8</v>
      </c>
      <c r="S786" t="n">
        <v>4.9</v>
      </c>
      <c r="T786" t="n">
        <v>5</v>
      </c>
      <c r="U786" t="n">
        <v>5.9</v>
      </c>
      <c r="V786" t="n">
        <v>4.204206</v>
      </c>
      <c r="W786" t="n">
        <v>8.5</v>
      </c>
      <c r="X786" t="n">
        <v>2.8</v>
      </c>
      <c r="Y786" t="n">
        <v>4.3</v>
      </c>
      <c r="Z786" t="n">
        <v>7.7</v>
      </c>
      <c r="AA786" t="n">
        <v>8.6</v>
      </c>
      <c r="AB786" t="n">
        <v>4.304964</v>
      </c>
      <c r="AC786" t="n">
        <v>3.6</v>
      </c>
      <c r="AD786" t="n">
        <v>4.6</v>
      </c>
      <c r="AE786" t="n">
        <v>8.643216000000001</v>
      </c>
      <c r="AF786" t="n">
        <v>3.2</v>
      </c>
      <c r="AG786" t="n">
        <v>6</v>
      </c>
      <c r="AH786" t="n">
        <v>6.7</v>
      </c>
      <c r="AI786" t="n">
        <v>5.4</v>
      </c>
      <c r="AJ786" t="n">
        <v>8.300000000000001</v>
      </c>
      <c r="AK786" t="n">
        <v>13.2</v>
      </c>
      <c r="AL786" t="n">
        <v>13.3</v>
      </c>
    </row>
    <row r="787">
      <c r="A787" s="78" t="n">
        <v>43983</v>
      </c>
      <c r="B787" t="n">
        <v>7.353493</v>
      </c>
      <c r="C787" t="n">
        <v>7.7</v>
      </c>
      <c r="D787" t="n">
        <v>5.4</v>
      </c>
      <c r="E787" t="n">
        <v>12.5</v>
      </c>
      <c r="G787" t="n">
        <v>12.43833</v>
      </c>
      <c r="H787" t="n">
        <v>2.7</v>
      </c>
      <c r="I787" t="n">
        <v>3.9</v>
      </c>
      <c r="J787" t="n">
        <v>6.1</v>
      </c>
      <c r="K787" t="n">
        <v>8</v>
      </c>
      <c r="L787" t="n">
        <v>15.9</v>
      </c>
      <c r="M787" t="n">
        <v>7.9</v>
      </c>
      <c r="N787" t="n">
        <v>7.6</v>
      </c>
      <c r="O787" t="n">
        <v>7.5</v>
      </c>
      <c r="P787" t="n">
        <v>7.848074</v>
      </c>
      <c r="Q787" t="n">
        <v>4.318904</v>
      </c>
      <c r="R787" t="n">
        <v>17.7</v>
      </c>
      <c r="S787" t="n">
        <v>4.9</v>
      </c>
      <c r="T787" t="n">
        <v>5.6</v>
      </c>
      <c r="U787" t="n">
        <v>6.1</v>
      </c>
      <c r="V787" t="n">
        <v>4.578165</v>
      </c>
      <c r="W787" t="n">
        <v>9.5</v>
      </c>
      <c r="X787" t="n">
        <v>2.8</v>
      </c>
      <c r="Y787" t="n">
        <v>4.2</v>
      </c>
      <c r="Z787" t="n">
        <v>7.6</v>
      </c>
      <c r="AA787" t="n">
        <v>8.699999999999999</v>
      </c>
      <c r="AB787" t="n">
        <v>5.532052</v>
      </c>
      <c r="AC787" t="n">
        <v>4.3</v>
      </c>
      <c r="AD787" t="n">
        <v>5.2</v>
      </c>
      <c r="AE787" t="n">
        <v>8.315001000000001</v>
      </c>
      <c r="AF787" t="n">
        <v>3.4</v>
      </c>
      <c r="AG787" t="n">
        <v>7.5</v>
      </c>
      <c r="AH787" t="n">
        <v>6.8</v>
      </c>
      <c r="AI787" t="n">
        <v>5.4</v>
      </c>
      <c r="AJ787" t="n">
        <v>9</v>
      </c>
      <c r="AK787" t="n">
        <v>13.3</v>
      </c>
      <c r="AL787" t="n">
        <v>11.1</v>
      </c>
    </row>
    <row r="788">
      <c r="A788" s="78" t="n">
        <v>44013</v>
      </c>
      <c r="B788" t="n">
        <v>7.447852</v>
      </c>
      <c r="C788" t="n">
        <v>6.8</v>
      </c>
      <c r="D788" t="n">
        <v>6</v>
      </c>
      <c r="E788" t="n">
        <v>10.9</v>
      </c>
      <c r="G788" t="n">
        <v>12.37859</v>
      </c>
      <c r="H788" t="n">
        <v>2.9</v>
      </c>
      <c r="I788" t="n">
        <v>4</v>
      </c>
      <c r="J788" t="n">
        <v>6.5</v>
      </c>
      <c r="K788" t="n">
        <v>8.4</v>
      </c>
      <c r="L788" t="n">
        <v>16.3</v>
      </c>
      <c r="M788" t="n">
        <v>7.9</v>
      </c>
      <c r="N788" t="n">
        <v>8.300000000000001</v>
      </c>
      <c r="O788" t="n">
        <v>8.699999999999999</v>
      </c>
      <c r="P788" t="n">
        <v>7.572019</v>
      </c>
      <c r="Q788" t="n">
        <v>4.538391</v>
      </c>
      <c r="R788" t="n">
        <v>16.7</v>
      </c>
      <c r="S788" t="n">
        <v>4.3</v>
      </c>
      <c r="T788" t="n">
        <v>6.7</v>
      </c>
      <c r="U788" t="n">
        <v>6.2</v>
      </c>
      <c r="V788" t="n">
        <v>4.720823</v>
      </c>
      <c r="W788" t="n">
        <v>10.1</v>
      </c>
      <c r="X788" t="n">
        <v>2.9</v>
      </c>
      <c r="Y788" t="n">
        <v>4.1</v>
      </c>
      <c r="Z788" t="n">
        <v>7.1</v>
      </c>
      <c r="AA788" t="n">
        <v>8.699999999999999</v>
      </c>
      <c r="AB788" t="n">
        <v>5.126072</v>
      </c>
      <c r="AC788" t="n">
        <v>4.5</v>
      </c>
      <c r="AD788" t="n">
        <v>5.2</v>
      </c>
      <c r="AE788" t="n">
        <v>8.163242</v>
      </c>
      <c r="AF788" t="n">
        <v>3.4</v>
      </c>
      <c r="AG788" t="n">
        <v>8.1</v>
      </c>
      <c r="AH788" t="n">
        <v>7.1</v>
      </c>
      <c r="AI788" t="n">
        <v>5.2</v>
      </c>
      <c r="AJ788" t="n">
        <v>9.199999999999999</v>
      </c>
      <c r="AK788" t="n">
        <v>14.4</v>
      </c>
      <c r="AL788" t="n">
        <v>10.2</v>
      </c>
    </row>
    <row r="789">
      <c r="A789" s="78" t="n">
        <v>44044</v>
      </c>
      <c r="B789" t="n">
        <v>6.758117</v>
      </c>
      <c r="C789" t="n">
        <v>6.4</v>
      </c>
      <c r="D789" t="n">
        <v>6.4</v>
      </c>
      <c r="E789" t="n">
        <v>10.2</v>
      </c>
      <c r="G789" t="n">
        <v>12.02712</v>
      </c>
      <c r="H789" t="n">
        <v>2.7</v>
      </c>
      <c r="I789" t="n">
        <v>4.1</v>
      </c>
      <c r="J789" t="n">
        <v>6.3</v>
      </c>
      <c r="K789" t="n">
        <v>8.6</v>
      </c>
      <c r="L789" t="n">
        <v>16.6</v>
      </c>
      <c r="M789" t="n">
        <v>8</v>
      </c>
      <c r="N789" t="n">
        <v>8.800000000000001</v>
      </c>
      <c r="O789" t="n">
        <v>9</v>
      </c>
      <c r="P789" t="n">
        <v>6.87933</v>
      </c>
      <c r="Q789" t="n">
        <v>4.84807</v>
      </c>
      <c r="R789" t="n">
        <v>17</v>
      </c>
      <c r="S789" t="n">
        <v>4.2</v>
      </c>
      <c r="T789" t="n">
        <v>7.1</v>
      </c>
      <c r="U789" t="n">
        <v>6.4</v>
      </c>
      <c r="V789" t="n">
        <v>4.841195</v>
      </c>
      <c r="W789" t="n">
        <v>10</v>
      </c>
      <c r="X789" t="n">
        <v>3</v>
      </c>
      <c r="Y789" t="n">
        <v>3.3</v>
      </c>
      <c r="Z789" t="n">
        <v>6.7</v>
      </c>
      <c r="AA789" t="n">
        <v>8.6</v>
      </c>
      <c r="AB789" t="n">
        <v>4.948359</v>
      </c>
      <c r="AC789" t="n">
        <v>4.6</v>
      </c>
      <c r="AD789" t="n">
        <v>5.3</v>
      </c>
      <c r="AE789" t="n">
        <v>7.573207</v>
      </c>
      <c r="AF789" t="n">
        <v>3.3</v>
      </c>
      <c r="AG789" t="n">
        <v>8.199999999999999</v>
      </c>
      <c r="AH789" t="n">
        <v>7.2</v>
      </c>
      <c r="AI789" t="n">
        <v>5.2</v>
      </c>
      <c r="AJ789" t="n">
        <v>9</v>
      </c>
      <c r="AK789" t="n">
        <v>12.9</v>
      </c>
      <c r="AL789" t="n">
        <v>8.4</v>
      </c>
    </row>
    <row r="790">
      <c r="A790" s="78" t="n">
        <v>44075</v>
      </c>
      <c r="B790" t="n">
        <v>6.854742</v>
      </c>
      <c r="C790" t="n">
        <v>6.4</v>
      </c>
      <c r="D790" t="n">
        <v>6.3</v>
      </c>
      <c r="E790" t="n">
        <v>9.199999999999999</v>
      </c>
      <c r="G790" t="n">
        <v>11.56388</v>
      </c>
      <c r="H790" t="n">
        <v>2.8</v>
      </c>
      <c r="I790" t="n">
        <v>4.1</v>
      </c>
      <c r="J790" t="n">
        <v>6.1</v>
      </c>
      <c r="K790" t="n">
        <v>8.6</v>
      </c>
      <c r="L790" t="n">
        <v>16.5</v>
      </c>
      <c r="M790" t="n">
        <v>8.300000000000001</v>
      </c>
      <c r="N790" t="n">
        <v>8.199999999999999</v>
      </c>
      <c r="O790" t="n">
        <v>9</v>
      </c>
      <c r="P790" t="n">
        <v>6.602804</v>
      </c>
      <c r="Q790" t="n">
        <v>5.049924</v>
      </c>
      <c r="R790" t="n">
        <v>16.5</v>
      </c>
      <c r="S790" t="n">
        <v>4.3</v>
      </c>
      <c r="T790" t="n">
        <v>7.2</v>
      </c>
      <c r="U790" t="n">
        <v>6.6</v>
      </c>
      <c r="V790" t="n">
        <v>4.575068</v>
      </c>
      <c r="W790" t="n">
        <v>10.1</v>
      </c>
      <c r="X790" t="n">
        <v>3</v>
      </c>
      <c r="Y790" t="n">
        <v>4</v>
      </c>
      <c r="Z790" t="n">
        <v>6.5</v>
      </c>
      <c r="AA790" t="n">
        <v>8.300000000000001</v>
      </c>
      <c r="AB790" t="n">
        <v>4.791512</v>
      </c>
      <c r="AC790" t="n">
        <v>4.4</v>
      </c>
      <c r="AD790" t="n">
        <v>5.1</v>
      </c>
      <c r="AE790" t="n">
        <v>7.385149</v>
      </c>
      <c r="AF790" t="n">
        <v>3.3</v>
      </c>
      <c r="AG790" t="n">
        <v>8</v>
      </c>
      <c r="AH790" t="n">
        <v>7</v>
      </c>
      <c r="AI790" t="n">
        <v>5.1</v>
      </c>
      <c r="AJ790" t="n">
        <v>8.9</v>
      </c>
      <c r="AK790" t="n">
        <v>12.8</v>
      </c>
      <c r="AL790" t="n">
        <v>7.8</v>
      </c>
    </row>
    <row r="791">
      <c r="A791" s="78" t="n">
        <v>44105</v>
      </c>
      <c r="B791" t="n">
        <v>6.936029</v>
      </c>
      <c r="C791" t="n">
        <v>6.1</v>
      </c>
      <c r="D791" t="n">
        <v>5.8</v>
      </c>
      <c r="E791" t="n">
        <v>9</v>
      </c>
      <c r="G791" t="n">
        <v>11.20424</v>
      </c>
      <c r="H791" t="n">
        <v>3.2</v>
      </c>
      <c r="I791" t="n">
        <v>4.1</v>
      </c>
      <c r="J791" t="n">
        <v>5.9</v>
      </c>
      <c r="K791" t="n">
        <v>8.4</v>
      </c>
      <c r="L791" t="n">
        <v>16.3</v>
      </c>
      <c r="M791" t="n">
        <v>7.9</v>
      </c>
      <c r="N791" t="n">
        <v>8.300000000000001</v>
      </c>
      <c r="O791" t="n">
        <v>8.300000000000001</v>
      </c>
      <c r="P791" t="n">
        <v>6.159029</v>
      </c>
      <c r="Q791" t="n">
        <v>5.10721</v>
      </c>
      <c r="R791" t="n">
        <v>16.4</v>
      </c>
      <c r="S791" t="n">
        <v>4</v>
      </c>
      <c r="T791" t="n">
        <v>6.3</v>
      </c>
      <c r="U791" t="n">
        <v>6.7</v>
      </c>
      <c r="V791" t="n">
        <v>4.713674</v>
      </c>
      <c r="W791" t="n">
        <v>10</v>
      </c>
      <c r="X791" t="n">
        <v>3.1</v>
      </c>
      <c r="Y791" t="n">
        <v>4.2</v>
      </c>
      <c r="Z791" t="n">
        <v>6.2</v>
      </c>
      <c r="AA791" t="n">
        <v>8.199999999999999</v>
      </c>
      <c r="AB791" t="n">
        <v>4.630301</v>
      </c>
      <c r="AC791" t="n">
        <v>4.3</v>
      </c>
      <c r="AD791" t="n">
        <v>5.2</v>
      </c>
      <c r="AE791" t="n">
        <v>7.090517</v>
      </c>
      <c r="AF791" t="n">
        <v>3.2</v>
      </c>
      <c r="AG791" t="n">
        <v>7.6</v>
      </c>
      <c r="AH791" t="n">
        <v>7.1</v>
      </c>
      <c r="AI791" t="n">
        <v>5.1</v>
      </c>
      <c r="AJ791" t="n">
        <v>8.699999999999999</v>
      </c>
      <c r="AK791" t="n">
        <v>13</v>
      </c>
      <c r="AL791" t="n">
        <v>6.9</v>
      </c>
    </row>
    <row r="792">
      <c r="A792" s="78" t="n">
        <v>44136</v>
      </c>
      <c r="B792" t="n">
        <v>6.83282</v>
      </c>
      <c r="C792" t="n">
        <v>6.1</v>
      </c>
      <c r="D792" t="n">
        <v>5.8</v>
      </c>
      <c r="E792" t="n">
        <v>8.6</v>
      </c>
      <c r="G792" t="n">
        <v>11.04643</v>
      </c>
      <c r="H792" t="n">
        <v>2.9</v>
      </c>
      <c r="I792" t="n">
        <v>4.1</v>
      </c>
      <c r="J792" t="n">
        <v>5.9</v>
      </c>
      <c r="K792" t="n">
        <v>8.1</v>
      </c>
      <c r="L792" t="n">
        <v>16.2</v>
      </c>
      <c r="M792" t="n">
        <v>7.4</v>
      </c>
      <c r="N792" t="n">
        <v>7.9</v>
      </c>
      <c r="O792" t="n">
        <v>8</v>
      </c>
      <c r="P792" t="n">
        <v>5.987225</v>
      </c>
      <c r="Q792" t="n">
        <v>5.219832</v>
      </c>
      <c r="R792" t="n">
        <v>16.2</v>
      </c>
      <c r="S792" t="n">
        <v>4.3</v>
      </c>
      <c r="T792" t="n">
        <v>6.2</v>
      </c>
      <c r="U792" t="n">
        <v>6.9</v>
      </c>
      <c r="V792" t="n">
        <v>4.806218</v>
      </c>
      <c r="W792" t="n">
        <v>9.6</v>
      </c>
      <c r="X792" t="n">
        <v>3</v>
      </c>
      <c r="Y792" t="n">
        <v>4.2</v>
      </c>
      <c r="Z792" t="n">
        <v>6.2</v>
      </c>
      <c r="AA792" t="n">
        <v>8.1</v>
      </c>
      <c r="AB792" t="n">
        <v>4.494499</v>
      </c>
      <c r="AC792" t="n">
        <v>4</v>
      </c>
      <c r="AD792" t="n">
        <v>5</v>
      </c>
      <c r="AE792" t="n">
        <v>6.9154</v>
      </c>
      <c r="AF792" t="n">
        <v>3.2</v>
      </c>
      <c r="AG792" t="n">
        <v>7.2</v>
      </c>
      <c r="AH792" t="n">
        <v>7.1</v>
      </c>
      <c r="AI792" t="n">
        <v>5.3</v>
      </c>
      <c r="AJ792" t="n">
        <v>8.300000000000001</v>
      </c>
      <c r="AK792" t="n">
        <v>13</v>
      </c>
      <c r="AL792" t="n">
        <v>6.7</v>
      </c>
    </row>
    <row r="793">
      <c r="A793" s="78" t="n">
        <v>44166</v>
      </c>
      <c r="B793" t="n">
        <v>6.57785</v>
      </c>
      <c r="C793" t="n">
        <v>6.8</v>
      </c>
      <c r="D793" t="n">
        <v>6</v>
      </c>
      <c r="E793" t="n">
        <v>8.800000000000001</v>
      </c>
      <c r="G793" t="n">
        <v>10.79358</v>
      </c>
      <c r="H793" t="n">
        <v>3.2</v>
      </c>
      <c r="I793" t="n">
        <v>4</v>
      </c>
      <c r="J793" t="n">
        <v>6</v>
      </c>
      <c r="K793" t="n">
        <v>8.1</v>
      </c>
      <c r="L793" t="n">
        <v>16.2</v>
      </c>
      <c r="M793" t="n">
        <v>6.8</v>
      </c>
      <c r="N793" t="n">
        <v>8.199999999999999</v>
      </c>
      <c r="O793" t="n">
        <v>7.8</v>
      </c>
      <c r="P793" t="n">
        <v>5.985754</v>
      </c>
      <c r="Q793" t="n">
        <v>5.134026</v>
      </c>
      <c r="R793" t="n">
        <v>15.6</v>
      </c>
      <c r="S793" t="n">
        <v>4.2</v>
      </c>
      <c r="T793" t="n">
        <v>6.2</v>
      </c>
      <c r="U793" t="n">
        <v>6.9</v>
      </c>
      <c r="V793" t="n">
        <v>4.860151</v>
      </c>
      <c r="W793" t="n">
        <v>9.800000000000001</v>
      </c>
      <c r="X793" t="n">
        <v>3</v>
      </c>
      <c r="Y793" t="n">
        <v>4.5</v>
      </c>
      <c r="Z793" t="n">
        <v>6.4</v>
      </c>
      <c r="AA793" t="n">
        <v>8</v>
      </c>
      <c r="AB793" t="n">
        <v>4.237476</v>
      </c>
      <c r="AC793" t="n">
        <v>3.9</v>
      </c>
      <c r="AD793" t="n">
        <v>4.9</v>
      </c>
      <c r="AE793" t="n">
        <v>6.869371</v>
      </c>
      <c r="AF793" t="n">
        <v>3.4</v>
      </c>
      <c r="AG793" t="n">
        <v>6.9</v>
      </c>
      <c r="AH793" t="n">
        <v>7.1</v>
      </c>
      <c r="AI793" t="n">
        <v>5.3</v>
      </c>
      <c r="AJ793" t="n">
        <v>8.800000000000001</v>
      </c>
      <c r="AK793" t="n">
        <v>12.8</v>
      </c>
      <c r="AL793" t="n">
        <v>6.7</v>
      </c>
    </row>
    <row r="794">
      <c r="A794" s="78" t="n">
        <v>44197</v>
      </c>
      <c r="B794" t="n">
        <v>6.399354</v>
      </c>
      <c r="C794" t="n">
        <v>7.3</v>
      </c>
      <c r="D794" t="n">
        <v>6.5</v>
      </c>
      <c r="E794" t="n">
        <v>9.4</v>
      </c>
      <c r="G794" t="n">
        <v>10.69378</v>
      </c>
      <c r="H794" t="n">
        <v>3.2</v>
      </c>
      <c r="I794" t="n">
        <v>3.9</v>
      </c>
      <c r="J794" t="n">
        <v>6</v>
      </c>
      <c r="K794" t="n">
        <v>8.199999999999999</v>
      </c>
      <c r="L794" t="n">
        <v>15.8</v>
      </c>
      <c r="M794" t="n">
        <v>7.2</v>
      </c>
      <c r="N794" t="n">
        <v>8.4</v>
      </c>
      <c r="O794" t="n">
        <v>7.9</v>
      </c>
      <c r="P794" t="n">
        <v>5.860316</v>
      </c>
      <c r="Q794" t="n">
        <v>5.034872</v>
      </c>
      <c r="R794" t="n">
        <v>16.4</v>
      </c>
      <c r="S794" t="n">
        <v>4.5</v>
      </c>
      <c r="T794" t="n">
        <v>7</v>
      </c>
      <c r="U794" t="n">
        <v>6.8</v>
      </c>
      <c r="V794" t="n">
        <v>4.618124</v>
      </c>
      <c r="W794" t="n">
        <v>10.2</v>
      </c>
      <c r="X794" t="n">
        <v>2.9</v>
      </c>
      <c r="Y794" t="n">
        <v>5.4</v>
      </c>
      <c r="Z794" t="n">
        <v>6.3</v>
      </c>
      <c r="AA794" t="n">
        <v>7.8</v>
      </c>
      <c r="AB794" t="n">
        <v>4.479206</v>
      </c>
      <c r="AC794" t="n">
        <v>3.6</v>
      </c>
      <c r="AD794" t="n">
        <v>4.9</v>
      </c>
      <c r="AE794" t="n">
        <v>6.838658</v>
      </c>
      <c r="AF794" t="n">
        <v>3.7</v>
      </c>
      <c r="AG794" t="n">
        <v>7</v>
      </c>
      <c r="AH794" t="n">
        <v>7</v>
      </c>
      <c r="AI794" t="n">
        <v>5.4</v>
      </c>
      <c r="AJ794" t="n">
        <v>9</v>
      </c>
      <c r="AK794" t="n">
        <v>12.7</v>
      </c>
      <c r="AL794" t="n">
        <v>6.3</v>
      </c>
    </row>
    <row r="795">
      <c r="A795" s="78" t="n">
        <v>44228</v>
      </c>
      <c r="B795" t="n">
        <v>5.862513</v>
      </c>
      <c r="C795" t="n">
        <v>7</v>
      </c>
      <c r="D795" t="n">
        <v>6.7</v>
      </c>
      <c r="E795" t="n">
        <v>8.199999999999999</v>
      </c>
      <c r="G795" t="n">
        <v>10.38039</v>
      </c>
      <c r="H795" t="n">
        <v>3.2</v>
      </c>
      <c r="I795" t="n">
        <v>3.9</v>
      </c>
      <c r="J795" t="n">
        <v>6</v>
      </c>
      <c r="K795" t="n">
        <v>8.1</v>
      </c>
      <c r="L795" t="n">
        <v>15.7</v>
      </c>
      <c r="M795" t="n">
        <v>6.8</v>
      </c>
      <c r="N795" t="n">
        <v>8</v>
      </c>
      <c r="O795" t="n">
        <v>8.1</v>
      </c>
      <c r="P795" t="n">
        <v>5.756614</v>
      </c>
      <c r="Q795" t="n">
        <v>4.885616</v>
      </c>
      <c r="R795" t="n">
        <v>16.3</v>
      </c>
      <c r="S795" t="n">
        <v>4.5</v>
      </c>
      <c r="T795" t="n">
        <v>7.6</v>
      </c>
      <c r="U795" t="n">
        <v>6.8</v>
      </c>
      <c r="V795" t="n">
        <v>5.182726</v>
      </c>
      <c r="W795" t="n">
        <v>10.1</v>
      </c>
      <c r="X795" t="n">
        <v>2.9</v>
      </c>
      <c r="Y795" t="n">
        <v>4</v>
      </c>
      <c r="Z795" t="n">
        <v>6.2</v>
      </c>
      <c r="AA795" t="n">
        <v>7.7</v>
      </c>
      <c r="AB795" t="n">
        <v>4.410072</v>
      </c>
      <c r="AC795" t="n">
        <v>3.6</v>
      </c>
      <c r="AD795" t="n">
        <v>4.7</v>
      </c>
      <c r="AE795" t="n">
        <v>6.727969</v>
      </c>
      <c r="AF795" t="n">
        <v>3.9</v>
      </c>
      <c r="AG795" t="n">
        <v>6.9</v>
      </c>
      <c r="AH795" t="n">
        <v>7.1</v>
      </c>
      <c r="AI795" t="n">
        <v>5.2</v>
      </c>
      <c r="AJ795" t="n">
        <v>9</v>
      </c>
      <c r="AK795" t="n">
        <v>13.2</v>
      </c>
      <c r="AL795" t="n">
        <v>6.2</v>
      </c>
    </row>
    <row r="796">
      <c r="A796" s="78" t="n">
        <v>44256</v>
      </c>
      <c r="B796" t="n">
        <v>5.693571</v>
      </c>
      <c r="C796" t="n">
        <v>6.7</v>
      </c>
      <c r="D796" t="n">
        <v>6.7</v>
      </c>
      <c r="E796" t="n">
        <v>7.5</v>
      </c>
      <c r="G796" t="n">
        <v>10.29165</v>
      </c>
      <c r="H796" t="n">
        <v>3.4</v>
      </c>
      <c r="I796" t="n">
        <v>3.8</v>
      </c>
      <c r="J796" t="n">
        <v>5.7</v>
      </c>
      <c r="K796" t="n">
        <v>8</v>
      </c>
      <c r="L796" t="n">
        <v>15.4</v>
      </c>
      <c r="M796" t="n">
        <v>6.4</v>
      </c>
      <c r="N796" t="n">
        <v>7.5</v>
      </c>
      <c r="O796" t="n">
        <v>8.1</v>
      </c>
      <c r="P796" t="n">
        <v>5.565545</v>
      </c>
      <c r="Q796" t="n">
        <v>4.840756</v>
      </c>
      <c r="R796" t="n">
        <v>16.5</v>
      </c>
      <c r="S796" t="n">
        <v>4</v>
      </c>
      <c r="T796" t="n">
        <v>7.9</v>
      </c>
      <c r="U796" t="n">
        <v>6.7</v>
      </c>
      <c r="V796" t="n">
        <v>5.443354</v>
      </c>
      <c r="W796" t="n">
        <v>10</v>
      </c>
      <c r="X796" t="n">
        <v>2.6</v>
      </c>
      <c r="Y796" t="n">
        <v>3.9</v>
      </c>
      <c r="Z796" t="n">
        <v>6.2</v>
      </c>
      <c r="AA796" t="n">
        <v>7.7</v>
      </c>
      <c r="AB796" t="n">
        <v>4.309412</v>
      </c>
      <c r="AC796" t="n">
        <v>3.5</v>
      </c>
      <c r="AD796" t="n">
        <v>4.8</v>
      </c>
      <c r="AE796" t="n">
        <v>6.553016</v>
      </c>
      <c r="AF796" t="n">
        <v>3.9</v>
      </c>
      <c r="AG796" t="n">
        <v>6.6</v>
      </c>
      <c r="AH796" t="n">
        <v>7.2</v>
      </c>
      <c r="AI796" t="n">
        <v>5</v>
      </c>
      <c r="AJ796" t="n">
        <v>9.5</v>
      </c>
      <c r="AK796" t="n">
        <v>13</v>
      </c>
      <c r="AL796" t="n">
        <v>6</v>
      </c>
    </row>
    <row r="797">
      <c r="A797" s="78" t="n">
        <v>44287</v>
      </c>
      <c r="B797" t="n">
        <v>5.47039</v>
      </c>
      <c r="C797" t="n">
        <v>7.1</v>
      </c>
      <c r="D797" t="n">
        <v>6.5</v>
      </c>
      <c r="E797" t="n">
        <v>8.1</v>
      </c>
      <c r="G797" t="n">
        <v>9.746888</v>
      </c>
      <c r="H797" t="n">
        <v>3.3</v>
      </c>
      <c r="I797" t="n">
        <v>3.7</v>
      </c>
      <c r="J797" t="n">
        <v>5.4</v>
      </c>
      <c r="K797" t="n">
        <v>8.1</v>
      </c>
      <c r="L797" t="n">
        <v>15.4</v>
      </c>
      <c r="M797" t="n">
        <v>6.3</v>
      </c>
      <c r="N797" t="n">
        <v>8.5</v>
      </c>
      <c r="O797" t="n">
        <v>8.300000000000001</v>
      </c>
      <c r="P797" t="n">
        <v>5.67132</v>
      </c>
      <c r="Q797" t="n">
        <v>4.839443</v>
      </c>
      <c r="R797" t="n">
        <v>17.3</v>
      </c>
      <c r="S797" t="n">
        <v>4.1</v>
      </c>
      <c r="T797" t="n">
        <v>7.6</v>
      </c>
      <c r="U797" t="n">
        <v>6.5</v>
      </c>
      <c r="V797" t="n">
        <v>5.331855</v>
      </c>
      <c r="W797" t="n">
        <v>10.1</v>
      </c>
      <c r="X797" t="n">
        <v>2.8</v>
      </c>
      <c r="Y797" t="n">
        <v>3.7</v>
      </c>
      <c r="Z797" t="n">
        <v>6.1</v>
      </c>
      <c r="AA797" t="n">
        <v>7.7</v>
      </c>
      <c r="AB797" t="n">
        <v>4.836729</v>
      </c>
      <c r="AC797" t="n">
        <v>3.4</v>
      </c>
      <c r="AD797" t="n">
        <v>5</v>
      </c>
      <c r="AE797" t="n">
        <v>6.69234</v>
      </c>
      <c r="AF797" t="n">
        <v>3.7</v>
      </c>
      <c r="AG797" t="n">
        <v>7</v>
      </c>
      <c r="AH797" t="n">
        <v>7.1</v>
      </c>
      <c r="AI797" t="n">
        <v>4.7</v>
      </c>
      <c r="AJ797" t="n">
        <v>9.1</v>
      </c>
      <c r="AK797" t="n">
        <v>13.4</v>
      </c>
      <c r="AL797" t="n">
        <v>6.1</v>
      </c>
    </row>
    <row r="798">
      <c r="A798" s="78" t="n">
        <v>44317</v>
      </c>
      <c r="B798" t="n">
        <v>5.064299</v>
      </c>
      <c r="C798" t="n">
        <v>6.7</v>
      </c>
      <c r="D798" t="n">
        <v>6.3</v>
      </c>
      <c r="E798" t="n">
        <v>8.199999999999999</v>
      </c>
      <c r="G798" t="n">
        <v>9.154261999999999</v>
      </c>
      <c r="H798" t="n">
        <v>3.1</v>
      </c>
      <c r="I798" t="n">
        <v>3.6</v>
      </c>
      <c r="J798" t="n">
        <v>5.1</v>
      </c>
      <c r="K798" t="n">
        <v>8</v>
      </c>
      <c r="L798" t="n">
        <v>15.4</v>
      </c>
      <c r="M798" t="n">
        <v>6.6</v>
      </c>
      <c r="N798" t="n">
        <v>8.199999999999999</v>
      </c>
      <c r="O798" t="n">
        <v>8.300000000000001</v>
      </c>
      <c r="P798" t="n">
        <v>5.536283</v>
      </c>
      <c r="Q798" t="n">
        <v>4.723915</v>
      </c>
      <c r="R798" t="n">
        <v>15.9</v>
      </c>
      <c r="S798" t="n">
        <v>4.2</v>
      </c>
      <c r="T798" t="n">
        <v>6.9</v>
      </c>
      <c r="U798" t="n">
        <v>6.2</v>
      </c>
      <c r="V798" t="n">
        <v>5.451968</v>
      </c>
      <c r="W798" t="n">
        <v>9.9</v>
      </c>
      <c r="X798" t="n">
        <v>3</v>
      </c>
      <c r="Y798" t="n">
        <v>3.8</v>
      </c>
      <c r="Z798" t="n">
        <v>5.9</v>
      </c>
      <c r="AA798" t="n">
        <v>7.8</v>
      </c>
      <c r="AB798" t="n">
        <v>4.146072</v>
      </c>
      <c r="AC798" t="n">
        <v>3.3</v>
      </c>
      <c r="AD798" t="n">
        <v>5</v>
      </c>
      <c r="AE798" t="n">
        <v>6.494541</v>
      </c>
      <c r="AF798" t="n">
        <v>3.6</v>
      </c>
      <c r="AG798" t="n">
        <v>7</v>
      </c>
      <c r="AH798" t="n">
        <v>7</v>
      </c>
      <c r="AI798" t="n">
        <v>4.5</v>
      </c>
      <c r="AJ798" t="n">
        <v>9.1</v>
      </c>
      <c r="AK798" t="n">
        <v>12.6</v>
      </c>
      <c r="AL798" t="n">
        <v>5.8</v>
      </c>
    </row>
    <row r="799">
      <c r="A799" s="78" t="n">
        <v>44348</v>
      </c>
      <c r="B799" t="n">
        <v>4.905563</v>
      </c>
      <c r="C799" t="n">
        <v>6.2</v>
      </c>
      <c r="D799" t="n">
        <v>6.2</v>
      </c>
      <c r="E799" t="n">
        <v>7.8</v>
      </c>
      <c r="G799" t="n">
        <v>8.492376</v>
      </c>
      <c r="H799" t="n">
        <v>2.8</v>
      </c>
      <c r="I799" t="n">
        <v>3.5</v>
      </c>
      <c r="J799" t="n">
        <v>4.8</v>
      </c>
      <c r="K799" t="n">
        <v>7.8</v>
      </c>
      <c r="L799" t="n">
        <v>15.3</v>
      </c>
      <c r="M799" t="n">
        <v>6.5</v>
      </c>
      <c r="N799" t="n">
        <v>7.7</v>
      </c>
      <c r="O799" t="n">
        <v>8.1</v>
      </c>
      <c r="P799" t="n">
        <v>5.48035</v>
      </c>
      <c r="Q799" t="n">
        <v>4.572463</v>
      </c>
      <c r="R799" t="n">
        <v>15</v>
      </c>
      <c r="S799" t="n">
        <v>4.1</v>
      </c>
      <c r="T799" t="n">
        <v>6.3</v>
      </c>
      <c r="U799" t="n">
        <v>5.9</v>
      </c>
      <c r="V799" t="n">
        <v>5.115798</v>
      </c>
      <c r="W799" t="n">
        <v>9.4</v>
      </c>
      <c r="X799" t="n">
        <v>2.9</v>
      </c>
      <c r="Y799" t="n">
        <v>3.7</v>
      </c>
      <c r="Z799" t="n">
        <v>5.7</v>
      </c>
      <c r="AA799" t="n">
        <v>7.9</v>
      </c>
      <c r="AB799" t="n">
        <v>4.049173</v>
      </c>
      <c r="AC799" t="n">
        <v>3.2</v>
      </c>
      <c r="AD799" t="n">
        <v>4.9</v>
      </c>
      <c r="AE799" t="n">
        <v>6.292293</v>
      </c>
      <c r="AF799" t="n">
        <v>3.5</v>
      </c>
      <c r="AG799" t="n">
        <v>6.8</v>
      </c>
      <c r="AH799" t="n">
        <v>6.8</v>
      </c>
      <c r="AI799" t="n">
        <v>4.4</v>
      </c>
      <c r="AJ799" t="n">
        <v>9.4</v>
      </c>
      <c r="AK799" t="n">
        <v>10.6</v>
      </c>
      <c r="AL799" t="n">
        <v>5.9</v>
      </c>
    </row>
    <row r="800">
      <c r="A800" s="78" t="n">
        <v>44378</v>
      </c>
      <c r="B800" t="n">
        <v>4.627531</v>
      </c>
      <c r="C800" t="n">
        <v>6</v>
      </c>
      <c r="D800" t="n">
        <v>6.2</v>
      </c>
      <c r="E800" t="n">
        <v>7.5</v>
      </c>
      <c r="G800" t="n">
        <v>8.2127</v>
      </c>
      <c r="H800" t="n">
        <v>2.6</v>
      </c>
      <c r="I800" t="n">
        <v>3.4</v>
      </c>
      <c r="J800" t="n">
        <v>4.7</v>
      </c>
      <c r="K800" t="n">
        <v>7.6</v>
      </c>
      <c r="L800" t="n">
        <v>15</v>
      </c>
      <c r="M800" t="n">
        <v>6.4</v>
      </c>
      <c r="N800" t="n">
        <v>7.7</v>
      </c>
      <c r="O800" t="n">
        <v>8</v>
      </c>
      <c r="P800" t="n">
        <v>5.173836</v>
      </c>
      <c r="Q800" t="n">
        <v>4.451372</v>
      </c>
      <c r="R800" t="n">
        <v>14.1</v>
      </c>
      <c r="S800" t="n">
        <v>4.1</v>
      </c>
      <c r="T800" t="n">
        <v>5.7</v>
      </c>
      <c r="U800" t="n">
        <v>5.7</v>
      </c>
      <c r="V800" t="n">
        <v>4.935326</v>
      </c>
      <c r="W800" t="n">
        <v>9.199999999999999</v>
      </c>
      <c r="X800" t="n">
        <v>2.8</v>
      </c>
      <c r="Y800" t="n">
        <v>3.3</v>
      </c>
      <c r="Z800" t="n">
        <v>5.5</v>
      </c>
      <c r="AA800" t="n">
        <v>7.7</v>
      </c>
      <c r="AB800" t="n">
        <v>4.213379</v>
      </c>
      <c r="AC800" t="n">
        <v>3.1</v>
      </c>
      <c r="AD800" t="n">
        <v>4.3</v>
      </c>
      <c r="AE800" t="n">
        <v>6.081991</v>
      </c>
      <c r="AF800" t="n">
        <v>3.4</v>
      </c>
      <c r="AG800" t="n">
        <v>6.6</v>
      </c>
      <c r="AH800" t="n">
        <v>6.7</v>
      </c>
      <c r="AI800" t="n">
        <v>4.5</v>
      </c>
      <c r="AJ800" t="n">
        <v>8.300000000000001</v>
      </c>
      <c r="AK800" t="n">
        <v>11.9</v>
      </c>
      <c r="AL800" t="n">
        <v>5.4</v>
      </c>
    </row>
    <row r="801">
      <c r="A801" s="78" t="n">
        <v>44409</v>
      </c>
      <c r="B801" t="n">
        <v>4.524375</v>
      </c>
      <c r="C801" t="n">
        <v>5.9</v>
      </c>
      <c r="D801" t="n">
        <v>6.4</v>
      </c>
      <c r="E801" t="n">
        <v>7.1</v>
      </c>
      <c r="G801" t="n">
        <v>8.199780000000001</v>
      </c>
      <c r="H801" t="n">
        <v>2.8</v>
      </c>
      <c r="I801" t="n">
        <v>3.4</v>
      </c>
      <c r="J801" t="n">
        <v>4.8</v>
      </c>
      <c r="K801" t="n">
        <v>7.5</v>
      </c>
      <c r="L801" t="n">
        <v>14.8</v>
      </c>
      <c r="M801" t="n">
        <v>6</v>
      </c>
      <c r="N801" t="n">
        <v>7.2</v>
      </c>
      <c r="O801" t="n">
        <v>7.9</v>
      </c>
      <c r="P801" t="n">
        <v>5.060379</v>
      </c>
      <c r="Q801" t="n">
        <v>4.263134</v>
      </c>
      <c r="R801" t="n">
        <v>13.8</v>
      </c>
      <c r="S801" t="n">
        <v>4.1</v>
      </c>
      <c r="T801" t="n">
        <v>5.4</v>
      </c>
      <c r="U801" t="n">
        <v>5.5</v>
      </c>
      <c r="V801" t="n">
        <v>5.013559</v>
      </c>
      <c r="W801" t="n">
        <v>9.300000000000001</v>
      </c>
      <c r="X801" t="n">
        <v>2.8</v>
      </c>
      <c r="Y801" t="n">
        <v>2.8</v>
      </c>
      <c r="Z801" t="n">
        <v>5.4</v>
      </c>
      <c r="AA801" t="n">
        <v>7.3</v>
      </c>
      <c r="AB801" t="n">
        <v>4.061988</v>
      </c>
      <c r="AC801" t="n">
        <v>3.2</v>
      </c>
      <c r="AD801" t="n">
        <v>4</v>
      </c>
      <c r="AE801" t="n">
        <v>5.935931</v>
      </c>
      <c r="AF801" t="n">
        <v>3.4</v>
      </c>
      <c r="AG801" t="n">
        <v>6.3</v>
      </c>
      <c r="AH801" t="n">
        <v>6.5</v>
      </c>
      <c r="AI801" t="n">
        <v>4.6</v>
      </c>
      <c r="AJ801" t="n">
        <v>8.800000000000001</v>
      </c>
      <c r="AK801" t="n">
        <v>11.8</v>
      </c>
      <c r="AL801" t="n">
        <v>5.2</v>
      </c>
    </row>
    <row r="802">
      <c r="A802" s="78" t="n">
        <v>44440</v>
      </c>
      <c r="B802" t="n">
        <v>4.631093</v>
      </c>
      <c r="C802" t="n">
        <v>5.2</v>
      </c>
      <c r="D802" t="n">
        <v>6.3</v>
      </c>
      <c r="E802" t="n">
        <v>6.9</v>
      </c>
      <c r="G802" t="n">
        <v>8.081270999999999</v>
      </c>
      <c r="H802" t="n">
        <v>2.6</v>
      </c>
      <c r="I802" t="n">
        <v>3.3</v>
      </c>
      <c r="J802" t="n">
        <v>5.1</v>
      </c>
      <c r="K802" t="n">
        <v>7.4</v>
      </c>
      <c r="L802" t="n">
        <v>14.6</v>
      </c>
      <c r="M802" t="n">
        <v>5.7</v>
      </c>
      <c r="N802" t="n">
        <v>7.7</v>
      </c>
      <c r="O802" t="n">
        <v>7.7</v>
      </c>
      <c r="P802" t="n">
        <v>4.829453</v>
      </c>
      <c r="Q802" t="n">
        <v>4.195306</v>
      </c>
      <c r="R802" t="n">
        <v>13.1</v>
      </c>
      <c r="S802" t="n">
        <v>3.6</v>
      </c>
      <c r="T802" t="n">
        <v>5.2</v>
      </c>
      <c r="U802" t="n">
        <v>5.4</v>
      </c>
      <c r="V802" t="n">
        <v>5.145864</v>
      </c>
      <c r="W802" t="n">
        <v>9.199999999999999</v>
      </c>
      <c r="X802" t="n">
        <v>2.8</v>
      </c>
      <c r="Y802" t="n">
        <v>3</v>
      </c>
      <c r="Z802" t="n">
        <v>5.3</v>
      </c>
      <c r="AA802" t="n">
        <v>7</v>
      </c>
      <c r="AB802" t="n">
        <v>3.916452</v>
      </c>
      <c r="AC802" t="n">
        <v>3.1</v>
      </c>
      <c r="AD802" t="n">
        <v>3.6</v>
      </c>
      <c r="AE802" t="n">
        <v>5.763198</v>
      </c>
      <c r="AF802" t="n">
        <v>3.4</v>
      </c>
      <c r="AG802" t="n">
        <v>6.4</v>
      </c>
      <c r="AH802" t="n">
        <v>6.3</v>
      </c>
      <c r="AI802" t="n">
        <v>4.7</v>
      </c>
      <c r="AJ802" t="n">
        <v>8.800000000000001</v>
      </c>
      <c r="AK802" t="n">
        <v>11.5</v>
      </c>
      <c r="AL802" t="n">
        <v>4.8</v>
      </c>
    </row>
    <row r="803">
      <c r="A803" s="78" t="n">
        <v>44470</v>
      </c>
      <c r="B803" t="n">
        <v>5.222845</v>
      </c>
      <c r="C803" t="n">
        <v>5.8</v>
      </c>
      <c r="D803" t="n">
        <v>6.3</v>
      </c>
      <c r="E803" t="n">
        <v>6.7</v>
      </c>
      <c r="G803" t="n">
        <v>7.863502</v>
      </c>
      <c r="H803" t="n">
        <v>2.6</v>
      </c>
      <c r="I803" t="n">
        <v>3.3</v>
      </c>
      <c r="J803" t="n">
        <v>5.1</v>
      </c>
      <c r="K803" t="n">
        <v>7.3</v>
      </c>
      <c r="L803" t="n">
        <v>14.5</v>
      </c>
      <c r="M803" t="n">
        <v>5.7</v>
      </c>
      <c r="N803" t="n">
        <v>6.7</v>
      </c>
      <c r="O803" t="n">
        <v>7.6</v>
      </c>
      <c r="P803" t="n">
        <v>4.738881</v>
      </c>
      <c r="Q803" t="n">
        <v>4.082858</v>
      </c>
      <c r="R803" t="n">
        <v>12.9</v>
      </c>
      <c r="S803" t="n">
        <v>3.9</v>
      </c>
      <c r="T803" t="n">
        <v>5.2</v>
      </c>
      <c r="U803" t="n">
        <v>5.3</v>
      </c>
      <c r="V803" t="n">
        <v>5.013416</v>
      </c>
      <c r="W803" t="n">
        <v>9.4</v>
      </c>
      <c r="X803" t="n">
        <v>2.7</v>
      </c>
      <c r="Y803" t="n">
        <v>3.2</v>
      </c>
      <c r="Z803" t="n">
        <v>5.1</v>
      </c>
      <c r="AA803" t="n">
        <v>7</v>
      </c>
      <c r="AB803" t="n">
        <v>3.891146</v>
      </c>
      <c r="AC803" t="n">
        <v>2.9</v>
      </c>
      <c r="AD803" t="n">
        <v>3.6</v>
      </c>
      <c r="AE803" t="n">
        <v>5.728198</v>
      </c>
      <c r="AF803" t="n">
        <v>3.4</v>
      </c>
      <c r="AG803" t="n">
        <v>6.4</v>
      </c>
      <c r="AH803" t="n">
        <v>6.3</v>
      </c>
      <c r="AI803" t="n">
        <v>4.8</v>
      </c>
      <c r="AJ803" t="n">
        <v>8.5</v>
      </c>
      <c r="AK803" t="n">
        <v>11.2</v>
      </c>
      <c r="AL803" t="n">
        <v>4.6</v>
      </c>
    </row>
    <row r="804">
      <c r="A804" s="78" t="n">
        <v>44501</v>
      </c>
      <c r="B804" t="n">
        <v>4.608804</v>
      </c>
      <c r="C804" t="n">
        <v>5.3</v>
      </c>
      <c r="D804" t="n">
        <v>5.9</v>
      </c>
      <c r="E804" t="n">
        <v>6</v>
      </c>
      <c r="G804" t="n">
        <v>7.75983</v>
      </c>
      <c r="H804" t="n">
        <v>2.2</v>
      </c>
      <c r="I804" t="n">
        <v>3.2</v>
      </c>
      <c r="J804" t="n">
        <v>5</v>
      </c>
      <c r="K804" t="n">
        <v>7.2</v>
      </c>
      <c r="L804" t="n">
        <v>14.1</v>
      </c>
      <c r="M804" t="n">
        <v>5</v>
      </c>
      <c r="N804" t="n">
        <v>6.8</v>
      </c>
      <c r="O804" t="n">
        <v>7.5</v>
      </c>
      <c r="P804" t="n">
        <v>4.518424</v>
      </c>
      <c r="Q804" t="n">
        <v>4.1</v>
      </c>
      <c r="R804" t="n">
        <v>13.4</v>
      </c>
      <c r="S804" t="n">
        <v>3.8</v>
      </c>
      <c r="T804" t="n">
        <v>5.2</v>
      </c>
      <c r="U804" t="n">
        <v>5</v>
      </c>
      <c r="V804" t="n">
        <v>4.524422</v>
      </c>
      <c r="W804" t="n">
        <v>9.199999999999999</v>
      </c>
      <c r="X804" t="n">
        <v>2.8</v>
      </c>
      <c r="Y804" t="n">
        <v>3.1</v>
      </c>
      <c r="Z804" t="n">
        <v>5</v>
      </c>
      <c r="AA804" t="n">
        <v>7.3</v>
      </c>
      <c r="AB804" t="n">
        <v>3.796662</v>
      </c>
      <c r="AC804" t="n">
        <v>2.7</v>
      </c>
      <c r="AD804" t="n">
        <v>3.5</v>
      </c>
      <c r="AE804" t="n">
        <v>5.499246</v>
      </c>
      <c r="AF804" t="n">
        <v>3</v>
      </c>
      <c r="AG804" t="n">
        <v>6.3</v>
      </c>
      <c r="AH804" t="n">
        <v>6.3</v>
      </c>
      <c r="AI804" t="n">
        <v>4.8</v>
      </c>
      <c r="AJ804" t="n">
        <v>8.300000000000001</v>
      </c>
      <c r="AK804" t="n">
        <v>11.2</v>
      </c>
      <c r="AL804" t="n">
        <v>4.2</v>
      </c>
    </row>
    <row r="805">
      <c r="A805" s="78" t="n">
        <v>44531</v>
      </c>
      <c r="B805" t="n">
        <v>4.157424</v>
      </c>
      <c r="C805" t="n">
        <v>4.9</v>
      </c>
      <c r="D805" t="n">
        <v>5.7</v>
      </c>
      <c r="E805" t="n">
        <v>5.9</v>
      </c>
      <c r="G805" t="n">
        <v>7.683922</v>
      </c>
      <c r="H805" t="n">
        <v>2.1</v>
      </c>
      <c r="I805" t="n">
        <v>3.2</v>
      </c>
      <c r="J805" t="n">
        <v>5.1</v>
      </c>
      <c r="K805" t="n">
        <v>7</v>
      </c>
      <c r="L805" t="n">
        <v>13</v>
      </c>
      <c r="M805" t="n">
        <v>5.2</v>
      </c>
      <c r="N805" t="n">
        <v>7.2</v>
      </c>
      <c r="O805" t="n">
        <v>7.4</v>
      </c>
      <c r="P805" t="n">
        <v>4.342466</v>
      </c>
      <c r="Q805" t="n">
        <v>3.9</v>
      </c>
      <c r="R805" t="n">
        <v>12.7</v>
      </c>
      <c r="S805" t="n">
        <v>3.7</v>
      </c>
      <c r="T805" t="n">
        <v>5.1</v>
      </c>
      <c r="U805" t="n">
        <v>4.9</v>
      </c>
      <c r="V805" t="n">
        <v>4.264764</v>
      </c>
      <c r="W805" t="n">
        <v>9</v>
      </c>
      <c r="X805" t="n">
        <v>2.7</v>
      </c>
      <c r="Y805" t="n">
        <v>3.8</v>
      </c>
      <c r="Z805" t="n">
        <v>5</v>
      </c>
      <c r="AA805" t="n">
        <v>7.5</v>
      </c>
      <c r="AB805" t="n">
        <v>3.887654</v>
      </c>
      <c r="AC805" t="n">
        <v>3.8</v>
      </c>
      <c r="AD805" t="n">
        <v>3.3</v>
      </c>
      <c r="AE805" t="n">
        <v>5.372316</v>
      </c>
      <c r="AF805" t="n">
        <v>2.9</v>
      </c>
      <c r="AG805" t="n">
        <v>5.9</v>
      </c>
      <c r="AH805" t="n">
        <v>6.4</v>
      </c>
      <c r="AI805" t="n">
        <v>4.6</v>
      </c>
      <c r="AJ805" t="n">
        <v>8</v>
      </c>
      <c r="AK805" t="n">
        <v>11.2</v>
      </c>
      <c r="AL805" t="n">
        <v>3.9</v>
      </c>
    </row>
    <row r="806">
      <c r="A806" s="78" t="n">
        <v>44562</v>
      </c>
      <c r="B806" t="n">
        <v>4.192616</v>
      </c>
      <c r="C806" t="n">
        <v>4.9</v>
      </c>
      <c r="D806" t="n">
        <v>5.6</v>
      </c>
      <c r="E806" t="n">
        <v>6.5</v>
      </c>
      <c r="H806" t="n">
        <v>2.2</v>
      </c>
      <c r="I806" t="n">
        <v>3.1</v>
      </c>
      <c r="J806" t="n">
        <v>4.7</v>
      </c>
      <c r="K806" t="n">
        <v>6.8</v>
      </c>
      <c r="L806" t="n">
        <v>12.7</v>
      </c>
      <c r="M806" t="n">
        <v>5.3</v>
      </c>
      <c r="N806" t="n">
        <v>7.1</v>
      </c>
      <c r="O806" t="n">
        <v>7</v>
      </c>
      <c r="P806" t="n">
        <v>4.354779</v>
      </c>
      <c r="R806" t="n">
        <v>13.3</v>
      </c>
      <c r="S806" t="n">
        <v>3.8</v>
      </c>
      <c r="T806" t="n">
        <v>5.3</v>
      </c>
      <c r="U806" t="n">
        <v>4.2</v>
      </c>
      <c r="V806" t="n">
        <v>3.887385</v>
      </c>
      <c r="W806" t="n">
        <v>8.800000000000001</v>
      </c>
      <c r="X806" t="n">
        <v>2.8</v>
      </c>
      <c r="Y806" t="n">
        <v>3.6</v>
      </c>
      <c r="Z806" t="n">
        <v>4.7</v>
      </c>
      <c r="AA806" t="n">
        <v>7.3</v>
      </c>
      <c r="AB806" t="n">
        <v>3.538229</v>
      </c>
      <c r="AC806" t="n">
        <v>3.6</v>
      </c>
      <c r="AE806" t="n">
        <v>5.32679</v>
      </c>
      <c r="AF806" t="n">
        <v>2.8</v>
      </c>
      <c r="AG806" t="n">
        <v>6</v>
      </c>
      <c r="AH806" t="n">
        <v>6.4</v>
      </c>
      <c r="AI806" t="n">
        <v>4.2</v>
      </c>
      <c r="AJ806" t="n">
        <v>8.1</v>
      </c>
      <c r="AL806" t="n">
        <v>4</v>
      </c>
    </row>
    <row r="807">
      <c r="A807" s="78" t="n">
        <v>44593</v>
      </c>
      <c r="B807" t="n">
        <v>4.042395</v>
      </c>
      <c r="E807" t="n">
        <v>5.5</v>
      </c>
      <c r="Y807" t="n">
        <v>2.7</v>
      </c>
      <c r="AL807" t="n">
        <v>3.8</v>
      </c>
    </row>
    <row r="808">
      <c r="A808" s="78" t="n">
        <v>44621</v>
      </c>
    </row>
    <row r="809">
      <c r="A809" s="78" t="n">
        <v>44652</v>
      </c>
    </row>
    <row r="810">
      <c r="A810" s="78" t="n">
        <v>44682</v>
      </c>
    </row>
    <row r="811">
      <c r="A811" s="78" t="n">
        <v>44713</v>
      </c>
    </row>
    <row r="812">
      <c r="A812" s="78" t="n">
        <v>44743</v>
      </c>
    </row>
    <row r="813">
      <c r="A813" s="78" t="n">
        <v>44774</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08"/>
  <sheetViews>
    <sheetView zoomScale="120" zoomScaleNormal="120" workbookViewId="0">
      <pane ySplit="11" topLeftCell="A989" activePane="bottomLeft" state="frozen"/>
      <selection activeCell="F8" sqref="F8"/>
      <selection pane="bottomLeft" activeCell="J1017" sqref="J1017"/>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3" min="7" max="36"/>
  </cols>
  <sheetData>
    <row r="1" customFormat="1" s="63">
      <c r="A1" s="63" t="inlineStr">
        <is>
          <t>PAYEMS</t>
        </is>
      </c>
      <c r="B1" s="15" t="inlineStr">
        <is>
          <t>All Employees: Total Nonfarm Payrolls, Thousands of Persons, Monthly, Seasonally Adjusted</t>
        </is>
      </c>
      <c r="C1" s="15" t="n"/>
      <c r="D1" s="15" t="n"/>
      <c r="E1" s="15" t="n"/>
      <c r="F1" s="15" t="n"/>
    </row>
    <row r="2" ht="16" customFormat="1" customHeight="1" s="63" thickBot="1">
      <c r="B2" s="15" t="n"/>
      <c r="C2" s="15" t="n"/>
      <c r="D2" s="15" t="n"/>
      <c r="E2" s="15" t="n"/>
      <c r="F2" s="15" t="n"/>
    </row>
    <row r="3" customFormat="1" s="63">
      <c r="B3" s="15" t="n"/>
      <c r="C3" s="22" t="inlineStr">
        <is>
          <t>Max</t>
        </is>
      </c>
      <c r="D3" s="18">
        <f>MAX(C13:C1031)</f>
        <v/>
      </c>
      <c r="E3" s="15" t="n"/>
      <c r="F3" s="16" t="n"/>
    </row>
    <row r="4" customFormat="1" s="63">
      <c r="A4" s="17" t="n"/>
      <c r="B4" s="15" t="n"/>
      <c r="C4" s="23" t="inlineStr">
        <is>
          <t>Min</t>
        </is>
      </c>
      <c r="D4" s="19">
        <f>MIN(C13:C1031)</f>
        <v/>
      </c>
      <c r="E4" s="15" t="n"/>
      <c r="F4" s="15" t="n"/>
    </row>
    <row r="5" customFormat="1" s="63">
      <c r="B5" s="15" t="n"/>
      <c r="C5" s="23" t="inlineStr">
        <is>
          <t>Average</t>
        </is>
      </c>
      <c r="D5" s="20">
        <f>AVERAGE(C13:C1531)</f>
        <v/>
      </c>
      <c r="E5" s="15" t="n"/>
      <c r="F5" s="15" t="n"/>
    </row>
    <row r="6" ht="16" customFormat="1" customHeight="1" s="63" thickBot="1">
      <c r="B6" s="15" t="n"/>
      <c r="C6" s="24" t="inlineStr">
        <is>
          <t>Avg. since 2010</t>
        </is>
      </c>
      <c r="D6" s="21">
        <f>AVERAGE(C864:C1031)</f>
        <v/>
      </c>
      <c r="E6" s="15" t="n"/>
      <c r="F6" s="15" t="n"/>
    </row>
    <row r="7" customFormat="1" s="63">
      <c r="B7" s="15" t="n"/>
      <c r="C7" s="15" t="n"/>
      <c r="D7" s="15" t="n"/>
      <c r="E7" s="15" t="n"/>
      <c r="F7" s="15" t="n"/>
    </row>
    <row r="8" customFormat="1" s="63">
      <c r="C8" s="15" t="n"/>
      <c r="D8" s="15" t="n"/>
      <c r="E8" s="15" t="n"/>
      <c r="F8" s="15" t="n"/>
    </row>
    <row r="9" customFormat="1" s="63">
      <c r="B9" s="15" t="n"/>
      <c r="C9" s="15" t="n"/>
      <c r="D9" s="15" t="n"/>
      <c r="E9" s="15" t="n"/>
      <c r="F9" s="15" t="n"/>
    </row>
    <row r="10" customFormat="1" s="63">
      <c r="A10" s="63"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62" t="n"/>
      <c r="H11" s="62" t="n"/>
      <c r="I11" s="62" t="n"/>
      <c r="J11" s="62" t="n"/>
      <c r="K11" s="62" t="n"/>
      <c r="L11" s="62" t="n"/>
      <c r="M11" s="62" t="n"/>
      <c r="N11" s="62" t="n"/>
      <c r="O11" s="62" t="n"/>
      <c r="P11" s="62" t="n"/>
      <c r="Q11" s="62" t="n"/>
      <c r="R11" s="62" t="n"/>
      <c r="S11" s="62" t="n"/>
      <c r="T11" s="62" t="n"/>
      <c r="U11" s="62" t="n"/>
      <c r="V11" s="62" t="n"/>
      <c r="W11" s="62" t="n"/>
      <c r="X11" s="62" t="n"/>
      <c r="Y11" s="62" t="n"/>
      <c r="Z11" s="62" t="n"/>
      <c r="AA11" s="62" t="n"/>
      <c r="AB11" s="62" t="n"/>
      <c r="AC11" s="62" t="n"/>
      <c r="AD11" s="62" t="n"/>
      <c r="AE11" s="62" t="n"/>
      <c r="AF11" s="62" t="n"/>
      <c r="AG11" s="62" t="n"/>
      <c r="AH11" s="62" t="n"/>
      <c r="AI11" s="62" t="n"/>
      <c r="AJ11" s="62"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3"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3"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3"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3"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3"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3"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3"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3"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3"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3"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3"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3"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3"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3"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3"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3"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3"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3"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3"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3"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3"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sheetData>
  <conditionalFormatting sqref="C864:C1008">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880"/>
  <sheetViews>
    <sheetView zoomScale="130" zoomScaleNormal="130" workbookViewId="0">
      <pane ySplit="4" topLeftCell="A2847" activePane="bottomLeft" state="frozen"/>
      <selection activeCell="K1" sqref="K1"/>
      <selection pane="bottomLeft" activeCell="R2887" sqref="R2887"/>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3" min="6" max="168"/>
  </cols>
  <sheetData>
    <row r="1" customFormat="1" s="63">
      <c r="B1" s="63" t="inlineStr">
        <is>
          <t>ICSA</t>
        </is>
      </c>
      <c r="D1" s="63" t="inlineStr">
        <is>
          <t>CCSA</t>
        </is>
      </c>
    </row>
    <row r="2" customFormat="1" s="63"/>
    <row r="3" customFormat="1" s="63"/>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3">
      <c r="A2745" s="28" t="n">
        <v>43659</v>
      </c>
      <c r="B2745" s="25">
        <f>VLOOKUP(A2745,'Database Claims'!$A:$C,3,)</f>
        <v/>
      </c>
      <c r="C2745" s="29">
        <f>B2745-B2744</f>
        <v/>
      </c>
      <c r="D2745" s="25">
        <f>VLOOKUP(A2745,'Database Claims'!$A:$C,2,)</f>
        <v/>
      </c>
      <c r="E2745" s="29">
        <f>D2745-D2744</f>
        <v/>
      </c>
    </row>
    <row r="2746" customFormat="1" s="63">
      <c r="A2746" s="28" t="n">
        <v>43666</v>
      </c>
      <c r="B2746" s="29">
        <f>VLOOKUP(A2746,'Database Claims'!$A:$C,3,)</f>
        <v/>
      </c>
      <c r="C2746" s="29">
        <f>B2746-B2745</f>
        <v/>
      </c>
      <c r="D2746" s="29">
        <f>VLOOKUP(A2746,'Database Claims'!$A:$C,2,)</f>
        <v/>
      </c>
      <c r="E2746" s="29">
        <f>D2746-D2745</f>
        <v/>
      </c>
    </row>
    <row r="2747" customFormat="1" s="63">
      <c r="A2747" s="28" t="n">
        <v>43673</v>
      </c>
      <c r="B2747" s="25">
        <f>VLOOKUP(A2747,'Database Claims'!$A:$C,3,)</f>
        <v/>
      </c>
      <c r="C2747" s="29">
        <f>B2747-B2746</f>
        <v/>
      </c>
      <c r="D2747" s="25">
        <f>VLOOKUP(A2747,'Database Claims'!$A:$C,2,)</f>
        <v/>
      </c>
      <c r="E2747" s="29">
        <f>D2747-D2746</f>
        <v/>
      </c>
    </row>
    <row r="2748" customFormat="1" s="63">
      <c r="A2748" s="28" t="n">
        <v>43680</v>
      </c>
      <c r="B2748" s="29">
        <f>VLOOKUP(A2748,'Database Claims'!$A:$C,3,)</f>
        <v/>
      </c>
      <c r="C2748" s="29">
        <f>B2748-B2747</f>
        <v/>
      </c>
      <c r="D2748" s="29">
        <f>VLOOKUP(A2748,'Database Claims'!$A:$C,2,)</f>
        <v/>
      </c>
      <c r="E2748" s="29">
        <f>D2748-D2747</f>
        <v/>
      </c>
    </row>
    <row r="2749" customFormat="1" s="63">
      <c r="A2749" s="28" t="n">
        <v>43687</v>
      </c>
      <c r="B2749" s="25">
        <f>VLOOKUP(A2749,'Database Claims'!$A:$C,3,)</f>
        <v/>
      </c>
      <c r="C2749" s="29">
        <f>B2749-B2748</f>
        <v/>
      </c>
      <c r="D2749" s="25">
        <f>VLOOKUP(A2749,'Database Claims'!$A:$C,2,)</f>
        <v/>
      </c>
      <c r="E2749" s="29">
        <f>D2749-D2748</f>
        <v/>
      </c>
    </row>
    <row r="2750" customFormat="1" s="63">
      <c r="A2750" s="28" t="n">
        <v>43694</v>
      </c>
      <c r="B2750" s="29">
        <f>VLOOKUP(A2750,'Database Claims'!$A:$C,3,)</f>
        <v/>
      </c>
      <c r="C2750" s="29">
        <f>B2750-B2749</f>
        <v/>
      </c>
      <c r="D2750" s="29">
        <f>VLOOKUP(A2750,'Database Claims'!$A:$C,2,)</f>
        <v/>
      </c>
      <c r="E2750" s="29">
        <f>D2750-D2749</f>
        <v/>
      </c>
    </row>
    <row r="2751" customFormat="1" s="63">
      <c r="A2751" s="28" t="n">
        <v>43701</v>
      </c>
      <c r="B2751" s="25">
        <f>VLOOKUP(A2751,'Database Claims'!$A:$C,3,)</f>
        <v/>
      </c>
      <c r="C2751" s="29">
        <f>B2751-B2750</f>
        <v/>
      </c>
      <c r="D2751" s="25">
        <f>VLOOKUP(A2751,'Database Claims'!$A:$C,2,)</f>
        <v/>
      </c>
      <c r="E2751" s="29">
        <f>D2751-D2750</f>
        <v/>
      </c>
    </row>
    <row r="2752" customFormat="1" s="63">
      <c r="A2752" s="28" t="n">
        <v>43708</v>
      </c>
      <c r="B2752" s="29">
        <f>VLOOKUP(A2752,'Database Claims'!$A:$C,3,)</f>
        <v/>
      </c>
      <c r="C2752" s="29">
        <f>B2752-B2751</f>
        <v/>
      </c>
      <c r="D2752" s="29">
        <f>VLOOKUP(A2752,'Database Claims'!$A:$C,2,)</f>
        <v/>
      </c>
      <c r="E2752" s="29">
        <f>D2752-D2751</f>
        <v/>
      </c>
    </row>
    <row r="2753" customFormat="1" s="63">
      <c r="A2753" s="28" t="n">
        <v>43715</v>
      </c>
      <c r="B2753" s="25">
        <f>VLOOKUP(A2753,'Database Claims'!$A:$C,3,)</f>
        <v/>
      </c>
      <c r="C2753" s="29">
        <f>B2753-B2752</f>
        <v/>
      </c>
      <c r="D2753" s="25">
        <f>VLOOKUP(A2753,'Database Claims'!$A:$C,2,)</f>
        <v/>
      </c>
      <c r="E2753" s="29">
        <f>D2753-D2752</f>
        <v/>
      </c>
    </row>
    <row r="2754" customFormat="1" s="63">
      <c r="A2754" s="28" t="n">
        <v>43722</v>
      </c>
      <c r="B2754" s="29">
        <f>VLOOKUP(A2754,'Database Claims'!$A:$C,3,)</f>
        <v/>
      </c>
      <c r="C2754" s="29">
        <f>B2754-B2753</f>
        <v/>
      </c>
      <c r="D2754" s="29">
        <f>VLOOKUP(A2754,'Database Claims'!$A:$C,2,)</f>
        <v/>
      </c>
      <c r="E2754" s="29">
        <f>D2754-D2753</f>
        <v/>
      </c>
    </row>
    <row r="2755" customFormat="1" s="63">
      <c r="A2755" s="28" t="n">
        <v>43729</v>
      </c>
      <c r="B2755" s="25">
        <f>VLOOKUP(A2755,'Database Claims'!$A:$C,3,)</f>
        <v/>
      </c>
      <c r="C2755" s="29">
        <f>B2755-B2754</f>
        <v/>
      </c>
      <c r="D2755" s="25">
        <f>VLOOKUP(A2755,'Database Claims'!$A:$C,2,)</f>
        <v/>
      </c>
      <c r="E2755" s="29">
        <f>D2755-D2754</f>
        <v/>
      </c>
    </row>
    <row r="2756" customFormat="1" s="63">
      <c r="A2756" s="28" t="n">
        <v>43736</v>
      </c>
      <c r="B2756" s="29">
        <f>VLOOKUP(A2756,'Database Claims'!$A:$C,3,)</f>
        <v/>
      </c>
      <c r="C2756" s="29">
        <f>B2756-B2755</f>
        <v/>
      </c>
      <c r="D2756" s="29">
        <f>VLOOKUP(A2756,'Database Claims'!$A:$C,2,)</f>
        <v/>
      </c>
      <c r="E2756" s="29">
        <f>D2756-D2755</f>
        <v/>
      </c>
    </row>
    <row r="2757" customFormat="1" s="63">
      <c r="A2757" s="28" t="n">
        <v>43743</v>
      </c>
      <c r="B2757" s="25">
        <f>VLOOKUP(A2757,'Database Claims'!$A:$C,3,)</f>
        <v/>
      </c>
      <c r="C2757" s="29">
        <f>B2757-B2756</f>
        <v/>
      </c>
      <c r="D2757" s="25">
        <f>VLOOKUP(A2757,'Database Claims'!$A:$C,2,)</f>
        <v/>
      </c>
      <c r="E2757" s="29">
        <f>D2757-D2756</f>
        <v/>
      </c>
    </row>
    <row r="2758" customFormat="1" s="63">
      <c r="A2758" s="28" t="n">
        <v>43750</v>
      </c>
      <c r="B2758" s="29">
        <f>VLOOKUP(A2758,'Database Claims'!$A:$C,3,)</f>
        <v/>
      </c>
      <c r="C2758" s="29">
        <f>B2758-B2757</f>
        <v/>
      </c>
      <c r="D2758" s="29">
        <f>VLOOKUP(A2758,'Database Claims'!$A:$C,2,)</f>
        <v/>
      </c>
      <c r="E2758" s="29">
        <f>D2758-D2757</f>
        <v/>
      </c>
    </row>
    <row r="2759" customFormat="1" s="63">
      <c r="A2759" s="28" t="n">
        <v>43757</v>
      </c>
      <c r="B2759" s="25">
        <f>VLOOKUP(A2759,'Database Claims'!$A:$C,3,)</f>
        <v/>
      </c>
      <c r="C2759" s="29">
        <f>B2759-B2758</f>
        <v/>
      </c>
      <c r="D2759" s="25">
        <f>VLOOKUP(A2759,'Database Claims'!$A:$C,2,)</f>
        <v/>
      </c>
      <c r="E2759" s="29">
        <f>D2759-D2758</f>
        <v/>
      </c>
    </row>
    <row r="2760" customFormat="1" s="63">
      <c r="A2760" s="28" t="n">
        <v>43764</v>
      </c>
      <c r="B2760" s="29">
        <f>VLOOKUP(A2760,'Database Claims'!$A:$C,3,)</f>
        <v/>
      </c>
      <c r="C2760" s="29">
        <f>B2760-B2759</f>
        <v/>
      </c>
      <c r="D2760" s="29">
        <f>VLOOKUP(A2760,'Database Claims'!$A:$C,2,)</f>
        <v/>
      </c>
      <c r="E2760" s="29">
        <f>D2760-D2759</f>
        <v/>
      </c>
    </row>
    <row r="2761" customFormat="1" s="63">
      <c r="A2761" s="28" t="n">
        <v>43771</v>
      </c>
      <c r="B2761" s="25">
        <f>VLOOKUP(A2761,'Database Claims'!$A:$C,3,)</f>
        <v/>
      </c>
      <c r="C2761" s="29">
        <f>B2761-B2760</f>
        <v/>
      </c>
      <c r="D2761" s="25">
        <f>VLOOKUP(A2761,'Database Claims'!$A:$C,2,)</f>
        <v/>
      </c>
      <c r="E2761" s="29">
        <f>D2761-D2760</f>
        <v/>
      </c>
    </row>
    <row r="2762" customFormat="1" s="63">
      <c r="A2762" s="28" t="n">
        <v>43778</v>
      </c>
      <c r="B2762" s="29">
        <f>VLOOKUP(A2762,'Database Claims'!$A:$C,3,)</f>
        <v/>
      </c>
      <c r="C2762" s="29">
        <f>B2762-B2761</f>
        <v/>
      </c>
      <c r="D2762" s="29">
        <f>VLOOKUP(A2762,'Database Claims'!$A:$C,2,)</f>
        <v/>
      </c>
      <c r="E2762" s="29">
        <f>D2762-D2761</f>
        <v/>
      </c>
    </row>
    <row r="2763" customFormat="1" s="63">
      <c r="A2763" s="28" t="n">
        <v>43785</v>
      </c>
      <c r="B2763" s="25">
        <f>VLOOKUP(A2763,'Database Claims'!$A:$C,3,)</f>
        <v/>
      </c>
      <c r="C2763" s="29">
        <f>B2763-B2762</f>
        <v/>
      </c>
      <c r="D2763" s="25">
        <f>VLOOKUP(A2763,'Database Claims'!$A:$C,2,)</f>
        <v/>
      </c>
      <c r="E2763" s="29">
        <f>D2763-D2762</f>
        <v/>
      </c>
    </row>
    <row r="2764" customFormat="1" s="63">
      <c r="A2764" s="28" t="n">
        <v>43792</v>
      </c>
      <c r="B2764" s="29">
        <f>VLOOKUP(A2764,'Database Claims'!$A:$C,3,)</f>
        <v/>
      </c>
      <c r="C2764" s="29">
        <f>B2764-B2763</f>
        <v/>
      </c>
      <c r="D2764" s="29">
        <f>VLOOKUP(A2764,'Database Claims'!$A:$C,2,)</f>
        <v/>
      </c>
      <c r="E2764" s="29">
        <f>D2764-D2763</f>
        <v/>
      </c>
    </row>
    <row r="2765" customFormat="1" s="63">
      <c r="A2765" s="28" t="n">
        <v>43799</v>
      </c>
      <c r="B2765" s="25">
        <f>VLOOKUP(A2765,'Database Claims'!$A:$C,3,)</f>
        <v/>
      </c>
      <c r="C2765" s="29">
        <f>B2765-B2764</f>
        <v/>
      </c>
      <c r="D2765" s="25">
        <f>VLOOKUP(A2765,'Database Claims'!$A:$C,2,)</f>
        <v/>
      </c>
      <c r="E2765" s="29">
        <f>D2765-D2764</f>
        <v/>
      </c>
    </row>
    <row r="2766" customFormat="1" s="63">
      <c r="A2766" s="28" t="n">
        <v>43806</v>
      </c>
      <c r="B2766" s="29">
        <f>VLOOKUP(A2766,'Database Claims'!$A:$C,3,)</f>
        <v/>
      </c>
      <c r="C2766" s="29">
        <f>B2766-B2765</f>
        <v/>
      </c>
      <c r="D2766" s="29">
        <f>VLOOKUP(A2766,'Database Claims'!$A:$C,2,)</f>
        <v/>
      </c>
      <c r="E2766" s="29">
        <f>D2766-D2765</f>
        <v/>
      </c>
    </row>
    <row r="2767" customFormat="1" s="63">
      <c r="A2767" s="28" t="n">
        <v>43813</v>
      </c>
      <c r="B2767" s="25">
        <f>VLOOKUP(A2767,'Database Claims'!$A:$C,3,)</f>
        <v/>
      </c>
      <c r="C2767" s="29">
        <f>B2767-B2766</f>
        <v/>
      </c>
      <c r="D2767" s="25">
        <f>VLOOKUP(A2767,'Database Claims'!$A:$C,2,)</f>
        <v/>
      </c>
      <c r="E2767" s="29">
        <f>D2767-D2766</f>
        <v/>
      </c>
    </row>
    <row r="2768" customFormat="1" s="63">
      <c r="A2768" s="28" t="n">
        <v>43820</v>
      </c>
      <c r="B2768" s="29">
        <f>VLOOKUP(A2768,'Database Claims'!$A:$C,3,)</f>
        <v/>
      </c>
      <c r="C2768" s="29">
        <f>B2768-B2767</f>
        <v/>
      </c>
      <c r="D2768" s="29">
        <f>VLOOKUP(A2768,'Database Claims'!$A:$C,2,)</f>
        <v/>
      </c>
      <c r="E2768" s="29">
        <f>D2768-D2767</f>
        <v/>
      </c>
    </row>
    <row r="2769" customFormat="1" s="63">
      <c r="A2769" s="28" t="n">
        <v>43827</v>
      </c>
      <c r="B2769" s="25">
        <f>VLOOKUP(A2769,'Database Claims'!$A:$C,3,)</f>
        <v/>
      </c>
      <c r="C2769" s="29">
        <f>B2769-B2768</f>
        <v/>
      </c>
      <c r="D2769" s="25">
        <f>VLOOKUP(A2769,'Database Claims'!$A:$C,2,)</f>
        <v/>
      </c>
      <c r="E2769" s="29">
        <f>D2769-D2768</f>
        <v/>
      </c>
    </row>
    <row r="2770" customFormat="1" s="63">
      <c r="A2770" s="28" t="n">
        <v>43834</v>
      </c>
      <c r="B2770" s="29">
        <f>VLOOKUP(A2770,'Database Claims'!$A:$C,3,)</f>
        <v/>
      </c>
      <c r="C2770" s="29">
        <f>B2770-B2769</f>
        <v/>
      </c>
      <c r="D2770" s="29">
        <f>VLOOKUP(A2770,'Database Claims'!$A:$C,2,)</f>
        <v/>
      </c>
      <c r="E2770" s="29">
        <f>D2770-D2769</f>
        <v/>
      </c>
    </row>
    <row r="2771" customFormat="1" s="63">
      <c r="A2771" s="28" t="n">
        <v>43841</v>
      </c>
      <c r="B2771" s="25">
        <f>VLOOKUP(A2771,'Database Claims'!$A:$C,3,)</f>
        <v/>
      </c>
      <c r="C2771" s="29">
        <f>B2771-B2770</f>
        <v/>
      </c>
      <c r="D2771" s="25">
        <f>VLOOKUP(A2771,'Database Claims'!$A:$C,2,)</f>
        <v/>
      </c>
      <c r="E2771" s="29">
        <f>D2771-D2770</f>
        <v/>
      </c>
    </row>
    <row r="2772" customFormat="1" s="63">
      <c r="A2772" s="28" t="n">
        <v>43848</v>
      </c>
      <c r="B2772" s="29">
        <f>VLOOKUP(A2772,'Database Claims'!$A:$C,3,)</f>
        <v/>
      </c>
      <c r="C2772" s="29">
        <f>B2772-B2771</f>
        <v/>
      </c>
      <c r="D2772" s="29">
        <f>VLOOKUP(A2772,'Database Claims'!$A:$C,2,)</f>
        <v/>
      </c>
      <c r="E2772" s="29">
        <f>D2772-D2771</f>
        <v/>
      </c>
    </row>
    <row r="2773" customFormat="1" s="63">
      <c r="A2773" s="28" t="n">
        <v>43855</v>
      </c>
      <c r="B2773" s="25">
        <f>VLOOKUP(A2773,'Database Claims'!$A:$C,3,)</f>
        <v/>
      </c>
      <c r="C2773" s="29">
        <f>B2773-B2772</f>
        <v/>
      </c>
      <c r="D2773" s="25">
        <f>VLOOKUP(A2773,'Database Claims'!$A:$C,2,)</f>
        <v/>
      </c>
      <c r="E2773" s="29">
        <f>D2773-D2772</f>
        <v/>
      </c>
    </row>
    <row r="2774" customFormat="1" s="63">
      <c r="A2774" s="28" t="n">
        <v>43862</v>
      </c>
      <c r="B2774" s="29">
        <f>VLOOKUP(A2774,'Database Claims'!$A:$C,3,)</f>
        <v/>
      </c>
      <c r="C2774" s="29">
        <f>B2774-B2773</f>
        <v/>
      </c>
      <c r="D2774" s="29">
        <f>VLOOKUP(A2774,'Database Claims'!$A:$C,2,)</f>
        <v/>
      </c>
      <c r="E2774" s="29">
        <f>D2774-D2773</f>
        <v/>
      </c>
    </row>
    <row r="2775" customFormat="1" s="63">
      <c r="A2775" s="28" t="n">
        <v>43869</v>
      </c>
      <c r="B2775" s="25">
        <f>VLOOKUP(A2775,'Database Claims'!$A:$C,3,)</f>
        <v/>
      </c>
      <c r="C2775" s="29">
        <f>B2775-B2774</f>
        <v/>
      </c>
      <c r="D2775" s="25">
        <f>VLOOKUP(A2775,'Database Claims'!$A:$C,2,)</f>
        <v/>
      </c>
      <c r="E2775" s="29">
        <f>D2775-D2774</f>
        <v/>
      </c>
    </row>
    <row r="2776" customFormat="1" s="63">
      <c r="A2776" s="28" t="n">
        <v>43876</v>
      </c>
      <c r="B2776" s="29">
        <f>VLOOKUP(A2776,'Database Claims'!$A:$C,3,)</f>
        <v/>
      </c>
      <c r="C2776" s="29">
        <f>B2776-B2775</f>
        <v/>
      </c>
      <c r="D2776" s="29">
        <f>VLOOKUP(A2776,'Database Claims'!$A:$C,2,)</f>
        <v/>
      </c>
      <c r="E2776" s="29">
        <f>D2776-D2775</f>
        <v/>
      </c>
    </row>
    <row r="2777" customFormat="1" s="63">
      <c r="A2777" s="28" t="n">
        <v>43883</v>
      </c>
      <c r="B2777" s="25">
        <f>VLOOKUP(A2777,'Database Claims'!$A:$C,3,)</f>
        <v/>
      </c>
      <c r="C2777" s="29">
        <f>B2777-B2776</f>
        <v/>
      </c>
      <c r="D2777" s="25">
        <f>VLOOKUP(A2777,'Database Claims'!$A:$C,2,)</f>
        <v/>
      </c>
      <c r="E2777" s="29">
        <f>D2777-D2776</f>
        <v/>
      </c>
    </row>
    <row r="2778" customFormat="1" s="63">
      <c r="A2778" s="28" t="n">
        <v>43890</v>
      </c>
      <c r="B2778" s="29">
        <f>VLOOKUP(A2778,'Database Claims'!$A:$C,3,)</f>
        <v/>
      </c>
      <c r="C2778" s="29">
        <f>B2778-B2777</f>
        <v/>
      </c>
      <c r="D2778" s="29">
        <f>VLOOKUP(A2778,'Database Claims'!$A:$C,2,)</f>
        <v/>
      </c>
      <c r="E2778" s="29">
        <f>D2778-D2777</f>
        <v/>
      </c>
    </row>
    <row r="2779" customFormat="1" s="63">
      <c r="A2779" s="28" t="n">
        <v>43897</v>
      </c>
      <c r="B2779" s="25">
        <f>VLOOKUP(A2779,'Database Claims'!$A:$C,3,)</f>
        <v/>
      </c>
      <c r="C2779" s="29">
        <f>B2779-B2778</f>
        <v/>
      </c>
      <c r="D2779" s="25">
        <f>VLOOKUP(A2779,'Database Claims'!$A:$C,2,)</f>
        <v/>
      </c>
      <c r="E2779" s="29">
        <f>D2779-D2778</f>
        <v/>
      </c>
    </row>
    <row r="2780" customFormat="1" s="63">
      <c r="A2780" s="28" t="n">
        <v>43904</v>
      </c>
      <c r="B2780" s="29">
        <f>VLOOKUP(A2780,'Database Claims'!$A:$C,3,)</f>
        <v/>
      </c>
      <c r="C2780" s="29">
        <f>B2780-B2779</f>
        <v/>
      </c>
      <c r="D2780" s="29">
        <f>VLOOKUP(A2780,'Database Claims'!$A:$C,2,)</f>
        <v/>
      </c>
      <c r="E2780" s="29">
        <f>D2780-D2779</f>
        <v/>
      </c>
    </row>
    <row r="2781" customFormat="1" s="63">
      <c r="A2781" s="28" t="n">
        <v>43911</v>
      </c>
      <c r="B2781" s="25">
        <f>VLOOKUP(A2781,'Database Claims'!$A:$C,3,)</f>
        <v/>
      </c>
      <c r="C2781" s="29">
        <f>B2781-B2780</f>
        <v/>
      </c>
      <c r="D2781" s="25">
        <f>VLOOKUP(A2781,'Database Claims'!$A:$C,2,)</f>
        <v/>
      </c>
      <c r="E2781" s="29">
        <f>D2781-D2780</f>
        <v/>
      </c>
    </row>
    <row r="2782" customFormat="1" s="63">
      <c r="A2782" s="28" t="n">
        <v>43918</v>
      </c>
      <c r="B2782" s="29">
        <f>VLOOKUP(A2782,'Database Claims'!$A:$C,3,)</f>
        <v/>
      </c>
      <c r="C2782" s="29">
        <f>B2782-B2781</f>
        <v/>
      </c>
      <c r="D2782" s="29">
        <f>VLOOKUP(A2782,'Database Claims'!$A:$C,2,)</f>
        <v/>
      </c>
      <c r="E2782" s="29">
        <f>D2782-D2781</f>
        <v/>
      </c>
    </row>
    <row r="2783" customFormat="1" s="63">
      <c r="A2783" s="28" t="n">
        <v>43925</v>
      </c>
      <c r="B2783" s="25">
        <f>VLOOKUP(A2783,'Database Claims'!$A:$C,3,)</f>
        <v/>
      </c>
      <c r="C2783" s="29">
        <f>B2783-B2782</f>
        <v/>
      </c>
      <c r="D2783" s="25">
        <f>VLOOKUP(A2783,'Database Claims'!$A:$C,2,)</f>
        <v/>
      </c>
      <c r="E2783" s="29">
        <f>D2783-D2782</f>
        <v/>
      </c>
    </row>
    <row r="2784" customFormat="1" s="63">
      <c r="A2784" s="28" t="n">
        <v>43932</v>
      </c>
      <c r="B2784" s="29">
        <f>VLOOKUP(A2784,'Database Claims'!$A:$C,3,)</f>
        <v/>
      </c>
      <c r="C2784" s="29">
        <f>B2784-B2783</f>
        <v/>
      </c>
      <c r="D2784" s="29">
        <f>VLOOKUP(A2784,'Database Claims'!$A:$C,2,)</f>
        <v/>
      </c>
      <c r="E2784" s="29">
        <f>D2784-D2783</f>
        <v/>
      </c>
    </row>
    <row r="2785" customFormat="1" s="63">
      <c r="A2785" s="28" t="n">
        <v>43939</v>
      </c>
      <c r="B2785" s="25">
        <f>VLOOKUP(A2785,'Database Claims'!$A:$C,3,)</f>
        <v/>
      </c>
      <c r="C2785" s="29">
        <f>B2785-B2784</f>
        <v/>
      </c>
      <c r="D2785" s="25">
        <f>VLOOKUP(A2785,'Database Claims'!$A:$C,2,)</f>
        <v/>
      </c>
      <c r="E2785" s="29">
        <f>D2785-D2784</f>
        <v/>
      </c>
    </row>
    <row r="2786" customFormat="1" s="63">
      <c r="A2786" s="28" t="n">
        <v>43946</v>
      </c>
      <c r="B2786" s="29">
        <f>VLOOKUP(A2786,'Database Claims'!$A:$C,3,)</f>
        <v/>
      </c>
      <c r="C2786" s="29">
        <f>B2786-B2785</f>
        <v/>
      </c>
      <c r="D2786" s="29">
        <f>VLOOKUP(A2786,'Database Claims'!$A:$C,2,)</f>
        <v/>
      </c>
      <c r="E2786" s="29">
        <f>D2786-D2785</f>
        <v/>
      </c>
    </row>
    <row r="2787" customFormat="1" s="63">
      <c r="A2787" s="28" t="n">
        <v>43953</v>
      </c>
      <c r="B2787" s="25">
        <f>VLOOKUP(A2787,'Database Claims'!$A:$C,3,)</f>
        <v/>
      </c>
      <c r="C2787" s="29">
        <f>B2787-B2786</f>
        <v/>
      </c>
      <c r="D2787" s="25">
        <f>VLOOKUP(A2787,'Database Claims'!$A:$C,2,)</f>
        <v/>
      </c>
      <c r="E2787" s="29">
        <f>D2787-D2786</f>
        <v/>
      </c>
    </row>
    <row r="2788" customFormat="1" s="63">
      <c r="A2788" s="28" t="n">
        <v>43960</v>
      </c>
      <c r="B2788" s="29">
        <f>VLOOKUP(A2788,'Database Claims'!$A:$C,3,)</f>
        <v/>
      </c>
      <c r="C2788" s="29">
        <f>B2788-B2787</f>
        <v/>
      </c>
      <c r="D2788" s="29">
        <f>VLOOKUP(A2788,'Database Claims'!$A:$C,2,)</f>
        <v/>
      </c>
      <c r="E2788" s="29">
        <f>D2788-D2787</f>
        <v/>
      </c>
    </row>
    <row r="2789" customFormat="1" s="63">
      <c r="A2789" s="28" t="n">
        <v>43967</v>
      </c>
      <c r="B2789" s="25">
        <f>VLOOKUP(A2789,'Database Claims'!$A:$C,3,)</f>
        <v/>
      </c>
      <c r="C2789" s="29">
        <f>B2789-B2788</f>
        <v/>
      </c>
      <c r="D2789" s="25">
        <f>VLOOKUP(A2789,'Database Claims'!$A:$C,2,)</f>
        <v/>
      </c>
      <c r="E2789" s="29">
        <f>D2789-D2788</f>
        <v/>
      </c>
    </row>
    <row r="2790" customFormat="1" s="63">
      <c r="A2790" s="28" t="n">
        <v>43974</v>
      </c>
      <c r="B2790" s="29">
        <f>VLOOKUP(A2790,'Database Claims'!$A:$C,3,)</f>
        <v/>
      </c>
      <c r="C2790" s="29">
        <f>B2790-B2789</f>
        <v/>
      </c>
      <c r="D2790" s="29">
        <f>VLOOKUP(A2790,'Database Claims'!$A:$C,2,)</f>
        <v/>
      </c>
      <c r="E2790" s="29">
        <f>D2790-D2789</f>
        <v/>
      </c>
    </row>
    <row r="2791" customFormat="1" s="63">
      <c r="A2791" s="28" t="n">
        <v>43981</v>
      </c>
      <c r="B2791" s="25">
        <f>VLOOKUP(A2791,'Database Claims'!$A:$C,3,)</f>
        <v/>
      </c>
      <c r="C2791" s="29">
        <f>B2791-B2790</f>
        <v/>
      </c>
      <c r="D2791" s="25">
        <f>VLOOKUP(A2791,'Database Claims'!$A:$C,2,)</f>
        <v/>
      </c>
      <c r="E2791" s="29">
        <f>D2791-D2790</f>
        <v/>
      </c>
    </row>
    <row r="2792" customFormat="1" s="63">
      <c r="A2792" s="28" t="n">
        <v>43988</v>
      </c>
      <c r="B2792" s="29">
        <f>VLOOKUP(A2792,'Database Claims'!$A:$C,3,)</f>
        <v/>
      </c>
      <c r="C2792" s="29">
        <f>B2792-B2791</f>
        <v/>
      </c>
      <c r="D2792" s="29">
        <f>VLOOKUP(A2792,'Database Claims'!$A:$C,2,)</f>
        <v/>
      </c>
      <c r="E2792" s="29">
        <f>D2792-D2791</f>
        <v/>
      </c>
    </row>
    <row r="2793" customFormat="1" s="63">
      <c r="A2793" s="28" t="n">
        <v>43995</v>
      </c>
      <c r="B2793" s="25">
        <f>VLOOKUP(A2793,'Database Claims'!$A:$C,3,)</f>
        <v/>
      </c>
      <c r="C2793" s="29">
        <f>B2793-B2792</f>
        <v/>
      </c>
      <c r="D2793" s="25">
        <f>VLOOKUP(A2793,'Database Claims'!$A:$C,2,)</f>
        <v/>
      </c>
      <c r="E2793" s="29">
        <f>D2793-D2792</f>
        <v/>
      </c>
    </row>
    <row r="2794" customFormat="1" s="63">
      <c r="A2794" s="28" t="n">
        <v>44002</v>
      </c>
      <c r="B2794" s="29">
        <f>VLOOKUP(A2794,'Database Claims'!$A:$C,3,)</f>
        <v/>
      </c>
      <c r="C2794" s="29">
        <f>B2794-B2793</f>
        <v/>
      </c>
      <c r="D2794" s="29">
        <f>VLOOKUP(A2794,'Database Claims'!$A:$C,2,)</f>
        <v/>
      </c>
      <c r="E2794" s="29">
        <f>D2794-D2793</f>
        <v/>
      </c>
    </row>
    <row r="2795" customFormat="1" s="63">
      <c r="A2795" s="28" t="n">
        <v>44009</v>
      </c>
      <c r="B2795" s="25">
        <f>VLOOKUP(A2795,'Database Claims'!$A:$C,3,)</f>
        <v/>
      </c>
      <c r="C2795" s="29">
        <f>B2795-B2794</f>
        <v/>
      </c>
      <c r="D2795" s="25">
        <f>VLOOKUP(A2795,'Database Claims'!$A:$C,2,)</f>
        <v/>
      </c>
      <c r="E2795" s="29">
        <f>D2795-D2794</f>
        <v/>
      </c>
    </row>
    <row r="2796" customFormat="1" s="63">
      <c r="A2796" s="28" t="n">
        <v>44016</v>
      </c>
      <c r="B2796" s="29">
        <f>VLOOKUP(A2796,'Database Claims'!$A:$C,3,)</f>
        <v/>
      </c>
      <c r="C2796" s="29">
        <f>B2796-B2795</f>
        <v/>
      </c>
      <c r="D2796" s="29">
        <f>VLOOKUP(A2796,'Database Claims'!$A:$C,2,)</f>
        <v/>
      </c>
      <c r="E2796" s="29">
        <f>D2796-D2795</f>
        <v/>
      </c>
    </row>
    <row r="2797" customFormat="1" s="63">
      <c r="A2797" s="28" t="n">
        <v>44023</v>
      </c>
      <c r="B2797" s="25">
        <f>VLOOKUP(A2797,'Database Claims'!$A:$C,3,)</f>
        <v/>
      </c>
      <c r="C2797" s="29">
        <f>B2797-B2796</f>
        <v/>
      </c>
      <c r="D2797" s="25">
        <f>VLOOKUP(A2797,'Database Claims'!$A:$C,2,)</f>
        <v/>
      </c>
      <c r="E2797" s="29">
        <f>D2797-D2796</f>
        <v/>
      </c>
    </row>
    <row r="2798" customFormat="1" s="63">
      <c r="A2798" s="28" t="n">
        <v>44030</v>
      </c>
      <c r="B2798" s="29">
        <f>VLOOKUP(A2798,'Database Claims'!$A:$C,3,)</f>
        <v/>
      </c>
      <c r="C2798" s="29">
        <f>B2798-B2797</f>
        <v/>
      </c>
      <c r="D2798" s="29">
        <f>VLOOKUP(A2798,'Database Claims'!$A:$C,2,)</f>
        <v/>
      </c>
      <c r="E2798" s="29">
        <f>D2798-D2797</f>
        <v/>
      </c>
    </row>
    <row r="2799" customFormat="1" s="63">
      <c r="A2799" s="28" t="n">
        <v>44037</v>
      </c>
      <c r="B2799" s="25">
        <f>VLOOKUP(A2799,'Database Claims'!$A:$C,3,)</f>
        <v/>
      </c>
      <c r="C2799" s="29">
        <f>B2799-B2798</f>
        <v/>
      </c>
      <c r="D2799" s="25">
        <f>VLOOKUP(A2799,'Database Claims'!$A:$C,2,)</f>
        <v/>
      </c>
      <c r="E2799" s="29">
        <f>D2799-D2798</f>
        <v/>
      </c>
    </row>
    <row r="2800" customFormat="1" s="63">
      <c r="A2800" s="28" t="n">
        <v>44044</v>
      </c>
      <c r="B2800" s="29">
        <f>VLOOKUP(A2800,'Database Claims'!$A:$C,3,)</f>
        <v/>
      </c>
      <c r="C2800" s="29">
        <f>B2800-B2799</f>
        <v/>
      </c>
      <c r="D2800" s="29">
        <f>VLOOKUP(A2800,'Database Claims'!$A:$C,2,)</f>
        <v/>
      </c>
      <c r="E2800" s="29">
        <f>D2800-D2799</f>
        <v/>
      </c>
    </row>
    <row r="2801" customFormat="1" s="63">
      <c r="A2801" s="28" t="n">
        <v>44051</v>
      </c>
      <c r="B2801" s="25">
        <f>VLOOKUP(A2801,'Database Claims'!$A:$C,3,)</f>
        <v/>
      </c>
      <c r="C2801" s="29">
        <f>B2801-B2800</f>
        <v/>
      </c>
      <c r="D2801" s="25">
        <f>VLOOKUP(A2801,'Database Claims'!$A:$C,2,)</f>
        <v/>
      </c>
      <c r="E2801" s="29">
        <f>D2801-D2800</f>
        <v/>
      </c>
    </row>
    <row r="2802" customFormat="1" s="63">
      <c r="A2802" s="28" t="n">
        <v>44058</v>
      </c>
      <c r="B2802" s="29">
        <f>VLOOKUP(A2802,'Database Claims'!$A:$C,3,)</f>
        <v/>
      </c>
      <c r="C2802" s="29">
        <f>B2802-B2801</f>
        <v/>
      </c>
      <c r="D2802" s="29">
        <f>VLOOKUP(A2802,'Database Claims'!$A:$C,2,)</f>
        <v/>
      </c>
      <c r="E2802" s="29">
        <f>D2802-D2801</f>
        <v/>
      </c>
    </row>
    <row r="2803" customFormat="1" s="63">
      <c r="A2803" s="28" t="n">
        <v>44065</v>
      </c>
      <c r="B2803" s="25">
        <f>VLOOKUP(A2803,'Database Claims'!$A:$C,3,)</f>
        <v/>
      </c>
      <c r="C2803" s="29">
        <f>B2803-B2802</f>
        <v/>
      </c>
      <c r="D2803" s="25">
        <f>VLOOKUP(A2803,'Database Claims'!$A:$C,2,)</f>
        <v/>
      </c>
      <c r="E2803" s="29">
        <f>D2803-D2802</f>
        <v/>
      </c>
    </row>
    <row r="2804" customFormat="1" s="63">
      <c r="A2804" s="28" t="n">
        <v>44072</v>
      </c>
      <c r="B2804" s="29">
        <f>VLOOKUP(A2804,'Database Claims'!$A:$C,3,)</f>
        <v/>
      </c>
      <c r="C2804" s="29">
        <f>B2804-B2803</f>
        <v/>
      </c>
      <c r="D2804" s="29">
        <f>VLOOKUP(A2804,'Database Claims'!$A:$C,2,)</f>
        <v/>
      </c>
      <c r="E2804" s="29">
        <f>D2804-D2803</f>
        <v/>
      </c>
    </row>
    <row r="2805" customFormat="1" s="63">
      <c r="A2805" s="28" t="n">
        <v>44079</v>
      </c>
      <c r="B2805" s="25">
        <f>VLOOKUP(A2805,'Database Claims'!$A:$C,3,)</f>
        <v/>
      </c>
      <c r="C2805" s="29">
        <f>B2805-B2804</f>
        <v/>
      </c>
      <c r="D2805" s="25">
        <f>VLOOKUP(A2805,'Database Claims'!$A:$C,2,)</f>
        <v/>
      </c>
      <c r="E2805" s="29">
        <f>D2805-D2804</f>
        <v/>
      </c>
    </row>
    <row r="2806" customFormat="1" s="63">
      <c r="A2806" s="28" t="n">
        <v>44086</v>
      </c>
      <c r="B2806" s="29">
        <f>VLOOKUP(A2806,'Database Claims'!$A:$C,3,)</f>
        <v/>
      </c>
      <c r="C2806" s="29">
        <f>B2806-B2805</f>
        <v/>
      </c>
      <c r="D2806" s="29">
        <f>VLOOKUP(A2806,'Database Claims'!$A:$C,2,)</f>
        <v/>
      </c>
      <c r="E2806" s="29">
        <f>D2806-D2805</f>
        <v/>
      </c>
    </row>
    <row r="2807" customFormat="1" s="63">
      <c r="A2807" s="28" t="n">
        <v>44093</v>
      </c>
      <c r="B2807" s="25">
        <f>VLOOKUP(A2807,'Database Claims'!$A:$C,3,)</f>
        <v/>
      </c>
      <c r="C2807" s="29">
        <f>B2807-B2806</f>
        <v/>
      </c>
      <c r="D2807" s="25">
        <f>VLOOKUP(A2807,'Database Claims'!$A:$C,2,)</f>
        <v/>
      </c>
      <c r="E2807" s="29">
        <f>D2807-D2806</f>
        <v/>
      </c>
    </row>
    <row r="2808" customFormat="1" s="63">
      <c r="A2808" s="28" t="n">
        <v>44100</v>
      </c>
      <c r="B2808" s="29">
        <f>VLOOKUP(A2808,'Database Claims'!$A:$C,3,)</f>
        <v/>
      </c>
      <c r="C2808" s="29">
        <f>B2808-B2807</f>
        <v/>
      </c>
      <c r="D2808" s="29">
        <f>VLOOKUP(A2808,'Database Claims'!$A:$C,2,)</f>
        <v/>
      </c>
      <c r="E2808" s="29">
        <f>D2808-D2807</f>
        <v/>
      </c>
    </row>
    <row r="2809" customFormat="1" s="63">
      <c r="A2809" s="28" t="n">
        <v>44107</v>
      </c>
      <c r="B2809" s="25">
        <f>VLOOKUP(A2809,'Database Claims'!$A:$C,3,)</f>
        <v/>
      </c>
      <c r="C2809" s="29">
        <f>B2809-B2808</f>
        <v/>
      </c>
      <c r="D2809" s="25">
        <f>VLOOKUP(A2809,'Database Claims'!$A:$C,2,)</f>
        <v/>
      </c>
      <c r="E2809" s="29">
        <f>D2809-D2808</f>
        <v/>
      </c>
    </row>
    <row r="2810" customFormat="1" s="63">
      <c r="A2810" s="28" t="n">
        <v>44114</v>
      </c>
      <c r="B2810" s="29">
        <f>VLOOKUP(A2810,'Database Claims'!$A:$C,3,)</f>
        <v/>
      </c>
      <c r="C2810" s="29">
        <f>B2810-B2809</f>
        <v/>
      </c>
      <c r="D2810" s="29">
        <f>VLOOKUP(A2810,'Database Claims'!$A:$C,2,)</f>
        <v/>
      </c>
      <c r="E2810" s="29">
        <f>D2810-D2809</f>
        <v/>
      </c>
    </row>
    <row r="2811" customFormat="1" s="63">
      <c r="A2811" s="28" t="n">
        <v>44121</v>
      </c>
      <c r="B2811" s="25">
        <f>VLOOKUP(A2811,'Database Claims'!$A:$C,3,)</f>
        <v/>
      </c>
      <c r="C2811" s="29">
        <f>B2811-B2810</f>
        <v/>
      </c>
      <c r="D2811" s="25">
        <f>VLOOKUP(A2811,'Database Claims'!$A:$C,2,)</f>
        <v/>
      </c>
      <c r="E2811" s="29">
        <f>D2811-D2810</f>
        <v/>
      </c>
    </row>
    <row r="2812" customFormat="1" s="63">
      <c r="A2812" s="28" t="n">
        <v>44128</v>
      </c>
      <c r="B2812" s="29">
        <f>VLOOKUP(A2812,'Database Claims'!$A:$C,3,)</f>
        <v/>
      </c>
      <c r="C2812" s="29">
        <f>B2812-B2811</f>
        <v/>
      </c>
      <c r="D2812" s="29">
        <f>VLOOKUP(A2812,'Database Claims'!$A:$C,2,)</f>
        <v/>
      </c>
      <c r="E2812" s="29">
        <f>D2812-D2811</f>
        <v/>
      </c>
    </row>
    <row r="2813" customFormat="1" s="63">
      <c r="A2813" s="28" t="n">
        <v>44135</v>
      </c>
      <c r="B2813" s="25">
        <f>VLOOKUP(A2813,'Database Claims'!$A:$C,3,)</f>
        <v/>
      </c>
      <c r="C2813" s="29">
        <f>B2813-B2812</f>
        <v/>
      </c>
      <c r="D2813" s="25">
        <f>VLOOKUP(A2813,'Database Claims'!$A:$C,2,)</f>
        <v/>
      </c>
      <c r="E2813" s="29">
        <f>D2813-D2812</f>
        <v/>
      </c>
    </row>
    <row r="2814" customFormat="1" s="63">
      <c r="A2814" s="28" t="n">
        <v>44142</v>
      </c>
      <c r="B2814" s="29">
        <f>VLOOKUP(A2814,'Database Claims'!$A:$C,3,)</f>
        <v/>
      </c>
      <c r="C2814" s="29">
        <f>B2814-B2813</f>
        <v/>
      </c>
      <c r="D2814" s="29">
        <f>VLOOKUP(A2814,'Database Claims'!$A:$C,2,)</f>
        <v/>
      </c>
      <c r="E2814" s="29">
        <f>D2814-D2813</f>
        <v/>
      </c>
    </row>
    <row r="2815" customFormat="1" s="63">
      <c r="A2815" s="28" t="n">
        <v>44149</v>
      </c>
      <c r="B2815" s="25">
        <f>VLOOKUP(A2815,'Database Claims'!$A:$C,3,)</f>
        <v/>
      </c>
      <c r="C2815" s="29">
        <f>B2815-B2814</f>
        <v/>
      </c>
      <c r="D2815" s="25">
        <f>VLOOKUP(A2815,'Database Claims'!$A:$C,2,)</f>
        <v/>
      </c>
      <c r="E2815" s="29">
        <f>D2815-D2814</f>
        <v/>
      </c>
    </row>
    <row r="2816" customFormat="1" s="63">
      <c r="A2816" s="28" t="n">
        <v>44156</v>
      </c>
      <c r="B2816" s="29">
        <f>VLOOKUP(A2816,'Database Claims'!$A:$C,3,)</f>
        <v/>
      </c>
      <c r="C2816" s="29">
        <f>B2816-B2815</f>
        <v/>
      </c>
      <c r="D2816" s="29">
        <f>VLOOKUP(A2816,'Database Claims'!$A:$C,2,)</f>
        <v/>
      </c>
      <c r="E2816" s="29">
        <f>D2816-D2815</f>
        <v/>
      </c>
    </row>
    <row r="2817" customFormat="1" s="63">
      <c r="A2817" s="28" t="n">
        <v>44163</v>
      </c>
      <c r="B2817" s="25">
        <f>VLOOKUP(A2817,'Database Claims'!$A:$C,3,)</f>
        <v/>
      </c>
      <c r="C2817" s="29">
        <f>B2817-B2816</f>
        <v/>
      </c>
      <c r="D2817" s="25">
        <f>VLOOKUP(A2817,'Database Claims'!$A:$C,2,)</f>
        <v/>
      </c>
      <c r="E2817" s="29">
        <f>D2817-D2816</f>
        <v/>
      </c>
    </row>
    <row r="2818" customFormat="1" s="63">
      <c r="A2818" s="28" t="n">
        <v>44170</v>
      </c>
      <c r="B2818" s="29">
        <f>VLOOKUP(A2818,'Database Claims'!$A:$C,3,)</f>
        <v/>
      </c>
      <c r="C2818" s="29">
        <f>B2818-B2817</f>
        <v/>
      </c>
      <c r="D2818" s="29">
        <f>VLOOKUP(A2818,'Database Claims'!$A:$C,2,)</f>
        <v/>
      </c>
      <c r="E2818" s="29">
        <f>D2818-D2817</f>
        <v/>
      </c>
    </row>
    <row r="2819" customFormat="1" s="63">
      <c r="A2819" s="28" t="n">
        <v>44177</v>
      </c>
      <c r="B2819" s="25">
        <f>VLOOKUP(A2819,'Database Claims'!$A:$C,3,)</f>
        <v/>
      </c>
      <c r="C2819" s="29">
        <f>B2819-B2818</f>
        <v/>
      </c>
      <c r="D2819" s="25">
        <f>VLOOKUP(A2819,'Database Claims'!$A:$C,2,)</f>
        <v/>
      </c>
      <c r="E2819" s="29">
        <f>D2819-D2818</f>
        <v/>
      </c>
    </row>
    <row r="2820" customFormat="1" s="63">
      <c r="A2820" s="28" t="n">
        <v>44184</v>
      </c>
      <c r="B2820" s="29">
        <f>VLOOKUP(A2820,'Database Claims'!$A:$C,3,)</f>
        <v/>
      </c>
      <c r="C2820" s="29">
        <f>B2820-B2819</f>
        <v/>
      </c>
      <c r="D2820" s="29">
        <f>VLOOKUP(A2820,'Database Claims'!$A:$C,2,)</f>
        <v/>
      </c>
      <c r="E2820" s="29">
        <f>D2820-D2819</f>
        <v/>
      </c>
    </row>
    <row r="2821" customFormat="1" s="63">
      <c r="A2821" s="28" t="n">
        <v>44191</v>
      </c>
      <c r="B2821" s="25">
        <f>VLOOKUP(A2821,'Database Claims'!$A:$C,3,)</f>
        <v/>
      </c>
      <c r="C2821" s="29">
        <f>B2821-B2820</f>
        <v/>
      </c>
      <c r="D2821" s="25">
        <f>VLOOKUP(A2821,'Database Claims'!$A:$C,2,)</f>
        <v/>
      </c>
      <c r="E2821" s="29">
        <f>D2821-D2820</f>
        <v/>
      </c>
    </row>
    <row r="2822" customFormat="1" s="63">
      <c r="A2822" s="28" t="n">
        <v>44198</v>
      </c>
      <c r="B2822" s="29">
        <f>VLOOKUP(A2822,'Database Claims'!$A:$C,3,)</f>
        <v/>
      </c>
      <c r="C2822" s="29">
        <f>B2822-B2821</f>
        <v/>
      </c>
      <c r="D2822" s="29">
        <f>VLOOKUP(A2822,'Database Claims'!$A:$C,2,)</f>
        <v/>
      </c>
      <c r="E2822" s="29">
        <f>D2822-D2821</f>
        <v/>
      </c>
    </row>
    <row r="2823" customFormat="1" s="63">
      <c r="A2823" s="28" t="n">
        <v>44205</v>
      </c>
      <c r="B2823" s="25">
        <f>VLOOKUP(A2823,'Database Claims'!$A:$C,3,)</f>
        <v/>
      </c>
      <c r="C2823" s="29">
        <f>B2823-B2822</f>
        <v/>
      </c>
      <c r="D2823" s="25">
        <f>VLOOKUP(A2823,'Database Claims'!$A:$C,2,)</f>
        <v/>
      </c>
      <c r="E2823" s="29">
        <f>D2823-D2822</f>
        <v/>
      </c>
    </row>
    <row r="2824" customFormat="1" s="63">
      <c r="A2824" s="28" t="n">
        <v>44212</v>
      </c>
      <c r="B2824" s="29">
        <f>VLOOKUP(A2824,'Database Claims'!$A:$C,3,)</f>
        <v/>
      </c>
      <c r="C2824" s="29">
        <f>B2824-B2823</f>
        <v/>
      </c>
      <c r="D2824" s="29">
        <f>VLOOKUP(A2824,'Database Claims'!$A:$C,2,)</f>
        <v/>
      </c>
      <c r="E2824" s="29">
        <f>D2824-D2823</f>
        <v/>
      </c>
    </row>
    <row r="2825" customFormat="1" s="63">
      <c r="A2825" s="28" t="n">
        <v>44219</v>
      </c>
      <c r="B2825" s="25">
        <f>VLOOKUP(A2825,'Database Claims'!$A:$C,3,)</f>
        <v/>
      </c>
      <c r="C2825" s="29">
        <f>B2825-B2824</f>
        <v/>
      </c>
      <c r="D2825" s="25">
        <f>VLOOKUP(A2825,'Database Claims'!$A:$C,2,)</f>
        <v/>
      </c>
      <c r="E2825" s="29">
        <f>D2825-D2824</f>
        <v/>
      </c>
    </row>
    <row r="2826" customFormat="1" s="63">
      <c r="A2826" s="28" t="n">
        <v>44226</v>
      </c>
      <c r="B2826" s="29">
        <f>VLOOKUP(A2826,'Database Claims'!$A:$C,3,)</f>
        <v/>
      </c>
      <c r="C2826" s="29">
        <f>B2826-B2825</f>
        <v/>
      </c>
      <c r="D2826" s="29">
        <f>VLOOKUP(A2826,'Database Claims'!$A:$C,2,)</f>
        <v/>
      </c>
      <c r="E2826" s="29">
        <f>D2826-D2825</f>
        <v/>
      </c>
    </row>
    <row r="2827" customFormat="1" s="63">
      <c r="A2827" s="28" t="n">
        <v>44233</v>
      </c>
      <c r="B2827" s="25">
        <f>VLOOKUP(A2827,'Database Claims'!$A:$C,3,)</f>
        <v/>
      </c>
      <c r="C2827" s="29">
        <f>B2827-B2826</f>
        <v/>
      </c>
      <c r="D2827" s="25">
        <f>VLOOKUP(A2827,'Database Claims'!$A:$C,2,)</f>
        <v/>
      </c>
      <c r="E2827" s="29">
        <f>D2827-D2826</f>
        <v/>
      </c>
    </row>
    <row r="2828" customFormat="1" s="63">
      <c r="A2828" s="28" t="n">
        <v>44240</v>
      </c>
      <c r="B2828" s="29">
        <f>VLOOKUP(A2828,'Database Claims'!$A:$C,3,)</f>
        <v/>
      </c>
      <c r="C2828" s="29">
        <f>B2828-B2827</f>
        <v/>
      </c>
      <c r="D2828" s="29">
        <f>VLOOKUP(A2828,'Database Claims'!$A:$C,2,)</f>
        <v/>
      </c>
      <c r="E2828" s="29">
        <f>D2828-D2827</f>
        <v/>
      </c>
    </row>
    <row r="2829" customFormat="1" s="63">
      <c r="A2829" s="28" t="n">
        <v>44247</v>
      </c>
      <c r="B2829" s="25">
        <f>VLOOKUP(A2829,'Database Claims'!$A:$C,3,)</f>
        <v/>
      </c>
      <c r="C2829" s="29">
        <f>B2829-B2828</f>
        <v/>
      </c>
      <c r="D2829" s="25">
        <f>VLOOKUP(A2829,'Database Claims'!$A:$C,2,)</f>
        <v/>
      </c>
      <c r="E2829" s="29">
        <f>D2829-D2828</f>
        <v/>
      </c>
    </row>
    <row r="2830" customFormat="1" s="63">
      <c r="A2830" s="28" t="n">
        <v>44254</v>
      </c>
      <c r="B2830" s="29">
        <f>VLOOKUP(A2830,'Database Claims'!$A:$C,3,)</f>
        <v/>
      </c>
      <c r="C2830" s="29">
        <f>B2830-B2829</f>
        <v/>
      </c>
      <c r="D2830" s="29">
        <f>VLOOKUP(A2830,'Database Claims'!$A:$C,2,)</f>
        <v/>
      </c>
      <c r="E2830" s="29">
        <f>D2830-D2829</f>
        <v/>
      </c>
    </row>
    <row r="2831" customFormat="1" s="63">
      <c r="A2831" s="28" t="n">
        <v>44261</v>
      </c>
      <c r="B2831" s="25">
        <f>VLOOKUP(A2831,'Database Claims'!$A:$C,3,)</f>
        <v/>
      </c>
      <c r="C2831" s="29">
        <f>B2831-B2830</f>
        <v/>
      </c>
      <c r="D2831" s="25">
        <f>VLOOKUP(A2831,'Database Claims'!$A:$C,2,)</f>
        <v/>
      </c>
      <c r="E2831" s="29">
        <f>D2831-D2830</f>
        <v/>
      </c>
    </row>
    <row r="2832" customFormat="1" s="63">
      <c r="A2832" s="28" t="n">
        <v>44268</v>
      </c>
      <c r="B2832" s="29">
        <f>VLOOKUP(A2832,'Database Claims'!$A:$C,3,)</f>
        <v/>
      </c>
      <c r="C2832" s="29">
        <f>B2832-B2831</f>
        <v/>
      </c>
      <c r="D2832" s="29">
        <f>VLOOKUP(A2832,'Database Claims'!$A:$C,2,)</f>
        <v/>
      </c>
      <c r="E2832" s="29">
        <f>D2832-D2831</f>
        <v/>
      </c>
    </row>
    <row r="2833" customFormat="1" s="63">
      <c r="A2833" s="28" t="n">
        <v>44275</v>
      </c>
      <c r="B2833" s="25">
        <f>VLOOKUP(A2833,'Database Claims'!$A:$C,3,)</f>
        <v/>
      </c>
      <c r="C2833" s="29">
        <f>B2833-B2832</f>
        <v/>
      </c>
      <c r="D2833" s="25">
        <f>VLOOKUP(A2833,'Database Claims'!$A:$C,2,)</f>
        <v/>
      </c>
      <c r="E2833" s="29">
        <f>D2833-D2832</f>
        <v/>
      </c>
    </row>
    <row r="2834" customFormat="1" s="63">
      <c r="A2834" s="28" t="n">
        <v>44282</v>
      </c>
      <c r="B2834" s="29">
        <f>VLOOKUP(A2834,'Database Claims'!$A:$C,3,)</f>
        <v/>
      </c>
      <c r="C2834" s="29">
        <f>B2834-B2833</f>
        <v/>
      </c>
      <c r="D2834" s="29">
        <f>VLOOKUP(A2834,'Database Claims'!$A:$C,2,)</f>
        <v/>
      </c>
      <c r="E2834" s="29">
        <f>D2834-D2833</f>
        <v/>
      </c>
    </row>
    <row r="2835" customFormat="1" s="63">
      <c r="A2835" s="28" t="n">
        <v>44289</v>
      </c>
      <c r="B2835" s="25">
        <f>VLOOKUP(A2835,'Database Claims'!$A:$C,3,)</f>
        <v/>
      </c>
      <c r="C2835" s="29">
        <f>B2835-B2834</f>
        <v/>
      </c>
      <c r="D2835" s="25">
        <f>VLOOKUP(A2835,'Database Claims'!$A:$C,2,)</f>
        <v/>
      </c>
      <c r="E2835" s="29">
        <f>D2835-D2834</f>
        <v/>
      </c>
    </row>
    <row r="2836" customFormat="1" s="63">
      <c r="A2836" s="28" t="n">
        <v>44296</v>
      </c>
      <c r="B2836" s="29">
        <f>VLOOKUP(A2836,'Database Claims'!$A:$C,3,)</f>
        <v/>
      </c>
      <c r="C2836" s="29">
        <f>B2836-B2835</f>
        <v/>
      </c>
      <c r="D2836" s="29">
        <f>VLOOKUP(A2836,'Database Claims'!$A:$C,2,)</f>
        <v/>
      </c>
      <c r="E2836" s="29">
        <f>D2836-D2835</f>
        <v/>
      </c>
    </row>
    <row r="2837" customFormat="1" s="63">
      <c r="A2837" s="28" t="n">
        <v>44303</v>
      </c>
      <c r="B2837" s="25">
        <f>VLOOKUP(A2837,'Database Claims'!$A:$C,3,)</f>
        <v/>
      </c>
      <c r="C2837" s="29">
        <f>B2837-B2836</f>
        <v/>
      </c>
      <c r="D2837" s="25">
        <f>VLOOKUP(A2837,'Database Claims'!$A:$C,2,)</f>
        <v/>
      </c>
      <c r="E2837" s="29">
        <f>D2837-D2836</f>
        <v/>
      </c>
    </row>
    <row r="2838" customFormat="1" s="63">
      <c r="A2838" s="28" t="n">
        <v>44310</v>
      </c>
      <c r="B2838" s="29">
        <f>VLOOKUP(A2838,'Database Claims'!$A:$C,3,)</f>
        <v/>
      </c>
      <c r="C2838" s="29">
        <f>B2838-B2837</f>
        <v/>
      </c>
      <c r="D2838" s="29">
        <f>VLOOKUP(A2838,'Database Claims'!$A:$C,2,)</f>
        <v/>
      </c>
      <c r="E2838" s="29">
        <f>D2838-D2837</f>
        <v/>
      </c>
    </row>
    <row r="2839" customFormat="1" s="63">
      <c r="A2839" s="28" t="n">
        <v>44317</v>
      </c>
      <c r="B2839" s="25">
        <f>VLOOKUP(A2839,'Database Claims'!$A:$C,3,)</f>
        <v/>
      </c>
      <c r="C2839" s="29">
        <f>B2839-B2838</f>
        <v/>
      </c>
      <c r="D2839" s="25">
        <f>VLOOKUP(A2839,'Database Claims'!$A:$C,2,)</f>
        <v/>
      </c>
      <c r="E2839" s="29">
        <f>D2839-D2838</f>
        <v/>
      </c>
    </row>
    <row r="2840" customFormat="1" s="63">
      <c r="A2840" s="28" t="n">
        <v>44324</v>
      </c>
      <c r="B2840" s="29">
        <f>VLOOKUP(A2840,'Database Claims'!$A:$C,3,)</f>
        <v/>
      </c>
      <c r="C2840" s="29">
        <f>B2840-B2839</f>
        <v/>
      </c>
      <c r="D2840" s="29">
        <f>VLOOKUP(A2840,'Database Claims'!$A:$C,2,)</f>
        <v/>
      </c>
      <c r="E2840" s="29">
        <f>D2840-D2839</f>
        <v/>
      </c>
    </row>
    <row r="2841" customFormat="1" s="63">
      <c r="A2841" s="28" t="n">
        <v>44331</v>
      </c>
      <c r="B2841" s="25">
        <f>VLOOKUP(A2841,'Database Claims'!$A:$C,3,)</f>
        <v/>
      </c>
      <c r="C2841" s="29">
        <f>B2841-B2840</f>
        <v/>
      </c>
      <c r="D2841" s="25">
        <f>VLOOKUP(A2841,'Database Claims'!$A:$C,2,)</f>
        <v/>
      </c>
      <c r="E2841" s="29">
        <f>D2841-D2840</f>
        <v/>
      </c>
    </row>
    <row r="2842" customFormat="1" s="63">
      <c r="A2842" s="28" t="n">
        <v>44338</v>
      </c>
      <c r="B2842" s="29">
        <f>VLOOKUP(A2842,'Database Claims'!$A:$C,3,)</f>
        <v/>
      </c>
      <c r="C2842" s="29">
        <f>B2842-B2841</f>
        <v/>
      </c>
      <c r="D2842" s="29">
        <f>VLOOKUP(A2842,'Database Claims'!$A:$C,2,)</f>
        <v/>
      </c>
      <c r="E2842" s="29">
        <f>D2842-D2841</f>
        <v/>
      </c>
    </row>
    <row r="2843" customFormat="1" s="63">
      <c r="A2843" s="28" t="n">
        <v>44345</v>
      </c>
      <c r="B2843" s="25">
        <f>VLOOKUP(A2843,'Database Claims'!$A:$C,3,)</f>
        <v/>
      </c>
      <c r="C2843" s="29">
        <f>B2843-B2842</f>
        <v/>
      </c>
      <c r="D2843" s="25">
        <f>VLOOKUP(A2843,'Database Claims'!$A:$C,2,)</f>
        <v/>
      </c>
      <c r="E2843" s="29">
        <f>D2843-D2842</f>
        <v/>
      </c>
    </row>
    <row r="2844" customFormat="1" s="63">
      <c r="A2844" s="28" t="n">
        <v>44352</v>
      </c>
      <c r="B2844" s="29">
        <f>VLOOKUP(A2844,'Database Claims'!$A:$C,3,)</f>
        <v/>
      </c>
      <c r="C2844" s="29">
        <f>B2844-B2843</f>
        <v/>
      </c>
      <c r="D2844" s="29">
        <f>VLOOKUP(A2844,'Database Claims'!$A:$C,2,)</f>
        <v/>
      </c>
      <c r="E2844" s="29">
        <f>D2844-D2843</f>
        <v/>
      </c>
    </row>
    <row r="2845" customFormat="1" s="63">
      <c r="A2845" s="28" t="n">
        <v>44359</v>
      </c>
      <c r="B2845" s="25">
        <f>VLOOKUP(A2845,'Database Claims'!$A:$C,3,)</f>
        <v/>
      </c>
      <c r="C2845" s="29">
        <f>B2845-B2844</f>
        <v/>
      </c>
      <c r="D2845" s="25">
        <f>VLOOKUP(A2845,'Database Claims'!$A:$C,2,)</f>
        <v/>
      </c>
      <c r="E2845" s="29">
        <f>D2845-D2844</f>
        <v/>
      </c>
    </row>
    <row r="2846" customFormat="1" s="63">
      <c r="A2846" s="28" t="n">
        <v>44366</v>
      </c>
      <c r="B2846" s="29">
        <f>VLOOKUP(A2846,'Database Claims'!$A:$C,3,)</f>
        <v/>
      </c>
      <c r="C2846" s="29">
        <f>B2846-B2845</f>
        <v/>
      </c>
      <c r="D2846" s="29">
        <f>VLOOKUP(A2846,'Database Claims'!$A:$C,2,)</f>
        <v/>
      </c>
      <c r="E2846" s="29">
        <f>D2846-D2845</f>
        <v/>
      </c>
    </row>
    <row r="2847" customFormat="1" s="63">
      <c r="A2847" s="28" t="n">
        <v>44373</v>
      </c>
      <c r="B2847" s="25">
        <f>VLOOKUP(A2847,'Database Claims'!$A:$C,3,)</f>
        <v/>
      </c>
      <c r="C2847" s="29">
        <f>B2847-B2846</f>
        <v/>
      </c>
      <c r="D2847" s="25">
        <f>VLOOKUP(A2847,'Database Claims'!$A:$C,2,)</f>
        <v/>
      </c>
      <c r="E2847" s="29">
        <f>D2847-D2846</f>
        <v/>
      </c>
    </row>
    <row r="2848" customFormat="1" s="63">
      <c r="A2848" s="28" t="n">
        <v>44380</v>
      </c>
      <c r="B2848" s="29">
        <f>VLOOKUP(A2848,'Database Claims'!$A:$C,3,)</f>
        <v/>
      </c>
      <c r="C2848" s="29">
        <f>B2848-B2847</f>
        <v/>
      </c>
      <c r="D2848" s="29">
        <f>VLOOKUP(A2848,'Database Claims'!$A:$C,2,)</f>
        <v/>
      </c>
      <c r="E2848" s="29">
        <f>D2848-D2847</f>
        <v/>
      </c>
    </row>
    <row r="2849" customFormat="1" s="63">
      <c r="A2849" s="28" t="n">
        <v>44387</v>
      </c>
      <c r="B2849" s="25">
        <f>VLOOKUP(A2849,'Database Claims'!$A:$C,3,)</f>
        <v/>
      </c>
      <c r="C2849" s="29">
        <f>B2849-B2848</f>
        <v/>
      </c>
      <c r="D2849" s="25">
        <f>VLOOKUP(A2849,'Database Claims'!$A:$C,2,)</f>
        <v/>
      </c>
      <c r="E2849" s="29">
        <f>D2849-D2848</f>
        <v/>
      </c>
    </row>
    <row r="2850" customFormat="1" s="63">
      <c r="A2850" s="28" t="n">
        <v>44394</v>
      </c>
      <c r="B2850" s="29">
        <f>VLOOKUP(A2850,'Database Claims'!$A:$C,3,)</f>
        <v/>
      </c>
      <c r="C2850" s="29">
        <f>B2850-B2849</f>
        <v/>
      </c>
      <c r="D2850" s="29">
        <f>VLOOKUP(A2850,'Database Claims'!$A:$C,2,)</f>
        <v/>
      </c>
      <c r="E2850" s="29">
        <f>D2850-D2849</f>
        <v/>
      </c>
    </row>
    <row r="2851" customFormat="1" s="63">
      <c r="A2851" s="28" t="n">
        <v>44401</v>
      </c>
      <c r="B2851" s="25">
        <f>VLOOKUP(A2851,'Database Claims'!$A:$C,3,)</f>
        <v/>
      </c>
      <c r="C2851" s="29">
        <f>B2851-B2850</f>
        <v/>
      </c>
      <c r="D2851" s="25">
        <f>VLOOKUP(A2851,'Database Claims'!$A:$C,2,)</f>
        <v/>
      </c>
      <c r="E2851" s="29">
        <f>D2851-D2850</f>
        <v/>
      </c>
    </row>
    <row r="2852" customFormat="1" s="63">
      <c r="A2852" s="28" t="n">
        <v>44408</v>
      </c>
      <c r="B2852" s="29">
        <f>VLOOKUP(A2852,'Database Claims'!$A:$C,3,)</f>
        <v/>
      </c>
      <c r="C2852" s="29">
        <f>B2852-B2851</f>
        <v/>
      </c>
      <c r="D2852" s="29">
        <f>VLOOKUP(A2852,'Database Claims'!$A:$C,2,)</f>
        <v/>
      </c>
      <c r="E2852" s="29">
        <f>D2852-D2851</f>
        <v/>
      </c>
    </row>
    <row r="2853" customFormat="1" s="63">
      <c r="A2853" s="28" t="n">
        <v>44415</v>
      </c>
      <c r="B2853" s="25">
        <f>VLOOKUP(A2853,'Database Claims'!$A:$C,3,)</f>
        <v/>
      </c>
      <c r="C2853" s="29">
        <f>B2853-B2852</f>
        <v/>
      </c>
      <c r="D2853" s="25">
        <f>VLOOKUP(A2853,'Database Claims'!$A:$C,2,)</f>
        <v/>
      </c>
      <c r="E2853" s="29">
        <f>D2853-D2852</f>
        <v/>
      </c>
    </row>
    <row r="2854" customFormat="1" s="63">
      <c r="A2854" s="28" t="n">
        <v>44422</v>
      </c>
      <c r="B2854" s="29">
        <f>VLOOKUP(A2854,'Database Claims'!$A:$C,3,)</f>
        <v/>
      </c>
      <c r="C2854" s="29">
        <f>B2854-B2853</f>
        <v/>
      </c>
      <c r="D2854" s="29">
        <f>VLOOKUP(A2854,'Database Claims'!$A:$C,2,)</f>
        <v/>
      </c>
      <c r="E2854" s="29">
        <f>D2854-D2853</f>
        <v/>
      </c>
    </row>
    <row r="2855" customFormat="1" s="63">
      <c r="A2855" s="28" t="n">
        <v>44429</v>
      </c>
      <c r="B2855" s="25">
        <f>VLOOKUP(A2855,'Database Claims'!$A:$C,3,)</f>
        <v/>
      </c>
      <c r="C2855" s="29">
        <f>B2855-B2854</f>
        <v/>
      </c>
      <c r="D2855" s="25">
        <f>VLOOKUP(A2855,'Database Claims'!$A:$C,2,)</f>
        <v/>
      </c>
      <c r="E2855" s="29">
        <f>D2855-D2854</f>
        <v/>
      </c>
    </row>
    <row r="2856" customFormat="1" s="63">
      <c r="A2856" s="28" t="n">
        <v>44436</v>
      </c>
      <c r="B2856" s="29">
        <f>VLOOKUP(A2856,'Database Claims'!$A:$C,3,)</f>
        <v/>
      </c>
      <c r="C2856" s="29">
        <f>B2856-B2855</f>
        <v/>
      </c>
      <c r="D2856" s="29">
        <f>VLOOKUP(A2856,'Database Claims'!$A:$C,2,)</f>
        <v/>
      </c>
      <c r="E2856" s="29">
        <f>D2856-D2855</f>
        <v/>
      </c>
    </row>
    <row r="2857" customFormat="1" s="63">
      <c r="A2857" s="28" t="n">
        <v>44443</v>
      </c>
      <c r="B2857" s="25">
        <f>VLOOKUP(A2857,'Database Claims'!$A:$C,3,)</f>
        <v/>
      </c>
      <c r="C2857" s="29">
        <f>B2857-B2856</f>
        <v/>
      </c>
      <c r="D2857" s="25">
        <f>VLOOKUP(A2857,'Database Claims'!$A:$C,2,)</f>
        <v/>
      </c>
      <c r="E2857" s="29">
        <f>D2857-D2856</f>
        <v/>
      </c>
    </row>
    <row r="2858" customFormat="1" s="63">
      <c r="A2858" s="28" t="n">
        <v>44450</v>
      </c>
      <c r="B2858" s="29">
        <f>VLOOKUP(A2858,'Database Claims'!$A:$C,3,)</f>
        <v/>
      </c>
      <c r="C2858" s="29">
        <f>B2858-B2857</f>
        <v/>
      </c>
      <c r="D2858" s="29">
        <f>VLOOKUP(A2858,'Database Claims'!$A:$C,2,)</f>
        <v/>
      </c>
      <c r="E2858" s="29">
        <f>D2858-D2857</f>
        <v/>
      </c>
    </row>
    <row r="2859" customFormat="1" s="63">
      <c r="A2859" s="28" t="n">
        <v>44457</v>
      </c>
      <c r="B2859" s="29">
        <f>VLOOKUP(A2859,'Database Claims'!$A:$C,3,)</f>
        <v/>
      </c>
      <c r="C2859" s="29">
        <f>B2859-B2858</f>
        <v/>
      </c>
      <c r="D2859" s="29">
        <f>VLOOKUP(A2859,'Database Claims'!$A:$C,2,)</f>
        <v/>
      </c>
      <c r="E2859" s="29">
        <f>D2859-D2858</f>
        <v/>
      </c>
    </row>
    <row r="2860" customFormat="1" s="63">
      <c r="A2860" s="28" t="n">
        <v>44464</v>
      </c>
      <c r="B2860" s="29">
        <f>VLOOKUP(A2860,'Database Claims'!$A:$C,3,)</f>
        <v/>
      </c>
      <c r="C2860" s="29">
        <f>B2860-B2859</f>
        <v/>
      </c>
      <c r="D2860" s="29">
        <f>VLOOKUP(A2860,'Database Claims'!$A:$C,2,)</f>
        <v/>
      </c>
      <c r="E2860" s="29">
        <f>D2860-D2859</f>
        <v/>
      </c>
    </row>
    <row r="2861" customFormat="1" s="63">
      <c r="A2861" s="28" t="n">
        <v>44471</v>
      </c>
      <c r="B2861" s="25">
        <f>VLOOKUP(A2861,'Database Claims'!$A:$C,3,)</f>
        <v/>
      </c>
      <c r="C2861" s="29">
        <f>B2861-B2860</f>
        <v/>
      </c>
      <c r="D2861" s="25">
        <f>VLOOKUP(A2861,'Database Claims'!$A:$C,2,)</f>
        <v/>
      </c>
      <c r="E2861" s="29">
        <f>D2861-D2860</f>
        <v/>
      </c>
    </row>
    <row r="2862" customFormat="1" s="63">
      <c r="A2862" s="28" t="n">
        <v>44478</v>
      </c>
      <c r="B2862" s="29">
        <f>VLOOKUP(A2862,'Database Claims'!$A:$C,3,)</f>
        <v/>
      </c>
      <c r="C2862" s="29">
        <f>B2862-B2861</f>
        <v/>
      </c>
      <c r="D2862" s="29">
        <f>VLOOKUP(A2862,'Database Claims'!$A:$C,2,)</f>
        <v/>
      </c>
      <c r="E2862" s="29">
        <f>D2862-D2861</f>
        <v/>
      </c>
    </row>
    <row r="2863" customFormat="1" s="63">
      <c r="A2863" s="28" t="n">
        <v>44485</v>
      </c>
      <c r="B2863" s="25">
        <f>VLOOKUP(A2863,'Database Claims'!$A:$C,3,)</f>
        <v/>
      </c>
      <c r="C2863" s="29">
        <f>B2863-B2862</f>
        <v/>
      </c>
      <c r="D2863" s="25">
        <f>VLOOKUP(A2863,'Database Claims'!$A:$C,2,)</f>
        <v/>
      </c>
      <c r="E2863" s="29">
        <f>D2863-D2862</f>
        <v/>
      </c>
    </row>
    <row r="2864" customFormat="1" s="63">
      <c r="A2864" s="28" t="n">
        <v>44492</v>
      </c>
      <c r="B2864" s="29">
        <f>VLOOKUP(A2864,'Database Claims'!$A:$C,3,)</f>
        <v/>
      </c>
      <c r="C2864" s="29">
        <f>B2864-B2863</f>
        <v/>
      </c>
      <c r="D2864" s="29">
        <f>VLOOKUP(A2864,'Database Claims'!$A:$C,2,)</f>
        <v/>
      </c>
      <c r="E2864" s="29">
        <f>D2864-D2863</f>
        <v/>
      </c>
    </row>
    <row r="2865" customFormat="1" s="63">
      <c r="A2865" s="28" t="n">
        <v>44499</v>
      </c>
      <c r="B2865" s="25">
        <f>VLOOKUP(A2865,'Database Claims'!$A:$C,3,)</f>
        <v/>
      </c>
      <c r="C2865" s="29">
        <f>B2865-B2864</f>
        <v/>
      </c>
      <c r="D2865" s="25">
        <f>VLOOKUP(A2865,'Database Claims'!$A:$C,2,)</f>
        <v/>
      </c>
      <c r="E2865" s="29">
        <f>D2865-D2864</f>
        <v/>
      </c>
    </row>
    <row r="2866" customFormat="1" s="63">
      <c r="A2866" s="28" t="n">
        <v>44506</v>
      </c>
      <c r="B2866" s="29">
        <f>VLOOKUP(A2866,'Database Claims'!$A:$C,3,)</f>
        <v/>
      </c>
      <c r="C2866" s="29">
        <f>B2866-B2865</f>
        <v/>
      </c>
      <c r="D2866" s="29">
        <f>VLOOKUP(A2866,'Database Claims'!$A:$C,2,)</f>
        <v/>
      </c>
      <c r="E2866" s="29">
        <f>D2866-D2865</f>
        <v/>
      </c>
    </row>
    <row r="2867" customFormat="1" s="63">
      <c r="A2867" s="28" t="n">
        <v>44513</v>
      </c>
      <c r="B2867" s="25">
        <f>VLOOKUP(A2867,'Database Claims'!$A:$C,3,)</f>
        <v/>
      </c>
      <c r="C2867" s="29">
        <f>B2867-B2866</f>
        <v/>
      </c>
      <c r="D2867" s="25">
        <f>VLOOKUP(A2867,'Database Claims'!$A:$C,2,)</f>
        <v/>
      </c>
      <c r="E2867" s="29">
        <f>D2867-D2866</f>
        <v/>
      </c>
    </row>
    <row r="2868" customFormat="1" s="63">
      <c r="A2868" s="28" t="n">
        <v>44520</v>
      </c>
      <c r="B2868" s="29">
        <f>VLOOKUP(A2868,'Database Claims'!$A:$C,3,)</f>
        <v/>
      </c>
      <c r="C2868" s="29">
        <f>B2868-B2867</f>
        <v/>
      </c>
      <c r="D2868" s="29">
        <f>VLOOKUP(A2868,'Database Claims'!$A:$C,2,)</f>
        <v/>
      </c>
      <c r="E2868" s="29">
        <f>D2868-D2867</f>
        <v/>
      </c>
    </row>
    <row r="2869" customFormat="1" s="63">
      <c r="A2869" s="28" t="n">
        <v>44527</v>
      </c>
      <c r="B2869" s="29">
        <f>VLOOKUP(A2869,'Database Claims'!$A:$C,3,)</f>
        <v/>
      </c>
      <c r="C2869" s="29">
        <f>B2869-B2868</f>
        <v/>
      </c>
      <c r="D2869" s="29">
        <f>VLOOKUP(A2869,'Database Claims'!$A:$C,2,)</f>
        <v/>
      </c>
      <c r="E2869" s="29">
        <f>D2869-D2868</f>
        <v/>
      </c>
    </row>
    <row r="2870" customFormat="1" s="63">
      <c r="A2870" s="28" t="n">
        <v>44534</v>
      </c>
      <c r="B2870" s="25">
        <f>VLOOKUP(A2870,'Database Claims'!$A:$C,3,)</f>
        <v/>
      </c>
      <c r="C2870" s="29">
        <f>B2870-B2869</f>
        <v/>
      </c>
      <c r="D2870" s="25">
        <f>VLOOKUP(A2870,'Database Claims'!$A:$C,2,)</f>
        <v/>
      </c>
      <c r="E2870" s="29">
        <f>D2870-D2869</f>
        <v/>
      </c>
    </row>
    <row r="2871" customFormat="1" s="63">
      <c r="A2871" s="28" t="n">
        <v>44541</v>
      </c>
      <c r="B2871" s="29">
        <f>VLOOKUP(A2871,'Database Claims'!$A:$C,3,)</f>
        <v/>
      </c>
      <c r="C2871" s="29">
        <f>B2871-B2870</f>
        <v/>
      </c>
      <c r="D2871" s="29">
        <f>VLOOKUP(A2871,'Database Claims'!$A:$C,2,)</f>
        <v/>
      </c>
      <c r="E2871" s="29">
        <f>D2871-D2870</f>
        <v/>
      </c>
    </row>
    <row r="2872" customFormat="1" s="63">
      <c r="A2872" s="28" t="n">
        <v>44548</v>
      </c>
      <c r="B2872" s="29">
        <f>VLOOKUP(A2872,'Database Claims'!$A:$C,3,)</f>
        <v/>
      </c>
      <c r="C2872" s="29">
        <f>B2872-B2871</f>
        <v/>
      </c>
      <c r="D2872" s="29">
        <f>VLOOKUP(A2872,'Database Claims'!$A:$C,2,)</f>
        <v/>
      </c>
      <c r="E2872" s="29">
        <f>D2872-D2871</f>
        <v/>
      </c>
    </row>
    <row r="2873" customFormat="1" s="63">
      <c r="A2873" s="28" t="n">
        <v>44555</v>
      </c>
      <c r="B2873" s="29">
        <f>VLOOKUP(A2873,'Database Claims'!$A:$C,3,)</f>
        <v/>
      </c>
      <c r="C2873" s="29">
        <f>B2873-B2872</f>
        <v/>
      </c>
      <c r="D2873" s="29">
        <f>VLOOKUP(A2873,'Database Claims'!$A:$C,2,)</f>
        <v/>
      </c>
      <c r="E2873" s="29">
        <f>D2873-D2872</f>
        <v/>
      </c>
    </row>
    <row r="2874" customFormat="1" s="63">
      <c r="A2874" s="28" t="n">
        <v>44562</v>
      </c>
      <c r="B2874" s="29">
        <f>VLOOKUP(A2874,'Database Claims'!$A:$C,3,)</f>
        <v/>
      </c>
      <c r="C2874" s="29">
        <f>B2874-B2873</f>
        <v/>
      </c>
      <c r="D2874" s="29">
        <f>VLOOKUP(A2874,'Database Claims'!$A:$C,2,)</f>
        <v/>
      </c>
      <c r="E2874" s="29">
        <f>D2874-D2873</f>
        <v/>
      </c>
    </row>
    <row r="2875" customFormat="1" s="63">
      <c r="A2875" s="28" t="n">
        <v>44569</v>
      </c>
      <c r="B2875" s="29">
        <f>VLOOKUP(A2875,'Database Claims'!$A:$C,3,)</f>
        <v/>
      </c>
      <c r="C2875" s="29">
        <f>B2875-B2874</f>
        <v/>
      </c>
      <c r="D2875" s="29">
        <f>VLOOKUP(A2875,'Database Claims'!$A:$C,2,)</f>
        <v/>
      </c>
      <c r="E2875" s="29">
        <f>D2875-D2874</f>
        <v/>
      </c>
    </row>
    <row r="2876" customFormat="1" s="63">
      <c r="A2876" s="28" t="n">
        <v>44576</v>
      </c>
      <c r="B2876" s="29">
        <f>VLOOKUP(A2876,'Database Claims'!$A:$C,3,)</f>
        <v/>
      </c>
      <c r="C2876" s="29">
        <f>B2876-B2875</f>
        <v/>
      </c>
      <c r="D2876" s="29">
        <f>VLOOKUP(A2876,'Database Claims'!$A:$C,2,)</f>
        <v/>
      </c>
      <c r="E2876" s="29">
        <f>D2876-D2875</f>
        <v/>
      </c>
    </row>
    <row r="2877" customFormat="1" s="63">
      <c r="A2877" s="28" t="n">
        <v>44583</v>
      </c>
      <c r="B2877" s="29">
        <f>VLOOKUP(A2877,'Database Claims'!$A:$C,3,)</f>
        <v/>
      </c>
      <c r="C2877" s="29">
        <f>B2877-B2876</f>
        <v/>
      </c>
      <c r="D2877" s="29">
        <f>VLOOKUP(A2877,'Database Claims'!$A:$C,2,)</f>
        <v/>
      </c>
      <c r="E2877" s="29">
        <f>D2877-D2876</f>
        <v/>
      </c>
    </row>
    <row r="2878" customFormat="1" s="63">
      <c r="A2878" s="28" t="n">
        <v>44590</v>
      </c>
      <c r="B2878" s="29">
        <f>VLOOKUP(A2878,'Database Claims'!$A:$C,3,)</f>
        <v/>
      </c>
      <c r="C2878" s="29">
        <f>B2878-B2877</f>
        <v/>
      </c>
      <c r="D2878" s="29">
        <f>VLOOKUP(A2878,'Database Claims'!$A:$C,2,)</f>
        <v/>
      </c>
      <c r="E2878" s="29">
        <f>D2878-D2877</f>
        <v/>
      </c>
    </row>
    <row r="2879" customFormat="1" s="63">
      <c r="A2879" s="28" t="n">
        <v>44597</v>
      </c>
      <c r="B2879" s="25">
        <f>VLOOKUP(A2879,'Database Claims'!$A:$C,3,)</f>
        <v/>
      </c>
      <c r="C2879" s="29">
        <f>B2879-B2878</f>
        <v/>
      </c>
      <c r="D2879" s="25">
        <f>VLOOKUP(A2879,'Database Claims'!$A:$C,2,)</f>
        <v/>
      </c>
      <c r="E2879" s="29">
        <f>D2879-D2878</f>
        <v/>
      </c>
    </row>
    <row r="2880" customFormat="1" s="63">
      <c r="A2880" s="28" t="n">
        <v>44604</v>
      </c>
      <c r="B2880" s="29">
        <f>VLOOKUP(A2880,'Database Claims'!$A:$C,3,)</f>
        <v/>
      </c>
      <c r="C2880" s="29">
        <f>B2880-B2879</f>
        <v/>
      </c>
      <c r="D2880" s="29">
        <f>VLOOKUP(A2880,'Database Claims'!$A:$C,2,)</f>
        <v/>
      </c>
      <c r="E2880" s="29">
        <f>D2880-D2879</f>
        <v/>
      </c>
    </row>
    <row r="2881" customFormat="1" s="63"/>
    <row r="2882" customFormat="1" s="63"/>
    <row r="2883" customFormat="1" s="63"/>
    <row r="2884" customFormat="1" s="63"/>
    <row r="2885" customFormat="1" s="63"/>
    <row r="2886" customFormat="1" s="63"/>
    <row r="2887" customFormat="1" s="63"/>
    <row r="2888" customFormat="1" s="63"/>
    <row r="2889" customFormat="1" s="63"/>
    <row r="2890" customFormat="1" s="63"/>
    <row r="2891" customFormat="1" s="63"/>
    <row r="2892" customFormat="1" s="63"/>
    <row r="2893" customFormat="1" s="63"/>
    <row r="2894" customFormat="1" s="63"/>
    <row r="2895" customFormat="1" s="63"/>
    <row r="2896" customFormat="1" s="63"/>
    <row r="2897" customFormat="1" s="63"/>
    <row r="2898" customFormat="1" s="63"/>
    <row r="2899" customFormat="1" s="63"/>
    <row r="2900" customFormat="1" s="63"/>
    <row r="2901" customFormat="1" s="63"/>
    <row r="2902" customFormat="1" s="63"/>
    <row r="2903" customFormat="1" s="63"/>
    <row r="2904" customFormat="1" s="63"/>
    <row r="2905" customFormat="1" s="63"/>
    <row r="2906" customFormat="1" s="63"/>
    <row r="2907" customFormat="1" s="63"/>
    <row r="2908" customFormat="1" s="63"/>
    <row r="2909" customFormat="1" s="63"/>
    <row r="2910" customFormat="1" s="63"/>
    <row r="2911" customFormat="1" s="63"/>
    <row r="2912" customFormat="1" s="63"/>
    <row r="2913" customFormat="1" s="63"/>
    <row r="2914" customFormat="1" s="63"/>
    <row r="2915" customFormat="1" s="63"/>
    <row r="2916" customFormat="1" s="63"/>
    <row r="2917" customFormat="1" s="63"/>
    <row r="2918" customFormat="1" s="63"/>
    <row r="2919" customFormat="1" s="63"/>
    <row r="2920" customFormat="1" s="63"/>
    <row r="2921" customFormat="1" s="63"/>
    <row r="2922" customFormat="1" s="63"/>
    <row r="2923" customFormat="1" s="63"/>
    <row r="2924" customFormat="1" s="63"/>
    <row r="2925" customFormat="1" s="63"/>
    <row r="2926" customFormat="1" s="63"/>
    <row r="2927" customFormat="1" s="63"/>
    <row r="2928" customFormat="1" s="63"/>
    <row r="2929" customFormat="1" s="63"/>
    <row r="2930" customFormat="1" s="63"/>
    <row r="2931" customFormat="1" s="63"/>
    <row r="2932" customFormat="1" s="63"/>
    <row r="2933" customFormat="1" s="63"/>
    <row r="2934" customFormat="1" s="63"/>
    <row r="2935" customFormat="1" s="63"/>
    <row r="2936" customFormat="1" s="63"/>
    <row r="2937" customFormat="1" s="63"/>
    <row r="2938" customFormat="1" s="63"/>
    <row r="2939" customFormat="1" s="63"/>
    <row r="2940" customFormat="1" s="63"/>
    <row r="2941" customFormat="1" s="63"/>
    <row r="2942" customFormat="1" s="63"/>
    <row r="2943" customFormat="1" s="63"/>
    <row r="2944" customFormat="1" s="63"/>
    <row r="2945" customFormat="1" s="63"/>
    <row r="2946" customFormat="1" s="63"/>
    <row r="2947" customFormat="1" s="63"/>
    <row r="2948" customFormat="1" s="63"/>
    <row r="2949" customFormat="1" s="63"/>
    <row r="2950" customFormat="1" s="63"/>
    <row r="2951" customFormat="1" s="63"/>
    <row r="2952" customFormat="1" s="63"/>
    <row r="2953" customFormat="1" s="63"/>
    <row r="2954" customFormat="1" s="63"/>
    <row r="2955" customFormat="1" s="63"/>
    <row r="2956" customFormat="1" s="63"/>
    <row r="2957" customFormat="1" s="63"/>
    <row r="2958" customFormat="1" s="63"/>
    <row r="2959" customFormat="1" s="63"/>
    <row r="2960" customFormat="1" s="63"/>
    <row r="2961" customFormat="1" s="63"/>
    <row r="2962" customFormat="1" s="63"/>
    <row r="2963" customFormat="1" s="63"/>
    <row r="2964" customFormat="1" s="63"/>
    <row r="2965" customFormat="1" s="63"/>
    <row r="2966" customFormat="1" s="63"/>
    <row r="2967" customFormat="1" s="63"/>
    <row r="2968" customFormat="1" s="63"/>
    <row r="2969" customFormat="1" s="63"/>
    <row r="2970" customFormat="1" s="63"/>
    <row r="2971" customFormat="1" s="63"/>
    <row r="2972" customFormat="1" s="63"/>
    <row r="2973" customFormat="1" s="63"/>
    <row r="2974" customFormat="1" s="63"/>
    <row r="2975" customFormat="1" s="63"/>
    <row r="2976" customFormat="1" s="63"/>
    <row r="2977" customFormat="1" s="63"/>
    <row r="2978" customFormat="1" s="63"/>
    <row r="2979" customFormat="1" s="63"/>
    <row r="2980" customFormat="1" s="63"/>
    <row r="2981" customFormat="1" s="63"/>
    <row r="2982" customFormat="1" s="63"/>
    <row r="2983" customFormat="1" s="63"/>
    <row r="2984" customFormat="1" s="63"/>
    <row r="2985" customFormat="1" s="63"/>
    <row r="2986" customFormat="1" s="63"/>
    <row r="2987" customFormat="1" s="63"/>
    <row r="2988" customFormat="1" s="63"/>
    <row r="2989" customFormat="1" s="63"/>
    <row r="2990" customFormat="1" s="63"/>
    <row r="2991" customFormat="1" s="63"/>
    <row r="2992" customFormat="1" s="63"/>
    <row r="2993" customFormat="1" s="63"/>
    <row r="2994" customFormat="1" s="63"/>
    <row r="2995" customFormat="1" s="63"/>
    <row r="2996" customFormat="1" s="63"/>
    <row r="2997" customFormat="1" s="63"/>
    <row r="2998" customFormat="1" s="63"/>
    <row r="2999" customFormat="1" s="63"/>
    <row r="3000" customFormat="1" s="63"/>
    <row r="3001" customFormat="1" s="63"/>
    <row r="3002" customFormat="1" s="63"/>
    <row r="3003" customFormat="1" s="63"/>
    <row r="3004" customFormat="1" s="63"/>
    <row r="3005" customFormat="1" s="63"/>
    <row r="3006" customFormat="1" s="63"/>
    <row r="3007" customFormat="1" s="63"/>
    <row r="3008" customFormat="1" s="63"/>
    <row r="3009" customFormat="1" s="63"/>
    <row r="3010" customFormat="1" s="63"/>
    <row r="3011" customFormat="1" s="63"/>
    <row r="3012" customFormat="1" s="63"/>
    <row r="3013" customFormat="1" s="63"/>
    <row r="3014" customFormat="1" s="63"/>
    <row r="3015" customFormat="1" s="63"/>
    <row r="3016" customFormat="1" s="63"/>
    <row r="3017" customFormat="1" s="63"/>
    <row r="3018" customFormat="1" s="63"/>
    <row r="3019" customFormat="1" s="63"/>
    <row r="3020" customFormat="1" s="63"/>
    <row r="3021" customFormat="1" s="63"/>
    <row r="3022" customFormat="1" s="63"/>
    <row r="3023" customFormat="1" s="63"/>
    <row r="3024" customFormat="1" s="63"/>
    <row r="3025" customFormat="1" s="63"/>
    <row r="3026" customFormat="1" s="63"/>
    <row r="3027" customFormat="1" s="63"/>
    <row r="3028" customFormat="1" s="63"/>
    <row r="3029" customFormat="1" s="63"/>
    <row r="3030" customFormat="1" s="63"/>
    <row r="3031" customFormat="1" s="63"/>
    <row r="3032" customFormat="1" s="63"/>
    <row r="3033" customFormat="1" s="63"/>
    <row r="3034" customFormat="1" s="63"/>
    <row r="3035" customFormat="1" s="63"/>
    <row r="3036" customFormat="1" s="63"/>
    <row r="3037" customFormat="1" s="63"/>
    <row r="3038" customFormat="1" s="63"/>
    <row r="3039" customFormat="1" s="63"/>
    <row r="3040" customFormat="1" s="63"/>
    <row r="3041" customFormat="1" s="63"/>
    <row r="3042" customFormat="1" s="63"/>
    <row r="3043" customFormat="1" s="63"/>
    <row r="3044" customFormat="1" s="63"/>
    <row r="3045" customFormat="1" s="63"/>
    <row r="3046" customFormat="1" s="63"/>
    <row r="3047" customFormat="1" s="63"/>
    <row r="3048" customFormat="1" s="63"/>
    <row r="3049" customFormat="1" s="63"/>
    <row r="3050" customFormat="1" s="63"/>
    <row r="3051" customFormat="1" s="63"/>
    <row r="3052" customFormat="1" s="63"/>
    <row r="3053" customFormat="1" s="63"/>
    <row r="3054" customFormat="1" s="63"/>
    <row r="3055" customFormat="1" s="63"/>
    <row r="3056" customFormat="1" s="63"/>
    <row r="3057" customFormat="1" s="63"/>
    <row r="3058" customFormat="1" s="63"/>
    <row r="3059" customFormat="1" s="63"/>
    <row r="3060" customFormat="1" s="63"/>
    <row r="3061" customFormat="1" s="63"/>
    <row r="3062" customFormat="1" s="63"/>
  </sheetData>
  <conditionalFormatting sqref="B1726:B288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zoomScale="110" zoomScaleNormal="110" workbookViewId="0">
      <selection activeCell="AA26" sqref="AA26"/>
    </sheetView>
  </sheetViews>
  <sheetFormatPr baseColWidth="10" defaultColWidth="9.1640625" defaultRowHeight="15"/>
  <cols>
    <col width="9.1640625" customWidth="1" style="63" min="1" max="18"/>
    <col width="9.1640625" customWidth="1" style="63" min="19"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25" activePane="bottomLeft" state="frozen"/>
      <selection activeCell="L243" sqref="L243"/>
      <selection pane="bottomLeft" activeCell="F256" sqref="F256"/>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3" min="4" max="162"/>
  </cols>
  <sheetData>
    <row r="1" customFormat="1" s="63">
      <c r="A1" s="32" t="inlineStr">
        <is>
          <t>http://www.adpemploymentreport.com/</t>
        </is>
      </c>
      <c r="B1" s="15" t="n"/>
      <c r="C1" s="15" t="n"/>
      <c r="I1" s="17" t="n"/>
    </row>
    <row r="2" customFormat="1" s="63">
      <c r="A2" s="1" t="inlineStr">
        <is>
          <t>https://tradingeconomics.com/united-states/adp-employment-change</t>
        </is>
      </c>
      <c r="B2" s="15" t="n"/>
      <c r="C2" s="15" t="n"/>
    </row>
    <row r="3" customFormat="1" s="63">
      <c r="A3" s="1" t="inlineStr">
        <is>
          <t>https://uk.investing.com/economic-calendar/adp-nonfarm-employment-change-1</t>
        </is>
      </c>
      <c r="B3" s="15" t="n"/>
      <c r="C3" s="15" t="n"/>
    </row>
    <row r="4" customFormat="1" s="63">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3">
      <c r="A222" s="56" t="n">
        <v>43617</v>
      </c>
      <c r="B222" s="57">
        <f>VLOOKUP(A222,'Database ADP'!A:B,2)</f>
        <v/>
      </c>
      <c r="C222" s="57">
        <f>VLOOKUP(A222,NFP!A:C,3)</f>
        <v/>
      </c>
    </row>
    <row r="223" customFormat="1" s="63">
      <c r="A223" s="56" t="n">
        <v>43647</v>
      </c>
      <c r="B223" s="57">
        <f>VLOOKUP(A223,'Database ADP'!A:B,2)</f>
        <v/>
      </c>
      <c r="C223" s="57">
        <f>VLOOKUP(A223,NFP!A:C,3)</f>
        <v/>
      </c>
    </row>
    <row r="224" customFormat="1" s="63">
      <c r="A224" s="56" t="n">
        <v>43678</v>
      </c>
      <c r="B224" s="57">
        <f>VLOOKUP(A224,'Database ADP'!A:B,2)</f>
        <v/>
      </c>
      <c r="C224" s="57">
        <f>VLOOKUP(A224,NFP!A:C,3)</f>
        <v/>
      </c>
    </row>
    <row r="225" customFormat="1" s="63">
      <c r="A225" s="56" t="n">
        <v>43709</v>
      </c>
      <c r="B225" s="57">
        <f>VLOOKUP(A225,'Database ADP'!A:B,2)</f>
        <v/>
      </c>
      <c r="C225" s="57">
        <f>VLOOKUP(A225,NFP!A:C,3)</f>
        <v/>
      </c>
    </row>
    <row r="226" customFormat="1" s="63">
      <c r="A226" s="56" t="n">
        <v>43739</v>
      </c>
      <c r="B226" s="57">
        <f>VLOOKUP(A226,'Database ADP'!A:B,2)</f>
        <v/>
      </c>
      <c r="C226" s="57">
        <f>VLOOKUP(A226,NFP!A:C,3)</f>
        <v/>
      </c>
    </row>
    <row r="227" customFormat="1" s="63">
      <c r="A227" s="56" t="n">
        <v>43770</v>
      </c>
      <c r="B227" s="57">
        <f>VLOOKUP(A227,'Database ADP'!A:B,2)</f>
        <v/>
      </c>
      <c r="C227" s="57">
        <f>VLOOKUP(A227,NFP!A:C,3)</f>
        <v/>
      </c>
    </row>
    <row r="228" customFormat="1" s="63">
      <c r="A228" s="56" t="n">
        <v>43800</v>
      </c>
      <c r="B228" s="57">
        <f>VLOOKUP(A228,'Database ADP'!A:B,2)</f>
        <v/>
      </c>
      <c r="C228" s="57">
        <f>VLOOKUP(A228,NFP!A:C,3)</f>
        <v/>
      </c>
    </row>
    <row r="229" customFormat="1" s="63">
      <c r="A229" s="56" t="n">
        <v>43831</v>
      </c>
      <c r="B229" s="57">
        <f>VLOOKUP(A229,'Database ADP'!A:B,2)</f>
        <v/>
      </c>
      <c r="C229" s="57">
        <f>VLOOKUP(A229,NFP!A:C,3)</f>
        <v/>
      </c>
    </row>
    <row r="230" customFormat="1" s="63">
      <c r="A230" s="56" t="n">
        <v>43862</v>
      </c>
      <c r="B230" s="57">
        <f>VLOOKUP(A230,'Database ADP'!A:B,2)</f>
        <v/>
      </c>
      <c r="C230" s="57">
        <f>VLOOKUP(A230,NFP!A:C,3)</f>
        <v/>
      </c>
    </row>
    <row r="231" customFormat="1" s="63">
      <c r="A231" s="56" t="n">
        <v>43891</v>
      </c>
      <c r="B231" s="57">
        <f>VLOOKUP(A231,'Database ADP'!A:B,2)</f>
        <v/>
      </c>
      <c r="C231" s="57">
        <f>VLOOKUP(A231,NFP!A:C,3)</f>
        <v/>
      </c>
    </row>
    <row r="232" customFormat="1" s="63">
      <c r="A232" s="56" t="n">
        <v>43922</v>
      </c>
      <c r="B232" s="57">
        <f>VLOOKUP(A232,'Database ADP'!A:B,2)</f>
        <v/>
      </c>
      <c r="C232" s="57">
        <f>VLOOKUP(A232,NFP!A:C,3)</f>
        <v/>
      </c>
    </row>
    <row r="233" customFormat="1" s="63">
      <c r="A233" s="56" t="n">
        <v>43952</v>
      </c>
      <c r="B233" s="57">
        <f>VLOOKUP(A233,'Database ADP'!A:B,2)</f>
        <v/>
      </c>
      <c r="C233" s="57">
        <f>VLOOKUP(A233,NFP!A:C,3)</f>
        <v/>
      </c>
    </row>
    <row r="234" customFormat="1" s="63">
      <c r="A234" s="56" t="n">
        <v>43983</v>
      </c>
      <c r="B234" s="57">
        <f>VLOOKUP(A234,'Database ADP'!A:B,2)</f>
        <v/>
      </c>
      <c r="C234" s="57">
        <f>VLOOKUP(A234,NFP!A:C,3)</f>
        <v/>
      </c>
    </row>
    <row r="235" customFormat="1" s="63">
      <c r="A235" s="56" t="n">
        <v>44013</v>
      </c>
      <c r="B235" s="57">
        <f>VLOOKUP(A235,'Database ADP'!A:B,2)</f>
        <v/>
      </c>
      <c r="C235" s="57">
        <f>VLOOKUP(A235,NFP!A:C,3)</f>
        <v/>
      </c>
    </row>
    <row r="236" customFormat="1" s="63">
      <c r="A236" s="56" t="n">
        <v>44044</v>
      </c>
      <c r="B236" s="57">
        <f>VLOOKUP(A236,'Database ADP'!A:B,2)</f>
        <v/>
      </c>
      <c r="C236" s="57">
        <f>VLOOKUP(A236,NFP!A:C,3)</f>
        <v/>
      </c>
    </row>
    <row r="237" customFormat="1" s="63">
      <c r="A237" s="56" t="n">
        <v>44075</v>
      </c>
      <c r="B237" s="57">
        <f>VLOOKUP(A237,'Database ADP'!A:B,2)</f>
        <v/>
      </c>
      <c r="C237" s="57">
        <f>VLOOKUP(A237,NFP!A:C,3)</f>
        <v/>
      </c>
    </row>
    <row r="238" customFormat="1" s="63">
      <c r="A238" s="56" t="n">
        <v>44105</v>
      </c>
      <c r="B238" s="57">
        <f>VLOOKUP(A238,'Database ADP'!A:B,2)</f>
        <v/>
      </c>
      <c r="C238" s="57">
        <f>VLOOKUP(A238,NFP!A:C,3)</f>
        <v/>
      </c>
    </row>
    <row r="239" customFormat="1" s="63">
      <c r="A239" s="56" t="n">
        <v>44136</v>
      </c>
      <c r="B239" s="57">
        <f>VLOOKUP(A239,'Database ADP'!A:B,2)</f>
        <v/>
      </c>
      <c r="C239" s="57">
        <f>VLOOKUP(A239,NFP!A:C,3)</f>
        <v/>
      </c>
    </row>
    <row r="240" customFormat="1" s="63">
      <c r="A240" s="56" t="n">
        <v>44166</v>
      </c>
      <c r="B240" s="57">
        <f>VLOOKUP(A240,'Database ADP'!A:B,2)</f>
        <v/>
      </c>
      <c r="C240" s="57">
        <f>VLOOKUP(A240,NFP!A:C,3)</f>
        <v/>
      </c>
    </row>
    <row r="241" customFormat="1" s="63">
      <c r="A241" s="56" t="n">
        <v>44197</v>
      </c>
      <c r="B241" s="57">
        <f>VLOOKUP(A241,'Database ADP'!A:B,2)</f>
        <v/>
      </c>
      <c r="C241" s="57">
        <f>VLOOKUP(A241,NFP!A:C,3)</f>
        <v/>
      </c>
    </row>
    <row r="242" customFormat="1" s="63">
      <c r="A242" s="56" t="n">
        <v>44228</v>
      </c>
      <c r="B242" s="57">
        <f>VLOOKUP(A242,'Database ADP'!A:B,2)</f>
        <v/>
      </c>
      <c r="C242" s="57">
        <f>VLOOKUP(A242,NFP!A:C,3)</f>
        <v/>
      </c>
    </row>
    <row r="243" customFormat="1" s="63">
      <c r="A243" s="56" t="n">
        <v>44256</v>
      </c>
      <c r="B243" s="57">
        <f>VLOOKUP(A243,'Database ADP'!A:B,2)</f>
        <v/>
      </c>
      <c r="C243" s="57">
        <f>VLOOKUP(A243,NFP!A:C,3)</f>
        <v/>
      </c>
    </row>
    <row r="244" customFormat="1" s="63">
      <c r="A244" s="56" t="n">
        <v>44287</v>
      </c>
      <c r="B244" s="57">
        <f>VLOOKUP(A244,'Database ADP'!A:B,2)</f>
        <v/>
      </c>
      <c r="C244" s="57">
        <f>VLOOKUP(A244,NFP!A:C,3)</f>
        <v/>
      </c>
    </row>
    <row r="245" customFormat="1" s="63">
      <c r="A245" s="56" t="n">
        <v>44317</v>
      </c>
      <c r="B245" s="57">
        <f>VLOOKUP(A245,'Database ADP'!A:B,2)</f>
        <v/>
      </c>
      <c r="C245" s="57">
        <f>VLOOKUP(A245,NFP!A:C,3)</f>
        <v/>
      </c>
    </row>
    <row r="246" customFormat="1" s="63">
      <c r="A246" s="56" t="n">
        <v>44348</v>
      </c>
      <c r="B246" s="57">
        <f>VLOOKUP(A246,'Database ADP'!A:B,2)</f>
        <v/>
      </c>
      <c r="C246" s="57">
        <f>VLOOKUP(A246,NFP!A:C,3)</f>
        <v/>
      </c>
    </row>
    <row r="247" customFormat="1" s="63">
      <c r="A247" s="56" t="n">
        <v>44378</v>
      </c>
      <c r="B247" s="57">
        <f>VLOOKUP(A247,'Database ADP'!A:B,2)</f>
        <v/>
      </c>
      <c r="C247" s="57">
        <f>VLOOKUP(A247,NFP!A:C,3)</f>
        <v/>
      </c>
    </row>
    <row r="248" customFormat="1" s="63">
      <c r="A248" s="56" t="n">
        <v>44409</v>
      </c>
      <c r="B248" s="57">
        <f>VLOOKUP(A248,'Database ADP'!A:B,2)</f>
        <v/>
      </c>
      <c r="C248" s="57">
        <f>VLOOKUP(A248,NFP!A:C,3)</f>
        <v/>
      </c>
    </row>
    <row r="249" customFormat="1" s="63">
      <c r="A249" s="56" t="n">
        <v>44440</v>
      </c>
      <c r="B249" s="57">
        <f>VLOOKUP(A249,'Database ADP'!A:B,2)</f>
        <v/>
      </c>
      <c r="C249" s="57">
        <f>VLOOKUP(A249,NFP!A:C,3)</f>
        <v/>
      </c>
    </row>
    <row r="250" customFormat="1" s="63">
      <c r="A250" s="56" t="n">
        <v>44470</v>
      </c>
      <c r="B250" s="57">
        <f>VLOOKUP(A250,'Database ADP'!A:B,2)</f>
        <v/>
      </c>
      <c r="C250" s="57">
        <f>VLOOKUP(A250,NFP!A:C,3)</f>
        <v/>
      </c>
    </row>
    <row r="251" customFormat="1" s="63">
      <c r="A251" s="56" t="n">
        <v>44501</v>
      </c>
      <c r="B251" s="57">
        <f>VLOOKUP(A251,'Database ADP'!A:B,2)</f>
        <v/>
      </c>
      <c r="C251" s="57">
        <f>VLOOKUP(A251,NFP!A:C,3)</f>
        <v/>
      </c>
    </row>
    <row r="252" customFormat="1" s="63">
      <c r="A252" s="56" t="n">
        <v>44531</v>
      </c>
      <c r="B252" s="57">
        <f>VLOOKUP(A252,'Database ADP'!A:B,2)</f>
        <v/>
      </c>
      <c r="C252" s="57">
        <f>VLOOKUP(A252,NFP!A:C,3)</f>
        <v/>
      </c>
    </row>
    <row r="253" customFormat="1" s="63">
      <c r="A253" s="56" t="n">
        <v>44562</v>
      </c>
      <c r="B253" s="57">
        <f>VLOOKUP(A253,'Database ADP'!A:B,2)</f>
        <v/>
      </c>
      <c r="C253" s="57">
        <f>VLOOKUP(A253,NFP!A:C,3)</f>
        <v/>
      </c>
    </row>
    <row r="254" customFormat="1" s="63">
      <c r="A254" s="56" t="n">
        <v>44593</v>
      </c>
      <c r="B254" s="57">
        <f>VLOOKUP(A254,'Database ADP'!A:B,2)</f>
        <v/>
      </c>
      <c r="C254" s="57">
        <f>VLOOKUP(A254,NFP!A:C,3)</f>
        <v/>
      </c>
    </row>
    <row r="255" customFormat="1" s="63">
      <c r="A255" s="56" t="n">
        <v>44621</v>
      </c>
      <c r="B255" s="57">
        <f>VLOOKUP(A255,'Database ADP'!A:B,2)</f>
        <v/>
      </c>
      <c r="C255" s="57">
        <f>VLOOKUP(A255,NFP!A:C,3)</f>
        <v/>
      </c>
    </row>
    <row r="256" customFormat="1" s="63">
      <c r="A256" s="15" t="n"/>
      <c r="B256" s="15" t="n"/>
      <c r="C256" s="15" t="n"/>
    </row>
    <row r="257" customFormat="1" s="63">
      <c r="A257" s="15" t="n"/>
      <c r="B257" s="15" t="n"/>
      <c r="C257" s="15" t="n"/>
    </row>
    <row r="258" customFormat="1" s="63">
      <c r="A258" s="15" t="n"/>
      <c r="B258" s="15" t="n"/>
      <c r="C258" s="15" t="n"/>
    </row>
    <row r="259" customFormat="1" s="63">
      <c r="A259" s="15" t="n"/>
      <c r="B259" s="15" t="n"/>
      <c r="C259" s="15" t="n"/>
    </row>
    <row r="260" customFormat="1" s="63">
      <c r="A260" s="15" t="n"/>
      <c r="B260" s="15" t="n"/>
      <c r="C260" s="15" t="n"/>
    </row>
    <row r="261" customFormat="1" s="63">
      <c r="A261" s="15" t="n"/>
      <c r="B261" s="15" t="n"/>
      <c r="C261" s="15" t="n"/>
    </row>
    <row r="262" customFormat="1" s="63">
      <c r="A262" s="15" t="n"/>
      <c r="B262" s="15" t="n"/>
      <c r="C262" s="15" t="n"/>
    </row>
    <row r="263" customFormat="1" s="63">
      <c r="A263" s="15" t="n"/>
      <c r="B263" s="15" t="n"/>
      <c r="C263" s="15" t="n"/>
    </row>
    <row r="264" customFormat="1" s="63">
      <c r="A264" s="15" t="n"/>
      <c r="B264" s="15" t="n"/>
      <c r="C264" s="15" t="n"/>
    </row>
    <row r="265" customFormat="1" s="63">
      <c r="A265" s="15" t="n"/>
      <c r="B265" s="15" t="n"/>
      <c r="C265" s="15" t="n"/>
    </row>
    <row r="266" customFormat="1" s="63">
      <c r="A266" s="15" t="n"/>
      <c r="B266" s="15" t="n"/>
      <c r="C266" s="15" t="n"/>
    </row>
    <row r="267" customFormat="1" s="63">
      <c r="A267" s="15" t="n"/>
      <c r="B267" s="15" t="n"/>
      <c r="C267" s="15" t="n"/>
    </row>
    <row r="268" customFormat="1" s="63">
      <c r="A268" s="15" t="n"/>
      <c r="B268" s="15" t="n"/>
      <c r="C268" s="15" t="n"/>
    </row>
    <row r="269" customFormat="1" s="63">
      <c r="A269" s="15" t="n"/>
      <c r="B269" s="15" t="n"/>
      <c r="C269" s="15" t="n"/>
    </row>
    <row r="270" customFormat="1" s="63">
      <c r="A270" s="15" t="n"/>
      <c r="B270" s="15" t="n"/>
      <c r="C270" s="15" t="n"/>
    </row>
    <row r="271" customFormat="1" s="63">
      <c r="A271" s="15" t="n"/>
      <c r="B271" s="15" t="n"/>
      <c r="C271" s="15" t="n"/>
    </row>
    <row r="272" customFormat="1" s="63">
      <c r="A272" s="15" t="n"/>
      <c r="B272" s="15" t="n"/>
      <c r="C272" s="15" t="n"/>
    </row>
    <row r="273" customFormat="1" s="63">
      <c r="A273" s="15" t="n"/>
      <c r="B273" s="15" t="n"/>
      <c r="C273" s="15" t="n"/>
    </row>
    <row r="274" customFormat="1" s="63">
      <c r="A274" s="15" t="n"/>
      <c r="B274" s="15" t="n"/>
      <c r="C274" s="15" t="n"/>
    </row>
    <row r="275" customFormat="1" s="63">
      <c r="A275" s="15" t="n"/>
      <c r="B275" s="15" t="n"/>
      <c r="C275" s="15" t="n"/>
    </row>
    <row r="276" customFormat="1" s="63">
      <c r="A276" s="15" t="n"/>
      <c r="B276" s="15" t="n"/>
      <c r="C276" s="15" t="n"/>
    </row>
    <row r="277" customFormat="1" s="63">
      <c r="A277" s="15" t="n"/>
      <c r="B277" s="15" t="n"/>
      <c r="C277" s="15" t="n"/>
    </row>
    <row r="278" customFormat="1" s="63">
      <c r="A278" s="15" t="n"/>
      <c r="B278" s="15" t="n"/>
      <c r="C278" s="15" t="n"/>
    </row>
    <row r="279" customFormat="1" s="63">
      <c r="A279" s="15" t="n"/>
      <c r="B279" s="15" t="n"/>
      <c r="C279" s="15" t="n"/>
    </row>
    <row r="280" customFormat="1" s="63">
      <c r="A280" s="15" t="n"/>
      <c r="B280" s="15" t="n"/>
      <c r="C280" s="15" t="n"/>
    </row>
    <row r="281" customFormat="1" s="63">
      <c r="A281" s="15" t="n"/>
      <c r="B281" s="15" t="n"/>
      <c r="C281" s="15" t="n"/>
    </row>
    <row r="282" customFormat="1" s="63">
      <c r="A282" s="15" t="n"/>
      <c r="B282" s="15" t="n"/>
      <c r="C282" s="15" t="n"/>
    </row>
    <row r="283" customFormat="1" s="63">
      <c r="A283" s="15" t="n"/>
      <c r="B283" s="15" t="n"/>
      <c r="C283" s="15" t="n"/>
    </row>
    <row r="284" customFormat="1" s="63">
      <c r="A284" s="15" t="n"/>
      <c r="B284" s="15" t="n"/>
      <c r="C284" s="15" t="n"/>
    </row>
    <row r="285" customFormat="1" s="63">
      <c r="A285" s="15" t="n"/>
      <c r="B285" s="15" t="n"/>
      <c r="C285" s="15" t="n"/>
    </row>
    <row r="286" customFormat="1" s="63">
      <c r="A286" s="15" t="n"/>
      <c r="B286" s="15" t="n"/>
      <c r="C286" s="15" t="n"/>
    </row>
    <row r="287" customFormat="1" s="63">
      <c r="A287" s="15" t="n"/>
      <c r="B287" s="15" t="n"/>
      <c r="C287" s="15" t="n"/>
    </row>
    <row r="288" customFormat="1" s="63">
      <c r="A288" s="15" t="n"/>
      <c r="B288" s="15" t="n"/>
      <c r="C288" s="15" t="n"/>
    </row>
    <row r="289" customFormat="1" s="63">
      <c r="A289" s="15" t="n"/>
      <c r="B289" s="15" t="n"/>
      <c r="C289" s="15" t="n"/>
    </row>
    <row r="290" customFormat="1" s="63">
      <c r="A290" s="15" t="n"/>
      <c r="B290" s="15" t="n"/>
      <c r="C290" s="15" t="n"/>
    </row>
    <row r="291" customFormat="1" s="63">
      <c r="A291" s="15" t="n"/>
      <c r="B291" s="15" t="n"/>
      <c r="C291" s="15" t="n"/>
    </row>
    <row r="292" customFormat="1" s="63">
      <c r="A292" s="15" t="n"/>
      <c r="B292" s="15" t="n"/>
      <c r="C292" s="15" t="n"/>
    </row>
    <row r="293" customFormat="1" s="63">
      <c r="A293" s="15" t="n"/>
      <c r="B293" s="15" t="n"/>
      <c r="C293" s="15" t="n"/>
    </row>
    <row r="294" customFormat="1" s="63">
      <c r="A294" s="15" t="n"/>
      <c r="B294" s="15" t="n"/>
      <c r="C294" s="15" t="n"/>
    </row>
    <row r="295" customFormat="1" s="63">
      <c r="A295" s="15" t="n"/>
      <c r="B295" s="15" t="n"/>
      <c r="C295" s="15" t="n"/>
    </row>
    <row r="296" customFormat="1" s="63">
      <c r="A296" s="15" t="n"/>
      <c r="B296" s="15" t="n"/>
      <c r="C296" s="15" t="n"/>
    </row>
    <row r="297" customFormat="1" s="63">
      <c r="A297" s="15" t="n"/>
      <c r="B297" s="15" t="n"/>
      <c r="C297" s="15" t="n"/>
    </row>
    <row r="298" customFormat="1" s="63">
      <c r="A298" s="15" t="n"/>
      <c r="B298" s="15" t="n"/>
      <c r="C298" s="15" t="n"/>
    </row>
    <row r="299" customFormat="1" s="63">
      <c r="A299" s="15" t="n"/>
      <c r="B299" s="15" t="n"/>
      <c r="C299" s="15" t="n"/>
    </row>
    <row r="300" customFormat="1" s="63">
      <c r="A300" s="15" t="n"/>
      <c r="B300" s="15" t="n"/>
      <c r="C300" s="15" t="n"/>
    </row>
    <row r="301" customFormat="1" s="63">
      <c r="A301" s="15" t="n"/>
      <c r="B301" s="15" t="n"/>
      <c r="C301" s="15" t="n"/>
    </row>
    <row r="302" customFormat="1" s="63">
      <c r="A302" s="15" t="n"/>
      <c r="B302" s="15" t="n"/>
      <c r="C302" s="15" t="n"/>
    </row>
    <row r="303" customFormat="1" s="63">
      <c r="A303" s="15" t="n"/>
      <c r="B303" s="15" t="n"/>
      <c r="C303" s="15" t="n"/>
    </row>
    <row r="304" customFormat="1" s="63">
      <c r="A304" s="15" t="n"/>
      <c r="B304" s="15" t="n"/>
      <c r="C304" s="15" t="n"/>
    </row>
    <row r="305" customFormat="1" s="63">
      <c r="A305" s="15" t="n"/>
      <c r="B305" s="15" t="n"/>
      <c r="C305" s="15" t="n"/>
    </row>
    <row r="306" customFormat="1" s="63">
      <c r="A306" s="15" t="n"/>
      <c r="B306" s="15" t="n"/>
      <c r="C306" s="15" t="n"/>
    </row>
    <row r="307" customFormat="1" s="63">
      <c r="A307" s="15" t="n"/>
      <c r="B307" s="15" t="n"/>
      <c r="C307" s="15" t="n"/>
    </row>
    <row r="308" customFormat="1" s="63">
      <c r="A308" s="15" t="n"/>
      <c r="B308" s="15" t="n"/>
      <c r="C308" s="15" t="n"/>
    </row>
    <row r="309" customFormat="1" s="63">
      <c r="A309" s="15" t="n"/>
      <c r="B309" s="15" t="n"/>
      <c r="C309" s="15" t="n"/>
    </row>
    <row r="310" customFormat="1" s="63">
      <c r="A310" s="15" t="n"/>
      <c r="B310" s="15" t="n"/>
      <c r="C310" s="15" t="n"/>
    </row>
    <row r="311" customFormat="1" s="63">
      <c r="A311" s="15" t="n"/>
      <c r="B311" s="15" t="n"/>
      <c r="C311" s="15" t="n"/>
    </row>
    <row r="312" customFormat="1" s="63">
      <c r="A312" s="15" t="n"/>
      <c r="B312" s="15" t="n"/>
      <c r="C312" s="15" t="n"/>
    </row>
    <row r="313" customFormat="1" s="63">
      <c r="A313" s="15" t="n"/>
      <c r="B313" s="15" t="n"/>
      <c r="C313" s="15" t="n"/>
    </row>
    <row r="314" customFormat="1" s="63">
      <c r="A314" s="15" t="n"/>
      <c r="B314" s="15" t="n"/>
      <c r="C314" s="15" t="n"/>
    </row>
    <row r="315" customFormat="1" s="63">
      <c r="A315" s="15" t="n"/>
      <c r="B315" s="15" t="n"/>
      <c r="C315" s="15" t="n"/>
    </row>
    <row r="316" customFormat="1" s="63">
      <c r="A316" s="15" t="n"/>
      <c r="B316" s="15" t="n"/>
      <c r="C316" s="15" t="n"/>
    </row>
    <row r="317" customFormat="1" s="63">
      <c r="A317" s="15" t="n"/>
      <c r="B317" s="15" t="n"/>
      <c r="C317" s="15" t="n"/>
    </row>
    <row r="318" customFormat="1" s="63">
      <c r="A318" s="15" t="n"/>
      <c r="B318" s="15" t="n"/>
      <c r="C318" s="15" t="n"/>
    </row>
    <row r="319" customFormat="1" s="63">
      <c r="A319" s="15" t="n"/>
      <c r="B319" s="15" t="n"/>
      <c r="C319" s="15" t="n"/>
    </row>
    <row r="320" customFormat="1" s="63">
      <c r="A320" s="15" t="n"/>
      <c r="B320" s="15" t="n"/>
      <c r="C320" s="15" t="n"/>
    </row>
    <row r="321" customFormat="1" s="63">
      <c r="A321" s="15" t="n"/>
      <c r="B321" s="15" t="n"/>
      <c r="C321" s="15" t="n"/>
    </row>
    <row r="322" customFormat="1" s="63">
      <c r="A322" s="15" t="n"/>
      <c r="B322" s="15" t="n"/>
      <c r="C322" s="15" t="n"/>
    </row>
    <row r="323" customFormat="1" s="63">
      <c r="A323" s="15" t="n"/>
      <c r="B323" s="15" t="n"/>
      <c r="C323" s="15" t="n"/>
    </row>
    <row r="324" customFormat="1" s="63">
      <c r="A324" s="15" t="n"/>
      <c r="B324" s="15" t="n"/>
      <c r="C324" s="15" t="n"/>
    </row>
    <row r="325" customFormat="1" s="63">
      <c r="A325" s="15" t="n"/>
      <c r="B325" s="15" t="n"/>
      <c r="C325" s="15" t="n"/>
    </row>
    <row r="326" customFormat="1" s="63">
      <c r="A326" s="15" t="n"/>
      <c r="B326" s="15" t="n"/>
      <c r="C326" s="15" t="n"/>
    </row>
    <row r="327" customFormat="1" s="63">
      <c r="A327" s="15" t="n"/>
      <c r="B327" s="15" t="n"/>
      <c r="C327" s="15" t="n"/>
    </row>
    <row r="328" customFormat="1" s="63">
      <c r="A328" s="15" t="n"/>
      <c r="B328" s="15" t="n"/>
      <c r="C328" s="15" t="n"/>
    </row>
    <row r="329" customFormat="1" s="63">
      <c r="A329" s="15" t="n"/>
      <c r="B329" s="15" t="n"/>
      <c r="C329" s="15" t="n"/>
    </row>
    <row r="330" customFormat="1" s="63">
      <c r="A330" s="15" t="n"/>
      <c r="B330" s="15" t="n"/>
      <c r="C330" s="15" t="n"/>
    </row>
    <row r="331" customFormat="1" s="63">
      <c r="A331" s="15" t="n"/>
      <c r="B331" s="15" t="n"/>
      <c r="C331" s="15" t="n"/>
    </row>
    <row r="332" customFormat="1" s="63">
      <c r="A332" s="15" t="n"/>
      <c r="B332" s="15" t="n"/>
      <c r="C332" s="15" t="n"/>
    </row>
    <row r="333" customFormat="1" s="63">
      <c r="A333" s="15" t="n"/>
      <c r="B333" s="15" t="n"/>
      <c r="C333" s="15" t="n"/>
    </row>
    <row r="334" customFormat="1" s="63">
      <c r="A334" s="15" t="n"/>
      <c r="B334" s="15" t="n"/>
      <c r="C334" s="15" t="n"/>
    </row>
    <row r="335" customFormat="1" s="63">
      <c r="A335" s="15" t="n"/>
      <c r="B335" s="15" t="n"/>
      <c r="C335" s="15" t="n"/>
    </row>
    <row r="336" customFormat="1" s="63">
      <c r="A336" s="15" t="n"/>
      <c r="B336" s="15" t="n"/>
      <c r="C336" s="15" t="n"/>
    </row>
    <row r="337" customFormat="1" s="63">
      <c r="A337" s="15" t="n"/>
      <c r="B337" s="15" t="n"/>
      <c r="C337" s="15" t="n"/>
    </row>
    <row r="338" customFormat="1" s="63">
      <c r="A338" s="15" t="n"/>
      <c r="B338" s="15" t="n"/>
      <c r="C338" s="15" t="n"/>
    </row>
    <row r="339" customFormat="1" s="63">
      <c r="A339" s="15" t="n"/>
      <c r="B339" s="15" t="n"/>
      <c r="C339" s="15" t="n"/>
    </row>
    <row r="340" customFormat="1" s="63">
      <c r="A340" s="15" t="n"/>
      <c r="B340" s="15" t="n"/>
      <c r="C340" s="15" t="n"/>
    </row>
    <row r="341" customFormat="1" s="63">
      <c r="A341" s="15" t="n"/>
      <c r="B341" s="15" t="n"/>
      <c r="C341" s="15" t="n"/>
    </row>
    <row r="342" customFormat="1" s="63">
      <c r="A342" s="15" t="n"/>
      <c r="B342" s="15" t="n"/>
      <c r="C342" s="15" t="n"/>
    </row>
    <row r="343" customFormat="1" s="63">
      <c r="A343" s="15" t="n"/>
      <c r="B343" s="15" t="n"/>
      <c r="C343" s="15" t="n"/>
    </row>
    <row r="344" customFormat="1" s="63">
      <c r="A344" s="15" t="n"/>
      <c r="B344" s="15" t="n"/>
      <c r="C344" s="15" t="n"/>
    </row>
    <row r="345" customFormat="1" s="63">
      <c r="A345" s="15" t="n"/>
      <c r="B345" s="15" t="n"/>
      <c r="C345" s="15" t="n"/>
    </row>
    <row r="346" customFormat="1" s="63">
      <c r="A346" s="15" t="n"/>
      <c r="B346" s="15" t="n"/>
      <c r="C346" s="15" t="n"/>
    </row>
    <row r="347" customFormat="1" s="63">
      <c r="A347" s="15" t="n"/>
      <c r="B347" s="15" t="n"/>
      <c r="C347" s="15" t="n"/>
    </row>
    <row r="348" customFormat="1" s="63">
      <c r="A348" s="15" t="n"/>
      <c r="B348" s="15" t="n"/>
      <c r="C348" s="15" t="n"/>
    </row>
    <row r="349" customFormat="1" s="63">
      <c r="A349" s="15" t="n"/>
      <c r="B349" s="15" t="n"/>
      <c r="C349" s="15" t="n"/>
    </row>
    <row r="350" customFormat="1" s="63">
      <c r="A350" s="15" t="n"/>
      <c r="B350" s="15" t="n"/>
      <c r="C350" s="15" t="n"/>
    </row>
    <row r="351" customFormat="1" s="63">
      <c r="A351" s="15" t="n"/>
      <c r="B351" s="15" t="n"/>
      <c r="C351" s="15" t="n"/>
    </row>
    <row r="352" customFormat="1" s="63">
      <c r="A352" s="15" t="n"/>
      <c r="B352" s="15" t="n"/>
      <c r="C352" s="15" t="n"/>
    </row>
    <row r="353" customFormat="1" s="63">
      <c r="A353" s="15" t="n"/>
      <c r="B353" s="15" t="n"/>
      <c r="C353" s="15" t="n"/>
    </row>
    <row r="354" customFormat="1" s="63">
      <c r="A354" s="15" t="n"/>
      <c r="B354" s="15" t="n"/>
      <c r="C354" s="15" t="n"/>
    </row>
    <row r="355" customFormat="1" s="63">
      <c r="A355" s="15" t="n"/>
      <c r="B355" s="15" t="n"/>
      <c r="C355" s="15" t="n"/>
    </row>
    <row r="356" customFormat="1" s="63">
      <c r="A356" s="15" t="n"/>
      <c r="B356" s="15" t="n"/>
      <c r="C356" s="15" t="n"/>
    </row>
    <row r="357" customFormat="1" s="63">
      <c r="A357" s="15" t="n"/>
      <c r="B357" s="15" t="n"/>
      <c r="C357" s="15" t="n"/>
    </row>
    <row r="358" customFormat="1" s="63">
      <c r="A358" s="15" t="n"/>
      <c r="B358" s="15" t="n"/>
      <c r="C358" s="15" t="n"/>
    </row>
    <row r="359" customFormat="1" s="63">
      <c r="A359" s="15" t="n"/>
      <c r="B359" s="15" t="n"/>
      <c r="C359" s="15" t="n"/>
    </row>
    <row r="360" customFormat="1" s="63">
      <c r="A360" s="15" t="n"/>
      <c r="B360" s="15" t="n"/>
      <c r="C360" s="15" t="n"/>
    </row>
    <row r="361" customFormat="1" s="63">
      <c r="A361" s="15" t="n"/>
      <c r="B361" s="15" t="n"/>
      <c r="C361" s="15" t="n"/>
    </row>
    <row r="362" customFormat="1" s="63">
      <c r="A362" s="15" t="n"/>
      <c r="B362" s="15" t="n"/>
      <c r="C362" s="15" t="n"/>
    </row>
    <row r="363" customFormat="1" s="63">
      <c r="A363" s="15" t="n"/>
      <c r="B363" s="15" t="n"/>
      <c r="C363" s="15" t="n"/>
    </row>
    <row r="364" customFormat="1" s="63">
      <c r="A364" s="15" t="n"/>
      <c r="B364" s="15" t="n"/>
      <c r="C364" s="15" t="n"/>
    </row>
    <row r="365" customFormat="1" s="63">
      <c r="A365" s="15" t="n"/>
      <c r="B365" s="15" t="n"/>
      <c r="C365" s="15" t="n"/>
    </row>
    <row r="366" customFormat="1" s="63">
      <c r="A366" s="15" t="n"/>
      <c r="B366" s="15" t="n"/>
      <c r="C366" s="15" t="n"/>
    </row>
    <row r="367" customFormat="1" s="63">
      <c r="A367" s="15" t="n"/>
      <c r="B367" s="15" t="n"/>
      <c r="C367" s="15" t="n"/>
    </row>
    <row r="368" customFormat="1" s="63">
      <c r="A368" s="15" t="n"/>
      <c r="B368" s="15" t="n"/>
      <c r="C368" s="15" t="n"/>
    </row>
    <row r="369" customFormat="1" s="63">
      <c r="A369" s="15" t="n"/>
      <c r="B369" s="15" t="n"/>
      <c r="C369" s="15" t="n"/>
    </row>
    <row r="370" customFormat="1" s="63">
      <c r="A370" s="15" t="n"/>
      <c r="B370" s="15" t="n"/>
      <c r="C370" s="15" t="n"/>
    </row>
    <row r="371" customFormat="1" s="63">
      <c r="A371" s="15" t="n"/>
      <c r="B371" s="15" t="n"/>
      <c r="C371" s="15" t="n"/>
    </row>
    <row r="372" customFormat="1" s="63">
      <c r="A372" s="15" t="n"/>
      <c r="B372" s="15" t="n"/>
      <c r="C372" s="15" t="n"/>
    </row>
    <row r="373" customFormat="1" s="63">
      <c r="A373" s="15" t="n"/>
      <c r="B373" s="15" t="n"/>
      <c r="C373" s="15" t="n"/>
    </row>
    <row r="374" customFormat="1" s="63">
      <c r="A374" s="15" t="n"/>
      <c r="B374" s="15" t="n"/>
      <c r="C374" s="15" t="n"/>
    </row>
    <row r="375" customFormat="1" s="63">
      <c r="A375" s="15" t="n"/>
      <c r="B375" s="15" t="n"/>
      <c r="C375" s="15" t="n"/>
    </row>
    <row r="376" customFormat="1" s="63">
      <c r="A376" s="15" t="n"/>
      <c r="B376" s="15" t="n"/>
      <c r="C376" s="15" t="n"/>
    </row>
    <row r="377" customFormat="1" s="63">
      <c r="A377" s="15" t="n"/>
      <c r="B377" s="15" t="n"/>
      <c r="C377" s="15" t="n"/>
    </row>
    <row r="378" customFormat="1" s="63">
      <c r="A378" s="15" t="n"/>
      <c r="B378" s="15" t="n"/>
      <c r="C378" s="15" t="n"/>
    </row>
    <row r="379" customFormat="1" s="63">
      <c r="A379" s="15" t="n"/>
      <c r="B379" s="15" t="n"/>
      <c r="C379" s="15" t="n"/>
    </row>
    <row r="380" customFormat="1" s="63">
      <c r="A380" s="15" t="n"/>
      <c r="B380" s="15" t="n"/>
      <c r="C380" s="15" t="n"/>
    </row>
    <row r="381" customFormat="1" s="63">
      <c r="A381" s="15" t="n"/>
      <c r="B381" s="15" t="n"/>
      <c r="C381" s="15" t="n"/>
    </row>
    <row r="382" customFormat="1" s="63">
      <c r="A382" s="15" t="n"/>
      <c r="B382" s="15" t="n"/>
      <c r="C382" s="15" t="n"/>
    </row>
    <row r="383" customFormat="1" s="63">
      <c r="A383" s="15" t="n"/>
      <c r="B383" s="15" t="n"/>
      <c r="C383" s="15" t="n"/>
    </row>
    <row r="384" customFormat="1" s="63">
      <c r="A384" s="15" t="n"/>
      <c r="B384" s="15" t="n"/>
      <c r="C384" s="15" t="n"/>
    </row>
    <row r="385" customFormat="1" s="63">
      <c r="A385" s="15" t="n"/>
      <c r="B385" s="15" t="n"/>
      <c r="C385" s="15" t="n"/>
    </row>
    <row r="386" customFormat="1" s="63">
      <c r="A386" s="15" t="n"/>
      <c r="B386" s="15" t="n"/>
      <c r="C386" s="15" t="n"/>
    </row>
    <row r="387" customFormat="1" s="63">
      <c r="A387" s="15" t="n"/>
      <c r="B387" s="15" t="n"/>
      <c r="C387" s="15" t="n"/>
    </row>
    <row r="388" customFormat="1" s="63">
      <c r="A388" s="15" t="n"/>
      <c r="B388" s="15" t="n"/>
      <c r="C388" s="15" t="n"/>
    </row>
    <row r="389" customFormat="1" s="63">
      <c r="A389" s="15" t="n"/>
      <c r="B389" s="15" t="n"/>
      <c r="C389" s="15" t="n"/>
    </row>
    <row r="390" customFormat="1" s="63">
      <c r="A390" s="15" t="n"/>
      <c r="B390" s="15" t="n"/>
      <c r="C390" s="15" t="n"/>
    </row>
    <row r="391" customFormat="1" s="63">
      <c r="A391" s="15" t="n"/>
      <c r="B391" s="15" t="n"/>
      <c r="C391" s="15" t="n"/>
    </row>
    <row r="392" customFormat="1" s="63">
      <c r="A392" s="15" t="n"/>
      <c r="B392" s="15" t="n"/>
      <c r="C392" s="15" t="n"/>
    </row>
    <row r="393" customFormat="1" s="63">
      <c r="A393" s="15" t="n"/>
      <c r="B393" s="15" t="n"/>
      <c r="C393" s="15" t="n"/>
    </row>
    <row r="394" customFormat="1" s="63">
      <c r="A394" s="15" t="n"/>
      <c r="B394" s="15" t="n"/>
      <c r="C394" s="15" t="n"/>
    </row>
    <row r="395" customFormat="1" s="63">
      <c r="A395" s="15" t="n"/>
      <c r="B395" s="15" t="n"/>
      <c r="C395" s="15" t="n"/>
    </row>
    <row r="396" customFormat="1" s="63">
      <c r="A396" s="15" t="n"/>
      <c r="B396" s="15" t="n"/>
      <c r="C396" s="15" t="n"/>
    </row>
    <row r="397" customFormat="1" s="63">
      <c r="A397" s="15" t="n"/>
      <c r="B397" s="15" t="n"/>
      <c r="C397" s="15" t="n"/>
    </row>
    <row r="398" customFormat="1" s="63">
      <c r="A398" s="15" t="n"/>
      <c r="B398" s="15" t="n"/>
      <c r="C398" s="15" t="n"/>
    </row>
    <row r="399" customFormat="1" s="63">
      <c r="A399" s="15" t="n"/>
      <c r="B399" s="15" t="n"/>
      <c r="C399" s="15" t="n"/>
    </row>
    <row r="400" customFormat="1" s="63">
      <c r="A400" s="15" t="n"/>
      <c r="B400" s="15" t="n"/>
      <c r="C400" s="15" t="n"/>
    </row>
    <row r="401" customFormat="1" s="63">
      <c r="A401" s="15" t="n"/>
      <c r="B401" s="15" t="n"/>
      <c r="C401" s="15" t="n"/>
    </row>
    <row r="402" customFormat="1" s="63">
      <c r="A402" s="15" t="n"/>
      <c r="B402" s="15" t="n"/>
      <c r="C402" s="15" t="n"/>
    </row>
    <row r="403" customFormat="1" s="63">
      <c r="A403" s="15" t="n"/>
      <c r="B403" s="15" t="n"/>
      <c r="C403" s="15" t="n"/>
    </row>
    <row r="404" customFormat="1" s="63">
      <c r="A404" s="15" t="n"/>
      <c r="B404" s="15" t="n"/>
      <c r="C404" s="15" t="n"/>
    </row>
    <row r="405" customFormat="1" s="63">
      <c r="A405" s="15" t="n"/>
      <c r="B405" s="15" t="n"/>
      <c r="C405" s="15" t="n"/>
    </row>
    <row r="406" customFormat="1" s="63">
      <c r="A406" s="15" t="n"/>
      <c r="B406" s="15" t="n"/>
      <c r="C406" s="15" t="n"/>
    </row>
    <row r="407" customFormat="1" s="63">
      <c r="A407" s="15" t="n"/>
      <c r="B407" s="15" t="n"/>
      <c r="C407" s="15" t="n"/>
    </row>
    <row r="408" customFormat="1" s="63">
      <c r="A408" s="15" t="n"/>
      <c r="B408" s="15" t="n"/>
      <c r="C408" s="15" t="n"/>
    </row>
    <row r="409" customFormat="1" s="63">
      <c r="A409" s="15" t="n"/>
      <c r="B409" s="15" t="n"/>
      <c r="C409" s="15" t="n"/>
    </row>
    <row r="410" customFormat="1" s="63">
      <c r="A410" s="15" t="n"/>
      <c r="B410" s="15" t="n"/>
      <c r="C410" s="15" t="n"/>
    </row>
    <row r="411" customFormat="1" s="63">
      <c r="A411" s="15" t="n"/>
      <c r="B411" s="15" t="n"/>
      <c r="C411" s="15" t="n"/>
    </row>
    <row r="412" customFormat="1" s="63">
      <c r="A412" s="15" t="n"/>
      <c r="B412" s="15" t="n"/>
      <c r="C412" s="15" t="n"/>
    </row>
    <row r="413" customFormat="1" s="63">
      <c r="A413" s="15" t="n"/>
      <c r="B413" s="15" t="n"/>
      <c r="C413" s="15" t="n"/>
    </row>
    <row r="414" customFormat="1" s="63">
      <c r="A414" s="15" t="n"/>
      <c r="B414" s="15" t="n"/>
      <c r="C414" s="15" t="n"/>
    </row>
    <row r="415" customFormat="1" s="63">
      <c r="A415" s="15" t="n"/>
      <c r="B415" s="15" t="n"/>
      <c r="C415" s="15" t="n"/>
    </row>
    <row r="416" customFormat="1" s="63">
      <c r="A416" s="15" t="n"/>
      <c r="B416" s="15" t="n"/>
      <c r="C416" s="15" t="n"/>
    </row>
    <row r="417" customFormat="1" s="63">
      <c r="A417" s="15" t="n"/>
      <c r="B417" s="15" t="n"/>
      <c r="C417" s="15" t="n"/>
    </row>
    <row r="418" customFormat="1" s="63">
      <c r="A418" s="15" t="n"/>
      <c r="B418" s="15" t="n"/>
      <c r="C418" s="15" t="n"/>
    </row>
    <row r="419" customFormat="1" s="63">
      <c r="A419" s="15" t="n"/>
      <c r="B419" s="15" t="n"/>
      <c r="C419" s="15" t="n"/>
    </row>
    <row r="420" customFormat="1" s="63">
      <c r="A420" s="15" t="n"/>
      <c r="B420" s="15" t="n"/>
      <c r="C420" s="15" t="n"/>
    </row>
    <row r="421" customFormat="1" s="63">
      <c r="A421" s="15" t="n"/>
      <c r="B421" s="15" t="n"/>
      <c r="C421" s="15" t="n"/>
    </row>
    <row r="422" customFormat="1" s="63">
      <c r="A422" s="15" t="n"/>
      <c r="B422" s="15" t="n"/>
      <c r="C422" s="15" t="n"/>
    </row>
    <row r="423" customFormat="1" s="63">
      <c r="A423" s="15" t="n"/>
      <c r="B423" s="15" t="n"/>
      <c r="C423" s="15" t="n"/>
    </row>
    <row r="424" customFormat="1" s="63">
      <c r="A424" s="15" t="n"/>
      <c r="B424" s="15" t="n"/>
      <c r="C424" s="15" t="n"/>
    </row>
    <row r="425" customFormat="1" s="63">
      <c r="A425" s="15" t="n"/>
      <c r="B425" s="15" t="n"/>
      <c r="C425" s="15" t="n"/>
    </row>
    <row r="426" customFormat="1" s="63">
      <c r="A426" s="15" t="n"/>
      <c r="B426" s="15" t="n"/>
      <c r="C426" s="15" t="n"/>
    </row>
    <row r="427" customFormat="1" s="63">
      <c r="A427" s="15" t="n"/>
      <c r="B427" s="15" t="n"/>
      <c r="C427" s="15" t="n"/>
    </row>
    <row r="428" customFormat="1" s="63">
      <c r="A428" s="15" t="n"/>
      <c r="B428" s="15" t="n"/>
      <c r="C428" s="15" t="n"/>
    </row>
    <row r="429" customFormat="1" s="63">
      <c r="A429" s="15" t="n"/>
      <c r="B429" s="15" t="n"/>
      <c r="C429" s="15" t="n"/>
    </row>
    <row r="430" customFormat="1" s="63">
      <c r="A430" s="15" t="n"/>
      <c r="B430" s="15" t="n"/>
      <c r="C430" s="15" t="n"/>
    </row>
    <row r="431" customFormat="1" s="63">
      <c r="A431" s="15" t="n"/>
      <c r="B431" s="15" t="n"/>
      <c r="C431" s="15" t="n"/>
    </row>
    <row r="432" customFormat="1" s="63">
      <c r="A432" s="15" t="n"/>
      <c r="B432" s="15" t="n"/>
      <c r="C432" s="15" t="n"/>
    </row>
    <row r="433" customFormat="1" s="63">
      <c r="A433" s="15" t="n"/>
      <c r="B433" s="15" t="n"/>
      <c r="C433" s="15" t="n"/>
    </row>
    <row r="434" customFormat="1" s="63">
      <c r="A434" s="15" t="n"/>
      <c r="B434" s="15" t="n"/>
      <c r="C434" s="15" t="n"/>
    </row>
    <row r="435" customFormat="1" s="63">
      <c r="A435" s="15" t="n"/>
      <c r="B435" s="15" t="n"/>
      <c r="C435" s="15" t="n"/>
    </row>
    <row r="436" customFormat="1" s="63">
      <c r="A436" s="15" t="n"/>
      <c r="B436" s="15" t="n"/>
      <c r="C436" s="15" t="n"/>
    </row>
    <row r="437" customFormat="1" s="63">
      <c r="A437" s="15" t="n"/>
      <c r="B437" s="15" t="n"/>
      <c r="C437" s="15" t="n"/>
    </row>
    <row r="438" customFormat="1" s="63">
      <c r="A438" s="15" t="n"/>
      <c r="B438" s="15" t="n"/>
      <c r="C438" s="15" t="n"/>
    </row>
    <row r="439" customFormat="1" s="63">
      <c r="A439" s="15" t="n"/>
      <c r="B439" s="15" t="n"/>
      <c r="C439" s="15" t="n"/>
    </row>
    <row r="440" customFormat="1" s="63">
      <c r="A440" s="15" t="n"/>
      <c r="B440" s="15" t="n"/>
      <c r="C440" s="15" t="n"/>
    </row>
    <row r="441" customFormat="1" s="63">
      <c r="A441" s="15" t="n"/>
      <c r="B441" s="15" t="n"/>
      <c r="C441" s="15" t="n"/>
    </row>
    <row r="442" customFormat="1" s="63">
      <c r="A442" s="15" t="n"/>
      <c r="B442" s="15" t="n"/>
      <c r="C442" s="15" t="n"/>
    </row>
    <row r="443" customFormat="1" s="63">
      <c r="A443" s="15" t="n"/>
      <c r="B443" s="15" t="n"/>
      <c r="C443" s="15" t="n"/>
    </row>
    <row r="444" customFormat="1" s="63">
      <c r="A444" s="15" t="n"/>
      <c r="B444" s="15" t="n"/>
      <c r="C444" s="15" t="n"/>
    </row>
    <row r="445" customFormat="1" s="63">
      <c r="A445" s="15" t="n"/>
      <c r="B445" s="15" t="n"/>
      <c r="C445" s="15" t="n"/>
    </row>
    <row r="446" customFormat="1" s="63">
      <c r="A446" s="15" t="n"/>
      <c r="B446" s="15" t="n"/>
      <c r="C446" s="15" t="n"/>
    </row>
    <row r="447" customFormat="1" s="63">
      <c r="A447" s="15" t="n"/>
      <c r="B447" s="15" t="n"/>
      <c r="C447" s="15" t="n"/>
    </row>
    <row r="448" customFormat="1" s="63">
      <c r="A448" s="15" t="n"/>
      <c r="B448" s="15" t="n"/>
      <c r="C448" s="15" t="n"/>
    </row>
    <row r="449" customFormat="1" s="63">
      <c r="A449" s="15" t="n"/>
      <c r="B449" s="15" t="n"/>
      <c r="C449" s="15" t="n"/>
    </row>
    <row r="450" customFormat="1" s="63">
      <c r="A450" s="15" t="n"/>
      <c r="B450" s="15" t="n"/>
      <c r="C450" s="15" t="n"/>
    </row>
    <row r="451" customFormat="1" s="63">
      <c r="A451" s="15" t="n"/>
      <c r="B451" s="15" t="n"/>
      <c r="C451" s="15" t="n"/>
    </row>
    <row r="452" customFormat="1" s="63">
      <c r="A452" s="15" t="n"/>
      <c r="B452" s="15" t="n"/>
      <c r="C452" s="15" t="n"/>
    </row>
    <row r="453" customFormat="1" s="63">
      <c r="A453" s="15" t="n"/>
      <c r="B453" s="15" t="n"/>
      <c r="C453" s="15" t="n"/>
    </row>
    <row r="454" customFormat="1" s="63">
      <c r="A454" s="15" t="n"/>
      <c r="B454" s="15" t="n"/>
      <c r="C454" s="15" t="n"/>
    </row>
    <row r="455" customFormat="1" s="63">
      <c r="A455" s="15" t="n"/>
      <c r="B455" s="15" t="n"/>
      <c r="C455" s="15" t="n"/>
    </row>
    <row r="456" customFormat="1" s="63">
      <c r="A456" s="15" t="n"/>
      <c r="B456" s="15" t="n"/>
      <c r="C456" s="15" t="n"/>
    </row>
    <row r="457" customFormat="1" s="63">
      <c r="A457" s="15" t="n"/>
      <c r="B457" s="15" t="n"/>
      <c r="C457" s="15" t="n"/>
    </row>
    <row r="458" customFormat="1" s="63">
      <c r="A458" s="15" t="n"/>
      <c r="B458" s="15" t="n"/>
      <c r="C458" s="15" t="n"/>
    </row>
    <row r="459" customFormat="1" s="63">
      <c r="A459" s="15" t="n"/>
      <c r="B459" s="15" t="n"/>
      <c r="C459" s="15" t="n"/>
    </row>
    <row r="460" customFormat="1" s="63">
      <c r="A460" s="15" t="n"/>
      <c r="B460" s="15" t="n"/>
      <c r="C460" s="15" t="n"/>
    </row>
    <row r="461" customFormat="1" s="63">
      <c r="A461" s="15" t="n"/>
      <c r="B461" s="15" t="n"/>
      <c r="C461" s="15" t="n"/>
    </row>
    <row r="462" customFormat="1" s="63">
      <c r="A462" s="15" t="n"/>
      <c r="B462" s="15" t="n"/>
      <c r="C462" s="15" t="n"/>
    </row>
    <row r="463" customFormat="1" s="63">
      <c r="A463" s="15" t="n"/>
      <c r="B463" s="15" t="n"/>
      <c r="C463" s="15" t="n"/>
    </row>
    <row r="464" customFormat="1" s="63">
      <c r="A464" s="15" t="n"/>
      <c r="B464" s="15" t="n"/>
      <c r="C464" s="15" t="n"/>
    </row>
    <row r="465" customFormat="1" s="63">
      <c r="A465" s="15" t="n"/>
      <c r="B465" s="15" t="n"/>
      <c r="C465" s="15" t="n"/>
    </row>
    <row r="466" customFormat="1" s="63">
      <c r="A466" s="15" t="n"/>
      <c r="B466" s="15" t="n"/>
      <c r="C466" s="15" t="n"/>
    </row>
    <row r="467" customFormat="1" s="63">
      <c r="A467" s="15" t="n"/>
      <c r="B467" s="15" t="n"/>
      <c r="C467" s="15" t="n"/>
    </row>
    <row r="468" customFormat="1" s="63">
      <c r="A468" s="15" t="n"/>
      <c r="B468" s="15" t="n"/>
      <c r="C468" s="15" t="n"/>
    </row>
    <row r="469" customFormat="1" s="63">
      <c r="A469" s="15" t="n"/>
      <c r="B469" s="15" t="n"/>
      <c r="C469" s="15" t="n"/>
    </row>
    <row r="470" customFormat="1" s="63">
      <c r="A470" s="15" t="n"/>
      <c r="B470" s="15" t="n"/>
      <c r="C470" s="15" t="n"/>
    </row>
    <row r="471" customFormat="1" s="63">
      <c r="A471" s="15" t="n"/>
      <c r="B471" s="15" t="n"/>
      <c r="C471" s="15" t="n"/>
    </row>
    <row r="472" customFormat="1" s="63">
      <c r="A472" s="15" t="n"/>
      <c r="B472" s="15" t="n"/>
      <c r="C472" s="15" t="n"/>
    </row>
    <row r="473" customFormat="1" s="63">
      <c r="A473" s="15" t="n"/>
      <c r="B473" s="15" t="n"/>
      <c r="C473" s="15" t="n"/>
    </row>
    <row r="474" customFormat="1" s="63">
      <c r="A474" s="15" t="n"/>
      <c r="B474" s="15" t="n"/>
      <c r="C474" s="15" t="n"/>
    </row>
    <row r="475" customFormat="1" s="63">
      <c r="A475" s="15" t="n"/>
      <c r="B475" s="15" t="n"/>
      <c r="C475" s="15" t="n"/>
    </row>
    <row r="476" customFormat="1" s="63">
      <c r="A476" s="15" t="n"/>
      <c r="B476" s="15" t="n"/>
      <c r="C476" s="15" t="n"/>
    </row>
    <row r="477" customFormat="1" s="63">
      <c r="A477" s="15" t="n"/>
      <c r="B477" s="15" t="n"/>
      <c r="C477" s="15" t="n"/>
    </row>
    <row r="478" customFormat="1" s="63">
      <c r="A478" s="15" t="n"/>
      <c r="B478" s="15" t="n"/>
      <c r="C478" s="15" t="n"/>
    </row>
    <row r="479" customFormat="1" s="63">
      <c r="A479" s="15" t="n"/>
      <c r="B479" s="15" t="n"/>
      <c r="C479" s="15" t="n"/>
    </row>
    <row r="480" customFormat="1" s="63">
      <c r="A480" s="15" t="n"/>
      <c r="B480" s="15" t="n"/>
      <c r="C480" s="15" t="n"/>
    </row>
    <row r="481" customFormat="1" s="63">
      <c r="A481" s="15" t="n"/>
      <c r="B481" s="15" t="n"/>
      <c r="C481" s="15" t="n"/>
    </row>
    <row r="482" customFormat="1" s="63">
      <c r="A482" s="15" t="n"/>
      <c r="B482" s="15" t="n"/>
      <c r="C482" s="15" t="n"/>
    </row>
    <row r="483" customFormat="1" s="63">
      <c r="A483" s="15" t="n"/>
      <c r="B483" s="15" t="n"/>
      <c r="C483" s="15" t="n"/>
    </row>
    <row r="484" customFormat="1" s="63">
      <c r="A484" s="15" t="n"/>
      <c r="B484" s="15" t="n"/>
      <c r="C484" s="15" t="n"/>
    </row>
    <row r="485" customFormat="1" s="63">
      <c r="A485" s="15" t="n"/>
      <c r="B485" s="15" t="n"/>
      <c r="C485" s="15" t="n"/>
    </row>
    <row r="486" customFormat="1" s="63">
      <c r="A486" s="15" t="n"/>
      <c r="B486" s="15" t="n"/>
      <c r="C486" s="15" t="n"/>
    </row>
    <row r="487" customFormat="1" s="63">
      <c r="A487" s="15" t="n"/>
      <c r="B487" s="15" t="n"/>
      <c r="C487" s="15" t="n"/>
    </row>
    <row r="488" customFormat="1" s="63">
      <c r="A488" s="15" t="n"/>
      <c r="B488" s="15" t="n"/>
      <c r="C488" s="15" t="n"/>
    </row>
    <row r="489" customFormat="1" s="63">
      <c r="A489" s="15" t="n"/>
      <c r="B489" s="15" t="n"/>
      <c r="C489" s="15" t="n"/>
    </row>
    <row r="490" customFormat="1" s="63">
      <c r="A490" s="15" t="n"/>
      <c r="B490" s="15" t="n"/>
      <c r="C490" s="15" t="n"/>
    </row>
    <row r="491" customFormat="1" s="63">
      <c r="A491" s="15" t="n"/>
      <c r="B491" s="15" t="n"/>
      <c r="C491" s="15" t="n"/>
    </row>
    <row r="492" customFormat="1" s="63">
      <c r="A492" s="15" t="n"/>
      <c r="B492" s="15" t="n"/>
      <c r="C492" s="15" t="n"/>
    </row>
    <row r="493" customFormat="1" s="63">
      <c r="A493" s="15" t="n"/>
      <c r="B493" s="15" t="n"/>
      <c r="C493" s="15" t="n"/>
    </row>
    <row r="494" customFormat="1" s="63">
      <c r="A494" s="15" t="n"/>
      <c r="B494" s="15" t="n"/>
      <c r="C494" s="15" t="n"/>
    </row>
    <row r="495" customFormat="1" s="63">
      <c r="A495" s="15" t="n"/>
      <c r="B495" s="15" t="n"/>
      <c r="C495" s="15" t="n"/>
    </row>
    <row r="496" customFormat="1" s="63">
      <c r="A496" s="15" t="n"/>
      <c r="B496" s="15" t="n"/>
      <c r="C496" s="15" t="n"/>
    </row>
    <row r="497" customFormat="1" s="63">
      <c r="A497" s="15" t="n"/>
      <c r="B497" s="15" t="n"/>
      <c r="C497" s="15" t="n"/>
    </row>
    <row r="498" customFormat="1" s="63">
      <c r="A498" s="15" t="n"/>
      <c r="B498" s="15" t="n"/>
      <c r="C498" s="15" t="n"/>
    </row>
    <row r="499" customFormat="1" s="63">
      <c r="A499" s="15" t="n"/>
      <c r="B499" s="15" t="n"/>
      <c r="C499" s="15" t="n"/>
    </row>
    <row r="500" customFormat="1" s="63">
      <c r="A500" s="15" t="n"/>
      <c r="B500" s="15" t="n"/>
      <c r="C500" s="15" t="n"/>
    </row>
    <row r="501" customFormat="1" s="63">
      <c r="A501" s="15" t="n"/>
      <c r="B501" s="15" t="n"/>
      <c r="C501" s="15" t="n"/>
    </row>
    <row r="502" customFormat="1" s="63">
      <c r="A502" s="15" t="n"/>
      <c r="B502" s="15" t="n"/>
      <c r="C502" s="15" t="n"/>
    </row>
    <row r="503" customFormat="1" s="63">
      <c r="A503" s="15" t="n"/>
      <c r="B503" s="15" t="n"/>
      <c r="C503" s="15" t="n"/>
    </row>
    <row r="504" customFormat="1" s="63">
      <c r="A504" s="15" t="n"/>
      <c r="B504" s="15" t="n"/>
      <c r="C504" s="15" t="n"/>
    </row>
    <row r="505" customFormat="1" s="63">
      <c r="A505" s="15" t="n"/>
      <c r="B505" s="15" t="n"/>
      <c r="C505" s="15" t="n"/>
    </row>
    <row r="506" customFormat="1" s="63">
      <c r="A506" s="15" t="n"/>
      <c r="B506" s="15" t="n"/>
      <c r="C506" s="15" t="n"/>
    </row>
    <row r="507" customFormat="1" s="63">
      <c r="A507" s="15" t="n"/>
      <c r="B507" s="15" t="n"/>
      <c r="C507" s="15" t="n"/>
    </row>
    <row r="508" customFormat="1" s="63">
      <c r="A508" s="15" t="n"/>
      <c r="B508" s="15" t="n"/>
      <c r="C508" s="15" t="n"/>
    </row>
    <row r="509" customFormat="1" s="63">
      <c r="A509" s="15" t="n"/>
      <c r="B509" s="15" t="n"/>
      <c r="C509" s="15" t="n"/>
    </row>
    <row r="510" customFormat="1" s="63">
      <c r="A510" s="15" t="n"/>
      <c r="B510" s="15" t="n"/>
      <c r="C510" s="15" t="n"/>
    </row>
    <row r="511" customFormat="1" s="63">
      <c r="A511" s="15" t="n"/>
      <c r="B511" s="15" t="n"/>
      <c r="C511" s="15" t="n"/>
    </row>
    <row r="512" customFormat="1" s="63">
      <c r="A512" s="15" t="n"/>
      <c r="B512" s="15" t="n"/>
      <c r="C512" s="15" t="n"/>
    </row>
    <row r="513" customFormat="1" s="63">
      <c r="A513" s="15" t="n"/>
      <c r="B513" s="15" t="n"/>
      <c r="C513" s="15" t="n"/>
    </row>
    <row r="514" customFormat="1" s="63">
      <c r="A514" s="15" t="n"/>
      <c r="B514" s="15" t="n"/>
      <c r="C514" s="15" t="n"/>
    </row>
    <row r="515" customFormat="1" s="63">
      <c r="A515" s="15" t="n"/>
      <c r="B515" s="15" t="n"/>
      <c r="C515" s="15" t="n"/>
    </row>
    <row r="516" customFormat="1" s="63">
      <c r="A516" s="15" t="n"/>
      <c r="B516" s="15" t="n"/>
      <c r="C516" s="15" t="n"/>
    </row>
    <row r="517" customFormat="1" s="63">
      <c r="A517" s="15" t="n"/>
      <c r="B517" s="15" t="n"/>
      <c r="C517" s="15" t="n"/>
    </row>
    <row r="518" customFormat="1" s="63">
      <c r="A518" s="15" t="n"/>
      <c r="B518" s="15" t="n"/>
      <c r="C518" s="15" t="n"/>
    </row>
    <row r="519" customFormat="1" s="63">
      <c r="A519" s="15" t="n"/>
      <c r="B519" s="15" t="n"/>
      <c r="C519" s="15" t="n"/>
    </row>
    <row r="520" customFormat="1" s="63">
      <c r="A520" s="15" t="n"/>
      <c r="B520" s="15" t="n"/>
      <c r="C520" s="15" t="n"/>
    </row>
    <row r="521" customFormat="1" s="63">
      <c r="A521" s="15" t="n"/>
      <c r="B521" s="15" t="n"/>
      <c r="C521" s="15" t="n"/>
    </row>
    <row r="522" customFormat="1" s="63">
      <c r="A522" s="15" t="n"/>
      <c r="B522" s="15" t="n"/>
      <c r="C522" s="15" t="n"/>
    </row>
    <row r="523" customFormat="1" s="63">
      <c r="A523" s="15" t="n"/>
      <c r="B523" s="15" t="n"/>
      <c r="C523" s="15" t="n"/>
    </row>
    <row r="524" customFormat="1" s="63">
      <c r="A524" s="15" t="n"/>
      <c r="B524" s="15" t="n"/>
      <c r="C524" s="15" t="n"/>
    </row>
    <row r="525" customFormat="1" s="63">
      <c r="A525" s="15" t="n"/>
      <c r="B525" s="15" t="n"/>
      <c r="C525" s="15" t="n"/>
    </row>
    <row r="526" customFormat="1" s="63">
      <c r="A526" s="15" t="n"/>
      <c r="B526" s="15" t="n"/>
      <c r="C526" s="15" t="n"/>
    </row>
    <row r="527" customFormat="1" s="63">
      <c r="A527" s="15" t="n"/>
      <c r="B527" s="15" t="n"/>
      <c r="C527" s="15" t="n"/>
    </row>
    <row r="528" customFormat="1" s="63">
      <c r="A528" s="15" t="n"/>
      <c r="B528" s="15" t="n"/>
      <c r="C528" s="15" t="n"/>
    </row>
    <row r="529" customFormat="1" s="63">
      <c r="A529" s="15" t="n"/>
      <c r="B529" s="15" t="n"/>
      <c r="C529" s="15" t="n"/>
    </row>
    <row r="530" customFormat="1" s="63">
      <c r="A530" s="15" t="n"/>
      <c r="B530" s="15" t="n"/>
      <c r="C530" s="15" t="n"/>
    </row>
    <row r="531" customFormat="1" s="63">
      <c r="A531" s="15" t="n"/>
      <c r="B531" s="15" t="n"/>
      <c r="C531" s="15" t="n"/>
    </row>
    <row r="532" customFormat="1" s="63">
      <c r="A532" s="15" t="n"/>
      <c r="B532" s="15" t="n"/>
      <c r="C532" s="15" t="n"/>
    </row>
    <row r="533" customFormat="1" s="63">
      <c r="A533" s="15" t="n"/>
      <c r="B533" s="15" t="n"/>
      <c r="C533" s="15" t="n"/>
    </row>
    <row r="534" customFormat="1" s="63">
      <c r="A534" s="15" t="n"/>
      <c r="B534" s="15" t="n"/>
      <c r="C534" s="15" t="n"/>
    </row>
    <row r="535" customFormat="1" s="63">
      <c r="A535" s="15" t="n"/>
      <c r="B535" s="15" t="n"/>
      <c r="C535" s="15" t="n"/>
    </row>
    <row r="536" customFormat="1" s="63">
      <c r="A536" s="15" t="n"/>
      <c r="B536" s="15" t="n"/>
      <c r="C536" s="15" t="n"/>
    </row>
    <row r="537" customFormat="1" s="63">
      <c r="A537" s="15" t="n"/>
      <c r="B537" s="15" t="n"/>
      <c r="C537" s="15" t="n"/>
    </row>
    <row r="538" customFormat="1" s="63">
      <c r="A538" s="15" t="n"/>
      <c r="B538" s="15" t="n"/>
      <c r="C538" s="15" t="n"/>
    </row>
    <row r="539" customFormat="1" s="63">
      <c r="A539" s="15" t="n"/>
      <c r="B539" s="15" t="n"/>
      <c r="C539" s="15" t="n"/>
    </row>
    <row r="540" customFormat="1" s="63">
      <c r="A540" s="15" t="n"/>
      <c r="B540" s="15" t="n"/>
      <c r="C540" s="15" t="n"/>
    </row>
    <row r="541" customFormat="1" s="63">
      <c r="A541" s="15" t="n"/>
      <c r="B541" s="15" t="n"/>
      <c r="C541" s="15" t="n"/>
    </row>
    <row r="542" customFormat="1" s="63">
      <c r="A542" s="15" t="n"/>
      <c r="B542" s="15" t="n"/>
      <c r="C542" s="15" t="n"/>
    </row>
    <row r="543" customFormat="1" s="63">
      <c r="A543" s="15" t="n"/>
      <c r="B543" s="15" t="n"/>
      <c r="C543" s="15" t="n"/>
    </row>
    <row r="544" customFormat="1" s="63">
      <c r="A544" s="15" t="n"/>
      <c r="B544" s="15" t="n"/>
      <c r="C544" s="15" t="n"/>
    </row>
    <row r="545" customFormat="1" s="63">
      <c r="A545" s="15" t="n"/>
      <c r="B545" s="15" t="n"/>
      <c r="C545" s="15" t="n"/>
    </row>
    <row r="546" customFormat="1" s="63">
      <c r="A546" s="15" t="n"/>
      <c r="B546" s="15" t="n"/>
      <c r="C546" s="15" t="n"/>
    </row>
    <row r="547" customFormat="1" s="63">
      <c r="A547" s="15" t="n"/>
      <c r="B547" s="15" t="n"/>
      <c r="C547" s="15" t="n"/>
    </row>
    <row r="548" customFormat="1" s="63">
      <c r="A548" s="15" t="n"/>
      <c r="B548" s="15" t="n"/>
      <c r="C548" s="15" t="n"/>
    </row>
    <row r="549" customFormat="1" s="63">
      <c r="A549" s="15" t="n"/>
      <c r="B549" s="15" t="n"/>
      <c r="C549" s="15" t="n"/>
    </row>
    <row r="550" customFormat="1" s="63">
      <c r="A550" s="15" t="n"/>
      <c r="B550" s="15" t="n"/>
      <c r="C550" s="15" t="n"/>
    </row>
    <row r="551" customFormat="1" s="63">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87"/>
  <sheetViews>
    <sheetView zoomScale="190" zoomScaleNormal="190" workbookViewId="0">
      <pane xSplit="2" ySplit="3" topLeftCell="C77" activePane="bottomRight" state="frozen"/>
      <selection activeCell="L243" sqref="L243"/>
      <selection pane="topRight" activeCell="L243" sqref="L243"/>
      <selection pane="bottomLeft" activeCell="L243" sqref="L243"/>
      <selection pane="bottomRight" activeCell="L243" sqref="L243"/>
    </sheetView>
  </sheetViews>
  <sheetFormatPr baseColWidth="10" defaultColWidth="8.83203125" defaultRowHeight="15"/>
  <cols>
    <col width="9.1640625" customWidth="1" style="63" min="1" max="1"/>
    <col width="13.6640625" customWidth="1" style="49" min="2" max="2"/>
    <col width="6.1640625" customWidth="1" style="49" min="3" max="20"/>
    <col width="6.1640625" customWidth="1" style="63" min="21" max="21"/>
    <col width="9.1640625" customWidth="1" style="63"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3"/>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3">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3">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3">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3">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3">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3">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3">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3">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3">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3">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3">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3">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3">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3">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3">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3">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3">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3">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3">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3">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3">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3">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3">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3">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3">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3">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3">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3">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3">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3">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3">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3">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3">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3">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3">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3">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3">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3">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3">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3">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3">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3">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3">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3">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3">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3"/>
    <row r="89" customFormat="1" s="63"/>
    <row r="90" customFormat="1" s="63"/>
    <row r="91" customFormat="1" s="63"/>
    <row r="92" customFormat="1" s="63"/>
    <row r="93" customFormat="1" s="63"/>
    <row r="94" customFormat="1" s="63"/>
    <row r="95" customFormat="1" s="63"/>
    <row r="96" customFormat="1" s="63"/>
    <row r="97" customFormat="1" s="63"/>
    <row r="98" customFormat="1" s="63"/>
    <row r="99" customFormat="1" s="63"/>
    <row r="100" customFormat="1" s="63"/>
    <row r="101" customFormat="1" s="63"/>
    <row r="102" customFormat="1" s="63"/>
    <row r="103" customFormat="1" s="63"/>
    <row r="104" customFormat="1" s="63"/>
    <row r="105" customFormat="1" s="63"/>
    <row r="106" customFormat="1" s="63"/>
    <row r="107" customFormat="1" s="63"/>
    <row r="108" customFormat="1" s="63"/>
    <row r="109" customFormat="1" s="63"/>
    <row r="110" customFormat="1" s="63"/>
    <row r="111" customFormat="1" s="63"/>
    <row r="112" customFormat="1" s="63"/>
    <row r="113" customFormat="1" s="63"/>
    <row r="114" customFormat="1" s="63"/>
    <row r="115" customFormat="1" s="63"/>
    <row r="116" customFormat="1" s="63"/>
    <row r="117" customFormat="1" s="63"/>
    <row r="118" customFormat="1" s="63"/>
    <row r="119" customFormat="1" s="63"/>
    <row r="120" customFormat="1" s="63"/>
    <row r="121" customFormat="1" s="63"/>
    <row r="122" customFormat="1" s="63"/>
    <row r="123" customFormat="1" s="63"/>
    <row r="124" customFormat="1" s="63"/>
    <row r="125" customFormat="1" s="63"/>
    <row r="126" customFormat="1" s="63"/>
    <row r="127" customFormat="1" s="63"/>
    <row r="128" customFormat="1" s="63"/>
    <row r="129" customFormat="1" s="63"/>
    <row r="130" customFormat="1" s="63"/>
    <row r="131" customFormat="1" s="63"/>
    <row r="132" customFormat="1" s="63"/>
    <row r="133" customFormat="1" s="63"/>
    <row r="134" customFormat="1" s="63"/>
    <row r="135" customFormat="1" s="63"/>
    <row r="136" customFormat="1" s="63"/>
    <row r="137" customFormat="1" s="63"/>
    <row r="138" customFormat="1" s="63"/>
    <row r="139" customFormat="1" s="63"/>
    <row r="140" customFormat="1" s="63"/>
    <row r="141" customFormat="1" s="63"/>
    <row r="142" customFormat="1" s="63"/>
    <row r="143" customFormat="1" s="63"/>
    <row r="144" customFormat="1" s="63"/>
    <row r="145" customFormat="1" s="63"/>
    <row r="146" customFormat="1" s="63"/>
    <row r="147" customFormat="1" s="63"/>
    <row r="148" customFormat="1" s="63"/>
    <row r="149" customFormat="1" s="63"/>
    <row r="150" customFormat="1" s="63"/>
    <row r="151" customFormat="1" s="63"/>
    <row r="152" customFormat="1" s="63"/>
    <row r="153" customFormat="1" s="63"/>
    <row r="154" customFormat="1" s="63"/>
    <row r="155" customFormat="1" s="63"/>
    <row r="156" customFormat="1" s="63"/>
    <row r="157" customFormat="1" s="63"/>
    <row r="158" customFormat="1" s="63"/>
    <row r="159" customFormat="1" s="63"/>
    <row r="160" customFormat="1" s="63"/>
    <row r="161" customFormat="1" s="63"/>
    <row r="162" customFormat="1" s="63"/>
    <row r="163" customFormat="1" s="63"/>
    <row r="164" customFormat="1" s="63"/>
    <row r="165" customFormat="1" s="63"/>
    <row r="166" customFormat="1" s="63"/>
    <row r="167" customFormat="1" s="63"/>
    <row r="168" customFormat="1" s="63"/>
    <row r="169" customFormat="1" s="63"/>
    <row r="170" customFormat="1" s="63"/>
    <row r="171" customFormat="1" s="63"/>
    <row r="172" customFormat="1" s="63"/>
    <row r="173" customFormat="1" s="63"/>
    <row r="174" customFormat="1" s="63"/>
    <row r="175" customFormat="1" s="63"/>
    <row r="176" customFormat="1" s="63"/>
    <row r="177" customFormat="1" s="63"/>
    <row r="178" customFormat="1" s="63"/>
    <row r="179" customFormat="1" s="63"/>
    <row r="180" customFormat="1" s="63"/>
    <row r="181" customFormat="1" s="63"/>
    <row r="182" customFormat="1" s="63"/>
    <row r="183" customFormat="1" s="63"/>
    <row r="184" customFormat="1" s="63"/>
    <row r="185" customFormat="1" s="63"/>
    <row r="186" customFormat="1" s="63"/>
    <row r="187" customFormat="1" s="63"/>
    <row r="188" customFormat="1" s="63"/>
    <row r="189" customFormat="1" s="63"/>
    <row r="190" customFormat="1" s="63"/>
    <row r="191" customFormat="1" s="63"/>
    <row r="192" customFormat="1" s="63"/>
    <row r="193" customFormat="1" s="63"/>
    <row r="194" customFormat="1" s="63"/>
    <row r="195" customFormat="1" s="63"/>
    <row r="196" customFormat="1" s="63"/>
    <row r="197" customFormat="1" s="63"/>
    <row r="198" customFormat="1" s="63"/>
    <row r="199" customFormat="1" s="63"/>
    <row r="200" customFormat="1" s="63"/>
    <row r="201" customFormat="1" s="63"/>
    <row r="202" customFormat="1" s="63"/>
    <row r="203" customFormat="1" s="63"/>
    <row r="204" customFormat="1" s="63"/>
    <row r="205" customFormat="1" s="63"/>
    <row r="206" customFormat="1" s="63"/>
    <row r="207" customFormat="1" s="63"/>
    <row r="208" customFormat="1" s="63"/>
    <row r="209" customFormat="1" s="63"/>
    <row r="210" customFormat="1" s="63"/>
    <row r="211" customFormat="1" s="63"/>
    <row r="212" customFormat="1" s="63"/>
    <row r="213" customFormat="1" s="63"/>
    <row r="214" customFormat="1" s="63"/>
    <row r="215" customFormat="1" s="63"/>
    <row r="216" customFormat="1" s="63"/>
    <row r="217" customFormat="1" s="63"/>
    <row r="218" customFormat="1" s="63"/>
    <row r="219" customFormat="1" s="63"/>
    <row r="220" customFormat="1" s="63"/>
    <row r="221" customFormat="1" s="63"/>
    <row r="222" customFormat="1" s="63"/>
    <row r="223" customFormat="1" s="63"/>
    <row r="224" customFormat="1" s="63"/>
    <row r="225" customFormat="1" s="63"/>
    <row r="226" customFormat="1" s="63"/>
    <row r="227" customFormat="1" s="63"/>
    <row r="228" customFormat="1" s="63"/>
    <row r="229" customFormat="1" s="63"/>
    <row r="230" customFormat="1" s="63"/>
    <row r="231" customFormat="1" s="63"/>
    <row r="232" customFormat="1" s="63"/>
    <row r="233" customFormat="1" s="63"/>
    <row r="234" customFormat="1" s="63"/>
    <row r="235" customFormat="1" s="63"/>
    <row r="236" customFormat="1" s="63"/>
    <row r="237" customFormat="1" s="63"/>
    <row r="238" customFormat="1" s="63"/>
    <row r="239" customFormat="1" s="63"/>
    <row r="240" customFormat="1" s="63"/>
    <row r="241" customFormat="1" s="63"/>
    <row r="242" customFormat="1" s="63"/>
    <row r="243" customFormat="1" s="63"/>
    <row r="244" customFormat="1" s="63"/>
    <row r="245" customFormat="1" s="63"/>
    <row r="246" customFormat="1" s="63"/>
    <row r="247" customFormat="1" s="63"/>
    <row r="248" customFormat="1" s="63"/>
    <row r="249" customFormat="1" s="63"/>
    <row r="250" customFormat="1" s="63"/>
    <row r="251" customFormat="1" s="63"/>
    <row r="252" customFormat="1" s="63"/>
    <row r="253" customFormat="1" s="63"/>
    <row r="254" customFormat="1" s="63"/>
    <row r="255" customFormat="1" s="63"/>
    <row r="256" customFormat="1" s="63"/>
    <row r="257" customFormat="1" s="63"/>
    <row r="258" customFormat="1" s="63"/>
    <row r="259" customFormat="1" s="63"/>
    <row r="260" customFormat="1" s="63"/>
    <row r="261" customFormat="1" s="63"/>
    <row r="262" customFormat="1" s="63"/>
    <row r="263" customFormat="1" s="63"/>
    <row r="264" customFormat="1" s="63"/>
    <row r="265" customFormat="1" s="63"/>
    <row r="266" customFormat="1" s="63"/>
    <row r="267" customFormat="1" s="63"/>
    <row r="268" customFormat="1" s="63"/>
    <row r="269" customFormat="1" s="63"/>
    <row r="270" customFormat="1" s="63"/>
    <row r="271" customFormat="1" s="63"/>
    <row r="272" customFormat="1" s="63"/>
    <row r="273" customFormat="1" s="63"/>
    <row r="274" customFormat="1" s="63"/>
    <row r="275" customFormat="1" s="63"/>
    <row r="276" customFormat="1" s="63"/>
    <row r="277" customFormat="1" s="63"/>
    <row r="278" customFormat="1" s="63"/>
    <row r="279" customFormat="1" s="63"/>
    <row r="280" customFormat="1" s="63"/>
    <row r="281" customFormat="1" s="63"/>
    <row r="282" customFormat="1" s="63"/>
    <row r="283" customFormat="1" s="63"/>
    <row r="284" customFormat="1" s="63"/>
    <row r="285" customFormat="1" s="63"/>
    <row r="286" customFormat="1" s="63"/>
    <row r="287" customFormat="1" s="63"/>
    <row r="288" customFormat="1" s="63"/>
    <row r="289" customFormat="1" s="63"/>
    <row r="290" customFormat="1" s="63"/>
    <row r="291" customFormat="1" s="63"/>
    <row r="292" customFormat="1" s="63"/>
    <row r="293" customFormat="1" s="63"/>
    <row r="294" customFormat="1" s="63"/>
    <row r="295" customFormat="1" s="63"/>
    <row r="296" customFormat="1" s="63"/>
    <row r="297" customFormat="1" s="63"/>
    <row r="298" customFormat="1" s="63"/>
    <row r="299" customFormat="1" s="63"/>
    <row r="300" customFormat="1" s="63"/>
    <row r="301" customFormat="1" s="63"/>
    <row r="302" customFormat="1" s="63"/>
    <row r="303" customFormat="1" s="63"/>
    <row r="304" customFormat="1" s="63"/>
    <row r="305" customFormat="1" s="63"/>
    <row r="306" customFormat="1" s="63"/>
    <row r="307" customFormat="1" s="63"/>
    <row r="308" customFormat="1" s="63"/>
    <row r="309" customFormat="1" s="63"/>
    <row r="310" customFormat="1" s="63"/>
    <row r="311" customFormat="1" s="63"/>
    <row r="312" customFormat="1" s="63"/>
    <row r="313" customFormat="1" s="63"/>
    <row r="314" customFormat="1" s="63"/>
    <row r="315" customFormat="1" s="63"/>
    <row r="316" customFormat="1" s="63"/>
    <row r="317" customFormat="1" s="63"/>
    <row r="318" customFormat="1" s="63"/>
    <row r="319" customFormat="1" s="63"/>
    <row r="320" customFormat="1" s="63"/>
    <row r="321" customFormat="1" s="63"/>
    <row r="322" customFormat="1" s="63"/>
    <row r="323" customFormat="1" s="63"/>
    <row r="324" customFormat="1" s="63"/>
    <row r="325" customFormat="1" s="63"/>
    <row r="326" customFormat="1" s="63"/>
    <row r="327" customFormat="1" s="63"/>
    <row r="328" customFormat="1" s="63"/>
    <row r="329" customFormat="1" s="63"/>
    <row r="330" customFormat="1" s="63"/>
  </sheetData>
  <conditionalFormatting sqref="C5:D87">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7">
    <cfRule type="colorScale" priority="115">
      <colorScale>
        <cfvo type="min"/>
        <cfvo type="percentile" val="50"/>
        <cfvo type="max"/>
        <color rgb="FF63BE7B"/>
        <color rgb="FFFFEB84"/>
        <color rgb="FFF8696B"/>
      </colorScale>
    </cfRule>
  </conditionalFormatting>
  <conditionalFormatting sqref="D5:D87">
    <cfRule type="colorScale" priority="116">
      <colorScale>
        <cfvo type="min"/>
        <cfvo type="percentile" val="50"/>
        <cfvo type="max"/>
        <color rgb="FF63BE7B"/>
        <color rgb="FFFFEB84"/>
        <color rgb="FFF8696B"/>
      </colorScale>
    </cfRule>
  </conditionalFormatting>
  <conditionalFormatting sqref="E5:E87">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7">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7">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7">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7">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7">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7">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7">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7">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7">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7">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7">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7">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7">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7">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7">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2022-02-27T01:11:11Z</dcterms:modified>
  <cp:lastModifiedBy>Mark Mukherjee</cp:lastModifiedBy>
</cp:coreProperties>
</file>